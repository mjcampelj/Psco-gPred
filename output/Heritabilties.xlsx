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avidson_m_unimelb_edu_au/Documents/psco/gParamaters/manuscript/data/output/"/>
    </mc:Choice>
  </mc:AlternateContent>
  <xr:revisionPtr revIDLastSave="1323" documentId="8_{35FD6127-CE9D-B146-8FB5-F9718A6D4CC8}" xr6:coauthVersionLast="47" xr6:coauthVersionMax="47" xr10:uidLastSave="{B54D34B8-A790-3D4D-86B8-A99D78A7B6C6}"/>
  <bookViews>
    <workbookView xWindow="1900" yWindow="2080" windowWidth="31760" windowHeight="17260" xr2:uid="{65804BBB-CD79-254A-917C-CE3CBA5F614C}"/>
  </bookViews>
  <sheets>
    <sheet name="Overall-table" sheetId="8" r:id="rId1"/>
    <sheet name="days-survived" sheetId="1" r:id="rId2"/>
    <sheet name="bd-slope" sheetId="2" r:id="rId3"/>
    <sheet name="bd-status" sheetId="5" r:id="rId4"/>
    <sheet name="bd-maxLoad" sheetId="3" r:id="rId5"/>
    <sheet name="weight" sheetId="6" r:id="rId6"/>
    <sheet name="body-condi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21" i="8"/>
  <c r="H23" i="8"/>
  <c r="H25" i="8"/>
  <c r="H27" i="8"/>
  <c r="H29" i="8"/>
  <c r="G19" i="8"/>
  <c r="G20" i="8"/>
  <c r="G21" i="8"/>
  <c r="G22" i="8"/>
  <c r="G23" i="8"/>
  <c r="G24" i="8"/>
  <c r="G25" i="8"/>
  <c r="G26" i="8"/>
  <c r="G27" i="8"/>
  <c r="G28" i="8"/>
  <c r="G29" i="8"/>
  <c r="G18" i="8"/>
  <c r="O2" i="8"/>
  <c r="P13" i="6" l="1"/>
  <c r="Q13" i="6"/>
  <c r="P14" i="6"/>
  <c r="Q14" i="6"/>
  <c r="P15" i="6"/>
  <c r="Q15" i="6"/>
  <c r="Q12" i="6"/>
  <c r="P12" i="6"/>
  <c r="R14" i="7"/>
  <c r="S14" i="7"/>
  <c r="R15" i="7"/>
  <c r="S15" i="7"/>
  <c r="R16" i="7"/>
  <c r="S16" i="7"/>
  <c r="S13" i="7"/>
  <c r="R13" i="7"/>
  <c r="P15" i="3"/>
  <c r="Q15" i="3"/>
  <c r="P14" i="3"/>
  <c r="Q14" i="3"/>
  <c r="P13" i="3"/>
  <c r="Q13" i="3"/>
  <c r="Q12" i="3"/>
  <c r="P12" i="3"/>
  <c r="P15" i="2"/>
  <c r="P14" i="2"/>
  <c r="Q14" i="2"/>
  <c r="Q15" i="2"/>
  <c r="P13" i="2"/>
  <c r="Q13" i="2"/>
  <c r="Q12" i="2"/>
  <c r="P12" i="2"/>
  <c r="R16" i="1"/>
  <c r="S16" i="1"/>
  <c r="R15" i="1"/>
  <c r="S15" i="1"/>
  <c r="S13" i="1"/>
  <c r="S14" i="1"/>
  <c r="R13" i="1"/>
  <c r="R14" i="1"/>
</calcChain>
</file>

<file path=xl/sharedStrings.xml><?xml version="1.0" encoding="utf-8"?>
<sst xmlns="http://schemas.openxmlformats.org/spreadsheetml/2006/main" count="409" uniqueCount="74">
  <si>
    <t xml:space="preserve">Model </t>
  </si>
  <si>
    <t>Distribution</t>
  </si>
  <si>
    <t>Genetic variance z-ratio</t>
  </si>
  <si>
    <t>Residual  Variance</t>
  </si>
  <si>
    <t>Residual SE</t>
  </si>
  <si>
    <t>Residual z-ratio</t>
  </si>
  <si>
    <t>Phenotypic variance = G+Res</t>
  </si>
  <si>
    <t>Heritability</t>
  </si>
  <si>
    <t>Heritability SE</t>
  </si>
  <si>
    <t xml:space="preserve">Dominance </t>
  </si>
  <si>
    <t>Dominance SE</t>
  </si>
  <si>
    <t>A+D</t>
  </si>
  <si>
    <t>A+D SE</t>
  </si>
  <si>
    <t>V1 (Genetic Variance)</t>
  </si>
  <si>
    <t>V2 (Residual Variance)</t>
  </si>
  <si>
    <t>Intercept Estimate</t>
  </si>
  <si>
    <t>Intercept SE</t>
  </si>
  <si>
    <t>Intercept z-ratio</t>
  </si>
  <si>
    <t>zoo_TZ Estimate</t>
  </si>
  <si>
    <t>zoo_TZ SE</t>
  </si>
  <si>
    <t>zoo_TZ z-ratio</t>
  </si>
  <si>
    <t>age_start Estimate</t>
  </si>
  <si>
    <t>age_start SE</t>
  </si>
  <si>
    <t>age_start z-ratio</t>
  </si>
  <si>
    <t>experiement_P3 Estimate</t>
  </si>
  <si>
    <t>experiement_P3  SE</t>
  </si>
  <si>
    <t>experiement_P3  z-ratio</t>
  </si>
  <si>
    <t>GCTA</t>
  </si>
  <si>
    <t xml:space="preserve">Null </t>
  </si>
  <si>
    <t>Zoo</t>
  </si>
  <si>
    <t>Age</t>
  </si>
  <si>
    <t xml:space="preserve">Zoo+age </t>
  </si>
  <si>
    <t>Phenotypic SE</t>
  </si>
  <si>
    <t>logL</t>
  </si>
  <si>
    <t>LRT = likelihood ratio test</t>
  </si>
  <si>
    <t>LRT p val</t>
  </si>
  <si>
    <t>GxE SE</t>
  </si>
  <si>
    <t>Zoo+age+Exp(enviro)</t>
  </si>
  <si>
    <t>GxE Variance</t>
  </si>
  <si>
    <t>Days Survived</t>
  </si>
  <si>
    <t>Dom Genetic variance SE</t>
  </si>
  <si>
    <t>Dom Genetic variance</t>
  </si>
  <si>
    <t>Add Genetic variance</t>
  </si>
  <si>
    <t>Add Genetic variance SE</t>
  </si>
  <si>
    <t>Additive</t>
  </si>
  <si>
    <t>Additive + Dominance</t>
  </si>
  <si>
    <t>Bd Slope</t>
  </si>
  <si>
    <t>Bd Status</t>
  </si>
  <si>
    <t>Weight</t>
  </si>
  <si>
    <t>Body Condition</t>
  </si>
  <si>
    <t xml:space="preserve">GxE Variance </t>
  </si>
  <si>
    <t>ASReml</t>
  </si>
  <si>
    <t xml:space="preserve">GCTA </t>
  </si>
  <si>
    <t>Log Max Load</t>
  </si>
  <si>
    <t>SE</t>
  </si>
  <si>
    <t>Trait</t>
  </si>
  <si>
    <t>Model</t>
  </si>
  <si>
    <t>Additive variance</t>
  </si>
  <si>
    <t>Dominance variance</t>
  </si>
  <si>
    <t>MA</t>
  </si>
  <si>
    <t>Days survived</t>
  </si>
  <si>
    <t>MAD</t>
  </si>
  <si>
    <t>Slope of Infection</t>
  </si>
  <si>
    <t>Max load</t>
  </si>
  <si>
    <t>Infection Status</t>
  </si>
  <si>
    <t>Body condition</t>
  </si>
  <si>
    <t>GCTA - Case-Control Prevelance @ 90%</t>
  </si>
  <si>
    <t xml:space="preserve">Additive heritability </t>
  </si>
  <si>
    <t>Residual variance</t>
  </si>
  <si>
    <t>H2 Liability Scale</t>
  </si>
  <si>
    <t>H2 Liability Scale SE</t>
  </si>
  <si>
    <t>Dom Liability Scale</t>
  </si>
  <si>
    <t xml:space="preserve"> Dom Liability Scale SE</t>
  </si>
  <si>
    <t>Asreml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</si>
</sst>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1C1D1E"/>
      <name val="Aptos Narrow"/>
      <scheme val="minor"/>
    </font>
    <font>
      <i/>
      <sz val="12"/>
      <color rgb="FF0000C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1" fontId="4" fillId="0" borderId="0" xfId="0" applyNumberFormat="1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1" fillId="0" borderId="0" xfId="0" applyFont="1" applyAlignment="1">
      <alignment wrapText="1"/>
    </xf>
    <xf numFmtId="164" fontId="4" fillId="2" borderId="0" xfId="0" applyNumberFormat="1" applyFont="1" applyFill="1"/>
    <xf numFmtId="164" fontId="1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3" fillId="2" borderId="0" xfId="0" applyNumberFormat="1" applyFont="1" applyFill="1"/>
    <xf numFmtId="11" fontId="4" fillId="2" borderId="0" xfId="0" applyNumberFormat="1" applyFont="1" applyFill="1"/>
    <xf numFmtId="165" fontId="3" fillId="2" borderId="0" xfId="0" applyNumberFormat="1" applyFont="1" applyFill="1"/>
    <xf numFmtId="1" fontId="4" fillId="2" borderId="0" xfId="0" applyNumberFormat="1" applyFont="1" applyFill="1"/>
    <xf numFmtId="1" fontId="4" fillId="0" borderId="0" xfId="0" applyNumberFormat="1" applyFont="1"/>
    <xf numFmtId="0" fontId="2" fillId="0" borderId="0" xfId="0" applyFont="1" applyAlignment="1">
      <alignment wrapText="1"/>
    </xf>
    <xf numFmtId="165" fontId="4" fillId="2" borderId="0" xfId="0" applyNumberFormat="1" applyFont="1" applyFill="1"/>
    <xf numFmtId="11" fontId="3" fillId="0" borderId="0" xfId="0" applyNumberFormat="1" applyFont="1"/>
    <xf numFmtId="2" fontId="4" fillId="0" borderId="0" xfId="0" applyNumberFormat="1" applyFont="1"/>
    <xf numFmtId="2" fontId="4" fillId="2" borderId="0" xfId="0" applyNumberFormat="1" applyFont="1" applyFill="1"/>
    <xf numFmtId="2" fontId="3" fillId="0" borderId="0" xfId="0" applyNumberFormat="1" applyFont="1"/>
    <xf numFmtId="11" fontId="6" fillId="0" borderId="0" xfId="0" applyNumberFormat="1" applyFont="1"/>
    <xf numFmtId="165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164" fontId="3" fillId="0" borderId="0" xfId="0" applyNumberFormat="1" applyFont="1" applyFill="1"/>
    <xf numFmtId="164" fontId="4" fillId="0" borderId="0" xfId="0" applyNumberFormat="1" applyFont="1" applyFill="1"/>
    <xf numFmtId="2" fontId="3" fillId="0" borderId="0" xfId="0" applyNumberFormat="1" applyFont="1" applyFill="1"/>
    <xf numFmtId="2" fontId="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56E1-8954-5049-9316-07C2B5BD47DF}">
  <dimension ref="A1:O29"/>
  <sheetViews>
    <sheetView tabSelected="1" workbookViewId="0">
      <selection activeCell="J13" sqref="J13"/>
    </sheetView>
  </sheetViews>
  <sheetFormatPr baseColWidth="10" defaultRowHeight="19"/>
  <cols>
    <col min="1" max="1" width="10.83203125" style="36"/>
    <col min="2" max="2" width="17.5" style="36" bestFit="1" customWidth="1"/>
    <col min="3" max="3" width="10.83203125" style="36"/>
    <col min="4" max="4" width="18" style="37" bestFit="1" customWidth="1"/>
    <col min="5" max="5" width="21.1640625" style="36" bestFit="1" customWidth="1"/>
    <col min="6" max="6" width="21.1640625" style="37" bestFit="1" customWidth="1"/>
    <col min="7" max="7" width="21.6640625" style="36" customWidth="1"/>
    <col min="8" max="8" width="18.5" style="37" bestFit="1" customWidth="1"/>
    <col min="9" max="9" width="8.83203125" style="36" bestFit="1" customWidth="1"/>
    <col min="10" max="10" width="20.6640625" style="37" bestFit="1" customWidth="1"/>
    <col min="11" max="11" width="7.6640625" style="36" bestFit="1" customWidth="1"/>
    <col min="12" max="12" width="12.6640625" style="37" bestFit="1" customWidth="1"/>
    <col min="13" max="13" width="7.6640625" style="36" bestFit="1" customWidth="1"/>
    <col min="14" max="16384" width="10.83203125" style="36"/>
  </cols>
  <sheetData>
    <row r="1" spans="1:15" s="33" customFormat="1">
      <c r="B1" s="33" t="s">
        <v>55</v>
      </c>
      <c r="C1" s="33" t="s">
        <v>56</v>
      </c>
      <c r="D1" s="34" t="s">
        <v>57</v>
      </c>
      <c r="E1" s="33" t="s">
        <v>54</v>
      </c>
      <c r="F1" s="33" t="s">
        <v>58</v>
      </c>
      <c r="G1" s="33" t="s">
        <v>54</v>
      </c>
      <c r="H1" s="33" t="s">
        <v>68</v>
      </c>
      <c r="I1" s="33" t="s">
        <v>54</v>
      </c>
      <c r="J1" s="33" t="s">
        <v>67</v>
      </c>
      <c r="K1" s="33" t="s">
        <v>54</v>
      </c>
      <c r="L1" s="33" t="s">
        <v>9</v>
      </c>
      <c r="M1" s="33" t="s">
        <v>54</v>
      </c>
    </row>
    <row r="2" spans="1:15">
      <c r="A2" s="35" t="s">
        <v>73</v>
      </c>
      <c r="B2" s="36" t="s">
        <v>60</v>
      </c>
      <c r="C2" s="36" t="s">
        <v>59</v>
      </c>
      <c r="D2" s="37">
        <v>53.313209999999998</v>
      </c>
      <c r="E2" s="37">
        <v>16.736470000000001</v>
      </c>
      <c r="G2" s="37"/>
      <c r="H2" s="37">
        <v>280.86867999999998</v>
      </c>
      <c r="I2" s="37">
        <v>16.86214</v>
      </c>
      <c r="J2" s="39">
        <v>0.15953349999999999</v>
      </c>
      <c r="K2" s="37">
        <v>4.7E-2</v>
      </c>
      <c r="L2" s="39"/>
      <c r="M2" s="37"/>
      <c r="O2" s="36" t="str">
        <f>TEXT(D2, "0.00") &amp; " ± " &amp; TEXT(E2, "0.00")</f>
        <v>53.31 ± 16.74</v>
      </c>
    </row>
    <row r="3" spans="1:15">
      <c r="A3" s="35"/>
      <c r="B3" s="36" t="s">
        <v>60</v>
      </c>
      <c r="C3" s="36" t="s">
        <v>61</v>
      </c>
      <c r="D3" s="37">
        <v>48.968758000000001</v>
      </c>
      <c r="E3" s="37">
        <v>20.037240000000001</v>
      </c>
      <c r="F3" s="37">
        <v>9.8188370000000003</v>
      </c>
      <c r="G3" s="37">
        <v>25.675660000000001</v>
      </c>
      <c r="H3" s="37">
        <v>276.77336500000001</v>
      </c>
      <c r="I3" s="37">
        <v>21.774909999999998</v>
      </c>
      <c r="J3" s="39">
        <v>0.1450169</v>
      </c>
      <c r="K3" s="37">
        <v>5.8000000000000003E-2</v>
      </c>
      <c r="L3" s="39">
        <v>2.941479E-2</v>
      </c>
      <c r="M3" s="37">
        <v>7.6999999999999999E-2</v>
      </c>
    </row>
    <row r="4" spans="1:15">
      <c r="A4" s="35"/>
      <c r="B4" s="36" t="s">
        <v>62</v>
      </c>
      <c r="C4" s="36" t="s">
        <v>59</v>
      </c>
      <c r="D4" s="37">
        <v>1.4180190000000001E-2</v>
      </c>
      <c r="E4" s="37">
        <v>4.5097239999999997E-3</v>
      </c>
      <c r="G4" s="37"/>
      <c r="H4" s="37">
        <v>7.0144029999999996E-2</v>
      </c>
      <c r="I4" s="37">
        <v>4.3183800000000001E-3</v>
      </c>
      <c r="J4" s="39">
        <v>0.1681628</v>
      </c>
      <c r="K4" s="37">
        <v>4.9000000000000002E-2</v>
      </c>
      <c r="L4" s="39"/>
      <c r="M4" s="37"/>
    </row>
    <row r="5" spans="1:15">
      <c r="A5" s="35"/>
      <c r="B5" s="36" t="s">
        <v>62</v>
      </c>
      <c r="C5" s="36" t="s">
        <v>61</v>
      </c>
      <c r="D5" s="37">
        <v>9.4861870000000001E-3</v>
      </c>
      <c r="E5" s="37">
        <v>5.0919829999999996E-3</v>
      </c>
      <c r="F5" s="37">
        <v>8.9632310000000003E-3</v>
      </c>
      <c r="G5" s="37">
        <v>6.8549190000000001E-3</v>
      </c>
      <c r="H5" s="37">
        <v>5.5385490000000002E-3</v>
      </c>
      <c r="I5" s="37">
        <v>11.823888</v>
      </c>
      <c r="J5" s="39">
        <v>0.11301609999999999</v>
      </c>
      <c r="K5" s="37">
        <v>5.8999999999999997E-2</v>
      </c>
      <c r="L5" s="39">
        <v>0.1067857</v>
      </c>
      <c r="M5" s="37">
        <v>8.1000000000000003E-2</v>
      </c>
    </row>
    <row r="6" spans="1:15">
      <c r="A6" s="35"/>
      <c r="B6" s="36" t="s">
        <v>63</v>
      </c>
      <c r="C6" s="36" t="s">
        <v>59</v>
      </c>
      <c r="D6" s="37">
        <v>0.89504430000000001</v>
      </c>
      <c r="E6" s="37">
        <v>0.60669079999999997</v>
      </c>
      <c r="G6" s="37"/>
      <c r="H6" s="37">
        <v>18.9700235</v>
      </c>
      <c r="I6" s="37">
        <v>1.0167085</v>
      </c>
      <c r="J6" s="39">
        <v>4.5056190000000003E-2</v>
      </c>
      <c r="K6" s="37">
        <v>0.03</v>
      </c>
      <c r="L6" s="39"/>
      <c r="M6" s="37"/>
    </row>
    <row r="7" spans="1:15">
      <c r="A7" s="35"/>
      <c r="B7" s="36" t="s">
        <v>63</v>
      </c>
      <c r="C7" s="36" t="s">
        <v>61</v>
      </c>
      <c r="D7" s="37">
        <v>0.34595819999999999</v>
      </c>
      <c r="E7" s="37">
        <v>0.68457270000000003</v>
      </c>
      <c r="F7" s="37">
        <v>1.5268913</v>
      </c>
      <c r="G7" s="37">
        <v>1.4330961</v>
      </c>
      <c r="H7" s="37">
        <v>18.007589200000002</v>
      </c>
      <c r="I7" s="37">
        <v>1.3316756999999999</v>
      </c>
      <c r="J7" s="39">
        <v>1.7401940000000001E-2</v>
      </c>
      <c r="K7" s="37">
        <v>3.4000000000000002E-2</v>
      </c>
      <c r="L7" s="39">
        <v>7.6803700000000003E-2</v>
      </c>
      <c r="M7" s="37">
        <v>7.1999999999999995E-2</v>
      </c>
    </row>
    <row r="8" spans="1:15">
      <c r="A8" s="35"/>
      <c r="B8" s="36" t="s">
        <v>64</v>
      </c>
      <c r="C8" s="36" t="s">
        <v>59</v>
      </c>
      <c r="D8" s="37">
        <v>6.3569999999999998E-3</v>
      </c>
      <c r="E8" s="37">
        <v>5.2649999999999997E-3</v>
      </c>
      <c r="F8" s="38"/>
      <c r="G8" s="38"/>
      <c r="H8" s="37">
        <v>0.19670599999999999</v>
      </c>
      <c r="I8" s="37">
        <v>1.0278000000000001E-2</v>
      </c>
      <c r="J8" s="39">
        <v>3.8448999999999997E-2</v>
      </c>
      <c r="K8" s="37">
        <v>3.1619000000000001E-2</v>
      </c>
      <c r="L8" s="40"/>
      <c r="M8" s="38"/>
    </row>
    <row r="9" spans="1:15">
      <c r="A9" s="35"/>
      <c r="B9" s="36" t="s">
        <v>64</v>
      </c>
      <c r="C9" s="36" t="s">
        <v>59</v>
      </c>
      <c r="D9" s="37">
        <v>4.8399999999999997E-3</v>
      </c>
      <c r="E9" s="37">
        <v>6.5389999999999997E-3</v>
      </c>
      <c r="F9" s="37">
        <v>4.751E-3</v>
      </c>
      <c r="G9" s="37">
        <v>1.32E-2</v>
      </c>
      <c r="H9" s="37">
        <v>0.19351699999999999</v>
      </c>
      <c r="I9" s="37">
        <v>1.34E-2</v>
      </c>
      <c r="J9" s="39">
        <v>3.3000000000000002E-2</v>
      </c>
      <c r="K9" s="37">
        <v>5.6000000000000001E-2</v>
      </c>
      <c r="L9" s="39">
        <v>2.8726999999999999E-2</v>
      </c>
      <c r="M9" s="37">
        <v>7.9760999999999999E-2</v>
      </c>
    </row>
    <row r="10" spans="1:15">
      <c r="A10" s="35"/>
      <c r="B10" s="36" t="s">
        <v>48</v>
      </c>
      <c r="C10" s="36" t="s">
        <v>59</v>
      </c>
      <c r="D10" s="37">
        <v>1.52598E-2</v>
      </c>
      <c r="E10" s="37">
        <v>2.4781529999999999E-3</v>
      </c>
      <c r="G10" s="37"/>
      <c r="H10" s="37">
        <v>1.7480269999999999E-2</v>
      </c>
      <c r="I10" s="37">
        <v>1.359367E-3</v>
      </c>
      <c r="J10" s="39">
        <v>0.46608949999999999</v>
      </c>
      <c r="K10" s="37">
        <v>5.3999999999999999E-2</v>
      </c>
      <c r="L10" s="39"/>
      <c r="M10" s="37"/>
    </row>
    <row r="11" spans="1:15">
      <c r="A11" s="35"/>
      <c r="B11" s="36" t="s">
        <v>48</v>
      </c>
      <c r="C11" s="36" t="s">
        <v>61</v>
      </c>
      <c r="D11" s="37">
        <v>1.052699E-2</v>
      </c>
      <c r="E11" s="37">
        <v>2.6094730000000002E-3</v>
      </c>
      <c r="F11" s="37">
        <v>6.3963800000000001E-3</v>
      </c>
      <c r="G11" s="37">
        <v>2.4340569999999999E-3</v>
      </c>
      <c r="H11" s="37">
        <v>1.46979E-2</v>
      </c>
      <c r="I11" s="37">
        <v>1.672399E-3</v>
      </c>
      <c r="J11" s="39">
        <v>0.33290839999999999</v>
      </c>
      <c r="K11" s="37">
        <v>7.0999999999999994E-2</v>
      </c>
      <c r="L11" s="39">
        <v>0.20228099999999999</v>
      </c>
      <c r="M11" s="37">
        <v>7.6999999999999999E-2</v>
      </c>
    </row>
    <row r="12" spans="1:15">
      <c r="A12" s="35"/>
      <c r="B12" s="36" t="s">
        <v>65</v>
      </c>
      <c r="C12" s="36" t="s">
        <v>59</v>
      </c>
      <c r="D12" s="37">
        <v>2.3704120000000001E-3</v>
      </c>
      <c r="E12" s="37">
        <v>1E-3</v>
      </c>
      <c r="G12" s="37"/>
      <c r="H12" s="37">
        <v>3.4663620000000002E-3</v>
      </c>
      <c r="I12" s="37">
        <v>1E-3</v>
      </c>
      <c r="J12" s="39">
        <v>0.4061168</v>
      </c>
      <c r="K12" s="37">
        <v>5.6000000000000001E-2</v>
      </c>
      <c r="L12" s="39"/>
      <c r="M12" s="37"/>
    </row>
    <row r="13" spans="1:15">
      <c r="A13" s="35"/>
      <c r="B13" s="36" t="s">
        <v>65</v>
      </c>
      <c r="C13" s="36" t="s">
        <v>61</v>
      </c>
      <c r="D13" s="37">
        <v>1.5327419999999999E-3</v>
      </c>
      <c r="E13" s="37">
        <v>1E-3</v>
      </c>
      <c r="F13" s="37">
        <v>1.227758E-3</v>
      </c>
      <c r="G13" s="37">
        <v>1E-3</v>
      </c>
      <c r="H13" s="37">
        <v>1E-3</v>
      </c>
      <c r="I13" s="37">
        <v>9.0755680000000005</v>
      </c>
      <c r="J13" s="39">
        <v>0.27046989999999999</v>
      </c>
      <c r="K13" s="37">
        <v>7.0999999999999994E-2</v>
      </c>
      <c r="L13" s="39">
        <v>0.21665200000000001</v>
      </c>
      <c r="M13" s="37">
        <v>0.08</v>
      </c>
    </row>
    <row r="17" spans="1:13">
      <c r="B17" s="33" t="s">
        <v>55</v>
      </c>
      <c r="C17" s="33" t="s">
        <v>56</v>
      </c>
      <c r="D17" s="34" t="s">
        <v>57</v>
      </c>
      <c r="E17" s="33" t="s">
        <v>58</v>
      </c>
      <c r="F17" s="33" t="s">
        <v>68</v>
      </c>
      <c r="G17" s="33" t="s">
        <v>67</v>
      </c>
      <c r="H17" s="33" t="s">
        <v>9</v>
      </c>
      <c r="I17" s="33"/>
      <c r="J17" s="33"/>
      <c r="K17" s="33"/>
      <c r="L17" s="33"/>
      <c r="M17" s="33"/>
    </row>
    <row r="18" spans="1:13">
      <c r="A18" s="35"/>
      <c r="B18" s="36" t="s">
        <v>60</v>
      </c>
      <c r="C18" s="36" t="s">
        <v>59</v>
      </c>
      <c r="D18" s="37">
        <v>53.313209999999998</v>
      </c>
      <c r="E18" s="37"/>
      <c r="F18" s="37">
        <v>280.86867999999998</v>
      </c>
      <c r="G18" s="36" t="str">
        <f>TEXT(J2, "0.00") &amp; " ± " &amp; TEXT(K2, "0.000")</f>
        <v>0.16 ± 0.047</v>
      </c>
      <c r="H18" s="36"/>
    </row>
    <row r="19" spans="1:13">
      <c r="A19" s="35"/>
      <c r="B19" s="36" t="s">
        <v>60</v>
      </c>
      <c r="C19" s="36" t="s">
        <v>61</v>
      </c>
      <c r="D19" s="37">
        <v>48.968758000000001</v>
      </c>
      <c r="E19" s="37">
        <v>9.8188370000000003</v>
      </c>
      <c r="F19" s="37">
        <v>276.77336500000001</v>
      </c>
      <c r="G19" s="36" t="str">
        <f t="shared" ref="G19:G29" si="0">TEXT(J3, "0.00") &amp; " ± " &amp; TEXT(K3, "0.000")</f>
        <v>0.15 ± 0.058</v>
      </c>
      <c r="H19" s="36" t="str">
        <f t="shared" ref="H19:H29" si="1">TEXT(L3, "0.00") &amp; " ± " &amp; TEXT(M3, "0.000")</f>
        <v>0.03 ± 0.077</v>
      </c>
    </row>
    <row r="20" spans="1:13">
      <c r="A20" s="35"/>
      <c r="B20" s="36" t="s">
        <v>62</v>
      </c>
      <c r="C20" s="36" t="s">
        <v>59</v>
      </c>
      <c r="D20" s="37">
        <v>1.4180190000000001E-2</v>
      </c>
      <c r="E20" s="37"/>
      <c r="F20" s="37">
        <v>7.0144029999999996E-2</v>
      </c>
      <c r="G20" s="36" t="str">
        <f t="shared" si="0"/>
        <v>0.17 ± 0.049</v>
      </c>
      <c r="H20" s="36"/>
    </row>
    <row r="21" spans="1:13">
      <c r="A21" s="35"/>
      <c r="B21" s="36" t="s">
        <v>62</v>
      </c>
      <c r="C21" s="36" t="s">
        <v>61</v>
      </c>
      <c r="D21" s="37">
        <v>9.4861870000000001E-3</v>
      </c>
      <c r="E21" s="37">
        <v>8.9632310000000003E-3</v>
      </c>
      <c r="F21" s="37">
        <v>5.5385490000000002E-3</v>
      </c>
      <c r="G21" s="36" t="str">
        <f t="shared" si="0"/>
        <v>0.11 ± 0.059</v>
      </c>
      <c r="H21" s="36" t="str">
        <f t="shared" si="1"/>
        <v>0.11 ± 0.081</v>
      </c>
    </row>
    <row r="22" spans="1:13">
      <c r="A22" s="35"/>
      <c r="B22" s="36" t="s">
        <v>63</v>
      </c>
      <c r="C22" s="36" t="s">
        <v>59</v>
      </c>
      <c r="D22" s="37">
        <v>0.89504430000000001</v>
      </c>
      <c r="E22" s="37"/>
      <c r="F22" s="37">
        <v>18.9700235</v>
      </c>
      <c r="G22" s="36" t="str">
        <f t="shared" si="0"/>
        <v>0.05 ± 0.030</v>
      </c>
      <c r="H22" s="36"/>
    </row>
    <row r="23" spans="1:13">
      <c r="A23" s="35"/>
      <c r="B23" s="36" t="s">
        <v>63</v>
      </c>
      <c r="C23" s="36" t="s">
        <v>61</v>
      </c>
      <c r="D23" s="37">
        <v>0.34595819999999999</v>
      </c>
      <c r="E23" s="37">
        <v>1.5268913</v>
      </c>
      <c r="F23" s="37">
        <v>18.007589200000002</v>
      </c>
      <c r="G23" s="36" t="str">
        <f t="shared" si="0"/>
        <v>0.02 ± 0.034</v>
      </c>
      <c r="H23" s="36" t="str">
        <f t="shared" si="1"/>
        <v>0.08 ± 0.072</v>
      </c>
    </row>
    <row r="24" spans="1:13">
      <c r="A24" s="35"/>
      <c r="B24" s="36" t="s">
        <v>64</v>
      </c>
      <c r="C24" s="36" t="s">
        <v>59</v>
      </c>
      <c r="D24" s="37">
        <v>6.3569999999999998E-3</v>
      </c>
      <c r="E24" s="38"/>
      <c r="F24" s="37">
        <v>0.19670599999999999</v>
      </c>
      <c r="G24" s="36" t="str">
        <f t="shared" si="0"/>
        <v>0.04 ± 0.032</v>
      </c>
      <c r="H24" s="36"/>
    </row>
    <row r="25" spans="1:13">
      <c r="A25" s="35"/>
      <c r="B25" s="36" t="s">
        <v>64</v>
      </c>
      <c r="C25" s="36" t="s">
        <v>59</v>
      </c>
      <c r="D25" s="37">
        <v>4.8399999999999997E-3</v>
      </c>
      <c r="E25" s="37">
        <v>4.751E-3</v>
      </c>
      <c r="F25" s="37">
        <v>0.19351699999999999</v>
      </c>
      <c r="G25" s="36" t="str">
        <f t="shared" si="0"/>
        <v>0.03 ± 0.056</v>
      </c>
      <c r="H25" s="36" t="str">
        <f t="shared" si="1"/>
        <v>0.03 ± 0.080</v>
      </c>
    </row>
    <row r="26" spans="1:13">
      <c r="A26" s="35"/>
      <c r="B26" s="36" t="s">
        <v>48</v>
      </c>
      <c r="C26" s="36" t="s">
        <v>59</v>
      </c>
      <c r="D26" s="37">
        <v>1.52598E-2</v>
      </c>
      <c r="E26" s="37"/>
      <c r="F26" s="37">
        <v>1.7480269999999999E-2</v>
      </c>
      <c r="G26" s="36" t="str">
        <f t="shared" si="0"/>
        <v>0.47 ± 0.054</v>
      </c>
      <c r="H26" s="36"/>
    </row>
    <row r="27" spans="1:13">
      <c r="A27" s="35"/>
      <c r="B27" s="36" t="s">
        <v>48</v>
      </c>
      <c r="C27" s="36" t="s">
        <v>61</v>
      </c>
      <c r="D27" s="37">
        <v>1.052699E-2</v>
      </c>
      <c r="E27" s="37">
        <v>6.3963800000000001E-3</v>
      </c>
      <c r="F27" s="37">
        <v>1.46979E-2</v>
      </c>
      <c r="G27" s="36" t="str">
        <f t="shared" si="0"/>
        <v>0.33 ± 0.071</v>
      </c>
      <c r="H27" s="36" t="str">
        <f t="shared" si="1"/>
        <v>0.20 ± 0.077</v>
      </c>
    </row>
    <row r="28" spans="1:13">
      <c r="A28" s="35"/>
      <c r="B28" s="36" t="s">
        <v>65</v>
      </c>
      <c r="C28" s="36" t="s">
        <v>59</v>
      </c>
      <c r="D28" s="37">
        <v>2.3704120000000001E-3</v>
      </c>
      <c r="E28" s="37"/>
      <c r="F28" s="37">
        <v>3.4663620000000002E-3</v>
      </c>
      <c r="G28" s="36" t="str">
        <f t="shared" si="0"/>
        <v>0.41 ± 0.056</v>
      </c>
      <c r="H28" s="36"/>
    </row>
    <row r="29" spans="1:13">
      <c r="A29" s="35"/>
      <c r="B29" s="36" t="s">
        <v>65</v>
      </c>
      <c r="C29" s="36" t="s">
        <v>61</v>
      </c>
      <c r="D29" s="37">
        <v>1.5327419999999999E-3</v>
      </c>
      <c r="E29" s="37">
        <v>1.227758E-3</v>
      </c>
      <c r="F29" s="37">
        <v>1E-3</v>
      </c>
      <c r="G29" s="36" t="str">
        <f t="shared" si="0"/>
        <v>0.27 ± 0.071</v>
      </c>
      <c r="H29" s="36" t="str">
        <f t="shared" si="1"/>
        <v>0.22 ± 0.080</v>
      </c>
    </row>
  </sheetData>
  <mergeCells count="2">
    <mergeCell ref="A2:A13"/>
    <mergeCell ref="A18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63D5-FD28-F44A-9AB6-1A557119A933}">
  <dimension ref="A1:AJ44"/>
  <sheetViews>
    <sheetView zoomScale="120" zoomScaleNormal="120" workbookViewId="0">
      <pane xSplit="3" ySplit="1" topLeftCell="N2" activePane="bottomRight" state="frozen"/>
      <selection pane="topRight" activeCell="C1" sqref="C1"/>
      <selection pane="bottomLeft" activeCell="A2" sqref="A2"/>
      <selection pane="bottomRight" activeCell="B18" sqref="B18:C18"/>
    </sheetView>
  </sheetViews>
  <sheetFormatPr baseColWidth="10" defaultColWidth="23" defaultRowHeight="19"/>
  <cols>
    <col min="1" max="1" width="8.5" style="5" bestFit="1" customWidth="1"/>
    <col min="2" max="2" width="14.33203125" style="8" customWidth="1"/>
    <col min="3" max="3" width="10" style="2" customWidth="1"/>
    <col min="4" max="4" width="14.1640625" style="2" bestFit="1" customWidth="1"/>
    <col min="5" max="7" width="14.1640625" style="2" customWidth="1"/>
    <col min="8" max="8" width="17.6640625" style="5" bestFit="1" customWidth="1"/>
    <col min="9" max="9" width="13.1640625" style="5" customWidth="1"/>
    <col min="10" max="10" width="10.5" style="5" customWidth="1"/>
    <col min="11" max="11" width="11.6640625" style="5" customWidth="1"/>
    <col min="12" max="12" width="13.33203125" style="5" customWidth="1"/>
    <col min="13" max="13" width="19.33203125" style="5" bestFit="1" customWidth="1"/>
    <col min="14" max="14" width="12.5" style="5" bestFit="1" customWidth="1"/>
    <col min="15" max="15" width="16.33203125" style="5" bestFit="1" customWidth="1"/>
    <col min="16" max="17" width="4.83203125" style="5" customWidth="1"/>
    <col min="18" max="18" width="12" style="5" customWidth="1"/>
    <col min="19" max="19" width="12.1640625" style="5" customWidth="1"/>
    <col min="20" max="20" width="12.1640625" style="9" bestFit="1" customWidth="1"/>
    <col min="21" max="21" width="15" style="9" bestFit="1" customWidth="1"/>
    <col min="22" max="22" width="12.6640625" style="9" bestFit="1" customWidth="1"/>
    <col min="23" max="23" width="15.1640625" style="9" bestFit="1" customWidth="1"/>
    <col min="24" max="25" width="8.1640625" style="9" bestFit="1" customWidth="1"/>
    <col min="26" max="26" width="22.5" style="5" bestFit="1" customWidth="1"/>
    <col min="27" max="27" width="23.33203125" style="5" bestFit="1" customWidth="1"/>
    <col min="28" max="28" width="19.1640625" style="5" bestFit="1" customWidth="1"/>
    <col min="29" max="29" width="12.83203125" style="5" bestFit="1" customWidth="1"/>
    <col min="30" max="30" width="16.83203125" style="5" bestFit="1" customWidth="1"/>
    <col min="31" max="31" width="16.6640625" style="5" bestFit="1" customWidth="1"/>
    <col min="32" max="32" width="11.6640625" style="5" bestFit="1" customWidth="1"/>
    <col min="33" max="33" width="14.33203125" style="5" bestFit="1" customWidth="1"/>
    <col min="34" max="34" width="26" style="5" bestFit="1" customWidth="1"/>
    <col min="35" max="35" width="20.33203125" style="5" bestFit="1" customWidth="1"/>
    <col min="36" max="36" width="24.1640625" style="5" bestFit="1" customWidth="1"/>
    <col min="37" max="16384" width="23" style="5"/>
  </cols>
  <sheetData>
    <row r="1" spans="1:36" s="10" customFormat="1" ht="80">
      <c r="B1" s="10" t="s">
        <v>39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38</v>
      </c>
      <c r="Q1" s="10" t="s">
        <v>36</v>
      </c>
      <c r="R1" s="10" t="s">
        <v>6</v>
      </c>
      <c r="S1" s="10" t="s">
        <v>32</v>
      </c>
      <c r="T1" s="10" t="s">
        <v>7</v>
      </c>
      <c r="U1" s="10" t="s">
        <v>8</v>
      </c>
      <c r="V1" s="10" t="s">
        <v>9</v>
      </c>
      <c r="W1" s="10" t="s">
        <v>10</v>
      </c>
      <c r="X1" s="10" t="s">
        <v>11</v>
      </c>
      <c r="Y1" s="10" t="s">
        <v>12</v>
      </c>
      <c r="Z1" s="10" t="s">
        <v>13</v>
      </c>
      <c r="AA1" s="10" t="s">
        <v>14</v>
      </c>
      <c r="AB1" s="10" t="s">
        <v>15</v>
      </c>
      <c r="AC1" s="10" t="s">
        <v>16</v>
      </c>
      <c r="AD1" s="10" t="s">
        <v>17</v>
      </c>
      <c r="AE1" s="20" t="s">
        <v>18</v>
      </c>
      <c r="AF1" s="20" t="s">
        <v>19</v>
      </c>
      <c r="AG1" s="20" t="s">
        <v>20</v>
      </c>
      <c r="AH1" s="20" t="s">
        <v>21</v>
      </c>
      <c r="AI1" s="20" t="s">
        <v>22</v>
      </c>
      <c r="AJ1" s="20" t="s">
        <v>23</v>
      </c>
    </row>
    <row r="2" spans="1:36">
      <c r="A2" s="27" t="s">
        <v>27</v>
      </c>
      <c r="B2" s="28" t="s">
        <v>44</v>
      </c>
      <c r="C2" s="2" t="s">
        <v>28</v>
      </c>
      <c r="E2" s="3">
        <v>-3049.3609999999999</v>
      </c>
      <c r="F2" s="3">
        <v>21.928999999999998</v>
      </c>
      <c r="G2" s="7">
        <v>1.4149E-6</v>
      </c>
      <c r="H2" s="3">
        <v>48.951892999999998</v>
      </c>
      <c r="I2" s="3">
        <v>16.220438999999999</v>
      </c>
      <c r="J2" s="3"/>
      <c r="K2" s="3"/>
      <c r="L2" s="3"/>
      <c r="M2" s="3">
        <v>297.95984199999998</v>
      </c>
      <c r="N2" s="3">
        <v>17.490794999999999</v>
      </c>
      <c r="O2" s="3"/>
      <c r="P2" s="3"/>
      <c r="Q2" s="3"/>
      <c r="R2" s="3">
        <v>346.91173400000002</v>
      </c>
      <c r="S2" s="3">
        <v>17.368592</v>
      </c>
      <c r="T2" s="4">
        <v>0.14110800000000001</v>
      </c>
      <c r="U2" s="4">
        <v>4.3961E-2</v>
      </c>
      <c r="V2" s="4"/>
      <c r="W2" s="4"/>
      <c r="X2" s="4"/>
      <c r="Y2" s="4"/>
      <c r="Z2" s="3"/>
      <c r="AA2" s="3"/>
      <c r="AB2" s="3"/>
      <c r="AC2" s="3"/>
      <c r="AD2" s="3"/>
      <c r="AF2" s="6"/>
      <c r="AG2" s="6"/>
    </row>
    <row r="3" spans="1:36">
      <c r="A3" s="27"/>
      <c r="B3" s="28"/>
      <c r="C3" s="2" t="s">
        <v>29</v>
      </c>
      <c r="E3" s="3">
        <v>-3040.047</v>
      </c>
      <c r="F3" s="3">
        <v>1.502</v>
      </c>
      <c r="G3" s="7">
        <v>0.11019</v>
      </c>
      <c r="H3" s="3">
        <v>35.081847000000003</v>
      </c>
      <c r="I3" s="3">
        <v>14.042233</v>
      </c>
      <c r="J3" s="3"/>
      <c r="K3" s="3"/>
      <c r="L3" s="3"/>
      <c r="M3" s="3">
        <v>300.97282100000001</v>
      </c>
      <c r="N3" s="3">
        <v>17.159523</v>
      </c>
      <c r="O3" s="3"/>
      <c r="P3" s="3"/>
      <c r="Q3" s="3"/>
      <c r="R3" s="3">
        <v>336.05466899999999</v>
      </c>
      <c r="S3" s="3">
        <v>16.494373</v>
      </c>
      <c r="T3" s="4">
        <v>0.104393</v>
      </c>
      <c r="U3" s="4">
        <v>4.0134000000000003E-2</v>
      </c>
      <c r="V3" s="4"/>
      <c r="W3" s="4"/>
      <c r="X3" s="4"/>
      <c r="Y3" s="4"/>
      <c r="Z3" s="3"/>
      <c r="AA3" s="3"/>
      <c r="AB3" s="3"/>
      <c r="AC3" s="3"/>
      <c r="AD3" s="6"/>
      <c r="AE3" s="3"/>
      <c r="AF3" s="3"/>
      <c r="AG3" s="3"/>
    </row>
    <row r="4" spans="1:36">
      <c r="A4" s="27"/>
      <c r="B4" s="28"/>
      <c r="C4" s="2" t="s">
        <v>30</v>
      </c>
      <c r="E4" s="3">
        <v>-3038.18</v>
      </c>
      <c r="F4" s="3">
        <v>37.661000000000001</v>
      </c>
      <c r="G4" s="7">
        <v>4.2088999999999998E-10</v>
      </c>
      <c r="H4" s="5">
        <v>66.982400999999996</v>
      </c>
      <c r="I4" s="5">
        <v>18.116364000000001</v>
      </c>
      <c r="J4" s="3"/>
      <c r="K4" s="3"/>
      <c r="L4" s="3"/>
      <c r="M4" s="5">
        <v>275.84208000000001</v>
      </c>
      <c r="N4" s="5">
        <v>16.852146000000001</v>
      </c>
      <c r="O4" s="3"/>
      <c r="P4" s="3"/>
      <c r="Q4" s="3"/>
      <c r="R4" s="5">
        <v>342.82448099999999</v>
      </c>
      <c r="S4" s="5">
        <v>17.741614999999999</v>
      </c>
      <c r="T4" s="5">
        <v>0.195384</v>
      </c>
      <c r="U4" s="5">
        <v>4.7938000000000001E-2</v>
      </c>
      <c r="V4" s="4"/>
      <c r="W4" s="4"/>
      <c r="X4" s="4"/>
      <c r="Y4" s="4"/>
      <c r="Z4" s="7"/>
      <c r="AA4" s="3"/>
      <c r="AC4" s="3"/>
      <c r="AD4" s="3"/>
    </row>
    <row r="5" spans="1:36" s="17" customFormat="1" ht="22" customHeight="1">
      <c r="A5" s="27"/>
      <c r="B5" s="28"/>
      <c r="C5" s="13" t="s">
        <v>31</v>
      </c>
      <c r="D5" s="13"/>
      <c r="E5" s="14">
        <v>-3032.2779999999998</v>
      </c>
      <c r="F5" s="14">
        <v>28.872</v>
      </c>
      <c r="G5" s="16">
        <v>3.8654999999999998E-8</v>
      </c>
      <c r="H5" s="15">
        <v>52.799992000000003</v>
      </c>
      <c r="I5" s="15">
        <v>16.517005000000001</v>
      </c>
      <c r="J5" s="14"/>
      <c r="K5" s="14"/>
      <c r="L5" s="14"/>
      <c r="M5" s="15">
        <v>280.95983799999999</v>
      </c>
      <c r="N5" s="15">
        <v>16.797211999999998</v>
      </c>
      <c r="O5" s="14"/>
      <c r="P5" s="14"/>
      <c r="Q5" s="14"/>
      <c r="R5" s="15">
        <v>333.75983000000002</v>
      </c>
      <c r="S5" s="15">
        <v>16.930377</v>
      </c>
      <c r="T5" s="15">
        <v>0.15819800000000001</v>
      </c>
      <c r="U5" s="15">
        <v>4.6038999999999997E-2</v>
      </c>
      <c r="V5" s="11"/>
      <c r="W5" s="11"/>
      <c r="X5" s="11"/>
      <c r="Y5" s="11"/>
      <c r="Z5" s="14"/>
      <c r="AA5" s="16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22" hidden="1" customHeight="1">
      <c r="B6" s="1"/>
      <c r="C6" s="2" t="s">
        <v>37</v>
      </c>
      <c r="E6" s="3">
        <v>-2991.877</v>
      </c>
      <c r="F6" s="3">
        <v>2.7E-2</v>
      </c>
      <c r="G6" s="7">
        <v>0.43452000000000002</v>
      </c>
      <c r="H6" s="5">
        <v>1.377524</v>
      </c>
      <c r="I6" s="5">
        <v>8.4753240000000005</v>
      </c>
      <c r="J6" s="3"/>
      <c r="K6" s="3"/>
      <c r="L6" s="3"/>
      <c r="M6" s="5">
        <v>286.41700900000001</v>
      </c>
      <c r="N6" s="5">
        <v>15.818511000000001</v>
      </c>
      <c r="O6" s="3"/>
      <c r="P6" s="5">
        <v>7.0407200000000003</v>
      </c>
      <c r="Q6" s="5">
        <v>12.055930999999999</v>
      </c>
      <c r="R6" s="5">
        <v>294.83525400000002</v>
      </c>
      <c r="S6" s="5">
        <v>14.011134999999999</v>
      </c>
      <c r="T6" s="5">
        <v>4.6719999999999999E-3</v>
      </c>
      <c r="U6" s="5">
        <v>2.8743000000000001E-2</v>
      </c>
      <c r="V6" s="4"/>
      <c r="W6" s="4"/>
      <c r="X6" s="4"/>
      <c r="Y6" s="4"/>
      <c r="Z6" s="3"/>
      <c r="AA6" s="7"/>
      <c r="AB6" s="3"/>
      <c r="AC6" s="3"/>
      <c r="AD6" s="3"/>
      <c r="AE6" s="3"/>
      <c r="AF6" s="3"/>
      <c r="AG6" s="3"/>
      <c r="AH6" s="3"/>
      <c r="AI6" s="3"/>
      <c r="AJ6" s="3"/>
    </row>
    <row r="7" spans="1:36" ht="10" customHeight="1">
      <c r="B7" s="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4"/>
      <c r="U7" s="4"/>
      <c r="V7" s="4"/>
      <c r="W7" s="4"/>
      <c r="X7" s="4"/>
      <c r="Y7" s="4"/>
      <c r="Z7" s="6"/>
      <c r="AA7" s="6"/>
      <c r="AB7" s="6"/>
      <c r="AC7" s="6"/>
      <c r="AE7" s="6"/>
      <c r="AF7" s="6"/>
      <c r="AG7" s="6"/>
      <c r="AH7" s="6"/>
      <c r="AJ7" s="6"/>
    </row>
    <row r="8" spans="1:36">
      <c r="A8" s="27" t="s">
        <v>27</v>
      </c>
      <c r="B8" s="28" t="s">
        <v>45</v>
      </c>
      <c r="C8" s="2" t="s">
        <v>28</v>
      </c>
      <c r="E8" s="3">
        <v>-3049.2370000000001</v>
      </c>
      <c r="F8" s="3">
        <v>5.0129999999999999</v>
      </c>
      <c r="G8" s="7">
        <v>1.2574999999999999E-2</v>
      </c>
      <c r="H8" s="2">
        <v>41.715381000000001</v>
      </c>
      <c r="I8" s="2">
        <v>19.947306999999999</v>
      </c>
      <c r="J8" s="3"/>
      <c r="K8" s="2">
        <v>14.413482</v>
      </c>
      <c r="L8" s="2">
        <v>26.777567999999999</v>
      </c>
      <c r="M8" s="2">
        <v>290.20396799999997</v>
      </c>
      <c r="N8" s="2">
        <v>22.717949999999998</v>
      </c>
      <c r="O8" s="3"/>
      <c r="P8" s="3"/>
      <c r="Q8" s="3"/>
      <c r="R8" s="2">
        <v>346.332831</v>
      </c>
      <c r="S8" s="2">
        <v>17.299150000000001</v>
      </c>
      <c r="T8" s="2">
        <v>0.120449</v>
      </c>
      <c r="U8" s="2">
        <v>5.5752999999999997E-2</v>
      </c>
      <c r="V8" s="2">
        <v>4.1617000000000001E-2</v>
      </c>
      <c r="W8" s="2">
        <v>7.7313999999999994E-2</v>
      </c>
      <c r="X8" s="4">
        <v>0.16206599999999999</v>
      </c>
      <c r="Y8" s="4">
        <v>6.0641E-2</v>
      </c>
      <c r="Z8" s="3"/>
      <c r="AA8" s="3"/>
      <c r="AB8" s="3"/>
      <c r="AC8" s="3"/>
      <c r="AD8" s="3"/>
    </row>
    <row r="9" spans="1:36">
      <c r="A9" s="27"/>
      <c r="B9" s="28"/>
      <c r="C9" s="2" t="s">
        <v>29</v>
      </c>
      <c r="E9" s="3">
        <v>-3040.0439999999999</v>
      </c>
      <c r="F9" s="3">
        <v>5.7869999999999999</v>
      </c>
      <c r="G9" s="7">
        <v>8.0727999999999998E-3</v>
      </c>
      <c r="H9" s="2">
        <v>34.055464999999998</v>
      </c>
      <c r="I9" s="2">
        <v>17.530636000000001</v>
      </c>
      <c r="J9" s="3"/>
      <c r="K9" s="5">
        <v>2.2401949999999999</v>
      </c>
      <c r="L9" s="5">
        <v>24.286435000000001</v>
      </c>
      <c r="M9" s="5">
        <v>299.70037000000002</v>
      </c>
      <c r="N9" s="5">
        <v>22.165517999999999</v>
      </c>
      <c r="O9" s="3"/>
      <c r="P9" s="3"/>
      <c r="Q9" s="3"/>
      <c r="R9" s="5">
        <v>335.99603000000002</v>
      </c>
      <c r="S9" s="5">
        <v>16.491059</v>
      </c>
      <c r="T9" s="5">
        <v>0.101357</v>
      </c>
      <c r="U9" s="5">
        <v>5.0841999999999998E-2</v>
      </c>
      <c r="V9" s="5">
        <v>6.6670000000000002E-3</v>
      </c>
      <c r="W9" s="5">
        <v>7.2289000000000006E-2</v>
      </c>
      <c r="X9" s="5">
        <v>0.108024</v>
      </c>
      <c r="Y9" s="5">
        <v>5.7217999999999998E-2</v>
      </c>
      <c r="Z9" s="3"/>
      <c r="AA9" s="3"/>
      <c r="AB9" s="3"/>
      <c r="AC9" s="3"/>
      <c r="AD9" s="3"/>
      <c r="AE9" s="3"/>
      <c r="AF9" s="3"/>
      <c r="AG9" s="3"/>
    </row>
    <row r="10" spans="1:36">
      <c r="A10" s="27"/>
      <c r="B10" s="28"/>
      <c r="C10" s="2" t="s">
        <v>30</v>
      </c>
      <c r="E10" s="3">
        <v>-3038.011</v>
      </c>
      <c r="F10" s="3">
        <v>9.3729999999999993</v>
      </c>
      <c r="G10" s="7">
        <v>1.1012999999999999E-3</v>
      </c>
      <c r="H10" s="5">
        <v>58.422325999999998</v>
      </c>
      <c r="I10" s="5">
        <v>21.776185000000002</v>
      </c>
      <c r="J10" s="3"/>
      <c r="K10" s="5">
        <v>16.436776999999999</v>
      </c>
      <c r="L10" s="5">
        <v>26.694655999999998</v>
      </c>
      <c r="M10" s="5">
        <v>267.139116</v>
      </c>
      <c r="N10" s="5">
        <v>21.936895</v>
      </c>
      <c r="O10" s="3"/>
      <c r="P10" s="3"/>
      <c r="Q10" s="3"/>
      <c r="R10" s="5">
        <v>341.99822</v>
      </c>
      <c r="S10" s="5">
        <v>17.652322000000002</v>
      </c>
      <c r="T10" s="5">
        <v>0.17082600000000001</v>
      </c>
      <c r="U10" s="5">
        <v>6.0227000000000003E-2</v>
      </c>
      <c r="V10" s="5">
        <v>4.8061E-2</v>
      </c>
      <c r="W10" s="5">
        <v>7.8075000000000006E-2</v>
      </c>
      <c r="X10" s="5">
        <v>0.218887</v>
      </c>
      <c r="Y10" s="5">
        <v>6.2720999999999999E-2</v>
      </c>
      <c r="Z10" s="3"/>
      <c r="AA10" s="7"/>
      <c r="AB10" s="3"/>
      <c r="AC10" s="3"/>
      <c r="AD10" s="6"/>
      <c r="AH10" s="3"/>
      <c r="AI10" s="3"/>
      <c r="AJ10" s="3"/>
    </row>
    <row r="11" spans="1:36" s="17" customFormat="1">
      <c r="A11" s="27"/>
      <c r="B11" s="28"/>
      <c r="C11" s="13" t="s">
        <v>31</v>
      </c>
      <c r="D11" s="13"/>
      <c r="E11" s="14">
        <v>-3032.2379999999998</v>
      </c>
      <c r="F11" s="14">
        <v>9.0180000000000007</v>
      </c>
      <c r="G11" s="16">
        <v>1.3364E-3</v>
      </c>
      <c r="H11" s="17">
        <v>49.004500999999998</v>
      </c>
      <c r="I11" s="17">
        <v>20.056325000000001</v>
      </c>
      <c r="J11" s="14"/>
      <c r="K11" s="17">
        <v>7.6419790000000001</v>
      </c>
      <c r="L11" s="17">
        <v>25.224968000000001</v>
      </c>
      <c r="M11" s="17">
        <v>276.80174799999998</v>
      </c>
      <c r="N11" s="17">
        <v>21.772102</v>
      </c>
      <c r="O11" s="14"/>
      <c r="P11" s="14"/>
      <c r="Q11" s="14"/>
      <c r="R11" s="17">
        <v>333.44822799999997</v>
      </c>
      <c r="S11" s="17">
        <v>16.899170999999999</v>
      </c>
      <c r="T11" s="17">
        <v>0.14696300000000001</v>
      </c>
      <c r="U11" s="17">
        <v>5.7489999999999999E-2</v>
      </c>
      <c r="V11" s="17">
        <v>2.2918000000000001E-2</v>
      </c>
      <c r="W11" s="17">
        <v>7.5674000000000005E-2</v>
      </c>
      <c r="X11" s="17">
        <v>0.169881</v>
      </c>
      <c r="Y11" s="17">
        <v>6.1308000000000001E-2</v>
      </c>
      <c r="Z11" s="14"/>
      <c r="AA11" s="16"/>
      <c r="AB11" s="14"/>
      <c r="AC11" s="21"/>
      <c r="AD11" s="14"/>
      <c r="AE11" s="14"/>
      <c r="AF11" s="14"/>
      <c r="AG11" s="14"/>
      <c r="AH11" s="14"/>
      <c r="AI11" s="14"/>
      <c r="AJ11" s="14"/>
    </row>
    <row r="12" spans="1:36" ht="12" customHeight="1">
      <c r="T12" s="5"/>
      <c r="U12" s="5"/>
      <c r="X12" s="4"/>
      <c r="Y12" s="4"/>
    </row>
    <row r="13" spans="1:36">
      <c r="A13" s="32" t="s">
        <v>51</v>
      </c>
      <c r="B13" s="28" t="s">
        <v>44</v>
      </c>
      <c r="C13" s="2" t="s">
        <v>28</v>
      </c>
      <c r="E13" s="2">
        <v>-3049.5569999999998</v>
      </c>
      <c r="F13" s="5"/>
      <c r="G13" s="5"/>
      <c r="H13" s="5">
        <v>49.373820000000002</v>
      </c>
      <c r="I13" s="5">
        <v>16.427689999999998</v>
      </c>
      <c r="J13" s="5">
        <v>3.0055230000000002</v>
      </c>
      <c r="M13" s="5">
        <v>297.92302000000001</v>
      </c>
      <c r="N13" s="5">
        <v>17.553329999999999</v>
      </c>
      <c r="O13" s="5">
        <v>16.972448</v>
      </c>
      <c r="R13" s="5">
        <f>H13+M13</f>
        <v>347.29684000000003</v>
      </c>
      <c r="S13" s="5">
        <f>SQRT( I13^2+N13^2)</f>
        <v>24.041389161714427</v>
      </c>
      <c r="T13" s="5">
        <v>0.14216599999999999</v>
      </c>
      <c r="U13" s="5">
        <v>4.3999999999999997E-2</v>
      </c>
      <c r="V13" s="4"/>
      <c r="W13" s="4"/>
      <c r="X13" s="4"/>
      <c r="Y13" s="4"/>
    </row>
    <row r="14" spans="1:36">
      <c r="A14" s="32"/>
      <c r="B14" s="28"/>
      <c r="C14" s="2" t="s">
        <v>29</v>
      </c>
      <c r="E14" s="2">
        <v>-3040.1979999999999</v>
      </c>
      <c r="F14" s="5"/>
      <c r="G14" s="5"/>
      <c r="H14" s="5">
        <v>35.230269999999997</v>
      </c>
      <c r="I14" s="5">
        <v>14.192460000000001</v>
      </c>
      <c r="J14" s="5">
        <v>2.4823230000000001</v>
      </c>
      <c r="M14" s="5">
        <v>301.06051000000002</v>
      </c>
      <c r="N14" s="5">
        <v>17.209240000000001</v>
      </c>
      <c r="O14" s="5">
        <v>17.494119999999999</v>
      </c>
      <c r="R14" s="5">
        <f>H14+M14</f>
        <v>336.29078000000004</v>
      </c>
      <c r="S14" s="5">
        <f>SQRT( I14^2+N14^2)</f>
        <v>22.306587866126009</v>
      </c>
      <c r="T14" s="5">
        <v>0.1047613</v>
      </c>
      <c r="U14" s="5">
        <v>4.1000000000000002E-2</v>
      </c>
      <c r="V14" s="4"/>
      <c r="W14" s="4"/>
      <c r="X14" s="4"/>
      <c r="Y14" s="4"/>
    </row>
    <row r="15" spans="1:36">
      <c r="A15" s="32"/>
      <c r="B15" s="28"/>
      <c r="C15" s="2" t="s">
        <v>30</v>
      </c>
      <c r="E15" s="2">
        <v>-3038.4160000000002</v>
      </c>
      <c r="F15" s="5"/>
      <c r="G15" s="5"/>
      <c r="H15" s="5">
        <v>67.830690000000004</v>
      </c>
      <c r="I15" s="5">
        <v>18.37764</v>
      </c>
      <c r="J15" s="5">
        <v>3.6909350000000001</v>
      </c>
      <c r="M15" s="5">
        <v>275.59460000000001</v>
      </c>
      <c r="N15" s="5">
        <v>16.92202</v>
      </c>
      <c r="O15" s="5">
        <v>16.286155000000001</v>
      </c>
      <c r="R15" s="5">
        <f>H15+M15</f>
        <v>343.42529000000002</v>
      </c>
      <c r="S15" s="5">
        <f>SQRT( I15^2+N15^2)</f>
        <v>24.981841662495583</v>
      </c>
      <c r="T15" s="5">
        <v>0.1975122</v>
      </c>
      <c r="U15" s="5">
        <v>4.8000000000000001E-2</v>
      </c>
      <c r="V15" s="4"/>
      <c r="W15" s="4"/>
      <c r="X15" s="4"/>
      <c r="Y15" s="4"/>
    </row>
    <row r="16" spans="1:36" s="17" customFormat="1">
      <c r="A16" s="32"/>
      <c r="B16" s="28"/>
      <c r="C16" s="13" t="s">
        <v>31</v>
      </c>
      <c r="D16" s="13"/>
      <c r="E16" s="13">
        <v>-3032.4789999999998</v>
      </c>
      <c r="H16" s="17">
        <v>53.313209999999998</v>
      </c>
      <c r="I16" s="17">
        <v>16.736470000000001</v>
      </c>
      <c r="J16" s="17">
        <v>3.1854520000000002</v>
      </c>
      <c r="M16" s="17">
        <v>280.86867999999998</v>
      </c>
      <c r="N16" s="17">
        <v>16.86214</v>
      </c>
      <c r="O16" s="17">
        <v>16.656763999999999</v>
      </c>
      <c r="R16" s="17">
        <f>H16+M16</f>
        <v>334.18188999999995</v>
      </c>
      <c r="S16" s="17">
        <f>SQRT( I16^2+N16^2)</f>
        <v>23.757971155814211</v>
      </c>
      <c r="T16" s="17">
        <v>0.15953349999999999</v>
      </c>
      <c r="U16" s="17">
        <v>4.7E-2</v>
      </c>
      <c r="W16" s="15"/>
      <c r="X16" s="15"/>
      <c r="Y16" s="15"/>
    </row>
    <row r="17" spans="1:25">
      <c r="A17" s="32"/>
      <c r="F17" s="5"/>
      <c r="G17" s="5"/>
    </row>
    <row r="18" spans="1:25" ht="40">
      <c r="A18" s="32"/>
      <c r="B18" s="10" t="s">
        <v>45</v>
      </c>
      <c r="C18" s="13" t="s">
        <v>31</v>
      </c>
      <c r="E18" s="2">
        <v>-3032.2379999999998</v>
      </c>
      <c r="F18" s="5"/>
      <c r="G18" s="5"/>
      <c r="H18" s="5">
        <v>48.968758000000001</v>
      </c>
      <c r="I18" s="5">
        <v>20.037240000000001</v>
      </c>
      <c r="J18" s="5">
        <v>2.4438868</v>
      </c>
      <c r="K18" s="5">
        <v>9.8188370000000003</v>
      </c>
      <c r="L18" s="5">
        <v>25.675660000000001</v>
      </c>
      <c r="M18" s="5">
        <v>276.77336500000001</v>
      </c>
      <c r="N18" s="5">
        <v>21.774909999999998</v>
      </c>
      <c r="O18" s="5">
        <v>12.7106578</v>
      </c>
      <c r="T18" s="9">
        <v>0.1450169</v>
      </c>
      <c r="U18" s="9">
        <v>5.8000000000000003E-2</v>
      </c>
      <c r="V18" s="9">
        <v>2.941479E-2</v>
      </c>
      <c r="W18" s="9">
        <v>7.6999999999999999E-2</v>
      </c>
    </row>
    <row r="19" spans="1:25">
      <c r="V19" s="4"/>
      <c r="W19" s="4"/>
      <c r="X19" s="4"/>
      <c r="Y19" s="4"/>
    </row>
    <row r="20" spans="1:25">
      <c r="V20" s="4"/>
      <c r="W20" s="4"/>
      <c r="X20" s="4"/>
      <c r="Y20" s="4"/>
    </row>
    <row r="21" spans="1:25">
      <c r="O21" s="26"/>
      <c r="V21" s="4"/>
      <c r="W21" s="4"/>
      <c r="X21" s="4"/>
      <c r="Y21" s="4"/>
    </row>
    <row r="22" spans="1:25">
      <c r="V22" s="4"/>
      <c r="W22" s="4"/>
      <c r="X22" s="4"/>
      <c r="Y22" s="4"/>
    </row>
    <row r="23" spans="1:25">
      <c r="V23" s="4"/>
      <c r="W23" s="4"/>
      <c r="X23" s="4"/>
      <c r="Y23" s="4"/>
    </row>
    <row r="24" spans="1:25">
      <c r="V24" s="4"/>
      <c r="W24" s="4"/>
      <c r="X24" s="4"/>
      <c r="Y24" s="4"/>
    </row>
    <row r="25" spans="1:25">
      <c r="V25" s="4"/>
      <c r="W25" s="4"/>
      <c r="X25" s="4"/>
      <c r="Y25" s="4"/>
    </row>
    <row r="26" spans="1:25">
      <c r="V26" s="4"/>
      <c r="W26" s="4"/>
      <c r="X26" s="4"/>
      <c r="Y26" s="4"/>
    </row>
    <row r="27" spans="1:25">
      <c r="V27" s="4"/>
      <c r="W27" s="4"/>
      <c r="X27" s="4"/>
      <c r="Y27" s="4"/>
    </row>
    <row r="28" spans="1:25">
      <c r="V28" s="12"/>
      <c r="W28" s="12"/>
      <c r="X28" s="12"/>
      <c r="Y28" s="12"/>
    </row>
    <row r="29" spans="1:25">
      <c r="V29" s="4"/>
      <c r="W29" s="4"/>
      <c r="X29" s="4"/>
      <c r="Y29" s="4"/>
    </row>
    <row r="30" spans="1:25">
      <c r="V30" s="4"/>
      <c r="W30" s="4"/>
      <c r="X30" s="4"/>
      <c r="Y30" s="4"/>
    </row>
    <row r="32" spans="1:25">
      <c r="V32" s="4"/>
      <c r="W32" s="4"/>
      <c r="X32" s="4"/>
      <c r="Y32" s="4"/>
    </row>
    <row r="33" spans="22:25">
      <c r="V33" s="4"/>
      <c r="W33" s="4"/>
      <c r="X33" s="4"/>
      <c r="Y33" s="4"/>
    </row>
    <row r="38" spans="22:25">
      <c r="V38" s="4"/>
      <c r="W38" s="4"/>
      <c r="X38" s="4"/>
      <c r="Y38" s="4"/>
    </row>
    <row r="39" spans="22:25">
      <c r="V39" s="4"/>
      <c r="W39" s="4"/>
      <c r="X39" s="4"/>
      <c r="Y39" s="4"/>
    </row>
    <row r="40" spans="22:25">
      <c r="V40" s="4"/>
      <c r="W40" s="4"/>
      <c r="X40" s="4"/>
      <c r="Y40" s="4"/>
    </row>
    <row r="41" spans="22:25">
      <c r="V41" s="4"/>
      <c r="W41" s="4"/>
      <c r="X41" s="4"/>
      <c r="Y41" s="4"/>
    </row>
    <row r="44" spans="22:25">
      <c r="V44" s="5"/>
      <c r="W44" s="5"/>
      <c r="X44" s="5"/>
      <c r="Y44" s="5"/>
    </row>
  </sheetData>
  <mergeCells count="6">
    <mergeCell ref="A2:A5"/>
    <mergeCell ref="A8:A11"/>
    <mergeCell ref="B2:B5"/>
    <mergeCell ref="B8:B11"/>
    <mergeCell ref="B13:B16"/>
    <mergeCell ref="A13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E241-B980-1A43-AD21-79515AE8E021}">
  <dimension ref="A1:AK43"/>
  <sheetViews>
    <sheetView zoomScale="120" zoomScaleNormal="120" workbookViewId="0">
      <pane xSplit="3" ySplit="1" topLeftCell="L2" activePane="bottomRight" state="frozen"/>
      <selection pane="topRight" activeCell="C1" sqref="C1"/>
      <selection pane="bottomLeft" activeCell="A2" sqref="A2"/>
      <selection pane="bottomRight" activeCell="R17" activeCellId="7" sqref="H17:I17 K17:L17 H15:I15 K15:L15 M15:N15 M17:N17 R15:U15 R17:U17"/>
    </sheetView>
  </sheetViews>
  <sheetFormatPr baseColWidth="10" defaultColWidth="23" defaultRowHeight="19"/>
  <cols>
    <col min="1" max="1" width="8.5" style="5" bestFit="1" customWidth="1"/>
    <col min="2" max="2" width="19.1640625" style="8" customWidth="1"/>
    <col min="3" max="3" width="17.83203125" style="2" customWidth="1"/>
    <col min="4" max="4" width="14.1640625" style="2" bestFit="1" customWidth="1"/>
    <col min="5" max="7" width="14.1640625" style="2" customWidth="1"/>
    <col min="8" max="8" width="17.6640625" style="5" bestFit="1" customWidth="1"/>
    <col min="9" max="9" width="20.6640625" style="5" bestFit="1" customWidth="1"/>
    <col min="10" max="10" width="12.1640625" style="5" customWidth="1"/>
    <col min="11" max="11" width="13.83203125" style="5" customWidth="1"/>
    <col min="12" max="12" width="13.33203125" style="5" customWidth="1"/>
    <col min="13" max="13" width="19.33203125" style="5" bestFit="1" customWidth="1"/>
    <col min="14" max="14" width="12.5" style="5" bestFit="1" customWidth="1"/>
    <col min="15" max="15" width="16.33203125" style="5" bestFit="1" customWidth="1"/>
    <col min="16" max="16" width="20.6640625" style="5" customWidth="1"/>
    <col min="17" max="17" width="15.5" style="5" customWidth="1"/>
    <col min="18" max="18" width="12.1640625" style="9" bestFit="1" customWidth="1"/>
    <col min="19" max="19" width="15" style="9" bestFit="1" customWidth="1"/>
    <col min="20" max="20" width="12.6640625" style="9" bestFit="1" customWidth="1"/>
    <col min="21" max="21" width="15.1640625" style="9" bestFit="1" customWidth="1"/>
    <col min="22" max="23" width="8.1640625" style="9" bestFit="1" customWidth="1"/>
    <col min="24" max="24" width="22.5" style="5" bestFit="1" customWidth="1"/>
    <col min="25" max="25" width="23.33203125" style="5" bestFit="1" customWidth="1"/>
    <col min="26" max="26" width="19.1640625" style="5" bestFit="1" customWidth="1"/>
    <col min="27" max="27" width="12.83203125" style="5" bestFit="1" customWidth="1"/>
    <col min="28" max="28" width="16.83203125" style="5" bestFit="1" customWidth="1"/>
    <col min="29" max="29" width="16.6640625" style="5" bestFit="1" customWidth="1"/>
    <col min="30" max="30" width="11.6640625" style="5" bestFit="1" customWidth="1"/>
    <col min="31" max="31" width="14.33203125" style="5" bestFit="1" customWidth="1"/>
    <col min="32" max="32" width="26" style="5" bestFit="1" customWidth="1"/>
    <col min="33" max="33" width="20.33203125" style="5" bestFit="1" customWidth="1"/>
    <col min="34" max="34" width="24.1640625" style="5" bestFit="1" customWidth="1"/>
    <col min="35" max="35" width="26" style="5" bestFit="1" customWidth="1"/>
    <col min="36" max="36" width="20.33203125" style="5" bestFit="1" customWidth="1"/>
    <col min="37" max="37" width="24.1640625" style="5" bestFit="1" customWidth="1"/>
    <col min="38" max="16384" width="23" style="5"/>
  </cols>
  <sheetData>
    <row r="1" spans="1:37" s="10" customFormat="1" ht="60">
      <c r="B1" s="10" t="s">
        <v>46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6</v>
      </c>
      <c r="Q1" s="10" t="s">
        <v>32</v>
      </c>
      <c r="R1" s="10" t="s">
        <v>7</v>
      </c>
      <c r="S1" s="10" t="s">
        <v>8</v>
      </c>
      <c r="T1" s="10" t="s">
        <v>9</v>
      </c>
      <c r="U1" s="10" t="s">
        <v>10</v>
      </c>
      <c r="V1" s="10" t="s">
        <v>11</v>
      </c>
      <c r="W1" s="10" t="s">
        <v>12</v>
      </c>
      <c r="X1" s="10" t="s">
        <v>13</v>
      </c>
      <c r="Y1" s="10" t="s">
        <v>14</v>
      </c>
      <c r="Z1" s="10" t="s">
        <v>15</v>
      </c>
      <c r="AA1" s="10" t="s">
        <v>16</v>
      </c>
      <c r="AB1" s="10" t="s">
        <v>17</v>
      </c>
      <c r="AC1" s="20" t="s">
        <v>18</v>
      </c>
      <c r="AD1" s="20" t="s">
        <v>19</v>
      </c>
      <c r="AE1" s="20" t="s">
        <v>20</v>
      </c>
      <c r="AF1" s="20" t="s">
        <v>21</v>
      </c>
      <c r="AG1" s="20" t="s">
        <v>22</v>
      </c>
      <c r="AH1" s="20" t="s">
        <v>23</v>
      </c>
      <c r="AI1" s="20" t="s">
        <v>24</v>
      </c>
      <c r="AJ1" s="20" t="s">
        <v>25</v>
      </c>
      <c r="AK1" s="20" t="s">
        <v>26</v>
      </c>
    </row>
    <row r="2" spans="1:37">
      <c r="A2" s="27" t="s">
        <v>27</v>
      </c>
      <c r="B2" s="28" t="s">
        <v>44</v>
      </c>
      <c r="C2" s="2" t="s">
        <v>28</v>
      </c>
      <c r="E2" s="3">
        <v>661.61</v>
      </c>
      <c r="F2" s="3">
        <v>19.507999999999999</v>
      </c>
      <c r="G2" s="7">
        <v>5.0085999999999998E-6</v>
      </c>
      <c r="H2" s="3">
        <v>1.3270000000000001E-2</v>
      </c>
      <c r="I2" s="3">
        <v>4.398E-3</v>
      </c>
      <c r="J2" s="3"/>
      <c r="K2" s="3"/>
      <c r="L2" s="3"/>
      <c r="M2" s="3">
        <v>7.3182999999999998E-2</v>
      </c>
      <c r="N2" s="3">
        <v>4.4250000000000001E-3</v>
      </c>
      <c r="O2" s="3"/>
      <c r="P2" s="3">
        <v>8.6453000000000002E-2</v>
      </c>
      <c r="Q2" s="3">
        <v>4.3899999999999998E-3</v>
      </c>
      <c r="R2" s="3">
        <v>0.15348999999999999</v>
      </c>
      <c r="S2" s="4">
        <v>4.7511999999999999E-2</v>
      </c>
      <c r="T2" s="4"/>
      <c r="U2" s="4"/>
      <c r="V2" s="4"/>
      <c r="W2" s="4"/>
      <c r="X2" s="3"/>
      <c r="Y2" s="3"/>
      <c r="Z2" s="3"/>
      <c r="AA2" s="3"/>
      <c r="AB2" s="3"/>
      <c r="AD2" s="6"/>
      <c r="AE2" s="6"/>
    </row>
    <row r="3" spans="1:37">
      <c r="A3" s="27"/>
      <c r="B3" s="28"/>
      <c r="C3" s="2" t="s">
        <v>29</v>
      </c>
      <c r="E3" s="3">
        <v>665.28099999999995</v>
      </c>
      <c r="F3" s="3">
        <v>17.001000000000001</v>
      </c>
      <c r="G3" s="7">
        <v>1.8681999999999998E-5</v>
      </c>
      <c r="H3" s="3">
        <v>1.0583E-2</v>
      </c>
      <c r="I3" s="3">
        <v>3.9719999999999998E-3</v>
      </c>
      <c r="J3" s="3"/>
      <c r="K3" s="3"/>
      <c r="L3" s="3"/>
      <c r="M3" s="3">
        <v>7.3653999999999997E-2</v>
      </c>
      <c r="N3" s="3">
        <v>4.3509999999999998E-3</v>
      </c>
      <c r="O3" s="3"/>
      <c r="P3" s="3">
        <v>8.4237000000000006E-2</v>
      </c>
      <c r="Q3" s="3">
        <v>4.2040000000000003E-3</v>
      </c>
      <c r="R3" s="4">
        <v>0.125635</v>
      </c>
      <c r="S3" s="4">
        <v>4.4783999999999997E-2</v>
      </c>
      <c r="T3" s="4"/>
      <c r="U3" s="4"/>
      <c r="V3" s="4"/>
      <c r="W3" s="4"/>
      <c r="X3" s="3"/>
      <c r="Y3" s="3"/>
      <c r="Z3" s="3"/>
      <c r="AA3" s="3"/>
      <c r="AB3" s="6"/>
      <c r="AC3" s="3"/>
      <c r="AD3" s="3"/>
      <c r="AE3" s="3"/>
    </row>
    <row r="4" spans="1:37">
      <c r="A4" s="27"/>
      <c r="B4" s="28"/>
      <c r="C4" s="2" t="s">
        <v>30</v>
      </c>
      <c r="E4" s="3">
        <v>663.05600000000004</v>
      </c>
      <c r="F4" s="3">
        <v>30.292000000000002</v>
      </c>
      <c r="G4" s="7">
        <v>1.8582000000000001E-8</v>
      </c>
      <c r="H4" s="3">
        <v>1.7127E-2</v>
      </c>
      <c r="I4" s="3">
        <v>4.823E-3</v>
      </c>
      <c r="J4" s="3"/>
      <c r="K4" s="3"/>
      <c r="L4" s="3"/>
      <c r="M4" s="3">
        <v>6.9098000000000007E-2</v>
      </c>
      <c r="N4" s="3">
        <v>4.3239999999999997E-3</v>
      </c>
      <c r="O4" s="3"/>
      <c r="P4" s="3">
        <v>8.6224999999999996E-2</v>
      </c>
      <c r="Q4" s="3">
        <v>4.5120000000000004E-3</v>
      </c>
      <c r="R4" s="5">
        <v>0.198633</v>
      </c>
      <c r="S4" s="5">
        <v>5.0708000000000003E-2</v>
      </c>
      <c r="T4" s="4"/>
      <c r="U4" s="4"/>
      <c r="V4" s="4"/>
      <c r="W4" s="4"/>
      <c r="X4" s="7"/>
      <c r="Y4" s="3"/>
      <c r="AA4" s="3"/>
      <c r="AB4" s="3"/>
      <c r="AI4" s="3"/>
      <c r="AJ4" s="3"/>
      <c r="AK4" s="3"/>
    </row>
    <row r="5" spans="1:37" s="17" customFormat="1" ht="22" customHeight="1">
      <c r="A5" s="27"/>
      <c r="B5" s="28"/>
      <c r="C5" s="13" t="s">
        <v>31</v>
      </c>
      <c r="D5" s="13"/>
      <c r="E5" s="14">
        <v>664.37599999999998</v>
      </c>
      <c r="F5" s="14">
        <v>25.446999999999999</v>
      </c>
      <c r="G5" s="16">
        <v>2.2734E-7</v>
      </c>
      <c r="H5" s="14">
        <v>1.4113000000000001E-2</v>
      </c>
      <c r="I5" s="14">
        <v>4.4549999999999998E-3</v>
      </c>
      <c r="J5" s="14"/>
      <c r="K5" s="14"/>
      <c r="L5" s="14"/>
      <c r="M5" s="17">
        <v>7.0110000000000006E-2</v>
      </c>
      <c r="N5" s="17">
        <v>4.2979999999999997E-3</v>
      </c>
      <c r="O5" s="14"/>
      <c r="P5" s="17">
        <v>8.4223000000000006E-2</v>
      </c>
      <c r="Q5" s="17">
        <v>4.326E-3</v>
      </c>
      <c r="R5" s="17">
        <v>0.16756699999999999</v>
      </c>
      <c r="S5" s="17">
        <v>4.8963E-2</v>
      </c>
      <c r="T5" s="11"/>
      <c r="U5" s="11"/>
      <c r="V5" s="11"/>
      <c r="W5" s="11"/>
      <c r="X5" s="14"/>
      <c r="Y5" s="16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ht="11" customHeight="1">
      <c r="B6" s="1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  <c r="X6" s="3"/>
      <c r="Y6" s="3"/>
      <c r="Z6" s="3"/>
      <c r="AA6" s="3"/>
      <c r="AB6" s="3"/>
    </row>
    <row r="7" spans="1:37">
      <c r="A7" s="27" t="s">
        <v>27</v>
      </c>
      <c r="B7" s="28" t="s">
        <v>45</v>
      </c>
      <c r="C7" s="2" t="s">
        <v>28</v>
      </c>
      <c r="E7" s="2">
        <v>662.71500000000003</v>
      </c>
      <c r="F7" s="2">
        <v>2.3079999999999998</v>
      </c>
      <c r="G7" s="22">
        <v>6.4346E-2</v>
      </c>
      <c r="H7" s="2">
        <v>7.332E-3</v>
      </c>
      <c r="I7" s="2">
        <v>4.9490000000000003E-3</v>
      </c>
      <c r="K7" s="2">
        <v>1.0928999999999999E-2</v>
      </c>
      <c r="L7" s="2">
        <v>7.0410000000000004E-3</v>
      </c>
      <c r="M7" s="2">
        <v>6.7643999999999996E-2</v>
      </c>
      <c r="N7" s="2">
        <v>5.6499999999999996E-3</v>
      </c>
      <c r="O7" s="3"/>
      <c r="P7" s="2">
        <v>8.5905999999999996E-2</v>
      </c>
      <c r="Q7" s="2">
        <v>4.3080000000000002E-3</v>
      </c>
      <c r="R7" s="2">
        <v>8.5350999999999996E-2</v>
      </c>
      <c r="S7" s="2">
        <v>5.6508000000000003E-2</v>
      </c>
      <c r="T7" s="2">
        <v>0.127222</v>
      </c>
      <c r="U7" s="2">
        <v>8.1337999999999994E-2</v>
      </c>
      <c r="V7" s="5">
        <v>0.21257300000000001</v>
      </c>
      <c r="W7" s="5">
        <v>6.4252000000000004E-2</v>
      </c>
      <c r="X7" s="3"/>
      <c r="Y7" s="3"/>
      <c r="Z7" s="3"/>
      <c r="AA7" s="3"/>
      <c r="AB7" s="3"/>
      <c r="AC7" s="3"/>
      <c r="AD7" s="3"/>
      <c r="AE7" s="3"/>
    </row>
    <row r="8" spans="1:37">
      <c r="A8" s="27"/>
      <c r="B8" s="28"/>
      <c r="C8" s="2" t="s">
        <v>29</v>
      </c>
      <c r="E8" s="3">
        <v>665.86599999999999</v>
      </c>
      <c r="F8" s="3">
        <v>3.4319999999999999</v>
      </c>
      <c r="G8" s="7">
        <v>3.1968000000000003E-2</v>
      </c>
      <c r="H8" s="5">
        <v>6.9699999999999996E-3</v>
      </c>
      <c r="I8" s="5">
        <v>4.5199999999999997E-3</v>
      </c>
      <c r="K8" s="5">
        <v>7.489E-3</v>
      </c>
      <c r="L8" s="5">
        <v>6.6109999999999997E-3</v>
      </c>
      <c r="M8" s="5">
        <v>6.9554000000000005E-2</v>
      </c>
      <c r="N8" s="5">
        <v>5.6020000000000002E-3</v>
      </c>
      <c r="O8" s="3"/>
      <c r="P8" s="9">
        <v>8.4014000000000005E-2</v>
      </c>
      <c r="Q8" s="9">
        <v>4.1660000000000004E-3</v>
      </c>
      <c r="R8" s="9">
        <v>8.2966999999999999E-2</v>
      </c>
      <c r="S8" s="9">
        <v>5.2798999999999999E-2</v>
      </c>
      <c r="T8" s="9">
        <v>8.9140999999999998E-2</v>
      </c>
      <c r="U8" s="9">
        <v>7.8350000000000003E-2</v>
      </c>
      <c r="V8" s="4">
        <v>0.17210900000000001</v>
      </c>
      <c r="W8" s="4">
        <v>6.2991000000000005E-2</v>
      </c>
      <c r="X8" s="3"/>
      <c r="Y8" s="7"/>
      <c r="Z8" s="3"/>
      <c r="AA8" s="3"/>
      <c r="AB8" s="6"/>
      <c r="AF8" s="3"/>
      <c r="AG8" s="3"/>
      <c r="AH8" s="3"/>
      <c r="AI8" s="3"/>
      <c r="AJ8" s="3"/>
      <c r="AK8" s="3"/>
    </row>
    <row r="9" spans="1:37">
      <c r="A9" s="27"/>
      <c r="B9" s="28"/>
      <c r="C9" s="2" t="s">
        <v>30</v>
      </c>
      <c r="E9" s="3">
        <v>664.14200000000005</v>
      </c>
      <c r="F9" s="3">
        <v>4.8869999999999996</v>
      </c>
      <c r="G9" s="7">
        <v>1.3526E-2</v>
      </c>
      <c r="H9" s="5">
        <v>1.1106E-2</v>
      </c>
      <c r="I9" s="5">
        <v>5.4790000000000004E-3</v>
      </c>
      <c r="K9" s="5">
        <v>1.0730999999999999E-2</v>
      </c>
      <c r="L9" s="5">
        <v>7.0650000000000001E-3</v>
      </c>
      <c r="M9" s="5">
        <v>6.3723000000000002E-2</v>
      </c>
      <c r="N9" s="5">
        <v>5.5240000000000003E-3</v>
      </c>
      <c r="P9" s="5">
        <v>8.5558999999999996E-2</v>
      </c>
      <c r="Q9" s="5">
        <v>4.4180000000000001E-3</v>
      </c>
      <c r="R9" s="5">
        <v>0.129803</v>
      </c>
      <c r="S9" s="5">
        <v>6.1737E-2</v>
      </c>
      <c r="T9" s="5">
        <v>0.125416</v>
      </c>
      <c r="U9" s="5">
        <v>8.2126000000000005E-2</v>
      </c>
      <c r="V9" s="5">
        <v>0.25521899999999997</v>
      </c>
      <c r="W9" s="9">
        <v>6.5416000000000002E-2</v>
      </c>
      <c r="X9" s="3"/>
      <c r="Y9" s="7"/>
      <c r="Z9" s="3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7" customFormat="1">
      <c r="A10" s="27"/>
      <c r="B10" s="28"/>
      <c r="C10" s="13" t="s">
        <v>31</v>
      </c>
      <c r="D10" s="13"/>
      <c r="E10" s="14">
        <v>665.07399999999996</v>
      </c>
      <c r="F10" s="14">
        <v>5.3380000000000001</v>
      </c>
      <c r="G10" s="16">
        <v>1.0432E-2</v>
      </c>
      <c r="H10" s="17">
        <v>9.7619999999999998E-3</v>
      </c>
      <c r="I10" s="17">
        <v>5.0759999999999998E-3</v>
      </c>
      <c r="K10" s="17">
        <v>8.3409999999999995E-3</v>
      </c>
      <c r="L10" s="17">
        <v>6.7720000000000002E-3</v>
      </c>
      <c r="M10" s="17">
        <v>6.5737000000000004E-2</v>
      </c>
      <c r="N10" s="17">
        <v>5.5180000000000003E-3</v>
      </c>
      <c r="O10" s="14"/>
      <c r="P10" s="17">
        <v>8.3839999999999998E-2</v>
      </c>
      <c r="Q10" s="17">
        <v>4.2649999999999997E-3</v>
      </c>
      <c r="R10" s="17">
        <v>0.116438</v>
      </c>
      <c r="S10" s="17">
        <v>5.8673999999999997E-2</v>
      </c>
      <c r="T10" s="17">
        <v>9.9485000000000004E-2</v>
      </c>
      <c r="U10" s="17">
        <v>8.0448000000000006E-2</v>
      </c>
      <c r="V10" s="17">
        <v>0.215923</v>
      </c>
      <c r="W10" s="15">
        <v>6.4907999999999993E-2</v>
      </c>
      <c r="X10" s="14"/>
      <c r="Y10" s="16"/>
      <c r="Z10" s="14"/>
      <c r="AA10" s="21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ht="12" customHeight="1">
      <c r="R11" s="5"/>
      <c r="S11" s="5"/>
      <c r="T11" s="5"/>
      <c r="U11" s="5"/>
      <c r="X11" s="4"/>
      <c r="Y11" s="4"/>
    </row>
    <row r="12" spans="1:37">
      <c r="A12" s="27" t="s">
        <v>51</v>
      </c>
      <c r="B12" s="28" t="s">
        <v>44</v>
      </c>
      <c r="C12" s="2" t="s">
        <v>28</v>
      </c>
      <c r="E12" s="2">
        <v>661.32560000000001</v>
      </c>
      <c r="F12" s="5"/>
      <c r="G12" s="5"/>
      <c r="H12" s="5">
        <v>1.3309980000000001E-2</v>
      </c>
      <c r="I12" s="5">
        <v>4.4481900000000003E-3</v>
      </c>
      <c r="J12" s="5">
        <v>2.9922230000000001</v>
      </c>
      <c r="M12" s="5">
        <v>7.3232370000000005E-2</v>
      </c>
      <c r="N12" s="5">
        <v>4.4442420000000002E-3</v>
      </c>
      <c r="O12" s="5">
        <v>16.478033</v>
      </c>
      <c r="P12" s="5">
        <f>H12+M12</f>
        <v>8.6542350000000004E-2</v>
      </c>
      <c r="Q12" s="5">
        <f>SQRT( I12^2+N12^2)</f>
        <v>6.2878995881505617E-3</v>
      </c>
      <c r="R12" s="5">
        <v>0.1537973</v>
      </c>
      <c r="S12" s="5">
        <v>4.8000000000000001E-2</v>
      </c>
      <c r="T12" s="5"/>
      <c r="U12" s="5"/>
      <c r="V12" s="4"/>
      <c r="W12" s="4"/>
      <c r="X12" s="4"/>
      <c r="Y12" s="4"/>
    </row>
    <row r="13" spans="1:37">
      <c r="A13" s="27"/>
      <c r="B13" s="28"/>
      <c r="C13" s="2" t="s">
        <v>29</v>
      </c>
      <c r="E13" s="2">
        <v>665.03689999999995</v>
      </c>
      <c r="F13" s="5"/>
      <c r="G13" s="5"/>
      <c r="H13" s="5">
        <v>1.0560999999999999E-2</v>
      </c>
      <c r="I13" s="5">
        <v>4.0073139999999997E-3</v>
      </c>
      <c r="J13" s="5">
        <v>2.6354310000000001</v>
      </c>
      <c r="M13" s="5">
        <v>7.3733789999999994E-2</v>
      </c>
      <c r="N13" s="5">
        <v>4.3670970000000003E-3</v>
      </c>
      <c r="O13" s="5">
        <v>16.883935999999999</v>
      </c>
      <c r="P13" s="5">
        <f>H13+M13</f>
        <v>8.4294789999999994E-2</v>
      </c>
      <c r="Q13" s="5">
        <f>SQRT( I13^2+N13^2)</f>
        <v>5.9270651845584593E-3</v>
      </c>
      <c r="R13" s="5">
        <v>0.1252865</v>
      </c>
      <c r="S13" s="5">
        <v>4.4999999999999998E-2</v>
      </c>
      <c r="T13" s="5"/>
      <c r="U13" s="5"/>
      <c r="V13" s="4"/>
      <c r="W13" s="4"/>
      <c r="X13" s="4"/>
      <c r="Y13" s="4"/>
    </row>
    <row r="14" spans="1:37">
      <c r="A14" s="27"/>
      <c r="B14" s="28"/>
      <c r="C14" s="2" t="s">
        <v>30</v>
      </c>
      <c r="E14" s="2">
        <v>662.72209999999995</v>
      </c>
      <c r="F14" s="5"/>
      <c r="G14" s="5"/>
      <c r="H14" s="5">
        <v>1.728213E-2</v>
      </c>
      <c r="I14" s="5">
        <v>4.891065E-3</v>
      </c>
      <c r="J14" s="5">
        <v>3.5334080000000001</v>
      </c>
      <c r="M14" s="5">
        <v>6.9087770000000007E-2</v>
      </c>
      <c r="N14" s="5">
        <v>4.3464760000000002E-3</v>
      </c>
      <c r="O14" s="5">
        <v>15.895123999999999</v>
      </c>
      <c r="P14" s="5">
        <f>H14+M14</f>
        <v>8.6369899999999999E-2</v>
      </c>
      <c r="Q14" s="5">
        <f>SQRT( I14^2+N14^2)</f>
        <v>6.5432690952459691E-3</v>
      </c>
      <c r="R14" s="5">
        <v>0.2000943</v>
      </c>
      <c r="S14" s="5">
        <v>5.0999999999999997E-2</v>
      </c>
      <c r="T14" s="5"/>
      <c r="U14" s="5"/>
      <c r="V14" s="4"/>
      <c r="W14" s="4"/>
      <c r="X14" s="4"/>
      <c r="Y14" s="4"/>
    </row>
    <row r="15" spans="1:37">
      <c r="A15" s="27"/>
      <c r="B15" s="28"/>
      <c r="C15" s="2" t="s">
        <v>31</v>
      </c>
      <c r="E15" s="2">
        <v>664.07640000000004</v>
      </c>
      <c r="F15" s="5"/>
      <c r="G15" s="5"/>
      <c r="H15" s="5">
        <v>1.4180190000000001E-2</v>
      </c>
      <c r="I15" s="5">
        <v>4.5097239999999997E-3</v>
      </c>
      <c r="J15" s="5">
        <v>3.1443590000000001</v>
      </c>
      <c r="M15" s="5">
        <v>7.0144029999999996E-2</v>
      </c>
      <c r="N15" s="5">
        <v>4.3183800000000001E-3</v>
      </c>
      <c r="O15" s="5">
        <v>16.243134999999999</v>
      </c>
      <c r="P15" s="5">
        <f>H15+M15</f>
        <v>8.4324219999999991E-2</v>
      </c>
      <c r="Q15" s="5">
        <f>SQRT( H15^2+N15^2)</f>
        <v>1.4823164110961601E-2</v>
      </c>
      <c r="R15" s="5">
        <v>0.1681628</v>
      </c>
      <c r="S15" s="5">
        <v>4.9000000000000002E-2</v>
      </c>
      <c r="T15" s="5"/>
      <c r="U15" s="5"/>
      <c r="V15" s="5"/>
      <c r="X15" s="9"/>
      <c r="Y15" s="9"/>
    </row>
    <row r="16" spans="1:37">
      <c r="A16" s="27"/>
      <c r="F16" s="5"/>
      <c r="G16" s="5"/>
      <c r="R16" s="5"/>
      <c r="S16" s="5"/>
    </row>
    <row r="17" spans="1:23" ht="40">
      <c r="A17" s="27"/>
      <c r="B17" s="10" t="s">
        <v>45</v>
      </c>
      <c r="C17" s="13" t="s">
        <v>31</v>
      </c>
      <c r="E17" s="2">
        <v>664.86890000000005</v>
      </c>
      <c r="F17" s="5"/>
      <c r="G17" s="5"/>
      <c r="H17" s="5">
        <v>9.4861870000000001E-3</v>
      </c>
      <c r="I17" s="5">
        <v>5.0919829999999996E-3</v>
      </c>
      <c r="J17" s="5">
        <v>1.862965</v>
      </c>
      <c r="K17" s="5">
        <v>8.9632310000000003E-3</v>
      </c>
      <c r="L17" s="5">
        <v>6.8549190000000001E-3</v>
      </c>
      <c r="M17" s="5">
        <v>5.5385490000000002E-3</v>
      </c>
      <c r="N17" s="5">
        <v>11.823888</v>
      </c>
      <c r="R17" s="5">
        <v>0.11301609999999999</v>
      </c>
      <c r="S17" s="5">
        <v>5.8999999999999997E-2</v>
      </c>
      <c r="T17" s="9">
        <v>0.1067857</v>
      </c>
      <c r="U17" s="9">
        <v>8.1000000000000003E-2</v>
      </c>
    </row>
    <row r="18" spans="1:23">
      <c r="F18" s="5"/>
      <c r="G18" s="5"/>
      <c r="R18" s="5"/>
      <c r="S18" s="5"/>
      <c r="T18" s="4"/>
      <c r="U18" s="4"/>
      <c r="V18" s="4"/>
      <c r="W18" s="4"/>
    </row>
    <row r="19" spans="1:23">
      <c r="T19" s="4"/>
      <c r="U19" s="4"/>
      <c r="V19" s="4"/>
      <c r="W19" s="4"/>
    </row>
    <row r="20" spans="1:23">
      <c r="T20" s="5"/>
      <c r="U20" s="5"/>
      <c r="V20" s="4"/>
      <c r="W20" s="4"/>
    </row>
    <row r="21" spans="1:23">
      <c r="R21" s="5"/>
      <c r="T21" s="4"/>
      <c r="U21" s="4"/>
      <c r="V21" s="4"/>
      <c r="W21" s="4"/>
    </row>
    <row r="22" spans="1:23">
      <c r="T22" s="4"/>
      <c r="U22" s="4"/>
      <c r="V22" s="4"/>
      <c r="W22" s="4"/>
    </row>
    <row r="23" spans="1:23">
      <c r="T23" s="4"/>
      <c r="U23" s="4"/>
      <c r="V23" s="4"/>
      <c r="W23" s="4"/>
    </row>
    <row r="24" spans="1:23">
      <c r="T24" s="4"/>
      <c r="U24" s="4"/>
      <c r="V24" s="4"/>
      <c r="W24" s="4"/>
    </row>
    <row r="25" spans="1:23">
      <c r="T25" s="4"/>
      <c r="U25" s="4"/>
      <c r="V25" s="4"/>
      <c r="W25" s="4"/>
    </row>
    <row r="26" spans="1:23">
      <c r="T26" s="4"/>
      <c r="U26" s="4"/>
      <c r="V26" s="4"/>
      <c r="W26" s="4"/>
    </row>
    <row r="27" spans="1:23">
      <c r="T27" s="12"/>
      <c r="U27" s="12"/>
      <c r="V27" s="12"/>
      <c r="W27" s="12"/>
    </row>
    <row r="28" spans="1:23">
      <c r="T28" s="4"/>
      <c r="U28" s="4"/>
      <c r="V28" s="4"/>
      <c r="W28" s="4"/>
    </row>
    <row r="29" spans="1:23">
      <c r="T29" s="4"/>
      <c r="U29" s="4"/>
      <c r="V29" s="4"/>
      <c r="W29" s="4"/>
    </row>
    <row r="31" spans="1:23">
      <c r="T31" s="4"/>
      <c r="U31" s="4"/>
      <c r="V31" s="4"/>
      <c r="W31" s="4"/>
    </row>
    <row r="32" spans="1:23">
      <c r="T32" s="4"/>
      <c r="U32" s="4"/>
      <c r="V32" s="4"/>
      <c r="W32" s="4"/>
    </row>
    <row r="37" spans="20:23">
      <c r="T37" s="4"/>
      <c r="U37" s="4"/>
      <c r="V37" s="4"/>
      <c r="W37" s="4"/>
    </row>
    <row r="38" spans="20:23">
      <c r="T38" s="4"/>
      <c r="U38" s="4"/>
      <c r="V38" s="4"/>
      <c r="W38" s="4"/>
    </row>
    <row r="39" spans="20:23">
      <c r="T39" s="4"/>
      <c r="U39" s="4"/>
      <c r="V39" s="4"/>
      <c r="W39" s="4"/>
    </row>
    <row r="40" spans="20:23">
      <c r="T40" s="4"/>
      <c r="U40" s="4"/>
      <c r="V40" s="4"/>
      <c r="W40" s="4"/>
    </row>
    <row r="43" spans="20:23">
      <c r="T43" s="5"/>
      <c r="U43" s="5"/>
      <c r="V43" s="5"/>
      <c r="W43" s="5"/>
    </row>
  </sheetData>
  <mergeCells count="6">
    <mergeCell ref="A2:A5"/>
    <mergeCell ref="B2:B5"/>
    <mergeCell ref="A7:A10"/>
    <mergeCell ref="B7:B10"/>
    <mergeCell ref="B12:B15"/>
    <mergeCell ref="A12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7808-29B0-6D4A-A702-8DC93AB97839}">
  <dimension ref="A1:AO44"/>
  <sheetViews>
    <sheetView zoomScale="120" zoomScaleNormal="120" workbookViewId="0">
      <pane xSplit="3" ySplit="1" topLeftCell="M2" activePane="bottomRight" state="frozen"/>
      <selection pane="topRight" activeCell="C1" sqref="C1"/>
      <selection pane="bottomLeft" activeCell="A2" sqref="A2"/>
      <selection pane="bottomRight" activeCell="S5" sqref="S5"/>
    </sheetView>
  </sheetViews>
  <sheetFormatPr baseColWidth="10" defaultColWidth="23" defaultRowHeight="19"/>
  <cols>
    <col min="1" max="1" width="11.33203125" style="5" customWidth="1"/>
    <col min="2" max="2" width="19.1640625" style="8" customWidth="1"/>
    <col min="3" max="3" width="17.83203125" style="2" customWidth="1"/>
    <col min="4" max="4" width="14.1640625" style="2" bestFit="1" customWidth="1"/>
    <col min="5" max="7" width="14.1640625" style="2" customWidth="1"/>
    <col min="8" max="8" width="14.6640625" style="5" customWidth="1"/>
    <col min="9" max="9" width="14.33203125" style="5" customWidth="1"/>
    <col min="10" max="10" width="11" style="5" customWidth="1"/>
    <col min="11" max="11" width="12.83203125" style="5" customWidth="1"/>
    <col min="12" max="12" width="13.5" style="5" customWidth="1"/>
    <col min="13" max="13" width="19.33203125" style="5" bestFit="1" customWidth="1"/>
    <col min="14" max="14" width="18.1640625" style="5" bestFit="1" customWidth="1"/>
    <col min="15" max="15" width="16.33203125" style="5" bestFit="1" customWidth="1"/>
    <col min="16" max="16" width="20.6640625" style="5" customWidth="1"/>
    <col min="17" max="17" width="15.5" style="5" customWidth="1"/>
    <col min="18" max="18" width="12.1640625" style="9" bestFit="1" customWidth="1"/>
    <col min="19" max="19" width="15" style="9" bestFit="1" customWidth="1"/>
    <col min="20" max="21" width="15" style="9" customWidth="1"/>
    <col min="22" max="22" width="12.6640625" style="9" bestFit="1" customWidth="1"/>
    <col min="23" max="23" width="15.1640625" style="9" bestFit="1" customWidth="1"/>
    <col min="24" max="25" width="15.1640625" style="9" customWidth="1"/>
    <col min="26" max="27" width="8.1640625" style="9" bestFit="1" customWidth="1"/>
    <col min="28" max="28" width="22.5" style="5" bestFit="1" customWidth="1"/>
    <col min="29" max="29" width="23.33203125" style="5" bestFit="1" customWidth="1"/>
    <col min="30" max="30" width="19.1640625" style="5" bestFit="1" customWidth="1"/>
    <col min="31" max="31" width="12.83203125" style="5" bestFit="1" customWidth="1"/>
    <col min="32" max="32" width="16.83203125" style="5" bestFit="1" customWidth="1"/>
    <col min="33" max="33" width="16.6640625" style="5" bestFit="1" customWidth="1"/>
    <col min="34" max="34" width="11.6640625" style="5" bestFit="1" customWidth="1"/>
    <col min="35" max="35" width="14.33203125" style="5" bestFit="1" customWidth="1"/>
    <col min="36" max="36" width="26" style="5" bestFit="1" customWidth="1"/>
    <col min="37" max="37" width="20.33203125" style="5" bestFit="1" customWidth="1"/>
    <col min="38" max="38" width="24.1640625" style="5" bestFit="1" customWidth="1"/>
    <col min="39" max="39" width="26" style="5" bestFit="1" customWidth="1"/>
    <col min="40" max="40" width="20.33203125" style="5" bestFit="1" customWidth="1"/>
    <col min="41" max="41" width="24.1640625" style="5" bestFit="1" customWidth="1"/>
    <col min="42" max="16384" width="23" style="5"/>
  </cols>
  <sheetData>
    <row r="1" spans="1:41" s="10" customFormat="1" ht="60">
      <c r="B1" s="10" t="s">
        <v>47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6</v>
      </c>
      <c r="Q1" s="10" t="s">
        <v>32</v>
      </c>
      <c r="R1" s="10" t="s">
        <v>7</v>
      </c>
      <c r="S1" s="10" t="s">
        <v>8</v>
      </c>
      <c r="T1" s="10" t="s">
        <v>69</v>
      </c>
      <c r="U1" s="10" t="s">
        <v>70</v>
      </c>
      <c r="V1" s="10" t="s">
        <v>9</v>
      </c>
      <c r="W1" s="10" t="s">
        <v>10</v>
      </c>
      <c r="X1" s="10" t="s">
        <v>71</v>
      </c>
      <c r="Y1" s="10" t="s">
        <v>72</v>
      </c>
      <c r="Z1" s="10" t="s">
        <v>11</v>
      </c>
      <c r="AA1" s="10" t="s">
        <v>12</v>
      </c>
      <c r="AB1" s="10" t="s">
        <v>13</v>
      </c>
      <c r="AC1" s="10" t="s">
        <v>14</v>
      </c>
      <c r="AD1" s="10" t="s">
        <v>15</v>
      </c>
      <c r="AE1" s="10" t="s">
        <v>16</v>
      </c>
      <c r="AF1" s="10" t="s">
        <v>17</v>
      </c>
      <c r="AG1" s="20" t="s">
        <v>18</v>
      </c>
      <c r="AH1" s="20" t="s">
        <v>19</v>
      </c>
      <c r="AI1" s="20" t="s">
        <v>20</v>
      </c>
      <c r="AJ1" s="20" t="s">
        <v>21</v>
      </c>
      <c r="AK1" s="20" t="s">
        <v>22</v>
      </c>
      <c r="AL1" s="20" t="s">
        <v>23</v>
      </c>
      <c r="AM1" s="20" t="s">
        <v>24</v>
      </c>
      <c r="AN1" s="20" t="s">
        <v>25</v>
      </c>
      <c r="AO1" s="20" t="s">
        <v>26</v>
      </c>
    </row>
    <row r="2" spans="1:41" ht="19" customHeight="1">
      <c r="A2" s="29" t="s">
        <v>66</v>
      </c>
      <c r="B2" s="28" t="s">
        <v>44</v>
      </c>
      <c r="C2" s="2" t="s">
        <v>28</v>
      </c>
      <c r="E2" s="3">
        <v>238.42</v>
      </c>
      <c r="F2" s="3">
        <v>0.84099999999999997</v>
      </c>
      <c r="G2" s="23">
        <v>0.17960000000000001</v>
      </c>
      <c r="H2" s="2">
        <v>3.7590000000000002E-3</v>
      </c>
      <c r="I2" s="5">
        <v>4.8180000000000002E-3</v>
      </c>
      <c r="J2" s="19"/>
      <c r="K2" s="19"/>
      <c r="L2" s="19"/>
      <c r="M2" s="2">
        <v>0.21068400000000001</v>
      </c>
      <c r="N2" s="5">
        <v>1.0831E-2</v>
      </c>
      <c r="O2" s="19"/>
      <c r="P2" s="5">
        <v>0.21444199999999999</v>
      </c>
      <c r="Q2" s="5">
        <v>1.0159E-2</v>
      </c>
      <c r="R2" s="5">
        <v>1.7527999999999998E-2</v>
      </c>
      <c r="S2" s="5">
        <v>2.2405999999999999E-2</v>
      </c>
      <c r="T2" s="5">
        <v>2.1527999999999999E-2</v>
      </c>
      <c r="U2" s="5">
        <v>2.7518000000000001E-2</v>
      </c>
      <c r="V2" s="4"/>
      <c r="W2" s="4"/>
      <c r="X2" s="4"/>
      <c r="Y2" s="4"/>
      <c r="Z2" s="4"/>
      <c r="AA2" s="4"/>
      <c r="AB2" s="3"/>
      <c r="AC2" s="3"/>
      <c r="AD2" s="3"/>
      <c r="AE2" s="3"/>
      <c r="AF2" s="3"/>
      <c r="AH2" s="6"/>
      <c r="AI2" s="6"/>
    </row>
    <row r="3" spans="1:41">
      <c r="A3" s="29"/>
      <c r="B3" s="28"/>
      <c r="C3" s="2" t="s">
        <v>29</v>
      </c>
      <c r="E3" s="3">
        <v>245.86199999999999</v>
      </c>
      <c r="F3" s="3">
        <v>0.58899999999999997</v>
      </c>
      <c r="G3" s="23">
        <v>0.22134999999999999</v>
      </c>
      <c r="H3" s="5">
        <v>2.6740000000000002E-3</v>
      </c>
      <c r="I3" s="5">
        <v>4.2220000000000001E-3</v>
      </c>
      <c r="J3" s="19"/>
      <c r="K3" s="19"/>
      <c r="L3" s="19"/>
      <c r="M3" s="5">
        <v>0.206734</v>
      </c>
      <c r="N3" s="5">
        <v>1.0493000000000001E-2</v>
      </c>
      <c r="O3" s="19"/>
      <c r="P3" s="5">
        <v>0.20940800000000001</v>
      </c>
      <c r="Q3" s="5">
        <v>9.9190000000000007E-3</v>
      </c>
      <c r="R3" s="5">
        <v>1.2767000000000001E-2</v>
      </c>
      <c r="S3" s="5">
        <v>2.0124E-2</v>
      </c>
      <c r="T3" s="5">
        <v>1.5679999999999999E-2</v>
      </c>
      <c r="U3" s="5">
        <v>2.4715999999999998E-2</v>
      </c>
      <c r="V3" s="4"/>
      <c r="W3" s="4"/>
      <c r="X3" s="4"/>
      <c r="Y3" s="4"/>
      <c r="Z3" s="4"/>
      <c r="AA3" s="4"/>
      <c r="AB3" s="3"/>
      <c r="AC3" s="3"/>
      <c r="AD3" s="3"/>
      <c r="AE3" s="3"/>
      <c r="AF3" s="6"/>
      <c r="AG3" s="3"/>
      <c r="AH3" s="3"/>
      <c r="AI3" s="3"/>
    </row>
    <row r="4" spans="1:41">
      <c r="A4" s="29"/>
      <c r="B4" s="28"/>
      <c r="C4" s="2" t="s">
        <v>30</v>
      </c>
      <c r="E4" s="3">
        <v>248.32400000000001</v>
      </c>
      <c r="F4" s="3">
        <v>3.5219999999999998</v>
      </c>
      <c r="G4" s="23">
        <v>3.0273999999999999E-2</v>
      </c>
      <c r="H4" s="5">
        <v>9.0609999999999996E-3</v>
      </c>
      <c r="I4" s="5">
        <v>6.1960000000000001E-3</v>
      </c>
      <c r="J4" s="19"/>
      <c r="K4" s="19"/>
      <c r="L4" s="19"/>
      <c r="M4" s="5">
        <v>0.198022</v>
      </c>
      <c r="N4" s="5">
        <v>1.0581E-2</v>
      </c>
      <c r="O4" s="3"/>
      <c r="P4" s="5">
        <v>0.20708399999999999</v>
      </c>
      <c r="Q4" s="5">
        <v>9.8820000000000002E-3</v>
      </c>
      <c r="R4" s="5">
        <v>4.3756999999999997E-2</v>
      </c>
      <c r="S4" s="5">
        <v>2.9581E-2</v>
      </c>
      <c r="T4" s="5">
        <v>5.3740999999999997E-2</v>
      </c>
      <c r="U4" s="5">
        <v>3.6330000000000001E-2</v>
      </c>
      <c r="V4" s="4"/>
      <c r="W4" s="4"/>
      <c r="X4" s="4"/>
      <c r="Y4" s="4"/>
      <c r="Z4" s="4"/>
      <c r="AA4" s="4"/>
      <c r="AB4" s="7"/>
      <c r="AC4" s="3"/>
      <c r="AE4" s="3"/>
      <c r="AF4" s="3"/>
      <c r="AM4" s="3"/>
      <c r="AN4" s="3"/>
      <c r="AO4" s="3"/>
    </row>
    <row r="5" spans="1:41" s="17" customFormat="1" ht="22" customHeight="1">
      <c r="A5" s="29"/>
      <c r="B5" s="28"/>
      <c r="C5" s="13" t="s">
        <v>31</v>
      </c>
      <c r="D5" s="13"/>
      <c r="E5" s="14">
        <v>253.102</v>
      </c>
      <c r="F5" s="14">
        <v>2.6389999999999998</v>
      </c>
      <c r="G5" s="24">
        <v>5.2125999999999999E-2</v>
      </c>
      <c r="H5" s="17">
        <v>6.3569999999999998E-3</v>
      </c>
      <c r="I5" s="17">
        <v>5.2649999999999997E-3</v>
      </c>
      <c r="J5" s="18"/>
      <c r="K5" s="18"/>
      <c r="L5" s="18"/>
      <c r="M5" s="17">
        <v>0.19670599999999999</v>
      </c>
      <c r="N5" s="17">
        <v>1.0278000000000001E-2</v>
      </c>
      <c r="O5" s="18"/>
      <c r="P5" s="17">
        <v>0.20306299999999999</v>
      </c>
      <c r="Q5" s="17">
        <v>9.6579999999999999E-3</v>
      </c>
      <c r="R5" s="17">
        <v>3.1306E-2</v>
      </c>
      <c r="S5" s="17">
        <v>2.5745000000000001E-2</v>
      </c>
      <c r="T5" s="17">
        <v>3.8448999999999997E-2</v>
      </c>
      <c r="U5" s="17">
        <v>3.1619000000000001E-2</v>
      </c>
      <c r="W5" s="11"/>
      <c r="X5" s="11"/>
      <c r="Y5" s="11"/>
      <c r="Z5" s="11"/>
      <c r="AA5" s="11"/>
      <c r="AB5" s="14"/>
      <c r="AC5" s="16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ht="10" customHeight="1">
      <c r="A6" s="29"/>
      <c r="B6" s="1"/>
      <c r="G6" s="25"/>
      <c r="H6" s="6"/>
      <c r="I6" s="6"/>
      <c r="J6" s="6"/>
      <c r="K6" s="6"/>
      <c r="L6" s="6"/>
      <c r="M6" s="6"/>
      <c r="N6" s="6"/>
      <c r="O6" s="6"/>
      <c r="P6" s="6"/>
      <c r="Q6" s="6"/>
      <c r="R6" s="4"/>
      <c r="S6" s="4"/>
      <c r="T6" s="4"/>
      <c r="U6" s="4"/>
      <c r="V6" s="4"/>
      <c r="W6" s="4"/>
      <c r="X6" s="4"/>
      <c r="Y6" s="4"/>
      <c r="Z6" s="4"/>
      <c r="AA6" s="4"/>
      <c r="AB6" s="6"/>
      <c r="AC6" s="6"/>
      <c r="AD6" s="6"/>
      <c r="AE6" s="6"/>
      <c r="AG6" s="6"/>
      <c r="AH6" s="6"/>
      <c r="AI6" s="6"/>
      <c r="AJ6" s="6"/>
      <c r="AL6" s="6"/>
      <c r="AM6" s="6"/>
      <c r="AO6" s="6"/>
    </row>
    <row r="7" spans="1:41">
      <c r="A7" s="29"/>
      <c r="B7" s="28" t="s">
        <v>45</v>
      </c>
      <c r="C7" s="2" t="s">
        <v>28</v>
      </c>
      <c r="E7" s="3">
        <v>238.55</v>
      </c>
      <c r="F7" s="3">
        <v>6.6000000000000003E-2</v>
      </c>
      <c r="G7" s="23">
        <v>0.39828999999999998</v>
      </c>
      <c r="H7" s="3">
        <v>1.4660000000000001E-3</v>
      </c>
      <c r="I7" s="3">
        <v>5.8019999999999999E-3</v>
      </c>
      <c r="J7" s="3"/>
      <c r="K7" s="3">
        <v>7.0780000000000001E-3</v>
      </c>
      <c r="L7" s="3">
        <v>1.3249E-2</v>
      </c>
      <c r="M7" s="5">
        <v>0.20596600000000001</v>
      </c>
      <c r="N7" s="5">
        <v>1.3934E-2</v>
      </c>
      <c r="O7" s="3"/>
      <c r="P7" s="5">
        <v>0.21451000000000001</v>
      </c>
      <c r="Q7" s="5">
        <v>1.0168999999999999E-2</v>
      </c>
      <c r="R7" s="5">
        <v>6.8360000000000001E-3</v>
      </c>
      <c r="S7" s="5">
        <v>2.7042E-2</v>
      </c>
      <c r="T7" s="5">
        <v>8.3949999999999997E-3</v>
      </c>
      <c r="U7" s="5">
        <v>3.3211999999999998E-2</v>
      </c>
      <c r="V7" s="5">
        <v>3.2995999999999998E-2</v>
      </c>
      <c r="W7" s="5">
        <v>6.1674E-2</v>
      </c>
      <c r="X7" s="5">
        <v>4.0523999999999998E-2</v>
      </c>
      <c r="Y7" s="5">
        <v>7.5745999999999994E-2</v>
      </c>
      <c r="Z7" s="5">
        <v>3.9830999999999998E-2</v>
      </c>
      <c r="AA7" s="5">
        <v>4.9267999999999999E-2</v>
      </c>
      <c r="AB7" s="3"/>
      <c r="AC7" s="3"/>
      <c r="AD7" s="3"/>
      <c r="AE7" s="3"/>
      <c r="AF7" s="3"/>
    </row>
    <row r="8" spans="1:41">
      <c r="A8" s="29"/>
      <c r="B8" s="28"/>
      <c r="C8" s="2" t="s">
        <v>29</v>
      </c>
      <c r="E8" s="3">
        <v>245.827</v>
      </c>
      <c r="F8" s="3">
        <v>0.45</v>
      </c>
      <c r="G8" s="23">
        <v>0.25118000000000001</v>
      </c>
      <c r="H8" s="5">
        <v>1.6739999999999999E-3</v>
      </c>
      <c r="I8" s="5">
        <v>4.8970000000000003E-3</v>
      </c>
      <c r="J8" s="3"/>
      <c r="K8" s="5">
        <v>0</v>
      </c>
      <c r="L8" s="5">
        <v>1.1925E-2</v>
      </c>
      <c r="M8" s="5">
        <v>0.20758799999999999</v>
      </c>
      <c r="N8" s="5">
        <v>1.3465E-2</v>
      </c>
      <c r="O8" s="3"/>
      <c r="P8" s="5">
        <v>0.209263</v>
      </c>
      <c r="Q8" s="5">
        <v>9.9080000000000001E-3</v>
      </c>
      <c r="R8" s="5">
        <v>8.0020000000000004E-3</v>
      </c>
      <c r="S8" s="5">
        <v>2.3400000000000001E-2</v>
      </c>
      <c r="T8" s="5">
        <v>9.8279999999999999E-3</v>
      </c>
      <c r="U8" s="5">
        <v>2.8739000000000001E-2</v>
      </c>
      <c r="V8" s="5">
        <v>9.9999999999999995E-7</v>
      </c>
      <c r="W8" s="5">
        <v>5.6984E-2</v>
      </c>
      <c r="X8" s="5">
        <v>9.9999999999999995E-7</v>
      </c>
      <c r="Y8" s="5">
        <v>6.9985000000000006E-2</v>
      </c>
      <c r="Z8" s="5">
        <v>8.0029999999999997E-3</v>
      </c>
      <c r="AA8" s="9">
        <v>4.5712999999999997E-2</v>
      </c>
      <c r="AB8" s="3"/>
      <c r="AC8" s="3"/>
      <c r="AD8" s="3"/>
      <c r="AE8" s="3"/>
      <c r="AF8" s="3"/>
      <c r="AG8" s="3"/>
      <c r="AH8" s="3"/>
      <c r="AI8" s="3"/>
    </row>
    <row r="9" spans="1:41">
      <c r="A9" s="29"/>
      <c r="B9" s="28"/>
      <c r="C9" s="2" t="s">
        <v>30</v>
      </c>
      <c r="E9" s="3">
        <v>248.94800000000001</v>
      </c>
      <c r="F9" s="3">
        <v>0.10100000000000001</v>
      </c>
      <c r="G9" s="23">
        <v>0.37540000000000001</v>
      </c>
      <c r="H9" s="5">
        <v>2.323E-3</v>
      </c>
      <c r="I9" s="5">
        <v>6.9459999999999999E-3</v>
      </c>
      <c r="J9" s="3"/>
      <c r="K9" s="5">
        <v>1.721E-2</v>
      </c>
      <c r="L9" s="5">
        <v>1.4636E-2</v>
      </c>
      <c r="M9" s="5">
        <v>0.18757399999999999</v>
      </c>
      <c r="N9" s="5">
        <v>1.3686E-2</v>
      </c>
      <c r="O9" s="3"/>
      <c r="P9" s="5">
        <v>0.20710700000000001</v>
      </c>
      <c r="Q9" s="5">
        <v>9.8910000000000005E-3</v>
      </c>
      <c r="R9" s="5">
        <v>1.1214999999999999E-2</v>
      </c>
      <c r="S9" s="5">
        <v>3.3522000000000003E-2</v>
      </c>
      <c r="T9" s="5">
        <v>1.3774E-2</v>
      </c>
      <c r="U9" s="5">
        <v>4.1170999999999999E-2</v>
      </c>
      <c r="V9" s="5">
        <v>8.3098000000000005E-2</v>
      </c>
      <c r="W9" s="5">
        <v>7.0213999999999999E-2</v>
      </c>
      <c r="X9" s="5">
        <v>0.102058</v>
      </c>
      <c r="Y9" s="5">
        <v>8.6234000000000005E-2</v>
      </c>
      <c r="Z9" s="5">
        <v>9.4312999999999994E-2</v>
      </c>
      <c r="AA9" s="9">
        <v>5.5640000000000002E-2</v>
      </c>
      <c r="AB9" s="3"/>
      <c r="AC9" s="7"/>
      <c r="AD9" s="3"/>
      <c r="AE9" s="3"/>
      <c r="AF9" s="6"/>
      <c r="AJ9" s="3"/>
      <c r="AK9" s="3"/>
      <c r="AL9" s="3"/>
      <c r="AM9" s="3"/>
      <c r="AN9" s="3"/>
      <c r="AO9" s="3"/>
    </row>
    <row r="10" spans="1:41" s="17" customFormat="1">
      <c r="A10" s="29"/>
      <c r="B10" s="28"/>
      <c r="C10" s="13" t="s">
        <v>31</v>
      </c>
      <c r="D10" s="13"/>
      <c r="E10" s="14">
        <v>253.161</v>
      </c>
      <c r="F10" s="14">
        <v>0.71299999999999997</v>
      </c>
      <c r="G10" s="24">
        <v>0.19927</v>
      </c>
      <c r="H10" s="17">
        <v>4.8399999999999997E-3</v>
      </c>
      <c r="I10" s="17">
        <v>6.5389999999999997E-3</v>
      </c>
      <c r="J10" s="14"/>
      <c r="K10" s="17">
        <v>4.751E-3</v>
      </c>
      <c r="L10" s="17">
        <v>1.32E-2</v>
      </c>
      <c r="M10" s="17">
        <v>0.19351699999999999</v>
      </c>
      <c r="N10" s="17">
        <v>1.34E-2</v>
      </c>
      <c r="P10" s="17">
        <v>0.20310800000000001</v>
      </c>
      <c r="Q10" s="17">
        <v>9.6640000000000007E-3</v>
      </c>
      <c r="R10" s="17">
        <v>2.383E-2</v>
      </c>
      <c r="S10" s="17">
        <v>3.2115999999999999E-2</v>
      </c>
      <c r="T10" s="17">
        <v>2.9267000000000001E-2</v>
      </c>
      <c r="U10" s="17">
        <v>3.9444E-2</v>
      </c>
      <c r="V10" s="17">
        <v>2.3390000000000001E-2</v>
      </c>
      <c r="W10" s="17">
        <v>6.4943000000000001E-2</v>
      </c>
      <c r="X10" s="17">
        <v>2.8726999999999999E-2</v>
      </c>
      <c r="Y10" s="17">
        <v>7.9760999999999999E-2</v>
      </c>
      <c r="Z10" s="17">
        <v>4.7219999999999998E-2</v>
      </c>
      <c r="AA10" s="15">
        <v>5.1389999999999998E-2</v>
      </c>
      <c r="AB10" s="14"/>
      <c r="AC10" s="16"/>
      <c r="AD10" s="14"/>
      <c r="AE10" s="21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ht="12" customHeight="1">
      <c r="R11" s="5"/>
      <c r="S11" s="5"/>
      <c r="T11" s="5"/>
      <c r="U11" s="5"/>
      <c r="V11" s="5"/>
      <c r="W11" s="5"/>
      <c r="X11" s="5"/>
      <c r="Y11" s="5"/>
      <c r="AB11" s="4"/>
      <c r="AC11" s="4"/>
    </row>
    <row r="12" spans="1:41">
      <c r="A12" s="27" t="s">
        <v>51</v>
      </c>
      <c r="B12" s="28" t="s">
        <v>44</v>
      </c>
      <c r="C12" s="2" t="s">
        <v>28</v>
      </c>
      <c r="E12" s="2">
        <v>-1136.847</v>
      </c>
      <c r="F12" s="5"/>
      <c r="G12" s="5"/>
      <c r="H12" s="5">
        <v>8.9488880000000007E-2</v>
      </c>
      <c r="I12" s="5">
        <v>0.10814182</v>
      </c>
      <c r="J12" s="5">
        <v>0.82751410000000003</v>
      </c>
      <c r="M12" s="5">
        <v>0.97393452000000003</v>
      </c>
      <c r="N12" s="5">
        <v>5.0258030000000002E-2</v>
      </c>
      <c r="O12" s="5">
        <v>19.378685600000001</v>
      </c>
      <c r="R12" s="5">
        <v>8.4151699999999996E-2</v>
      </c>
      <c r="S12" s="5">
        <v>9.5000000000000001E-2</v>
      </c>
      <c r="T12" s="5"/>
      <c r="U12" s="5"/>
      <c r="V12" s="5"/>
      <c r="W12" s="5"/>
      <c r="X12" s="5"/>
      <c r="Y12" s="5"/>
      <c r="Z12" s="4"/>
      <c r="AA12" s="4"/>
      <c r="AB12" s="4"/>
      <c r="AC12" s="4"/>
    </row>
    <row r="13" spans="1:41">
      <c r="A13" s="27"/>
      <c r="B13" s="28"/>
      <c r="C13" s="2" t="s">
        <v>29</v>
      </c>
      <c r="E13" s="2">
        <v>-1153.615</v>
      </c>
      <c r="F13" s="5"/>
      <c r="G13" s="5"/>
      <c r="H13" s="5">
        <v>6.3627370000000003E-2</v>
      </c>
      <c r="I13" s="5">
        <v>9.7490709999999994E-2</v>
      </c>
      <c r="J13" s="5">
        <v>0.65265059999999997</v>
      </c>
      <c r="M13" s="5">
        <v>0.98119142000000004</v>
      </c>
      <c r="N13" s="5">
        <v>4.9850529999999997E-2</v>
      </c>
      <c r="O13" s="5">
        <v>19.6826668</v>
      </c>
      <c r="R13" s="5">
        <v>6.0897989999999999E-2</v>
      </c>
      <c r="S13" s="5">
        <v>8.8999999999999996E-2</v>
      </c>
      <c r="T13" s="5"/>
      <c r="U13" s="5"/>
      <c r="V13" s="5"/>
      <c r="W13" s="5"/>
      <c r="X13" s="5"/>
      <c r="Y13" s="5"/>
      <c r="Z13" s="4"/>
      <c r="AA13" s="4"/>
      <c r="AB13" s="4"/>
      <c r="AC13" s="4"/>
    </row>
    <row r="14" spans="1:41">
      <c r="A14" s="27"/>
      <c r="B14" s="28"/>
      <c r="C14" s="2" t="s">
        <v>30</v>
      </c>
      <c r="E14" s="2">
        <v>-1167.4849999999999</v>
      </c>
      <c r="F14" s="5"/>
      <c r="G14" s="5"/>
      <c r="H14" s="5">
        <v>0.23148489999999999</v>
      </c>
      <c r="I14" s="5">
        <v>0.14993466</v>
      </c>
      <c r="J14" s="5">
        <v>1.5439050000000001</v>
      </c>
      <c r="M14" s="5">
        <v>0.94015720000000003</v>
      </c>
      <c r="N14" s="5">
        <v>5.050926E-2</v>
      </c>
      <c r="O14" s="5">
        <v>18.613562999999999</v>
      </c>
      <c r="R14" s="5">
        <v>0.197573</v>
      </c>
      <c r="S14" s="5">
        <v>0.106</v>
      </c>
      <c r="T14" s="5"/>
      <c r="U14" s="5"/>
      <c r="V14" s="5"/>
      <c r="W14" s="5"/>
      <c r="X14" s="5"/>
      <c r="Y14" s="5"/>
      <c r="Z14" s="4"/>
      <c r="AA14" s="4"/>
      <c r="AB14" s="4"/>
      <c r="AC14" s="4"/>
    </row>
    <row r="15" spans="1:41" s="17" customFormat="1">
      <c r="A15" s="27"/>
      <c r="B15" s="28"/>
      <c r="C15" s="13" t="s">
        <v>31</v>
      </c>
      <c r="D15" s="13"/>
      <c r="E15" s="13">
        <v>253.06280000000001</v>
      </c>
      <c r="H15" s="17">
        <v>0.14283190000000001</v>
      </c>
      <c r="I15" s="17">
        <v>0.12480574999999999</v>
      </c>
      <c r="J15" s="17">
        <v>1.144434</v>
      </c>
      <c r="M15" s="17">
        <v>0.96355250000000003</v>
      </c>
      <c r="N15" s="17">
        <v>5.017286E-2</v>
      </c>
      <c r="O15" s="17">
        <v>19.204656</v>
      </c>
      <c r="R15" s="17">
        <v>0.12909789999999999</v>
      </c>
      <c r="S15" s="17">
        <v>0.10100000000000001</v>
      </c>
      <c r="AA15" s="15"/>
      <c r="AB15" s="15"/>
      <c r="AC15" s="15"/>
    </row>
    <row r="16" spans="1:41">
      <c r="A16" s="27"/>
      <c r="R16" s="5"/>
      <c r="S16" s="5"/>
      <c r="T16" s="5"/>
      <c r="U16" s="5"/>
      <c r="V16" s="5"/>
    </row>
    <row r="17" spans="1:27">
      <c r="A17" s="27"/>
      <c r="B17" s="28" t="s">
        <v>45</v>
      </c>
      <c r="C17" s="13" t="s">
        <v>31</v>
      </c>
      <c r="H17" s="5">
        <v>6.0749839999999997</v>
      </c>
      <c r="I17" s="5">
        <v>10.37068</v>
      </c>
      <c r="J17" s="5">
        <v>0.58578439999999998</v>
      </c>
      <c r="K17" s="5">
        <v>180.51089999999999</v>
      </c>
      <c r="L17" s="5">
        <v>12.426550000000001</v>
      </c>
    </row>
    <row r="18" spans="1:27">
      <c r="A18" s="27"/>
      <c r="B18" s="28"/>
    </row>
    <row r="19" spans="1:27">
      <c r="A19" s="27"/>
      <c r="B19" s="28"/>
      <c r="V19" s="4"/>
      <c r="W19" s="4"/>
      <c r="X19" s="4"/>
      <c r="Y19" s="4"/>
      <c r="Z19" s="4"/>
      <c r="AA19" s="4"/>
    </row>
    <row r="20" spans="1:27">
      <c r="A20" s="27"/>
      <c r="B20" s="28"/>
      <c r="V20" s="4"/>
      <c r="W20" s="4"/>
      <c r="X20" s="4"/>
      <c r="Y20" s="4"/>
      <c r="Z20" s="4"/>
      <c r="AA20" s="4"/>
    </row>
    <row r="21" spans="1:27">
      <c r="V21" s="4"/>
      <c r="W21" s="4"/>
      <c r="X21" s="4"/>
      <c r="Y21" s="4"/>
      <c r="Z21" s="4"/>
      <c r="AA21" s="4"/>
    </row>
    <row r="22" spans="1:27">
      <c r="V22" s="4"/>
      <c r="W22" s="4"/>
      <c r="X22" s="4"/>
      <c r="Y22" s="4"/>
      <c r="Z22" s="4"/>
      <c r="AA22" s="4"/>
    </row>
    <row r="23" spans="1:27">
      <c r="V23" s="4"/>
      <c r="W23" s="4"/>
      <c r="X23" s="4"/>
      <c r="Y23" s="4"/>
      <c r="Z23" s="4"/>
      <c r="AA23" s="4"/>
    </row>
    <row r="24" spans="1:27">
      <c r="V24" s="4"/>
      <c r="W24" s="4"/>
      <c r="X24" s="4"/>
      <c r="Y24" s="4"/>
      <c r="Z24" s="4"/>
      <c r="AA24" s="4"/>
    </row>
    <row r="25" spans="1:27">
      <c r="V25" s="4"/>
      <c r="W25" s="4"/>
      <c r="X25" s="4"/>
      <c r="Y25" s="4"/>
      <c r="Z25" s="4"/>
      <c r="AA25" s="4"/>
    </row>
    <row r="26" spans="1:27">
      <c r="V26" s="4"/>
      <c r="W26" s="4"/>
      <c r="X26" s="4"/>
      <c r="Y26" s="4"/>
      <c r="Z26" s="4"/>
      <c r="AA26" s="4"/>
    </row>
    <row r="27" spans="1:27">
      <c r="V27" s="4"/>
      <c r="W27" s="4"/>
      <c r="X27" s="4"/>
      <c r="Y27" s="4"/>
      <c r="Z27" s="4"/>
      <c r="AA27" s="4"/>
    </row>
    <row r="28" spans="1:27">
      <c r="V28" s="12"/>
      <c r="W28" s="12"/>
      <c r="X28" s="12"/>
      <c r="Y28" s="12"/>
      <c r="Z28" s="12"/>
      <c r="AA28" s="12"/>
    </row>
    <row r="29" spans="1:27">
      <c r="V29" s="4"/>
      <c r="W29" s="4"/>
      <c r="X29" s="4"/>
      <c r="Y29" s="4"/>
      <c r="Z29" s="4"/>
      <c r="AA29" s="4"/>
    </row>
    <row r="30" spans="1:27">
      <c r="V30" s="4"/>
      <c r="W30" s="4"/>
      <c r="X30" s="4"/>
      <c r="Y30" s="4"/>
      <c r="Z30" s="4"/>
      <c r="AA30" s="4"/>
    </row>
    <row r="32" spans="1:27">
      <c r="V32" s="4"/>
      <c r="W32" s="4"/>
      <c r="X32" s="4"/>
      <c r="Y32" s="4"/>
      <c r="Z32" s="4"/>
      <c r="AA32" s="4"/>
    </row>
    <row r="33" spans="22:27">
      <c r="V33" s="4"/>
      <c r="W33" s="4"/>
      <c r="X33" s="4"/>
      <c r="Y33" s="4"/>
      <c r="Z33" s="4"/>
      <c r="AA33" s="4"/>
    </row>
    <row r="38" spans="22:27">
      <c r="V38" s="4"/>
      <c r="W38" s="4"/>
      <c r="X38" s="4"/>
      <c r="Y38" s="4"/>
      <c r="Z38" s="4"/>
      <c r="AA38" s="4"/>
    </row>
    <row r="39" spans="22:27">
      <c r="V39" s="4"/>
      <c r="W39" s="4"/>
      <c r="X39" s="4"/>
      <c r="Y39" s="4"/>
      <c r="Z39" s="4"/>
      <c r="AA39" s="4"/>
    </row>
    <row r="40" spans="22:27">
      <c r="V40" s="4"/>
      <c r="W40" s="4"/>
      <c r="X40" s="4"/>
      <c r="Y40" s="4"/>
      <c r="Z40" s="4"/>
      <c r="AA40" s="4"/>
    </row>
    <row r="41" spans="22:27">
      <c r="V41" s="4"/>
      <c r="W41" s="4"/>
      <c r="X41" s="4"/>
      <c r="Y41" s="4"/>
      <c r="Z41" s="4"/>
      <c r="AA41" s="4"/>
    </row>
    <row r="44" spans="22:27">
      <c r="V44" s="5"/>
      <c r="W44" s="5"/>
      <c r="X44" s="5"/>
      <c r="Y44" s="5"/>
      <c r="Z44" s="5"/>
      <c r="AA44" s="5"/>
    </row>
  </sheetData>
  <mergeCells count="6">
    <mergeCell ref="B17:B20"/>
    <mergeCell ref="B2:B5"/>
    <mergeCell ref="B7:B10"/>
    <mergeCell ref="B12:B15"/>
    <mergeCell ref="A2:A10"/>
    <mergeCell ref="A12:A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CAB3-07B3-9A4E-849A-B8F13D9566B0}">
  <dimension ref="A1:AK44"/>
  <sheetViews>
    <sheetView zoomScale="120" zoomScaleNormal="12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R15" activeCellId="2" sqref="H15:I15 K15:N15 R15:S15"/>
    </sheetView>
  </sheetViews>
  <sheetFormatPr baseColWidth="10" defaultColWidth="9.33203125" defaultRowHeight="19"/>
  <cols>
    <col min="1" max="1" width="9.33203125" style="5"/>
    <col min="2" max="2" width="9.33203125" style="8"/>
    <col min="3" max="6" width="9.33203125" style="2"/>
    <col min="7" max="7" width="9.83203125" style="2" bestFit="1" customWidth="1"/>
    <col min="8" max="17" width="9.33203125" style="5"/>
    <col min="18" max="23" width="9.33203125" style="9"/>
    <col min="24" max="16384" width="9.33203125" style="5"/>
  </cols>
  <sheetData>
    <row r="1" spans="1:37" s="10" customFormat="1" ht="61" customHeight="1">
      <c r="B1" s="10" t="s">
        <v>53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6</v>
      </c>
      <c r="Q1" s="10" t="s">
        <v>32</v>
      </c>
      <c r="R1" s="10" t="s">
        <v>7</v>
      </c>
      <c r="S1" s="10" t="s">
        <v>8</v>
      </c>
      <c r="T1" s="10" t="s">
        <v>9</v>
      </c>
      <c r="U1" s="10" t="s">
        <v>10</v>
      </c>
      <c r="V1" s="10" t="s">
        <v>11</v>
      </c>
      <c r="W1" s="10" t="s">
        <v>12</v>
      </c>
      <c r="X1" s="10" t="s">
        <v>13</v>
      </c>
      <c r="Y1" s="10" t="s">
        <v>14</v>
      </c>
      <c r="Z1" s="10" t="s">
        <v>15</v>
      </c>
      <c r="AA1" s="10" t="s">
        <v>16</v>
      </c>
      <c r="AB1" s="10" t="s">
        <v>17</v>
      </c>
      <c r="AC1" s="20" t="s">
        <v>18</v>
      </c>
      <c r="AD1" s="20" t="s">
        <v>19</v>
      </c>
      <c r="AE1" s="20" t="s">
        <v>20</v>
      </c>
      <c r="AF1" s="20" t="s">
        <v>21</v>
      </c>
      <c r="AG1" s="20" t="s">
        <v>22</v>
      </c>
      <c r="AH1" s="20" t="s">
        <v>23</v>
      </c>
      <c r="AI1" s="20" t="s">
        <v>24</v>
      </c>
      <c r="AJ1" s="20" t="s">
        <v>25</v>
      </c>
      <c r="AK1" s="20" t="s">
        <v>26</v>
      </c>
    </row>
    <row r="2" spans="1:37" ht="19" customHeight="1">
      <c r="A2" s="31" t="s">
        <v>52</v>
      </c>
      <c r="B2" s="28" t="s">
        <v>44</v>
      </c>
      <c r="C2" s="2" t="s">
        <v>28</v>
      </c>
      <c r="E2" s="3">
        <v>-1062.433</v>
      </c>
      <c r="F2" s="3">
        <v>0.67200000000000004</v>
      </c>
      <c r="G2" s="23">
        <v>0.20624999999999999</v>
      </c>
      <c r="H2" s="2">
        <v>7.9806000000000002E-2</v>
      </c>
      <c r="I2" s="5">
        <v>9.9919999999999995E-2</v>
      </c>
      <c r="J2" s="19"/>
      <c r="K2" s="19"/>
      <c r="L2" s="19"/>
      <c r="M2" s="2">
        <v>3.8587370000000001</v>
      </c>
      <c r="N2" s="5">
        <v>0.202129</v>
      </c>
      <c r="O2" s="19"/>
      <c r="P2" s="2">
        <v>3.938542</v>
      </c>
      <c r="Q2" s="5">
        <v>0.18673799999999999</v>
      </c>
      <c r="R2" s="2">
        <v>2.0263E-2</v>
      </c>
      <c r="S2" s="5">
        <v>2.5284999999999998E-2</v>
      </c>
      <c r="T2" s="4"/>
      <c r="U2" s="4"/>
      <c r="V2" s="4"/>
      <c r="W2" s="4"/>
      <c r="X2" s="3"/>
      <c r="Y2" s="3"/>
      <c r="Z2" s="3"/>
      <c r="AA2" s="3"/>
      <c r="AB2" s="3"/>
      <c r="AD2" s="6"/>
      <c r="AE2" s="6"/>
    </row>
    <row r="3" spans="1:37">
      <c r="A3" s="31"/>
      <c r="B3" s="28"/>
      <c r="C3" s="2" t="s">
        <v>29</v>
      </c>
      <c r="E3" s="3">
        <v>-1054.702</v>
      </c>
      <c r="F3" s="3">
        <v>0.97299999999999998</v>
      </c>
      <c r="G3" s="23">
        <v>0.16198000000000001</v>
      </c>
      <c r="H3" s="2">
        <v>7.2779999999999997E-2</v>
      </c>
      <c r="I3" s="5">
        <v>8.9074E-2</v>
      </c>
      <c r="J3" s="19"/>
      <c r="K3" s="19"/>
      <c r="L3" s="19"/>
      <c r="M3" s="2">
        <v>3.7847749999999998</v>
      </c>
      <c r="N3" s="5">
        <v>0.19517599999999999</v>
      </c>
      <c r="O3" s="19"/>
      <c r="P3" s="2">
        <v>3.8575550000000001</v>
      </c>
      <c r="Q3" s="5">
        <v>0.182918</v>
      </c>
      <c r="R3" s="2">
        <v>1.8866999999999998E-2</v>
      </c>
      <c r="S3" s="5">
        <v>2.3016999999999999E-2</v>
      </c>
      <c r="T3" s="4"/>
      <c r="U3" s="4"/>
      <c r="V3" s="4"/>
      <c r="W3" s="4"/>
      <c r="X3" s="3"/>
      <c r="Y3" s="3"/>
      <c r="Z3" s="3"/>
      <c r="AA3" s="3"/>
      <c r="AB3" s="6"/>
      <c r="AC3" s="3"/>
      <c r="AD3" s="3"/>
      <c r="AE3" s="3"/>
    </row>
    <row r="4" spans="1:37">
      <c r="A4" s="31"/>
      <c r="B4" s="28"/>
      <c r="C4" s="2" t="s">
        <v>30</v>
      </c>
      <c r="E4" s="3">
        <v>-1050.8689999999999</v>
      </c>
      <c r="F4" s="3">
        <v>4.7030000000000003</v>
      </c>
      <c r="G4" s="23">
        <v>1.5051999999999999E-2</v>
      </c>
      <c r="H4" s="2">
        <v>0.23188</v>
      </c>
      <c r="I4" s="5">
        <v>0.13319900000000001</v>
      </c>
      <c r="J4" s="19"/>
      <c r="K4" s="19"/>
      <c r="L4" s="19"/>
      <c r="M4" s="2">
        <v>3.5832220000000001</v>
      </c>
      <c r="N4" s="5">
        <v>0.197103</v>
      </c>
      <c r="O4" s="19"/>
      <c r="P4" s="2">
        <v>3.815102</v>
      </c>
      <c r="Q4" s="5">
        <v>0.18341199999999999</v>
      </c>
      <c r="R4" s="2">
        <v>6.0780000000000001E-2</v>
      </c>
      <c r="S4" s="5">
        <v>3.4280999999999999E-2</v>
      </c>
      <c r="T4" s="4"/>
      <c r="U4" s="4"/>
      <c r="V4" s="4"/>
      <c r="W4" s="4"/>
      <c r="X4" s="7"/>
      <c r="Y4" s="3"/>
      <c r="AA4" s="3"/>
      <c r="AB4" s="3"/>
      <c r="AI4" s="3"/>
      <c r="AJ4" s="3"/>
      <c r="AK4" s="3"/>
    </row>
    <row r="5" spans="1:37" s="17" customFormat="1" ht="22" customHeight="1">
      <c r="A5" s="31"/>
      <c r="B5" s="28"/>
      <c r="C5" s="13" t="s">
        <v>31</v>
      </c>
      <c r="D5" s="13"/>
      <c r="E5" s="14">
        <v>-1045.732</v>
      </c>
      <c r="F5" s="14">
        <v>4.1769999999999996</v>
      </c>
      <c r="G5" s="24">
        <v>2.0490000000000001E-2</v>
      </c>
      <c r="H5" s="13">
        <v>0.17054900000000001</v>
      </c>
      <c r="I5" s="17">
        <v>0.114022</v>
      </c>
      <c r="J5" s="18"/>
      <c r="K5" s="18"/>
      <c r="L5" s="18"/>
      <c r="M5" s="13">
        <v>3.5755479999999999</v>
      </c>
      <c r="N5" s="17">
        <v>0.19156699999999999</v>
      </c>
      <c r="O5" s="18"/>
      <c r="P5" s="13">
        <v>3.7460969999999998</v>
      </c>
      <c r="Q5" s="17">
        <v>0.17901400000000001</v>
      </c>
      <c r="R5" s="13">
        <v>4.5526999999999998E-2</v>
      </c>
      <c r="S5" s="17">
        <v>3.0068000000000001E-2</v>
      </c>
      <c r="T5" s="11"/>
      <c r="U5" s="11"/>
      <c r="V5" s="11"/>
      <c r="W5" s="11"/>
      <c r="X5" s="14"/>
      <c r="Y5" s="16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ht="10" customHeight="1">
      <c r="A6" s="31"/>
      <c r="B6" s="1"/>
      <c r="G6" s="25"/>
      <c r="H6" s="6"/>
      <c r="I6" s="6"/>
      <c r="J6" s="6"/>
      <c r="K6" s="6"/>
      <c r="L6" s="6"/>
      <c r="M6" s="6"/>
      <c r="N6" s="6"/>
      <c r="O6" s="6"/>
      <c r="P6" s="6"/>
      <c r="Q6" s="6"/>
      <c r="R6" s="4"/>
      <c r="S6" s="4"/>
      <c r="T6" s="4"/>
      <c r="U6" s="4"/>
      <c r="V6" s="4"/>
      <c r="W6" s="4"/>
      <c r="X6" s="6"/>
      <c r="Y6" s="6"/>
      <c r="Z6" s="6"/>
      <c r="AA6" s="6"/>
      <c r="AC6" s="6"/>
      <c r="AD6" s="6"/>
      <c r="AE6" s="6"/>
      <c r="AF6" s="6"/>
      <c r="AH6" s="6"/>
      <c r="AI6" s="6"/>
      <c r="AK6" s="6"/>
    </row>
    <row r="7" spans="1:37">
      <c r="A7" s="31"/>
      <c r="B7" s="28" t="s">
        <v>45</v>
      </c>
      <c r="C7" s="2" t="s">
        <v>28</v>
      </c>
      <c r="E7" s="3">
        <v>-1061.393</v>
      </c>
      <c r="F7" s="3">
        <v>0</v>
      </c>
      <c r="G7" s="23">
        <v>0.5</v>
      </c>
      <c r="H7" s="2">
        <v>3.9999999999999998E-6</v>
      </c>
      <c r="I7" s="5">
        <v>0.14181099999999999</v>
      </c>
      <c r="J7" s="3"/>
      <c r="K7" s="2">
        <v>0.39845399999999997</v>
      </c>
      <c r="L7" s="5">
        <v>0.28560999999999998</v>
      </c>
      <c r="M7" s="2">
        <v>3.533382</v>
      </c>
      <c r="N7" s="5">
        <v>0.25933</v>
      </c>
      <c r="O7" s="3"/>
      <c r="P7" s="2">
        <v>3.9318399999999998</v>
      </c>
      <c r="Q7" s="5">
        <v>0.188078</v>
      </c>
      <c r="R7" s="2">
        <v>9.9999999999999995E-7</v>
      </c>
      <c r="S7" s="5">
        <v>3.6067000000000002E-2</v>
      </c>
      <c r="T7" s="2">
        <v>0.10134</v>
      </c>
      <c r="U7" s="5">
        <v>7.2035000000000002E-2</v>
      </c>
      <c r="V7" s="5">
        <v>0.101341</v>
      </c>
      <c r="W7" s="5">
        <v>5.6764000000000002E-2</v>
      </c>
      <c r="X7" s="3"/>
      <c r="Y7" s="3"/>
      <c r="Z7" s="3"/>
      <c r="AA7" s="3"/>
      <c r="AB7" s="3"/>
    </row>
    <row r="8" spans="1:37">
      <c r="A8" s="31"/>
      <c r="B8" s="28"/>
      <c r="C8" s="2" t="s">
        <v>29</v>
      </c>
      <c r="E8" s="3">
        <v>-1054.5640000000001</v>
      </c>
      <c r="F8" s="3">
        <v>7.1999999999999995E-2</v>
      </c>
      <c r="G8" s="23">
        <v>0.39443</v>
      </c>
      <c r="H8" s="2">
        <v>2.8871999999999998E-2</v>
      </c>
      <c r="I8" s="5">
        <v>0.10820100000000001</v>
      </c>
      <c r="J8" s="3"/>
      <c r="K8" s="2">
        <v>0.137576</v>
      </c>
      <c r="L8" s="5">
        <v>0.24642500000000001</v>
      </c>
      <c r="M8" s="2">
        <v>3.692558</v>
      </c>
      <c r="N8" s="5">
        <v>0.25363200000000002</v>
      </c>
      <c r="O8" s="3"/>
      <c r="P8" s="2">
        <v>3.8590059999999999</v>
      </c>
      <c r="Q8" s="5">
        <v>0.18313699999999999</v>
      </c>
      <c r="R8" s="2">
        <v>7.4819999999999999E-3</v>
      </c>
      <c r="S8" s="5">
        <v>2.8032000000000001E-2</v>
      </c>
      <c r="T8" s="2">
        <v>3.5651000000000002E-2</v>
      </c>
      <c r="U8" s="5">
        <v>6.3753000000000004E-2</v>
      </c>
      <c r="V8" s="5">
        <v>4.3131999999999997E-2</v>
      </c>
      <c r="W8" s="5">
        <v>5.0692000000000001E-2</v>
      </c>
      <c r="X8" s="3"/>
      <c r="Y8" s="3"/>
      <c r="Z8" s="3"/>
      <c r="AA8" s="3"/>
      <c r="AB8" s="3"/>
      <c r="AC8" s="3"/>
      <c r="AD8" s="3"/>
      <c r="AE8" s="3"/>
    </row>
    <row r="9" spans="1:37">
      <c r="A9" s="31"/>
      <c r="B9" s="28"/>
      <c r="C9" s="2" t="s">
        <v>30</v>
      </c>
      <c r="E9" s="3">
        <v>-1049.251</v>
      </c>
      <c r="F9" s="3">
        <v>0</v>
      </c>
      <c r="G9" s="23">
        <v>0.5</v>
      </c>
      <c r="H9" s="2">
        <v>3.9999999999999998E-6</v>
      </c>
      <c r="I9" s="5">
        <v>0.13919100000000001</v>
      </c>
      <c r="J9" s="3"/>
      <c r="K9" s="2">
        <v>0.54227999999999998</v>
      </c>
      <c r="L9" s="5">
        <v>0.29154799999999997</v>
      </c>
      <c r="M9" s="2">
        <v>3.267353</v>
      </c>
      <c r="N9" s="5">
        <v>0.25197399999999998</v>
      </c>
      <c r="O9" s="3"/>
      <c r="P9" s="2">
        <v>3.8096369999999999</v>
      </c>
      <c r="Q9" s="5">
        <v>0.18340000000000001</v>
      </c>
      <c r="R9" s="2">
        <v>9.9999999999999995E-7</v>
      </c>
      <c r="S9" s="5">
        <v>3.6537E-2</v>
      </c>
      <c r="T9" s="2">
        <v>0.142344</v>
      </c>
      <c r="U9" s="5">
        <v>7.5312000000000004E-2</v>
      </c>
      <c r="V9" s="5">
        <v>0.142345</v>
      </c>
      <c r="W9" s="5">
        <v>5.9596000000000003E-2</v>
      </c>
      <c r="X9" s="3"/>
      <c r="Y9" s="7"/>
      <c r="Z9" s="3"/>
      <c r="AA9" s="3"/>
      <c r="AB9" s="6"/>
      <c r="AF9" s="3"/>
      <c r="AG9" s="3"/>
      <c r="AH9" s="3"/>
      <c r="AI9" s="3"/>
      <c r="AJ9" s="3"/>
      <c r="AK9" s="3"/>
    </row>
    <row r="10" spans="1:37" s="17" customFormat="1">
      <c r="A10" s="31"/>
      <c r="B10" s="28"/>
      <c r="C10" s="13" t="s">
        <v>31</v>
      </c>
      <c r="D10" s="13"/>
      <c r="E10" s="14">
        <v>-1045.252</v>
      </c>
      <c r="F10" s="14">
        <v>0.32700000000000001</v>
      </c>
      <c r="G10" s="24">
        <v>0.28366000000000002</v>
      </c>
      <c r="H10" s="13">
        <v>7.0677000000000004E-2</v>
      </c>
      <c r="I10" s="17">
        <v>0.130277</v>
      </c>
      <c r="J10" s="14"/>
      <c r="K10" s="13">
        <v>0.27419100000000002</v>
      </c>
      <c r="L10" s="17">
        <v>0.26749000000000001</v>
      </c>
      <c r="M10" s="13">
        <v>3.40273</v>
      </c>
      <c r="N10" s="17">
        <v>0.25036399999999998</v>
      </c>
      <c r="O10" s="14"/>
      <c r="P10" s="13">
        <v>3.7475969999999998</v>
      </c>
      <c r="Q10" s="17">
        <v>0.179258</v>
      </c>
      <c r="R10" s="13">
        <v>1.8859000000000001E-2</v>
      </c>
      <c r="S10" s="17">
        <v>3.4710999999999999E-2</v>
      </c>
      <c r="T10" s="13">
        <v>7.3164000000000007E-2</v>
      </c>
      <c r="U10" s="17">
        <v>7.1017999999999998E-2</v>
      </c>
      <c r="V10" s="17">
        <v>9.2023999999999995E-2</v>
      </c>
      <c r="W10" s="17">
        <v>5.6498E-2</v>
      </c>
      <c r="X10" s="14"/>
      <c r="Y10" s="16"/>
      <c r="Z10" s="14"/>
      <c r="AA10" s="21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ht="12" customHeight="1">
      <c r="B11" s="5"/>
      <c r="C11" s="8"/>
      <c r="G11" s="25"/>
      <c r="H11" s="2"/>
      <c r="R11" s="5"/>
      <c r="S11" s="5"/>
      <c r="T11" s="5"/>
      <c r="U11" s="5"/>
      <c r="V11" s="5"/>
      <c r="W11" s="5"/>
      <c r="Y11" s="9"/>
      <c r="Z11" s="9"/>
      <c r="AA11" s="4"/>
      <c r="AB11" s="4"/>
    </row>
    <row r="12" spans="1:37">
      <c r="A12" s="30" t="s">
        <v>51</v>
      </c>
      <c r="B12" s="28" t="s">
        <v>44</v>
      </c>
      <c r="C12" s="2" t="s">
        <v>28</v>
      </c>
      <c r="E12" s="2">
        <v>-1808.0820000000001</v>
      </c>
      <c r="G12" s="25"/>
      <c r="H12" s="5">
        <v>0.40684100000000001</v>
      </c>
      <c r="I12" s="5">
        <v>0.53038560000000001</v>
      </c>
      <c r="J12" s="5">
        <v>0.76706649999999998</v>
      </c>
      <c r="M12" s="5">
        <v>20.475655</v>
      </c>
      <c r="N12" s="5">
        <v>1.0723217</v>
      </c>
      <c r="O12" s="5">
        <v>19.094694</v>
      </c>
      <c r="P12" s="5">
        <f>H12+M12</f>
        <v>20.882496</v>
      </c>
      <c r="Q12" s="5">
        <f>SQRT( I12^2+N12^2)</f>
        <v>1.1963204892411774</v>
      </c>
      <c r="R12" s="5">
        <v>1.9482389999999999E-2</v>
      </c>
      <c r="S12" s="5">
        <v>2.5000000000000001E-2</v>
      </c>
      <c r="T12" s="5"/>
      <c r="U12" s="5"/>
      <c r="V12" s="5"/>
      <c r="W12" s="5"/>
      <c r="Y12" s="4"/>
      <c r="Z12" s="4"/>
      <c r="AA12" s="4"/>
      <c r="AB12" s="4"/>
    </row>
    <row r="13" spans="1:37">
      <c r="A13" s="30"/>
      <c r="B13" s="28"/>
      <c r="C13" s="2" t="s">
        <v>29</v>
      </c>
      <c r="E13" s="2">
        <v>-1799.509</v>
      </c>
      <c r="G13" s="25"/>
      <c r="H13" s="5">
        <v>0.37967689999999998</v>
      </c>
      <c r="I13" s="5">
        <v>0.47385359999999999</v>
      </c>
      <c r="J13" s="5">
        <v>0.80125369999999996</v>
      </c>
      <c r="M13" s="5">
        <v>20.0741923</v>
      </c>
      <c r="N13" s="5">
        <v>1.035293</v>
      </c>
      <c r="O13" s="5">
        <v>19.389865400000001</v>
      </c>
      <c r="P13" s="5">
        <f>H13+M13</f>
        <v>20.4538692</v>
      </c>
      <c r="Q13" s="5">
        <f>SQRT( I13^2+N13^2)</f>
        <v>1.13858193823807</v>
      </c>
      <c r="R13" s="5">
        <v>1.8562599999999999E-2</v>
      </c>
      <c r="S13" s="5">
        <v>2.3E-2</v>
      </c>
      <c r="T13" s="5"/>
      <c r="U13" s="5"/>
      <c r="V13" s="5"/>
      <c r="W13" s="5"/>
      <c r="Y13" s="4"/>
      <c r="Z13" s="4"/>
      <c r="AA13" s="4"/>
      <c r="AB13" s="4"/>
    </row>
    <row r="14" spans="1:37">
      <c r="A14" s="30"/>
      <c r="B14" s="28"/>
      <c r="C14" s="2" t="s">
        <v>30</v>
      </c>
      <c r="E14" s="2">
        <v>-1795.7550000000001</v>
      </c>
      <c r="G14" s="25"/>
      <c r="H14" s="5">
        <v>1.214804</v>
      </c>
      <c r="I14" s="5">
        <v>0.7096789</v>
      </c>
      <c r="J14" s="5">
        <v>1.711765</v>
      </c>
      <c r="M14" s="5">
        <v>19.016843000000001</v>
      </c>
      <c r="N14" s="5">
        <v>1.0469515</v>
      </c>
      <c r="O14" s="5">
        <v>18.164016</v>
      </c>
      <c r="P14" s="5">
        <f>H14+M14</f>
        <v>20.231647000000002</v>
      </c>
      <c r="Q14" s="5">
        <f>SQRT( I14^2+N14^2)</f>
        <v>1.2648128653905526</v>
      </c>
      <c r="R14" s="5">
        <v>6.0044729999999998E-2</v>
      </c>
      <c r="S14" s="5">
        <v>3.4000000000000002E-2</v>
      </c>
      <c r="T14" s="5"/>
      <c r="U14" s="5"/>
      <c r="V14" s="5"/>
      <c r="W14" s="5"/>
      <c r="Y14" s="4"/>
      <c r="Z14" s="4"/>
      <c r="AA14" s="4"/>
      <c r="AB14" s="4"/>
    </row>
    <row r="15" spans="1:37">
      <c r="A15" s="30"/>
      <c r="B15" s="28"/>
      <c r="C15" s="2" t="s">
        <v>31</v>
      </c>
      <c r="D15" s="5"/>
      <c r="E15" s="2">
        <v>-1789.748</v>
      </c>
      <c r="G15" s="25"/>
      <c r="H15" s="5">
        <v>0.89504430000000001</v>
      </c>
      <c r="I15" s="5">
        <v>0.60669079999999997</v>
      </c>
      <c r="J15" s="5">
        <v>1.4752890000000001</v>
      </c>
      <c r="M15" s="5">
        <v>18.9700235</v>
      </c>
      <c r="N15" s="5">
        <v>1.0167085</v>
      </c>
      <c r="O15" s="5">
        <v>18.658272</v>
      </c>
      <c r="P15" s="5">
        <f>H15+M15</f>
        <v>19.865067799999998</v>
      </c>
      <c r="Q15" s="5">
        <f>SQRT( I15^2+N15^2)</f>
        <v>1.1839636399724824</v>
      </c>
      <c r="R15" s="5">
        <v>4.5056190000000003E-2</v>
      </c>
      <c r="S15" s="5">
        <v>0.03</v>
      </c>
      <c r="T15" s="5"/>
      <c r="U15" s="5"/>
      <c r="V15" s="5"/>
      <c r="W15" s="5"/>
      <c r="Z15" s="9"/>
      <c r="AA15" s="9"/>
      <c r="AB15" s="9"/>
    </row>
    <row r="16" spans="1:37">
      <c r="A16" s="30"/>
      <c r="G16" s="25"/>
      <c r="R16" s="5"/>
      <c r="S16" s="5"/>
      <c r="T16" s="5"/>
    </row>
    <row r="17" spans="1:23" ht="80">
      <c r="A17" s="30"/>
      <c r="B17" s="10" t="s">
        <v>45</v>
      </c>
      <c r="C17" s="13" t="s">
        <v>31</v>
      </c>
      <c r="E17" s="2">
        <v>-1789.2280000000001</v>
      </c>
      <c r="H17" s="5">
        <v>0.34595819999999999</v>
      </c>
      <c r="I17" s="5">
        <v>0.68457270000000003</v>
      </c>
      <c r="J17" s="5">
        <v>0.50536369999999997</v>
      </c>
      <c r="K17" s="5">
        <v>1.5268913</v>
      </c>
      <c r="L17" s="5">
        <v>1.4330961</v>
      </c>
      <c r="M17" s="5">
        <v>18.007589200000002</v>
      </c>
      <c r="N17" s="5">
        <v>1.3316756999999999</v>
      </c>
      <c r="O17" s="5">
        <v>13.5225037</v>
      </c>
      <c r="R17" s="9">
        <v>1.7401940000000001E-2</v>
      </c>
      <c r="S17" s="9">
        <v>3.4000000000000002E-2</v>
      </c>
      <c r="T17" s="9">
        <v>7.6803700000000003E-2</v>
      </c>
      <c r="U17" s="9">
        <v>7.1999999999999995E-2</v>
      </c>
    </row>
    <row r="18" spans="1:23">
      <c r="F18" s="3"/>
    </row>
    <row r="19" spans="1:23">
      <c r="F19" s="3"/>
      <c r="T19" s="4"/>
      <c r="U19" s="4"/>
      <c r="V19" s="4"/>
      <c r="W19" s="4"/>
    </row>
    <row r="20" spans="1:23">
      <c r="F20" s="3"/>
      <c r="T20" s="4"/>
      <c r="U20" s="4"/>
      <c r="V20" s="4"/>
      <c r="W20" s="4"/>
    </row>
    <row r="21" spans="1:23">
      <c r="F21" s="3"/>
      <c r="T21" s="4"/>
      <c r="U21" s="4"/>
      <c r="V21" s="4"/>
      <c r="W21" s="4"/>
    </row>
    <row r="22" spans="1:23">
      <c r="F22" s="3"/>
      <c r="T22" s="4"/>
      <c r="U22" s="4"/>
      <c r="V22" s="4"/>
      <c r="W22" s="4"/>
    </row>
    <row r="23" spans="1:23">
      <c r="F23" s="3"/>
      <c r="T23" s="4"/>
      <c r="U23" s="4"/>
      <c r="V23" s="4"/>
      <c r="W23" s="4"/>
    </row>
    <row r="24" spans="1:23">
      <c r="F24" s="3"/>
      <c r="T24" s="4"/>
      <c r="U24" s="4"/>
      <c r="V24" s="4"/>
      <c r="W24" s="4"/>
    </row>
    <row r="25" spans="1:23">
      <c r="F25" s="3"/>
      <c r="T25" s="4"/>
      <c r="U25" s="4"/>
      <c r="V25" s="4"/>
      <c r="W25" s="4"/>
    </row>
    <row r="26" spans="1:23">
      <c r="F26" s="3"/>
      <c r="T26" s="4"/>
      <c r="U26" s="4"/>
      <c r="V26" s="4"/>
      <c r="W26" s="4"/>
    </row>
    <row r="27" spans="1:23">
      <c r="F27" s="3"/>
      <c r="T27" s="4"/>
      <c r="U27" s="4"/>
      <c r="V27" s="4"/>
      <c r="W27" s="4"/>
    </row>
    <row r="28" spans="1:23">
      <c r="T28" s="12"/>
      <c r="U28" s="12"/>
      <c r="V28" s="12"/>
      <c r="W28" s="12"/>
    </row>
    <row r="29" spans="1:23">
      <c r="T29" s="4"/>
      <c r="U29" s="4"/>
      <c r="V29" s="4"/>
      <c r="W29" s="4"/>
    </row>
    <row r="30" spans="1:23">
      <c r="T30" s="4"/>
      <c r="U30" s="4"/>
      <c r="V30" s="4"/>
      <c r="W30" s="4"/>
    </row>
    <row r="32" spans="1:23">
      <c r="T32" s="4"/>
      <c r="U32" s="4"/>
      <c r="V32" s="4"/>
      <c r="W32" s="4"/>
    </row>
    <row r="33" spans="20:23">
      <c r="T33" s="4"/>
      <c r="U33" s="4"/>
      <c r="V33" s="4"/>
      <c r="W33" s="4"/>
    </row>
    <row r="38" spans="20:23">
      <c r="T38" s="4"/>
      <c r="U38" s="4"/>
      <c r="V38" s="4"/>
      <c r="W38" s="4"/>
    </row>
    <row r="39" spans="20:23">
      <c r="T39" s="4"/>
      <c r="U39" s="4"/>
      <c r="V39" s="4"/>
      <c r="W39" s="4"/>
    </row>
    <row r="40" spans="20:23">
      <c r="T40" s="4"/>
      <c r="U40" s="4"/>
      <c r="V40" s="4"/>
      <c r="W40" s="4"/>
    </row>
    <row r="41" spans="20:23">
      <c r="T41" s="4"/>
      <c r="U41" s="4"/>
      <c r="V41" s="4"/>
      <c r="W41" s="4"/>
    </row>
    <row r="44" spans="20:23">
      <c r="T44" s="5"/>
      <c r="U44" s="5"/>
      <c r="V44" s="5"/>
      <c r="W44" s="5"/>
    </row>
  </sheetData>
  <mergeCells count="5">
    <mergeCell ref="B2:B5"/>
    <mergeCell ref="B7:B10"/>
    <mergeCell ref="B12:B15"/>
    <mergeCell ref="A2:A10"/>
    <mergeCell ref="A12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D0EE-CDB8-D146-968B-3E5D72EA2A51}">
  <dimension ref="A1:AK44"/>
  <sheetViews>
    <sheetView zoomScale="120" zoomScaleNormal="120" workbookViewId="0">
      <pane xSplit="3" ySplit="1" topLeftCell="J2" activePane="bottomRight" state="frozen"/>
      <selection pane="topRight" activeCell="C1" sqref="C1"/>
      <selection pane="bottomLeft" activeCell="A2" sqref="A2"/>
      <selection pane="bottomRight" activeCell="R15" activeCellId="2" sqref="H15:I15 K15:N15 R15:U15"/>
    </sheetView>
  </sheetViews>
  <sheetFormatPr baseColWidth="10" defaultColWidth="23" defaultRowHeight="19"/>
  <cols>
    <col min="1" max="1" width="6.5" style="5" bestFit="1" customWidth="1"/>
    <col min="2" max="2" width="19.1640625" style="8" customWidth="1"/>
    <col min="3" max="3" width="17.83203125" style="2" customWidth="1"/>
    <col min="4" max="4" width="14.1640625" style="2" bestFit="1" customWidth="1"/>
    <col min="5" max="7" width="14.1640625" style="2" customWidth="1"/>
    <col min="8" max="8" width="11" style="5" customWidth="1"/>
    <col min="9" max="9" width="12.5" style="5" customWidth="1"/>
    <col min="10" max="10" width="9.6640625" style="5" customWidth="1"/>
    <col min="11" max="11" width="11.5" style="5" customWidth="1"/>
    <col min="12" max="12" width="12.5" style="5" bestFit="1" customWidth="1"/>
    <col min="13" max="13" width="10.83203125" style="5" customWidth="1"/>
    <col min="14" max="14" width="9.83203125" style="5" customWidth="1"/>
    <col min="15" max="15" width="9.6640625" style="5" customWidth="1"/>
    <col min="16" max="16" width="20.6640625" style="5" customWidth="1"/>
    <col min="17" max="17" width="15.5" style="5" customWidth="1"/>
    <col min="18" max="18" width="12.1640625" style="9" bestFit="1" customWidth="1"/>
    <col min="19" max="19" width="15" style="9" bestFit="1" customWidth="1"/>
    <col min="20" max="20" width="12.6640625" style="9" bestFit="1" customWidth="1"/>
    <col min="21" max="21" width="15.1640625" style="9" bestFit="1" customWidth="1"/>
    <col min="22" max="23" width="8.1640625" style="9" bestFit="1" customWidth="1"/>
    <col min="24" max="24" width="22.5" style="5" bestFit="1" customWidth="1"/>
    <col min="25" max="25" width="23.33203125" style="5" bestFit="1" customWidth="1"/>
    <col min="26" max="26" width="19.1640625" style="5" bestFit="1" customWidth="1"/>
    <col min="27" max="27" width="12.83203125" style="5" bestFit="1" customWidth="1"/>
    <col min="28" max="28" width="16.83203125" style="5" bestFit="1" customWidth="1"/>
    <col min="29" max="29" width="16.6640625" style="5" bestFit="1" customWidth="1"/>
    <col min="30" max="30" width="11.6640625" style="5" bestFit="1" customWidth="1"/>
    <col min="31" max="31" width="14.33203125" style="5" bestFit="1" customWidth="1"/>
    <col min="32" max="32" width="26" style="5" bestFit="1" customWidth="1"/>
    <col min="33" max="33" width="20.33203125" style="5" bestFit="1" customWidth="1"/>
    <col min="34" max="34" width="24.1640625" style="5" bestFit="1" customWidth="1"/>
    <col min="35" max="35" width="26" style="5" bestFit="1" customWidth="1"/>
    <col min="36" max="36" width="20.33203125" style="5" bestFit="1" customWidth="1"/>
    <col min="37" max="37" width="24.1640625" style="5" bestFit="1" customWidth="1"/>
    <col min="38" max="16384" width="23" style="5"/>
  </cols>
  <sheetData>
    <row r="1" spans="1:37" s="10" customFormat="1" ht="60">
      <c r="B1" s="10" t="s">
        <v>48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6</v>
      </c>
      <c r="Q1" s="10" t="s">
        <v>32</v>
      </c>
      <c r="R1" s="10" t="s">
        <v>7</v>
      </c>
      <c r="S1" s="10" t="s">
        <v>8</v>
      </c>
      <c r="T1" s="10" t="s">
        <v>9</v>
      </c>
      <c r="U1" s="10" t="s">
        <v>10</v>
      </c>
      <c r="V1" s="10" t="s">
        <v>11</v>
      </c>
      <c r="W1" s="10" t="s">
        <v>12</v>
      </c>
      <c r="X1" s="10" t="s">
        <v>13</v>
      </c>
      <c r="Y1" s="10" t="s">
        <v>14</v>
      </c>
      <c r="Z1" s="10" t="s">
        <v>15</v>
      </c>
      <c r="AA1" s="10" t="s">
        <v>16</v>
      </c>
      <c r="AB1" s="10" t="s">
        <v>17</v>
      </c>
      <c r="AC1" s="20" t="s">
        <v>18</v>
      </c>
      <c r="AD1" s="20" t="s">
        <v>19</v>
      </c>
      <c r="AE1" s="20" t="s">
        <v>20</v>
      </c>
      <c r="AF1" s="20" t="s">
        <v>21</v>
      </c>
      <c r="AG1" s="20" t="s">
        <v>22</v>
      </c>
      <c r="AH1" s="20" t="s">
        <v>23</v>
      </c>
      <c r="AI1" s="20" t="s">
        <v>24</v>
      </c>
      <c r="AJ1" s="20" t="s">
        <v>25</v>
      </c>
      <c r="AK1" s="20" t="s">
        <v>26</v>
      </c>
    </row>
    <row r="2" spans="1:37" ht="19" customHeight="1">
      <c r="A2" s="27" t="s">
        <v>27</v>
      </c>
      <c r="B2" s="28" t="s">
        <v>44</v>
      </c>
      <c r="C2" s="2" t="s">
        <v>28</v>
      </c>
      <c r="E2" s="3">
        <v>929.26099999999997</v>
      </c>
      <c r="F2" s="3">
        <v>133.23699999999999</v>
      </c>
      <c r="G2" s="7">
        <v>0</v>
      </c>
      <c r="H2" s="3">
        <v>1.4104999999999999E-2</v>
      </c>
      <c r="I2" s="3">
        <v>3.0079999999999998E-3</v>
      </c>
      <c r="J2" s="19"/>
      <c r="K2" s="19"/>
      <c r="L2" s="19"/>
      <c r="M2" s="3">
        <v>3.6243999999999998E-2</v>
      </c>
      <c r="N2" s="3">
        <v>2.3370000000000001E-3</v>
      </c>
      <c r="O2" s="19"/>
      <c r="P2" s="3">
        <v>5.0348999999999998E-2</v>
      </c>
      <c r="Q2" s="3">
        <v>2.735E-3</v>
      </c>
      <c r="R2" s="2">
        <v>0.28014699999999998</v>
      </c>
      <c r="S2" s="2">
        <v>5.0770000000000003E-2</v>
      </c>
      <c r="T2" s="4"/>
      <c r="U2" s="4"/>
      <c r="V2" s="4"/>
      <c r="W2" s="4"/>
      <c r="X2" s="3"/>
      <c r="Y2" s="3"/>
      <c r="Z2" s="3"/>
      <c r="AA2" s="3"/>
      <c r="AB2" s="3"/>
      <c r="AD2" s="6"/>
      <c r="AE2" s="6"/>
    </row>
    <row r="3" spans="1:37">
      <c r="A3" s="27"/>
      <c r="B3" s="28"/>
      <c r="C3" s="2" t="s">
        <v>29</v>
      </c>
      <c r="E3" s="3">
        <v>1122.231</v>
      </c>
      <c r="F3" s="3">
        <v>154.357</v>
      </c>
      <c r="G3" s="7">
        <v>0</v>
      </c>
      <c r="H3" s="5">
        <v>1.7262E-2</v>
      </c>
      <c r="I3" s="5">
        <v>2.7139999999999998E-3</v>
      </c>
      <c r="J3" s="19"/>
      <c r="K3" s="19"/>
      <c r="L3" s="19"/>
      <c r="M3" s="5">
        <v>1.9318999999999999E-2</v>
      </c>
      <c r="N3" s="5">
        <v>1.482E-3</v>
      </c>
      <c r="O3" s="19"/>
      <c r="P3" s="5">
        <v>3.6581000000000002E-2</v>
      </c>
      <c r="Q3" s="5">
        <v>2.2399999999999998E-3</v>
      </c>
      <c r="R3" s="3">
        <v>0.47188200000000002</v>
      </c>
      <c r="S3" s="3">
        <v>5.2410999999999999E-2</v>
      </c>
      <c r="T3" s="4"/>
      <c r="U3" s="4"/>
      <c r="V3" s="4"/>
      <c r="W3" s="4"/>
      <c r="X3" s="3"/>
      <c r="Y3" s="3"/>
      <c r="Z3" s="3"/>
      <c r="AA3" s="3"/>
      <c r="AB3" s="6"/>
      <c r="AC3" s="3"/>
      <c r="AD3" s="3"/>
      <c r="AE3" s="3"/>
    </row>
    <row r="4" spans="1:37">
      <c r="A4" s="27"/>
      <c r="B4" s="28"/>
      <c r="C4" s="2" t="s">
        <v>30</v>
      </c>
      <c r="E4" s="3">
        <v>977.20899999999995</v>
      </c>
      <c r="F4" s="3">
        <v>130.892</v>
      </c>
      <c r="G4" s="7">
        <v>0</v>
      </c>
      <c r="H4" s="5">
        <v>1.3618E-2</v>
      </c>
      <c r="I4" s="5">
        <v>2.8600000000000001E-3</v>
      </c>
      <c r="J4" s="19"/>
      <c r="K4" s="19"/>
      <c r="L4" s="19"/>
      <c r="M4" s="5">
        <v>3.1313000000000001E-2</v>
      </c>
      <c r="N4" s="5">
        <v>2.0899999999999998E-3</v>
      </c>
      <c r="O4" s="3"/>
      <c r="P4" s="5">
        <v>4.4930999999999999E-2</v>
      </c>
      <c r="Q4" s="5">
        <v>2.4989999999999999E-3</v>
      </c>
      <c r="R4" s="5">
        <v>0.303087</v>
      </c>
      <c r="S4" s="5">
        <v>5.3159999999999999E-2</v>
      </c>
      <c r="T4" s="4"/>
      <c r="U4" s="4"/>
      <c r="V4" s="4"/>
      <c r="W4" s="4"/>
      <c r="X4" s="7"/>
      <c r="Y4" s="3"/>
      <c r="AA4" s="3"/>
      <c r="AB4" s="3"/>
      <c r="AI4" s="3"/>
      <c r="AJ4" s="3"/>
      <c r="AK4" s="3"/>
    </row>
    <row r="5" spans="1:37" s="17" customFormat="1" ht="22" customHeight="1">
      <c r="A5" s="27"/>
      <c r="B5" s="28"/>
      <c r="C5" s="13" t="s">
        <v>31</v>
      </c>
      <c r="D5" s="13"/>
      <c r="E5" s="14">
        <v>1161.5630000000001</v>
      </c>
      <c r="F5" s="14">
        <v>131.286</v>
      </c>
      <c r="G5" s="16">
        <v>0</v>
      </c>
      <c r="H5" s="17">
        <v>1.5133000000000001E-2</v>
      </c>
      <c r="I5" s="17">
        <v>2.4529999999999999E-3</v>
      </c>
      <c r="J5" s="18"/>
      <c r="K5" s="18"/>
      <c r="L5" s="18"/>
      <c r="M5" s="17">
        <v>1.7517000000000001E-2</v>
      </c>
      <c r="N5" s="17">
        <v>1.351E-3</v>
      </c>
      <c r="O5" s="18"/>
      <c r="P5" s="17">
        <v>3.2650999999999999E-2</v>
      </c>
      <c r="Q5" s="17">
        <v>2.0070000000000001E-3</v>
      </c>
      <c r="R5" s="17">
        <v>0.46349400000000002</v>
      </c>
      <c r="S5" s="17">
        <v>5.3691000000000003E-2</v>
      </c>
      <c r="U5" s="11"/>
      <c r="V5" s="11"/>
      <c r="W5" s="11"/>
      <c r="X5" s="14"/>
      <c r="Y5" s="16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ht="10" customHeight="1">
      <c r="B6" s="1"/>
      <c r="H6" s="6"/>
      <c r="I6" s="6"/>
      <c r="J6" s="6"/>
      <c r="K6" s="6"/>
      <c r="L6" s="6"/>
      <c r="M6" s="6"/>
      <c r="N6" s="6"/>
      <c r="O6" s="6"/>
      <c r="P6" s="6"/>
      <c r="Q6" s="6"/>
      <c r="R6" s="4"/>
      <c r="S6" s="4"/>
      <c r="T6" s="4"/>
      <c r="U6" s="4"/>
      <c r="V6" s="4"/>
      <c r="W6" s="4"/>
      <c r="X6" s="6"/>
      <c r="Y6" s="6"/>
      <c r="Z6" s="6"/>
      <c r="AA6" s="6"/>
      <c r="AC6" s="6"/>
      <c r="AD6" s="6"/>
      <c r="AE6" s="6"/>
      <c r="AF6" s="6"/>
      <c r="AH6" s="6"/>
      <c r="AI6" s="6"/>
      <c r="AK6" s="6"/>
    </row>
    <row r="7" spans="1:37">
      <c r="A7" s="27" t="s">
        <v>27</v>
      </c>
      <c r="B7" s="28" t="s">
        <v>45</v>
      </c>
      <c r="C7" s="2" t="s">
        <v>28</v>
      </c>
      <c r="E7" s="3">
        <v>929.55200000000002</v>
      </c>
      <c r="F7" s="3">
        <v>38.036000000000001</v>
      </c>
      <c r="G7" s="7">
        <v>3.4728000000000001E-10</v>
      </c>
      <c r="H7" s="5">
        <v>1.2541E-2</v>
      </c>
      <c r="I7" s="5">
        <v>3.4489999999999998E-3</v>
      </c>
      <c r="K7" s="5">
        <v>2.5959999999999998E-3</v>
      </c>
      <c r="L7" s="5">
        <v>3.5739999999999999E-3</v>
      </c>
      <c r="M7" s="5">
        <v>3.4970000000000001E-2</v>
      </c>
      <c r="N7" s="5">
        <v>2.931E-3</v>
      </c>
      <c r="O7" s="3"/>
      <c r="P7" s="5">
        <v>5.0105999999999998E-2</v>
      </c>
      <c r="Q7" s="5">
        <v>2.7070000000000002E-3</v>
      </c>
      <c r="R7" s="5">
        <v>0.250278</v>
      </c>
      <c r="S7" s="5">
        <v>6.2108999999999998E-2</v>
      </c>
      <c r="T7" s="5">
        <v>5.1810000000000002E-2</v>
      </c>
      <c r="U7" s="5">
        <v>7.1415000000000006E-2</v>
      </c>
      <c r="V7" s="5">
        <v>0.30208800000000002</v>
      </c>
      <c r="W7" s="5">
        <v>6.0609000000000003E-2</v>
      </c>
      <c r="X7" s="3"/>
      <c r="Y7" s="3"/>
      <c r="Z7" s="3"/>
      <c r="AA7" s="3"/>
      <c r="AB7" s="3"/>
    </row>
    <row r="8" spans="1:37">
      <c r="A8" s="27"/>
      <c r="B8" s="28"/>
      <c r="C8" s="2" t="s">
        <v>29</v>
      </c>
      <c r="E8" s="3">
        <v>1126.454</v>
      </c>
      <c r="F8" s="3">
        <v>36.615000000000002</v>
      </c>
      <c r="G8" s="7">
        <v>7.1953E-10</v>
      </c>
      <c r="H8" s="5">
        <v>1.2203E-2</v>
      </c>
      <c r="I8" s="5">
        <v>2.8709999999999999E-3</v>
      </c>
      <c r="K8" s="5">
        <v>6.8300000000000001E-3</v>
      </c>
      <c r="L8" s="5">
        <v>2.6700000000000001E-3</v>
      </c>
      <c r="M8" s="5">
        <v>1.6324999999999999E-2</v>
      </c>
      <c r="N8" s="5">
        <v>1.8270000000000001E-3</v>
      </c>
      <c r="O8" s="3"/>
      <c r="P8" s="5">
        <v>3.5357E-2</v>
      </c>
      <c r="Q8" s="5">
        <v>2.114E-3</v>
      </c>
      <c r="R8" s="5">
        <v>0.34512999999999999</v>
      </c>
      <c r="S8" s="5">
        <v>6.8961999999999996E-2</v>
      </c>
      <c r="T8" s="5">
        <v>0.193158</v>
      </c>
      <c r="U8" s="5">
        <v>7.5370999999999994E-2</v>
      </c>
      <c r="V8" s="5">
        <v>0.53828900000000002</v>
      </c>
      <c r="W8" s="5">
        <v>5.9456000000000002E-2</v>
      </c>
      <c r="X8" s="3"/>
      <c r="Y8" s="3"/>
      <c r="Z8" s="3"/>
      <c r="AA8" s="3"/>
      <c r="AB8" s="3"/>
      <c r="AC8" s="3"/>
      <c r="AD8" s="3"/>
      <c r="AE8" s="3"/>
    </row>
    <row r="9" spans="1:37">
      <c r="A9" s="27"/>
      <c r="B9" s="28"/>
      <c r="C9" s="2" t="s">
        <v>30</v>
      </c>
      <c r="E9" s="3">
        <v>977.51599999999996</v>
      </c>
      <c r="F9" s="3">
        <v>37.411999999999999</v>
      </c>
      <c r="G9" s="7">
        <v>4.7816000000000003E-10</v>
      </c>
      <c r="H9" s="5">
        <v>1.2130999999999999E-2</v>
      </c>
      <c r="I9" s="5">
        <v>3.248E-3</v>
      </c>
      <c r="K9" s="5">
        <v>2.4120000000000001E-3</v>
      </c>
      <c r="L9" s="5">
        <v>3.2179999999999999E-3</v>
      </c>
      <c r="M9" s="5">
        <v>3.0144000000000001E-2</v>
      </c>
      <c r="N9" s="5">
        <v>2.6210000000000001E-3</v>
      </c>
      <c r="O9" s="3"/>
      <c r="P9" s="5">
        <v>4.4686999999999998E-2</v>
      </c>
      <c r="Q9" s="5">
        <v>2.4719999999999998E-3</v>
      </c>
      <c r="R9" s="5">
        <v>0.27147199999999999</v>
      </c>
      <c r="S9" s="5">
        <v>6.4685999999999994E-2</v>
      </c>
      <c r="T9" s="5">
        <v>5.3970999999999998E-2</v>
      </c>
      <c r="U9" s="5">
        <v>7.2121000000000005E-2</v>
      </c>
      <c r="V9" s="5">
        <v>0.32544299999999998</v>
      </c>
      <c r="W9" s="5">
        <v>6.2588000000000005E-2</v>
      </c>
      <c r="X9" s="3"/>
      <c r="Y9" s="7"/>
      <c r="Z9" s="3"/>
      <c r="AA9" s="3"/>
      <c r="AB9" s="6"/>
      <c r="AF9" s="3"/>
      <c r="AG9" s="3"/>
      <c r="AH9" s="3"/>
      <c r="AI9" s="3"/>
      <c r="AJ9" s="3"/>
      <c r="AK9" s="3"/>
    </row>
    <row r="10" spans="1:37" s="17" customFormat="1">
      <c r="A10" s="27"/>
      <c r="B10" s="28"/>
      <c r="C10" s="13" t="s">
        <v>31</v>
      </c>
      <c r="D10" s="13"/>
      <c r="E10" s="14">
        <v>1166.088</v>
      </c>
      <c r="F10" s="14">
        <v>30.847000000000001</v>
      </c>
      <c r="G10" s="16">
        <v>1.3958999999999999E-8</v>
      </c>
      <c r="H10" s="17">
        <v>1.0442E-2</v>
      </c>
      <c r="I10" s="17">
        <v>2.5829999999999998E-3</v>
      </c>
      <c r="K10" s="17">
        <v>6.3270000000000002E-3</v>
      </c>
      <c r="L10" s="17">
        <v>2.405E-3</v>
      </c>
      <c r="M10" s="17">
        <v>1.4748000000000001E-2</v>
      </c>
      <c r="N10" s="17">
        <v>1.6609999999999999E-3</v>
      </c>
      <c r="O10" s="14"/>
      <c r="P10" s="17">
        <v>3.1517000000000003E-2</v>
      </c>
      <c r="Q10" s="17">
        <v>1.8910000000000001E-3</v>
      </c>
      <c r="R10" s="17">
        <v>0.33132699999999998</v>
      </c>
      <c r="S10" s="17">
        <v>7.0202000000000001E-2</v>
      </c>
      <c r="T10" s="17">
        <v>0.200735</v>
      </c>
      <c r="U10" s="17">
        <v>7.6031000000000001E-2</v>
      </c>
      <c r="V10" s="17">
        <v>0.53206100000000001</v>
      </c>
      <c r="W10" s="17">
        <v>6.0948000000000002E-2</v>
      </c>
      <c r="X10" s="14"/>
      <c r="Y10" s="16"/>
      <c r="Z10" s="14"/>
      <c r="AA10" s="21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ht="12" customHeight="1">
      <c r="R11" s="5"/>
      <c r="S11" s="5"/>
      <c r="T11" s="5"/>
      <c r="U11" s="5"/>
      <c r="X11" s="4"/>
      <c r="Y11" s="4"/>
    </row>
    <row r="12" spans="1:37">
      <c r="A12" s="27" t="s">
        <v>51</v>
      </c>
      <c r="B12" s="28" t="s">
        <v>44</v>
      </c>
      <c r="C12" s="2" t="s">
        <v>28</v>
      </c>
      <c r="E12" s="2">
        <v>929.34280000000001</v>
      </c>
      <c r="F12" s="5"/>
      <c r="G12" s="5"/>
      <c r="H12" s="5">
        <v>1.4230130000000001E-2</v>
      </c>
      <c r="I12" s="5">
        <v>3.0344E-3</v>
      </c>
      <c r="J12" s="5">
        <v>4.689603</v>
      </c>
      <c r="M12" s="5">
        <v>3.617969E-2</v>
      </c>
      <c r="N12" s="5">
        <v>2.3426990000000002E-3</v>
      </c>
      <c r="O12" s="5">
        <v>15.443592000000001</v>
      </c>
      <c r="P12" s="5">
        <f>H12+M12</f>
        <v>5.0409820000000001E-2</v>
      </c>
      <c r="Q12" s="5">
        <f>SQRT( I12^2+N12^2)</f>
        <v>3.8335130056647783E-3</v>
      </c>
      <c r="R12" s="5">
        <v>0.28228890000000001</v>
      </c>
      <c r="S12" s="5">
        <v>5.0999999999999997E-2</v>
      </c>
      <c r="T12" s="5"/>
      <c r="U12" s="5"/>
      <c r="V12" s="4"/>
      <c r="W12" s="4"/>
      <c r="X12" s="4"/>
      <c r="Y12" s="4"/>
    </row>
    <row r="13" spans="1:37">
      <c r="A13" s="27"/>
      <c r="B13" s="28"/>
      <c r="C13" s="2" t="s">
        <v>29</v>
      </c>
      <c r="E13" s="2">
        <v>1121.7629999999999</v>
      </c>
      <c r="F13" s="5"/>
      <c r="G13" s="5"/>
      <c r="H13" s="5">
        <v>1.7403600000000002E-2</v>
      </c>
      <c r="I13" s="5">
        <v>2.7396059999999999E-3</v>
      </c>
      <c r="J13" s="5">
        <v>6.3525939999999999</v>
      </c>
      <c r="M13" s="5">
        <v>1.9281550000000001E-2</v>
      </c>
      <c r="N13" s="5">
        <v>1.4913929999999999E-3</v>
      </c>
      <c r="O13" s="5">
        <v>12.928551000000001</v>
      </c>
      <c r="P13" s="5">
        <f t="shared" ref="P13:P15" si="0">H13+M13</f>
        <v>3.668515E-2</v>
      </c>
      <c r="Q13" s="5">
        <f t="shared" ref="Q13:Q15" si="1">SQRT( I13^2+N13^2)</f>
        <v>3.1192457607064242E-3</v>
      </c>
      <c r="R13" s="5">
        <v>0.47440460000000001</v>
      </c>
      <c r="S13" s="5">
        <v>5.2999999999999999E-2</v>
      </c>
      <c r="T13" s="5"/>
      <c r="U13" s="5"/>
      <c r="V13" s="4"/>
      <c r="W13" s="4"/>
      <c r="X13" s="4"/>
      <c r="Y13" s="4"/>
    </row>
    <row r="14" spans="1:37">
      <c r="A14" s="27"/>
      <c r="B14" s="28"/>
      <c r="C14" s="2" t="s">
        <v>30</v>
      </c>
      <c r="E14" s="2">
        <v>977.33180000000004</v>
      </c>
      <c r="F14" s="5"/>
      <c r="G14" s="5"/>
      <c r="H14" s="5">
        <v>1.373912E-2</v>
      </c>
      <c r="I14" s="5">
        <v>2.8854919999999999E-3</v>
      </c>
      <c r="J14" s="5">
        <v>4.7614470000000004</v>
      </c>
      <c r="M14" s="5">
        <v>3.1247609999999999E-2</v>
      </c>
      <c r="N14" s="5">
        <v>2.0956659999999999E-3</v>
      </c>
      <c r="O14" s="5">
        <v>14.910587</v>
      </c>
      <c r="P14" s="5">
        <f t="shared" si="0"/>
        <v>4.4986730000000003E-2</v>
      </c>
      <c r="Q14" s="5">
        <f t="shared" si="1"/>
        <v>3.5662136875992162E-3</v>
      </c>
      <c r="R14" s="5">
        <v>0.3054038</v>
      </c>
      <c r="S14" s="5">
        <v>5.2999999999999999E-2</v>
      </c>
      <c r="T14" s="5"/>
      <c r="U14" s="5"/>
      <c r="V14" s="4"/>
      <c r="W14" s="4"/>
      <c r="X14" s="4"/>
      <c r="Y14" s="4"/>
    </row>
    <row r="15" spans="1:37" s="17" customFormat="1">
      <c r="A15" s="27"/>
      <c r="B15" s="28"/>
      <c r="C15" s="13" t="s">
        <v>31</v>
      </c>
      <c r="D15" s="13"/>
      <c r="E15" s="13">
        <v>1161.163</v>
      </c>
      <c r="H15" s="17">
        <v>1.52598E-2</v>
      </c>
      <c r="I15" s="17">
        <v>2.4781529999999999E-3</v>
      </c>
      <c r="J15" s="17">
        <v>6.1577310000000001</v>
      </c>
      <c r="M15" s="17">
        <v>1.7480269999999999E-2</v>
      </c>
      <c r="N15" s="17">
        <v>1.359367E-3</v>
      </c>
      <c r="O15" s="17">
        <v>12.859119</v>
      </c>
      <c r="P15" s="5">
        <f t="shared" si="0"/>
        <v>3.2740069999999996E-2</v>
      </c>
      <c r="Q15" s="5">
        <f t="shared" si="1"/>
        <v>2.8265033048093186E-3</v>
      </c>
      <c r="R15" s="17">
        <v>0.46608949999999999</v>
      </c>
      <c r="S15" s="17">
        <v>5.3999999999999999E-2</v>
      </c>
      <c r="W15" s="15"/>
      <c r="X15" s="15"/>
      <c r="Y15" s="15"/>
    </row>
    <row r="16" spans="1:37">
      <c r="A16" s="27"/>
      <c r="R16" s="5"/>
      <c r="S16" s="5"/>
      <c r="T16" s="5"/>
    </row>
    <row r="17" spans="1:23" ht="40">
      <c r="A17" s="27"/>
      <c r="B17" s="10" t="s">
        <v>45</v>
      </c>
      <c r="C17" s="13" t="s">
        <v>31</v>
      </c>
      <c r="E17" s="2">
        <v>1165.6669999999999</v>
      </c>
      <c r="H17" s="5">
        <v>1.052699E-2</v>
      </c>
      <c r="I17" s="5">
        <v>2.6094730000000002E-3</v>
      </c>
      <c r="J17" s="5">
        <v>4.0341420000000001</v>
      </c>
      <c r="K17" s="5">
        <v>6.3963800000000001E-3</v>
      </c>
      <c r="L17" s="5">
        <v>2.4340569999999999E-3</v>
      </c>
      <c r="M17" s="5">
        <v>1.46979E-2</v>
      </c>
      <c r="N17" s="5">
        <v>1.672399E-3</v>
      </c>
      <c r="O17" s="5">
        <v>8.7885089999999995</v>
      </c>
      <c r="R17" s="9">
        <v>0.33290839999999999</v>
      </c>
      <c r="S17" s="9">
        <v>7.0999999999999994E-2</v>
      </c>
      <c r="T17" s="9">
        <v>0.20228099999999999</v>
      </c>
      <c r="U17" s="9">
        <v>7.6999999999999999E-2</v>
      </c>
    </row>
    <row r="19" spans="1:23">
      <c r="T19" s="4"/>
      <c r="U19" s="4"/>
      <c r="V19" s="4"/>
      <c r="W19" s="4"/>
    </row>
    <row r="20" spans="1:23">
      <c r="T20" s="4"/>
      <c r="U20" s="4"/>
      <c r="V20" s="4"/>
      <c r="W20" s="4"/>
    </row>
    <row r="21" spans="1:23">
      <c r="T21" s="4"/>
      <c r="U21" s="4"/>
      <c r="V21" s="4"/>
      <c r="W21" s="4"/>
    </row>
    <row r="22" spans="1:23">
      <c r="T22" s="4"/>
      <c r="U22" s="4"/>
      <c r="V22" s="4"/>
      <c r="W22" s="4"/>
    </row>
    <row r="23" spans="1:23">
      <c r="T23" s="4"/>
      <c r="U23" s="4"/>
      <c r="V23" s="4"/>
      <c r="W23" s="4"/>
    </row>
    <row r="24" spans="1:23">
      <c r="T24" s="4"/>
      <c r="U24" s="4"/>
      <c r="V24" s="4"/>
      <c r="W24" s="4"/>
    </row>
    <row r="25" spans="1:23">
      <c r="T25" s="4"/>
      <c r="U25" s="4"/>
      <c r="V25" s="4"/>
      <c r="W25" s="4"/>
    </row>
    <row r="26" spans="1:23">
      <c r="T26" s="4"/>
      <c r="U26" s="4"/>
      <c r="V26" s="4"/>
      <c r="W26" s="4"/>
    </row>
    <row r="27" spans="1:23">
      <c r="T27" s="4"/>
      <c r="U27" s="4"/>
      <c r="V27" s="4"/>
      <c r="W27" s="4"/>
    </row>
    <row r="28" spans="1:23">
      <c r="T28" s="12"/>
      <c r="U28" s="12"/>
      <c r="V28" s="12"/>
      <c r="W28" s="12"/>
    </row>
    <row r="29" spans="1:23">
      <c r="T29" s="4"/>
      <c r="U29" s="4"/>
      <c r="V29" s="4"/>
      <c r="W29" s="4"/>
    </row>
    <row r="30" spans="1:23">
      <c r="T30" s="4"/>
      <c r="U30" s="4"/>
      <c r="V30" s="4"/>
      <c r="W30" s="4"/>
    </row>
    <row r="32" spans="1:23">
      <c r="T32" s="4"/>
      <c r="U32" s="4"/>
      <c r="V32" s="4"/>
      <c r="W32" s="4"/>
    </row>
    <row r="33" spans="20:23">
      <c r="T33" s="4"/>
      <c r="U33" s="4"/>
      <c r="V33" s="4"/>
      <c r="W33" s="4"/>
    </row>
    <row r="38" spans="20:23">
      <c r="T38" s="4"/>
      <c r="U38" s="4"/>
      <c r="V38" s="4"/>
      <c r="W38" s="4"/>
    </row>
    <row r="39" spans="20:23">
      <c r="T39" s="4"/>
      <c r="U39" s="4"/>
      <c r="V39" s="4"/>
      <c r="W39" s="4"/>
    </row>
    <row r="40" spans="20:23">
      <c r="T40" s="4"/>
      <c r="U40" s="4"/>
      <c r="V40" s="4"/>
      <c r="W40" s="4"/>
    </row>
    <row r="41" spans="20:23">
      <c r="T41" s="4"/>
      <c r="U41" s="4"/>
      <c r="V41" s="4"/>
      <c r="W41" s="4"/>
    </row>
    <row r="44" spans="20:23">
      <c r="T44" s="5"/>
      <c r="U44" s="5"/>
      <c r="V44" s="5"/>
      <c r="W44" s="5"/>
    </row>
  </sheetData>
  <mergeCells count="6">
    <mergeCell ref="B2:B5"/>
    <mergeCell ref="B7:B10"/>
    <mergeCell ref="A2:A5"/>
    <mergeCell ref="A7:A10"/>
    <mergeCell ref="B12:B15"/>
    <mergeCell ref="A12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109A-9CB8-F049-ACCC-1E9E5F630486}">
  <dimension ref="A1:AM46"/>
  <sheetViews>
    <sheetView zoomScale="120" zoomScaleNormal="120" workbookViewId="0">
      <pane xSplit="3" ySplit="1" topLeftCell="G3" activePane="bottomRight" state="frozen"/>
      <selection pane="topRight" activeCell="C1" sqref="C1"/>
      <selection pane="bottomLeft" activeCell="A2" sqref="A2"/>
      <selection pane="bottomRight" activeCell="T18" activeCellId="2" sqref="H18:I18 K18:N18 T18:W18"/>
    </sheetView>
  </sheetViews>
  <sheetFormatPr baseColWidth="10" defaultColWidth="23" defaultRowHeight="19"/>
  <cols>
    <col min="1" max="1" width="6.5" style="5" bestFit="1" customWidth="1"/>
    <col min="2" max="2" width="19.1640625" style="8" customWidth="1"/>
    <col min="3" max="3" width="17.83203125" style="2" customWidth="1"/>
    <col min="4" max="4" width="14.1640625" style="2" bestFit="1" customWidth="1"/>
    <col min="5" max="7" width="14.1640625" style="2" customWidth="1"/>
    <col min="8" max="8" width="9.6640625" style="5" customWidth="1"/>
    <col min="9" max="9" width="10.83203125" style="5" customWidth="1"/>
    <col min="10" max="10" width="10.33203125" style="5" customWidth="1"/>
    <col min="11" max="11" width="9.6640625" style="5" customWidth="1"/>
    <col min="12" max="12" width="13" style="5" customWidth="1"/>
    <col min="13" max="13" width="13.33203125" style="5" customWidth="1"/>
    <col min="14" max="14" width="10.1640625" style="5" customWidth="1"/>
    <col min="15" max="15" width="9.33203125" style="5" customWidth="1"/>
    <col min="16" max="16" width="5.6640625" style="5" customWidth="1"/>
    <col min="17" max="17" width="5.83203125" style="5" customWidth="1"/>
    <col min="18" max="18" width="11.83203125" style="5" customWidth="1"/>
    <col min="19" max="19" width="12.33203125" style="5" customWidth="1"/>
    <col min="20" max="20" width="12.1640625" style="9" bestFit="1" customWidth="1"/>
    <col min="21" max="21" width="12" style="9" customWidth="1"/>
    <col min="22" max="22" width="12.6640625" style="9" bestFit="1" customWidth="1"/>
    <col min="23" max="23" width="12.1640625" style="9" customWidth="1"/>
    <col min="24" max="25" width="8.1640625" style="9" bestFit="1" customWidth="1"/>
    <col min="26" max="26" width="22.5" style="5" bestFit="1" customWidth="1"/>
    <col min="27" max="27" width="23.33203125" style="5" bestFit="1" customWidth="1"/>
    <col min="28" max="28" width="19.1640625" style="5" bestFit="1" customWidth="1"/>
    <col min="29" max="29" width="12.83203125" style="5" bestFit="1" customWidth="1"/>
    <col min="30" max="30" width="16.83203125" style="5" bestFit="1" customWidth="1"/>
    <col min="31" max="31" width="16.6640625" style="5" bestFit="1" customWidth="1"/>
    <col min="32" max="32" width="11.6640625" style="5" bestFit="1" customWidth="1"/>
    <col min="33" max="33" width="14.33203125" style="5" bestFit="1" customWidth="1"/>
    <col min="34" max="34" width="26" style="5" bestFit="1" customWidth="1"/>
    <col min="35" max="35" width="20.33203125" style="5" bestFit="1" customWidth="1"/>
    <col min="36" max="36" width="24.1640625" style="5" bestFit="1" customWidth="1"/>
    <col min="37" max="37" width="26" style="5" bestFit="1" customWidth="1"/>
    <col min="38" max="38" width="20.33203125" style="5" bestFit="1" customWidth="1"/>
    <col min="39" max="39" width="24.1640625" style="5" bestFit="1" customWidth="1"/>
    <col min="40" max="16384" width="23" style="5"/>
  </cols>
  <sheetData>
    <row r="1" spans="1:39" s="10" customFormat="1" ht="80">
      <c r="B1" s="10" t="s">
        <v>49</v>
      </c>
      <c r="C1" s="10" t="s">
        <v>0</v>
      </c>
      <c r="D1" s="10" t="s">
        <v>1</v>
      </c>
      <c r="E1" s="10" t="s">
        <v>33</v>
      </c>
      <c r="F1" s="10" t="s">
        <v>34</v>
      </c>
      <c r="G1" s="10" t="s">
        <v>35</v>
      </c>
      <c r="H1" s="10" t="s">
        <v>42</v>
      </c>
      <c r="I1" s="10" t="s">
        <v>43</v>
      </c>
      <c r="J1" s="10" t="s">
        <v>2</v>
      </c>
      <c r="K1" s="10" t="s">
        <v>41</v>
      </c>
      <c r="L1" s="10" t="s">
        <v>40</v>
      </c>
      <c r="M1" s="10" t="s">
        <v>3</v>
      </c>
      <c r="N1" s="10" t="s">
        <v>4</v>
      </c>
      <c r="O1" s="10" t="s">
        <v>5</v>
      </c>
      <c r="P1" s="10" t="s">
        <v>50</v>
      </c>
      <c r="Q1" s="10" t="s">
        <v>36</v>
      </c>
      <c r="R1" s="10" t="s">
        <v>6</v>
      </c>
      <c r="S1" s="10" t="s">
        <v>32</v>
      </c>
      <c r="T1" s="10" t="s">
        <v>7</v>
      </c>
      <c r="U1" s="10" t="s">
        <v>8</v>
      </c>
      <c r="V1" s="10" t="s">
        <v>9</v>
      </c>
      <c r="W1" s="10" t="s">
        <v>10</v>
      </c>
      <c r="X1" s="10" t="s">
        <v>11</v>
      </c>
      <c r="Y1" s="10" t="s">
        <v>12</v>
      </c>
      <c r="Z1" s="10" t="s">
        <v>13</v>
      </c>
      <c r="AA1" s="10" t="s">
        <v>14</v>
      </c>
      <c r="AB1" s="10" t="s">
        <v>15</v>
      </c>
      <c r="AC1" s="10" t="s">
        <v>16</v>
      </c>
      <c r="AD1" s="10" t="s">
        <v>17</v>
      </c>
      <c r="AE1" s="20" t="s">
        <v>18</v>
      </c>
      <c r="AF1" s="20" t="s">
        <v>19</v>
      </c>
      <c r="AG1" s="20" t="s">
        <v>20</v>
      </c>
      <c r="AH1" s="20" t="s">
        <v>21</v>
      </c>
      <c r="AI1" s="20" t="s">
        <v>22</v>
      </c>
      <c r="AJ1" s="20" t="s">
        <v>23</v>
      </c>
      <c r="AK1" s="20" t="s">
        <v>24</v>
      </c>
      <c r="AL1" s="20" t="s">
        <v>25</v>
      </c>
      <c r="AM1" s="20" t="s">
        <v>26</v>
      </c>
    </row>
    <row r="2" spans="1:39" ht="19" customHeight="1">
      <c r="A2" s="27" t="s">
        <v>27</v>
      </c>
      <c r="B2" s="28" t="s">
        <v>44</v>
      </c>
      <c r="C2" s="2" t="s">
        <v>28</v>
      </c>
      <c r="E2" s="3">
        <v>1728.83</v>
      </c>
      <c r="F2" s="3">
        <v>129.733</v>
      </c>
      <c r="G2" s="7">
        <v>0</v>
      </c>
      <c r="H2" s="3">
        <v>2.3649999999999999E-3</v>
      </c>
      <c r="I2" s="5">
        <v>5.0500000000000002E-4</v>
      </c>
      <c r="J2" s="19"/>
      <c r="K2" s="19"/>
      <c r="L2" s="19"/>
      <c r="M2" s="3">
        <v>6.0549999999999996E-3</v>
      </c>
      <c r="N2" s="5">
        <v>3.9100000000000002E-4</v>
      </c>
      <c r="O2" s="19"/>
      <c r="R2" s="3">
        <v>8.4200000000000004E-3</v>
      </c>
      <c r="S2" s="5">
        <v>4.5800000000000002E-4</v>
      </c>
      <c r="T2" s="5">
        <v>0.28083000000000002</v>
      </c>
      <c r="U2" s="5">
        <v>5.0950000000000002E-2</v>
      </c>
      <c r="V2" s="4"/>
      <c r="W2" s="4"/>
      <c r="X2" s="4"/>
      <c r="Y2" s="4"/>
      <c r="Z2" s="3"/>
      <c r="AA2" s="3"/>
      <c r="AB2" s="3"/>
      <c r="AC2" s="3"/>
      <c r="AD2" s="3"/>
      <c r="AF2" s="6"/>
      <c r="AG2" s="6"/>
    </row>
    <row r="3" spans="1:39">
      <c r="A3" s="27"/>
      <c r="B3" s="28"/>
      <c r="C3" s="2" t="s">
        <v>29</v>
      </c>
      <c r="E3" s="3">
        <v>1871.0989999999999</v>
      </c>
      <c r="F3" s="3">
        <v>126.839</v>
      </c>
      <c r="G3" s="7">
        <v>0</v>
      </c>
      <c r="H3" s="5">
        <v>2.8400000000000001E-3</v>
      </c>
      <c r="I3" s="5">
        <v>4.8200000000000001E-4</v>
      </c>
      <c r="J3" s="19"/>
      <c r="K3" s="19"/>
      <c r="L3" s="19"/>
      <c r="M3" s="5">
        <v>3.7880000000000001E-3</v>
      </c>
      <c r="N3" s="5">
        <v>2.8200000000000002E-4</v>
      </c>
      <c r="O3" s="19"/>
      <c r="Q3" s="19"/>
      <c r="R3" s="5">
        <v>6.6280000000000002E-3</v>
      </c>
      <c r="S3" s="5">
        <v>3.9899999999999999E-4</v>
      </c>
      <c r="T3" s="5">
        <v>0.42846299999999998</v>
      </c>
      <c r="U3" s="5">
        <v>5.3969999999999997E-2</v>
      </c>
      <c r="V3" s="4"/>
      <c r="W3" s="4"/>
      <c r="X3" s="4"/>
      <c r="Y3" s="4"/>
      <c r="Z3" s="3"/>
      <c r="AA3" s="3"/>
      <c r="AB3" s="3"/>
      <c r="AC3" s="3"/>
      <c r="AD3" s="6"/>
      <c r="AE3" s="3"/>
      <c r="AF3" s="3"/>
      <c r="AG3" s="3"/>
    </row>
    <row r="4" spans="1:39">
      <c r="A4" s="27"/>
      <c r="B4" s="28"/>
      <c r="C4" s="2" t="s">
        <v>30</v>
      </c>
      <c r="E4" s="3">
        <v>1779.828</v>
      </c>
      <c r="F4" s="3">
        <v>123.73</v>
      </c>
      <c r="G4" s="7">
        <v>0</v>
      </c>
      <c r="H4" s="5">
        <v>2.1419999999999998E-3</v>
      </c>
      <c r="I4" s="5">
        <v>4.6000000000000001E-4</v>
      </c>
      <c r="J4" s="19"/>
      <c r="K4" s="19"/>
      <c r="L4" s="19"/>
      <c r="M4" s="5">
        <v>5.2500000000000003E-3</v>
      </c>
      <c r="N4" s="5">
        <v>3.4600000000000001E-4</v>
      </c>
      <c r="O4" s="3"/>
      <c r="P4" s="3"/>
      <c r="Q4" s="3"/>
      <c r="R4" s="5">
        <v>7.391E-3</v>
      </c>
      <c r="S4" s="5">
        <v>4.0700000000000003E-4</v>
      </c>
      <c r="T4" s="5">
        <v>0.28974499999999997</v>
      </c>
      <c r="U4" s="5">
        <v>5.2595999999999997E-2</v>
      </c>
      <c r="V4" s="4"/>
      <c r="W4" s="4"/>
      <c r="X4" s="4"/>
      <c r="Y4" s="4"/>
      <c r="Z4" s="7"/>
      <c r="AA4" s="3"/>
      <c r="AC4" s="3"/>
      <c r="AD4" s="3"/>
      <c r="AK4" s="3"/>
      <c r="AL4" s="3"/>
      <c r="AM4" s="3"/>
    </row>
    <row r="5" spans="1:39" s="17" customFormat="1" ht="22" customHeight="1">
      <c r="A5" s="27"/>
      <c r="B5" s="28"/>
      <c r="C5" s="13" t="s">
        <v>31</v>
      </c>
      <c r="D5" s="13"/>
      <c r="E5" s="14">
        <v>1911.829</v>
      </c>
      <c r="F5" s="14">
        <v>100.33499999999999</v>
      </c>
      <c r="G5" s="16">
        <v>0</v>
      </c>
      <c r="H5" s="17">
        <v>2.336E-3</v>
      </c>
      <c r="I5" s="17">
        <v>4.2299999999999998E-4</v>
      </c>
      <c r="J5" s="18"/>
      <c r="K5" s="18"/>
      <c r="L5" s="18"/>
      <c r="M5" s="17">
        <v>3.4810000000000002E-3</v>
      </c>
      <c r="N5" s="17">
        <v>2.5599999999999999E-4</v>
      </c>
      <c r="O5" s="18"/>
      <c r="P5" s="18"/>
      <c r="Q5" s="18"/>
      <c r="R5" s="17">
        <v>5.8170000000000001E-3</v>
      </c>
      <c r="S5" s="17">
        <v>3.4699999999999998E-4</v>
      </c>
      <c r="T5" s="17">
        <v>0.40157399999999999</v>
      </c>
      <c r="U5" s="17">
        <v>5.5499E-2</v>
      </c>
      <c r="W5" s="11"/>
      <c r="X5" s="11"/>
      <c r="Y5" s="11"/>
      <c r="Z5" s="14"/>
      <c r="AA5" s="16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22" hidden="1" customHeight="1">
      <c r="B6" s="1"/>
      <c r="C6" s="2" t="s">
        <v>37</v>
      </c>
      <c r="E6" s="3">
        <v>1973.2170000000001</v>
      </c>
      <c r="F6" s="3">
        <v>0.27900000000000003</v>
      </c>
      <c r="G6" s="3">
        <v>0.29899999999999999</v>
      </c>
      <c r="H6" s="3">
        <v>1.84E-4</v>
      </c>
      <c r="I6" s="5">
        <v>3.39E-4</v>
      </c>
      <c r="J6" s="19"/>
      <c r="K6" s="19"/>
      <c r="L6" s="19"/>
      <c r="M6" s="3">
        <v>2.748E-3</v>
      </c>
      <c r="N6" s="3">
        <v>2.3800000000000001E-4</v>
      </c>
      <c r="O6" s="19"/>
      <c r="P6" s="3">
        <v>1.8890000000000001E-3</v>
      </c>
      <c r="Q6" s="3">
        <v>4.4999999999999999E-4</v>
      </c>
      <c r="R6" s="3">
        <v>4.8209999999999998E-3</v>
      </c>
      <c r="S6" s="3">
        <v>2.7099999999999997E-4</v>
      </c>
      <c r="T6" s="3">
        <v>3.7999999999999999E-2</v>
      </c>
      <c r="U6" s="3">
        <v>7.0069999999999993E-2</v>
      </c>
      <c r="V6" s="5"/>
      <c r="W6" s="4"/>
      <c r="X6" s="4"/>
      <c r="Y6" s="4"/>
      <c r="Z6" s="3"/>
      <c r="AA6" s="7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2" customHeight="1">
      <c r="B7" s="1"/>
      <c r="E7" s="3"/>
      <c r="F7" s="3"/>
      <c r="G7" s="3"/>
      <c r="H7" s="3"/>
      <c r="J7" s="19"/>
      <c r="K7" s="19"/>
      <c r="L7" s="19"/>
      <c r="M7" s="3"/>
      <c r="N7" s="3"/>
      <c r="O7" s="19"/>
      <c r="P7" s="3"/>
      <c r="Q7" s="3"/>
      <c r="R7" s="3"/>
      <c r="S7" s="3"/>
      <c r="T7" s="3"/>
      <c r="U7" s="3"/>
      <c r="V7" s="5"/>
      <c r="W7" s="4"/>
      <c r="X7" s="4"/>
      <c r="Y7" s="4"/>
      <c r="Z7" s="3"/>
      <c r="AA7" s="7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22" customHeight="1">
      <c r="A8" s="27" t="s">
        <v>27</v>
      </c>
      <c r="B8" s="28" t="s">
        <v>45</v>
      </c>
      <c r="C8" s="2" t="s">
        <v>28</v>
      </c>
      <c r="E8" s="3">
        <v>1729.54</v>
      </c>
      <c r="F8" s="3">
        <v>33.040999999999997</v>
      </c>
      <c r="G8" s="7">
        <v>4.5114E-9</v>
      </c>
      <c r="H8" s="5">
        <v>1.9659999999999999E-3</v>
      </c>
      <c r="I8" s="5">
        <v>5.6700000000000001E-4</v>
      </c>
      <c r="K8" s="5">
        <v>6.9899999999999997E-4</v>
      </c>
      <c r="L8" s="5">
        <v>6.2299999999999996E-4</v>
      </c>
      <c r="M8" s="5">
        <v>5.7000000000000002E-3</v>
      </c>
      <c r="N8" s="5">
        <v>4.9700000000000005E-4</v>
      </c>
      <c r="O8" s="6"/>
      <c r="P8" s="6"/>
      <c r="Q8" s="6"/>
      <c r="R8" s="5">
        <v>8.3649999999999992E-3</v>
      </c>
      <c r="S8" s="5">
        <v>4.5100000000000001E-4</v>
      </c>
      <c r="T8" s="5">
        <v>0.23507</v>
      </c>
      <c r="U8" s="5">
        <v>6.1761999999999997E-2</v>
      </c>
      <c r="V8" s="5">
        <v>8.3566000000000001E-2</v>
      </c>
      <c r="W8" s="5">
        <v>7.4413999999999994E-2</v>
      </c>
      <c r="X8" s="5">
        <v>0.31863599999999997</v>
      </c>
      <c r="Y8" s="5">
        <v>6.2196000000000001E-2</v>
      </c>
      <c r="Z8" s="6"/>
      <c r="AA8" s="6"/>
      <c r="AB8" s="6"/>
      <c r="AC8" s="6"/>
      <c r="AE8" s="6"/>
      <c r="AF8" s="6"/>
      <c r="AG8" s="6"/>
      <c r="AH8" s="6"/>
      <c r="AJ8" s="6"/>
      <c r="AK8" s="6"/>
      <c r="AM8" s="6"/>
    </row>
    <row r="9" spans="1:39">
      <c r="A9" s="27"/>
      <c r="B9" s="28"/>
      <c r="C9" s="2" t="s">
        <v>29</v>
      </c>
      <c r="E9" s="3">
        <v>1875.6769999999999</v>
      </c>
      <c r="F9" s="3">
        <v>28.126000000000001</v>
      </c>
      <c r="G9" s="7">
        <v>5.6826000000000002E-8</v>
      </c>
      <c r="H9" s="5">
        <v>1.923E-3</v>
      </c>
      <c r="I9" s="5">
        <v>5.0699999999999996E-4</v>
      </c>
      <c r="K9" s="5">
        <v>1.3370000000000001E-3</v>
      </c>
      <c r="L9" s="5">
        <v>5.04E-4</v>
      </c>
      <c r="M9" s="5">
        <v>3.173E-3</v>
      </c>
      <c r="N9" s="5">
        <v>3.5E-4</v>
      </c>
      <c r="O9" s="3"/>
      <c r="P9" s="3"/>
      <c r="Q9" s="3"/>
      <c r="R9" s="5">
        <v>6.4330000000000003E-3</v>
      </c>
      <c r="S9" s="5">
        <v>3.7800000000000003E-4</v>
      </c>
      <c r="T9" s="5">
        <v>0.298925</v>
      </c>
      <c r="U9" s="5">
        <v>6.9115999999999997E-2</v>
      </c>
      <c r="V9" s="5">
        <v>0.207792</v>
      </c>
      <c r="W9" s="5">
        <v>7.7775999999999998E-2</v>
      </c>
      <c r="X9" s="5">
        <v>0.506718</v>
      </c>
      <c r="Y9" s="5">
        <v>6.2236E-2</v>
      </c>
      <c r="Z9" s="3"/>
      <c r="AA9" s="3"/>
      <c r="AB9" s="3"/>
      <c r="AC9" s="3"/>
      <c r="AD9" s="3"/>
    </row>
    <row r="10" spans="1:39">
      <c r="A10" s="27"/>
      <c r="B10" s="28"/>
      <c r="C10" s="2" t="s">
        <v>30</v>
      </c>
      <c r="E10" s="3">
        <v>1780.5340000000001</v>
      </c>
      <c r="F10" s="3">
        <v>31.183</v>
      </c>
      <c r="G10" s="7">
        <v>1.1739E-8</v>
      </c>
      <c r="H10" s="5">
        <v>1.786E-3</v>
      </c>
      <c r="I10" s="5">
        <v>5.1500000000000005E-4</v>
      </c>
      <c r="K10" s="5">
        <v>6.2699999999999995E-4</v>
      </c>
      <c r="L10" s="5">
        <v>5.5500000000000005E-4</v>
      </c>
      <c r="M10" s="5">
        <v>4.9300000000000004E-3</v>
      </c>
      <c r="N10" s="5">
        <v>4.4099999999999999E-4</v>
      </c>
      <c r="O10" s="3"/>
      <c r="P10" s="3"/>
      <c r="Q10" s="3"/>
      <c r="R10" s="5">
        <v>7.3429999999999997E-3</v>
      </c>
      <c r="S10" s="5">
        <v>4.0099999999999999E-4</v>
      </c>
      <c r="T10" s="5">
        <v>0.24327399999999999</v>
      </c>
      <c r="U10" s="5">
        <v>6.3539999999999999E-2</v>
      </c>
      <c r="V10" s="5">
        <v>8.5352999999999998E-2</v>
      </c>
      <c r="W10" s="5">
        <v>7.5545000000000001E-2</v>
      </c>
      <c r="X10" s="5">
        <v>0.328627</v>
      </c>
      <c r="Y10" s="5">
        <v>6.3966999999999996E-2</v>
      </c>
      <c r="Z10" s="3"/>
      <c r="AA10" s="3"/>
      <c r="AB10" s="3"/>
      <c r="AC10" s="3"/>
      <c r="AD10" s="3"/>
      <c r="AE10" s="3"/>
      <c r="AF10" s="3"/>
      <c r="AG10" s="3"/>
    </row>
    <row r="11" spans="1:39" s="17" customFormat="1">
      <c r="A11" s="27"/>
      <c r="B11" s="28"/>
      <c r="C11" s="13" t="s">
        <v>31</v>
      </c>
      <c r="D11" s="13"/>
      <c r="E11" s="14">
        <v>1916.6579999999999</v>
      </c>
      <c r="F11" s="14">
        <v>20.95</v>
      </c>
      <c r="G11" s="16">
        <v>2.3566999999999998E-6</v>
      </c>
      <c r="H11" s="17">
        <v>1.4989999999999999E-3</v>
      </c>
      <c r="I11" s="17">
        <v>4.4200000000000001E-4</v>
      </c>
      <c r="K11" s="17">
        <v>1.23E-3</v>
      </c>
      <c r="L11" s="17">
        <v>4.5199999999999998E-4</v>
      </c>
      <c r="M11" s="17">
        <v>2.9150000000000001E-3</v>
      </c>
      <c r="N11" s="17">
        <v>3.1799999999999998E-4</v>
      </c>
      <c r="O11" s="14"/>
      <c r="P11" s="14"/>
      <c r="Q11" s="14"/>
      <c r="R11" s="17">
        <v>5.6439999999999997E-3</v>
      </c>
      <c r="S11" s="17">
        <v>3.28E-4</v>
      </c>
      <c r="T11" s="17">
        <v>0.265569</v>
      </c>
      <c r="U11" s="17">
        <v>6.9999000000000006E-2</v>
      </c>
      <c r="V11" s="17">
        <v>0.21796499999999999</v>
      </c>
      <c r="W11" s="17">
        <v>7.9244999999999996E-2</v>
      </c>
      <c r="X11" s="17">
        <v>0.48353499999999999</v>
      </c>
      <c r="Y11" s="17">
        <v>6.4402000000000001E-2</v>
      </c>
      <c r="Z11" s="14"/>
      <c r="AA11" s="16"/>
      <c r="AB11" s="14"/>
      <c r="AC11" s="14"/>
      <c r="AD11" s="21"/>
      <c r="AH11" s="14"/>
      <c r="AI11" s="14"/>
      <c r="AJ11" s="14"/>
      <c r="AK11" s="14"/>
      <c r="AL11" s="14"/>
      <c r="AM11" s="14"/>
    </row>
    <row r="12" spans="1:39" ht="12" customHeight="1">
      <c r="T12" s="5"/>
      <c r="U12" s="5"/>
      <c r="X12" s="4"/>
      <c r="Y12" s="4"/>
    </row>
    <row r="13" spans="1:39">
      <c r="A13" s="27" t="s">
        <v>51</v>
      </c>
      <c r="B13" s="28" t="s">
        <v>44</v>
      </c>
      <c r="C13" s="2" t="s">
        <v>28</v>
      </c>
      <c r="E13" s="2">
        <v>1728.9269999999999</v>
      </c>
      <c r="F13" s="5"/>
      <c r="G13" s="5"/>
      <c r="H13" s="5">
        <v>2.3898449999999998E-3</v>
      </c>
      <c r="I13" s="5">
        <v>5.104269E-4</v>
      </c>
      <c r="J13" s="5">
        <v>4.6820510000000004</v>
      </c>
      <c r="M13" s="5">
        <v>6.0419569999999997E-3</v>
      </c>
      <c r="N13" s="5">
        <v>3.923652E-4</v>
      </c>
      <c r="O13" s="5">
        <v>15.398807</v>
      </c>
      <c r="R13" s="5">
        <f>H13+M13</f>
        <v>8.4318019999999987E-3</v>
      </c>
      <c r="S13" s="5">
        <f>SQRT( I13^2+N13^2)</f>
        <v>6.4380592604809878E-4</v>
      </c>
      <c r="T13" s="5">
        <v>0.28343230000000003</v>
      </c>
      <c r="U13" s="5">
        <v>5.0999999999999997E-2</v>
      </c>
      <c r="V13" s="4"/>
      <c r="W13" s="4"/>
      <c r="X13" s="4"/>
      <c r="Y13" s="4"/>
    </row>
    <row r="14" spans="1:39">
      <c r="A14" s="27"/>
      <c r="B14" s="28"/>
      <c r="C14" s="2" t="s">
        <v>29</v>
      </c>
      <c r="E14" s="2">
        <v>1870.8989999999999</v>
      </c>
      <c r="F14" s="5"/>
      <c r="G14" s="5"/>
      <c r="H14" s="5">
        <v>2.8800929999999998E-3</v>
      </c>
      <c r="I14" s="5">
        <v>4.8919390000000005E-4</v>
      </c>
      <c r="J14" s="5">
        <v>5.8874269999999997</v>
      </c>
      <c r="M14" s="5">
        <v>3.7719189999999999E-3</v>
      </c>
      <c r="N14" s="5">
        <v>2.8336110000000002E-4</v>
      </c>
      <c r="O14" s="5">
        <v>13.311353</v>
      </c>
      <c r="R14" s="5">
        <f>H14+M14</f>
        <v>6.6520119999999997E-3</v>
      </c>
      <c r="S14" s="5">
        <f>SQRT( I14^2+N14^2)</f>
        <v>5.6533546217305355E-4</v>
      </c>
      <c r="T14" s="5">
        <v>0.43296570000000001</v>
      </c>
      <c r="U14" s="5">
        <v>5.3999999999999999E-2</v>
      </c>
      <c r="V14" s="4"/>
      <c r="W14" s="4"/>
      <c r="X14" s="4"/>
      <c r="Y14" s="4"/>
    </row>
    <row r="15" spans="1:39">
      <c r="A15" s="27"/>
      <c r="B15" s="28"/>
      <c r="C15" s="2" t="s">
        <v>30</v>
      </c>
      <c r="E15" s="2">
        <v>1779.963</v>
      </c>
      <c r="F15" s="5"/>
      <c r="G15" s="5"/>
      <c r="H15" s="5">
        <v>2.165864E-3</v>
      </c>
      <c r="I15" s="5">
        <v>4.6567160000000001E-4</v>
      </c>
      <c r="J15" s="5">
        <v>4.6510550000000004</v>
      </c>
      <c r="M15" s="5">
        <v>5.2363929999999998E-3</v>
      </c>
      <c r="N15" s="5">
        <v>3.4712700000000003E-4</v>
      </c>
      <c r="O15" s="5">
        <v>15.084946</v>
      </c>
      <c r="R15" s="5">
        <f t="shared" ref="R15:R16" si="0">H15+M15</f>
        <v>7.4022569999999998E-3</v>
      </c>
      <c r="S15" s="5">
        <f>SQRT( M14^2+N15^2)</f>
        <v>3.7878582466467775E-3</v>
      </c>
      <c r="T15" s="5">
        <v>0.2925951</v>
      </c>
      <c r="U15" s="5">
        <v>5.2999999999999999E-2</v>
      </c>
      <c r="V15" s="4"/>
      <c r="W15" s="4"/>
      <c r="X15" s="4"/>
      <c r="Y15" s="4"/>
    </row>
    <row r="16" spans="1:39" s="17" customFormat="1">
      <c r="A16" s="27"/>
      <c r="B16" s="28"/>
      <c r="C16" s="13" t="s">
        <v>31</v>
      </c>
      <c r="D16" s="13"/>
      <c r="E16" s="13">
        <v>1911.681</v>
      </c>
      <c r="H16" s="17">
        <v>2.3704120000000001E-3</v>
      </c>
      <c r="I16" s="17">
        <v>4.2905370000000001E-4</v>
      </c>
      <c r="J16" s="17">
        <v>5.5247450000000002</v>
      </c>
      <c r="M16" s="17">
        <v>3.4663620000000002E-3</v>
      </c>
      <c r="N16" s="17">
        <v>2.5776290000000001E-4</v>
      </c>
      <c r="O16" s="17">
        <v>13.447872</v>
      </c>
      <c r="R16" s="5">
        <f t="shared" si="0"/>
        <v>5.8367740000000003E-3</v>
      </c>
      <c r="S16" s="5">
        <f t="shared" ref="S16" si="1">SQRT( I16^2+N16^2)</f>
        <v>5.0052851077645919E-4</v>
      </c>
      <c r="T16" s="17">
        <v>0.4061168</v>
      </c>
      <c r="U16" s="17">
        <v>5.6000000000000001E-2</v>
      </c>
      <c r="W16" s="15"/>
      <c r="X16" s="15"/>
      <c r="Y16" s="15"/>
    </row>
    <row r="17" spans="1:25">
      <c r="A17" s="27"/>
      <c r="T17" s="5"/>
      <c r="U17" s="5"/>
      <c r="V17" s="4"/>
      <c r="W17" s="4"/>
      <c r="X17" s="4"/>
      <c r="Y17" s="4"/>
    </row>
    <row r="18" spans="1:25" ht="40">
      <c r="A18" s="27"/>
      <c r="B18" s="10" t="s">
        <v>45</v>
      </c>
      <c r="C18" s="13" t="s">
        <v>31</v>
      </c>
      <c r="E18" s="2">
        <v>1916.355</v>
      </c>
      <c r="H18" s="2">
        <v>1.5327419999999999E-3</v>
      </c>
      <c r="I18" s="5">
        <v>4.4886509999999999E-4</v>
      </c>
      <c r="J18" s="5">
        <v>3.4147050000000001</v>
      </c>
      <c r="K18" s="2">
        <v>1.227758E-3</v>
      </c>
      <c r="L18" s="5">
        <v>4.5746559999999999E-4</v>
      </c>
      <c r="M18" s="2">
        <v>3.2025089999999999E-4</v>
      </c>
      <c r="N18" s="5">
        <v>9.0755680000000005</v>
      </c>
      <c r="T18" s="5">
        <v>0.27046989999999999</v>
      </c>
      <c r="U18" s="5">
        <v>7.0999999999999994E-2</v>
      </c>
      <c r="V18" s="5">
        <v>0.21665200000000001</v>
      </c>
      <c r="W18" s="9">
        <v>0.08</v>
      </c>
    </row>
    <row r="21" spans="1:25">
      <c r="V21" s="4"/>
      <c r="W21" s="4"/>
      <c r="X21" s="4"/>
      <c r="Y21" s="4"/>
    </row>
    <row r="22" spans="1:25">
      <c r="V22" s="4"/>
      <c r="W22" s="4"/>
      <c r="X22" s="4"/>
      <c r="Y22" s="4"/>
    </row>
    <row r="23" spans="1:25">
      <c r="V23" s="4"/>
      <c r="W23" s="4"/>
      <c r="X23" s="4"/>
      <c r="Y23" s="4"/>
    </row>
    <row r="24" spans="1:25">
      <c r="V24" s="4"/>
      <c r="W24" s="4"/>
      <c r="X24" s="4"/>
      <c r="Y24" s="4"/>
    </row>
    <row r="25" spans="1:25">
      <c r="V25" s="4"/>
      <c r="W25" s="4"/>
      <c r="X25" s="4"/>
      <c r="Y25" s="4"/>
    </row>
    <row r="26" spans="1:25">
      <c r="V26" s="4"/>
      <c r="W26" s="4"/>
      <c r="X26" s="4"/>
      <c r="Y26" s="4"/>
    </row>
    <row r="27" spans="1:25">
      <c r="V27" s="4"/>
      <c r="W27" s="4"/>
      <c r="X27" s="4"/>
      <c r="Y27" s="4"/>
    </row>
    <row r="28" spans="1:25">
      <c r="V28" s="4"/>
      <c r="W28" s="4"/>
      <c r="X28" s="4"/>
      <c r="Y28" s="4"/>
    </row>
    <row r="29" spans="1:25">
      <c r="V29" s="4"/>
      <c r="W29" s="4"/>
      <c r="X29" s="4"/>
      <c r="Y29" s="4"/>
    </row>
    <row r="30" spans="1:25">
      <c r="V30" s="12"/>
      <c r="W30" s="12"/>
      <c r="X30" s="12"/>
      <c r="Y30" s="12"/>
    </row>
    <row r="31" spans="1:25">
      <c r="V31" s="4"/>
      <c r="W31" s="4"/>
      <c r="X31" s="4"/>
      <c r="Y31" s="4"/>
    </row>
    <row r="32" spans="1:25">
      <c r="V32" s="4"/>
      <c r="W32" s="4"/>
      <c r="X32" s="4"/>
      <c r="Y32" s="4"/>
    </row>
    <row r="34" spans="22:25">
      <c r="V34" s="4"/>
      <c r="W34" s="4"/>
      <c r="X34" s="4"/>
      <c r="Y34" s="4"/>
    </row>
    <row r="35" spans="22:25">
      <c r="V35" s="4"/>
      <c r="W35" s="4"/>
      <c r="X35" s="4"/>
      <c r="Y35" s="4"/>
    </row>
    <row r="40" spans="22:25">
      <c r="V40" s="4"/>
      <c r="W40" s="4"/>
      <c r="X40" s="4"/>
      <c r="Y40" s="4"/>
    </row>
    <row r="41" spans="22:25">
      <c r="V41" s="4"/>
      <c r="W41" s="4"/>
      <c r="X41" s="4"/>
      <c r="Y41" s="4"/>
    </row>
    <row r="42" spans="22:25">
      <c r="V42" s="4"/>
      <c r="W42" s="4"/>
      <c r="X42" s="4"/>
      <c r="Y42" s="4"/>
    </row>
    <row r="43" spans="22:25">
      <c r="V43" s="4"/>
      <c r="W43" s="4"/>
      <c r="X43" s="4"/>
      <c r="Y43" s="4"/>
    </row>
    <row r="46" spans="22:25">
      <c r="V46" s="5"/>
      <c r="W46" s="5"/>
      <c r="X46" s="5"/>
      <c r="Y46" s="5"/>
    </row>
  </sheetData>
  <mergeCells count="6">
    <mergeCell ref="A2:A5"/>
    <mergeCell ref="B2:B5"/>
    <mergeCell ref="A8:A11"/>
    <mergeCell ref="B8:B11"/>
    <mergeCell ref="B13:B16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Overall-table</vt:lpstr>
      <vt:lpstr>days-survived</vt:lpstr>
      <vt:lpstr>bd-slope</vt:lpstr>
      <vt:lpstr>bd-status</vt:lpstr>
      <vt:lpstr>bd-maxLoad</vt:lpstr>
      <vt:lpstr>weight</vt:lpstr>
      <vt:lpstr>body-condition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Mikaeylah Davidson</dc:creator>
  <cp:lastModifiedBy>Mikaeylah Davidson</cp:lastModifiedBy>
  <dcterms:created xsi:type="dcterms:W3CDTF">2024-10-28T05:09:43Z</dcterms:created>
  <dcterms:modified xsi:type="dcterms:W3CDTF">2024-11-20T10:40:18Z</dcterms:modified>
</cp:coreProperties>
</file>