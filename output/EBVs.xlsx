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mescookuniversity-my.sharepoint.com/personal/jd168821_jcu_edu_au/Documents/Psco/gParamaters/manuscript/Data_Davidson-PscoGpred-UPDATED/output/"/>
    </mc:Choice>
  </mc:AlternateContent>
  <xr:revisionPtr revIDLastSave="408" documentId="8_{22404B39-2355-5541-9C30-EA4D930EE649}" xr6:coauthVersionLast="47" xr6:coauthVersionMax="47" xr10:uidLastSave="{89F1F1CE-D16A-CD42-9E1F-CB492ACF19B3}"/>
  <bookViews>
    <workbookView xWindow="3480" yWindow="660" windowWidth="30240" windowHeight="17560" xr2:uid="{A67A8B51-8F17-BC40-93AF-C805EFBF62CE}"/>
  </bookViews>
  <sheets>
    <sheet name="EBVs" sheetId="8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5" i="8" l="1"/>
  <c r="F894" i="8"/>
  <c r="F893" i="8"/>
  <c r="F892" i="8"/>
  <c r="F891" i="8"/>
  <c r="F890" i="8"/>
  <c r="F889" i="8"/>
  <c r="F888" i="8"/>
  <c r="F887" i="8"/>
  <c r="F886" i="8"/>
  <c r="F885" i="8"/>
  <c r="F884" i="8"/>
  <c r="F883" i="8"/>
  <c r="F882" i="8"/>
  <c r="F881" i="8"/>
  <c r="F880" i="8"/>
  <c r="F879" i="8"/>
  <c r="F878" i="8"/>
  <c r="F877" i="8"/>
  <c r="F876" i="8"/>
  <c r="F875" i="8"/>
  <c r="F874" i="8"/>
  <c r="F873" i="8"/>
  <c r="F872" i="8"/>
  <c r="F871" i="8"/>
  <c r="F870" i="8"/>
  <c r="F869" i="8"/>
  <c r="F868" i="8"/>
  <c r="F867" i="8"/>
  <c r="F866" i="8"/>
  <c r="F865" i="8"/>
  <c r="F864" i="8"/>
  <c r="F863" i="8"/>
  <c r="F862" i="8"/>
  <c r="F861" i="8"/>
  <c r="F860" i="8"/>
  <c r="F859" i="8"/>
  <c r="F858" i="8"/>
  <c r="F857" i="8"/>
  <c r="F856" i="8"/>
  <c r="F855" i="8"/>
  <c r="F854" i="8"/>
  <c r="F853" i="8"/>
  <c r="F852" i="8"/>
  <c r="F851" i="8"/>
  <c r="F850" i="8"/>
  <c r="F849" i="8"/>
  <c r="F848" i="8"/>
  <c r="F847" i="8"/>
  <c r="F846" i="8"/>
  <c r="F845" i="8"/>
  <c r="F844" i="8"/>
  <c r="F843" i="8"/>
  <c r="F842" i="8"/>
  <c r="F841" i="8"/>
  <c r="F840" i="8"/>
  <c r="F839" i="8"/>
  <c r="F838" i="8"/>
  <c r="F837" i="8"/>
  <c r="F836" i="8"/>
  <c r="F835" i="8"/>
  <c r="F834" i="8"/>
  <c r="F833" i="8"/>
  <c r="F832" i="8"/>
  <c r="F831" i="8"/>
  <c r="F830" i="8"/>
  <c r="F829" i="8"/>
  <c r="F828" i="8"/>
  <c r="F827" i="8"/>
  <c r="F826" i="8"/>
  <c r="F825" i="8"/>
  <c r="F824" i="8"/>
  <c r="F823" i="8"/>
  <c r="F822" i="8"/>
  <c r="F821" i="8"/>
  <c r="F820" i="8"/>
  <c r="F819" i="8"/>
  <c r="F818" i="8"/>
  <c r="F817" i="8"/>
  <c r="F816" i="8"/>
  <c r="F815" i="8"/>
  <c r="F814" i="8"/>
  <c r="F813" i="8"/>
  <c r="F812" i="8"/>
  <c r="F811" i="8"/>
  <c r="F810" i="8"/>
  <c r="F809" i="8"/>
  <c r="F808" i="8"/>
  <c r="F807" i="8"/>
  <c r="F806" i="8"/>
  <c r="F805" i="8"/>
  <c r="F804" i="8"/>
  <c r="F803" i="8"/>
  <c r="F802" i="8"/>
  <c r="F801" i="8"/>
  <c r="F800" i="8"/>
  <c r="F799" i="8"/>
  <c r="F798" i="8"/>
  <c r="F797" i="8"/>
  <c r="F796" i="8"/>
  <c r="F795" i="8"/>
  <c r="F794" i="8"/>
  <c r="F793" i="8"/>
  <c r="F792" i="8"/>
  <c r="F791" i="8"/>
  <c r="F790" i="8"/>
  <c r="F789" i="8"/>
  <c r="F788" i="8"/>
  <c r="F787" i="8"/>
  <c r="F786" i="8"/>
  <c r="F785" i="8"/>
  <c r="F784" i="8"/>
  <c r="F783" i="8"/>
  <c r="F782" i="8"/>
  <c r="F781" i="8"/>
  <c r="F780" i="8"/>
  <c r="F779" i="8"/>
  <c r="F778" i="8"/>
  <c r="F777" i="8"/>
  <c r="F776" i="8"/>
  <c r="F775" i="8"/>
  <c r="F774" i="8"/>
  <c r="F773" i="8"/>
  <c r="F772" i="8"/>
  <c r="F771" i="8"/>
  <c r="F770" i="8"/>
  <c r="F769" i="8"/>
  <c r="F768" i="8"/>
  <c r="F767" i="8"/>
  <c r="F766" i="8"/>
  <c r="F765" i="8"/>
  <c r="F764" i="8"/>
  <c r="F763" i="8"/>
  <c r="F762" i="8"/>
  <c r="F761" i="8"/>
  <c r="F760" i="8"/>
  <c r="F759" i="8"/>
  <c r="F758" i="8"/>
  <c r="F757" i="8"/>
  <c r="F756" i="8"/>
  <c r="F755" i="8"/>
  <c r="F754" i="8"/>
  <c r="F753" i="8"/>
  <c r="F752" i="8"/>
  <c r="F751" i="8"/>
  <c r="F750" i="8"/>
  <c r="F749" i="8"/>
  <c r="F748" i="8"/>
  <c r="F747" i="8"/>
  <c r="F746" i="8"/>
  <c r="F745" i="8"/>
  <c r="F744" i="8"/>
  <c r="F743" i="8"/>
  <c r="F742" i="8"/>
  <c r="F741" i="8"/>
  <c r="F740" i="8"/>
  <c r="F739" i="8"/>
  <c r="F738" i="8"/>
  <c r="F737" i="8"/>
  <c r="F736" i="8"/>
  <c r="F735" i="8"/>
  <c r="F734" i="8"/>
  <c r="F733" i="8"/>
  <c r="F732" i="8"/>
  <c r="F731" i="8"/>
  <c r="F730" i="8"/>
  <c r="F729" i="8"/>
  <c r="F728" i="8"/>
  <c r="F727" i="8"/>
  <c r="F726" i="8"/>
  <c r="F725" i="8"/>
  <c r="F724" i="8"/>
  <c r="F723" i="8"/>
  <c r="F722" i="8"/>
  <c r="F721" i="8"/>
  <c r="F720" i="8"/>
  <c r="F719" i="8"/>
  <c r="F718" i="8"/>
  <c r="F717" i="8"/>
  <c r="F716" i="8"/>
  <c r="F715" i="8"/>
  <c r="F714" i="8"/>
  <c r="F713" i="8"/>
  <c r="F712" i="8"/>
  <c r="F711" i="8"/>
  <c r="F710" i="8"/>
  <c r="F709" i="8"/>
  <c r="F708" i="8"/>
  <c r="F707" i="8"/>
  <c r="F706" i="8"/>
  <c r="F705" i="8"/>
  <c r="F704" i="8"/>
  <c r="F703" i="8"/>
  <c r="F702" i="8"/>
  <c r="F701" i="8"/>
  <c r="F700" i="8"/>
  <c r="F699" i="8"/>
  <c r="F698" i="8"/>
  <c r="F697" i="8"/>
  <c r="F696" i="8"/>
  <c r="F695" i="8"/>
  <c r="F694" i="8"/>
  <c r="F693" i="8"/>
  <c r="F692" i="8"/>
  <c r="F691" i="8"/>
  <c r="F690" i="8"/>
  <c r="F689" i="8"/>
  <c r="F688" i="8"/>
  <c r="F687" i="8"/>
  <c r="F686" i="8"/>
  <c r="F685" i="8"/>
  <c r="F684" i="8"/>
  <c r="F683" i="8"/>
  <c r="F682" i="8"/>
  <c r="F681" i="8"/>
  <c r="F680" i="8"/>
  <c r="F679" i="8"/>
  <c r="F678" i="8"/>
  <c r="F677" i="8"/>
  <c r="F676" i="8"/>
  <c r="F675" i="8"/>
  <c r="F674" i="8"/>
  <c r="F673" i="8"/>
  <c r="F672" i="8"/>
  <c r="F671" i="8"/>
  <c r="F670" i="8"/>
  <c r="F669" i="8"/>
  <c r="F668" i="8"/>
  <c r="F667" i="8"/>
  <c r="F666" i="8"/>
  <c r="F665" i="8"/>
  <c r="F664" i="8"/>
  <c r="F663" i="8"/>
  <c r="F662" i="8"/>
  <c r="F661" i="8"/>
  <c r="F660" i="8"/>
  <c r="F659" i="8"/>
  <c r="F658" i="8"/>
  <c r="F657" i="8"/>
  <c r="F656" i="8"/>
  <c r="F655" i="8"/>
  <c r="F654" i="8"/>
  <c r="F653" i="8"/>
  <c r="F652" i="8"/>
  <c r="F651" i="8"/>
  <c r="F650" i="8"/>
  <c r="F649" i="8"/>
  <c r="F648" i="8"/>
  <c r="F647" i="8"/>
  <c r="F646" i="8"/>
  <c r="F645" i="8"/>
  <c r="F644" i="8"/>
  <c r="F643" i="8"/>
  <c r="F642" i="8"/>
  <c r="F641" i="8"/>
  <c r="F640" i="8"/>
  <c r="F639" i="8"/>
  <c r="F638" i="8"/>
  <c r="F637" i="8"/>
  <c r="F636" i="8"/>
  <c r="F635" i="8"/>
  <c r="F634" i="8"/>
  <c r="F633" i="8"/>
  <c r="F632" i="8"/>
  <c r="F631" i="8"/>
  <c r="F630" i="8"/>
  <c r="F629" i="8"/>
  <c r="F628" i="8"/>
  <c r="F627" i="8"/>
  <c r="F626" i="8"/>
  <c r="F625" i="8"/>
  <c r="F624" i="8"/>
  <c r="F623" i="8"/>
  <c r="F622" i="8"/>
  <c r="F621" i="8"/>
  <c r="F620" i="8"/>
  <c r="F619" i="8"/>
  <c r="F618" i="8"/>
  <c r="F617" i="8"/>
  <c r="F616" i="8"/>
  <c r="F615" i="8"/>
  <c r="F614" i="8"/>
  <c r="F613" i="8"/>
  <c r="F612" i="8"/>
  <c r="F611" i="8"/>
  <c r="F610" i="8"/>
  <c r="F609" i="8"/>
  <c r="F608" i="8"/>
  <c r="F607" i="8"/>
  <c r="F606" i="8"/>
  <c r="F605" i="8"/>
  <c r="F604" i="8"/>
  <c r="F603" i="8"/>
  <c r="F602" i="8"/>
  <c r="F601" i="8"/>
  <c r="F600" i="8"/>
  <c r="F599" i="8"/>
  <c r="F598" i="8"/>
  <c r="F597" i="8"/>
  <c r="F596" i="8"/>
  <c r="F595" i="8"/>
  <c r="F594" i="8"/>
  <c r="F593" i="8"/>
  <c r="F592" i="8"/>
  <c r="F591" i="8"/>
  <c r="F590" i="8"/>
  <c r="F589" i="8"/>
  <c r="F588" i="8"/>
  <c r="F587" i="8"/>
  <c r="F586" i="8"/>
  <c r="F585" i="8"/>
  <c r="F584" i="8"/>
  <c r="F583" i="8"/>
  <c r="F582" i="8"/>
  <c r="F581" i="8"/>
  <c r="F580" i="8"/>
  <c r="F579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547" i="8"/>
  <c r="F546" i="8"/>
  <c r="F545" i="8"/>
  <c r="F544" i="8"/>
  <c r="F543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11" i="8"/>
  <c r="F510" i="8"/>
  <c r="F509" i="8"/>
  <c r="F508" i="8"/>
  <c r="F507" i="8"/>
  <c r="F506" i="8"/>
  <c r="F505" i="8"/>
  <c r="F504" i="8"/>
  <c r="F503" i="8"/>
  <c r="F502" i="8"/>
  <c r="F501" i="8"/>
  <c r="F500" i="8"/>
  <c r="F499" i="8"/>
  <c r="F498" i="8"/>
  <c r="F497" i="8"/>
  <c r="F496" i="8"/>
  <c r="F495" i="8"/>
  <c r="F494" i="8"/>
  <c r="F493" i="8"/>
  <c r="F492" i="8"/>
  <c r="F491" i="8"/>
  <c r="F490" i="8"/>
  <c r="F489" i="8"/>
  <c r="F488" i="8"/>
  <c r="F487" i="8"/>
  <c r="F486" i="8"/>
  <c r="F485" i="8"/>
  <c r="F484" i="8"/>
  <c r="F483" i="8"/>
  <c r="F482" i="8"/>
  <c r="F481" i="8"/>
  <c r="F480" i="8"/>
  <c r="F479" i="8"/>
  <c r="F478" i="8"/>
  <c r="F477" i="8"/>
  <c r="F476" i="8"/>
  <c r="F475" i="8"/>
  <c r="F474" i="8"/>
  <c r="F473" i="8"/>
  <c r="F472" i="8"/>
  <c r="F471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439" i="8"/>
  <c r="F438" i="8"/>
  <c r="F437" i="8"/>
  <c r="F436" i="8"/>
  <c r="F435" i="8"/>
  <c r="F434" i="8"/>
  <c r="F433" i="8"/>
  <c r="F432" i="8"/>
  <c r="F431" i="8"/>
  <c r="F430" i="8"/>
  <c r="F429" i="8"/>
  <c r="F428" i="8"/>
  <c r="F427" i="8"/>
  <c r="F426" i="8"/>
  <c r="F425" i="8"/>
  <c r="F424" i="8"/>
  <c r="F423" i="8"/>
  <c r="F422" i="8"/>
  <c r="F421" i="8"/>
  <c r="F420" i="8"/>
  <c r="F419" i="8"/>
  <c r="F418" i="8"/>
  <c r="F417" i="8"/>
  <c r="F416" i="8"/>
  <c r="F415" i="8"/>
  <c r="F414" i="8"/>
  <c r="F413" i="8"/>
  <c r="F412" i="8"/>
  <c r="F411" i="8"/>
  <c r="F410" i="8"/>
  <c r="F409" i="8"/>
  <c r="F408" i="8"/>
  <c r="F407" i="8"/>
  <c r="F406" i="8"/>
  <c r="F405" i="8"/>
  <c r="F404" i="8"/>
  <c r="F403" i="8"/>
  <c r="F402" i="8"/>
  <c r="F401" i="8"/>
  <c r="F400" i="8"/>
  <c r="F399" i="8"/>
  <c r="F398" i="8"/>
  <c r="F397" i="8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N15" i="8"/>
  <c r="M15" i="8"/>
  <c r="L15" i="8" a="1"/>
  <c r="K15" i="8"/>
  <c r="F15" i="8"/>
  <c r="N14" i="8"/>
  <c r="M14" i="8"/>
  <c r="L14" i="8" a="1"/>
  <c r="K14" i="8"/>
  <c r="F14" i="8"/>
  <c r="N13" i="8"/>
  <c r="M13" i="8"/>
  <c r="L13" i="8" a="1"/>
  <c r="K13" i="8"/>
  <c r="F13" i="8"/>
  <c r="N12" i="8"/>
  <c r="M12" i="8"/>
  <c r="L12" i="8" a="1"/>
  <c r="K12" i="8"/>
  <c r="F12" i="8"/>
  <c r="N11" i="8"/>
  <c r="M11" i="8"/>
  <c r="L11" i="8" a="1"/>
  <c r="K11" i="8"/>
  <c r="F11" i="8"/>
  <c r="N10" i="8"/>
  <c r="M10" i="8"/>
  <c r="L10" i="8" a="1"/>
  <c r="K10" i="8"/>
  <c r="F10" i="8"/>
  <c r="N9" i="8"/>
  <c r="M9" i="8"/>
  <c r="L9" i="8" a="1"/>
  <c r="K9" i="8"/>
  <c r="F9" i="8"/>
  <c r="N8" i="8"/>
  <c r="M8" i="8"/>
  <c r="L8" i="8" a="1"/>
  <c r="K8" i="8"/>
  <c r="F8" i="8"/>
  <c r="N7" i="8"/>
  <c r="M7" i="8"/>
  <c r="L7" i="8" a="1"/>
  <c r="K7" i="8"/>
  <c r="F7" i="8"/>
  <c r="N6" i="8"/>
  <c r="M6" i="8"/>
  <c r="L6" i="8" a="1"/>
  <c r="K6" i="8"/>
  <c r="F6" i="8"/>
  <c r="N5" i="8"/>
  <c r="M5" i="8"/>
  <c r="L5" i="8" a="1"/>
  <c r="K5" i="8"/>
  <c r="F5" i="8"/>
  <c r="N4" i="8"/>
  <c r="M4" i="8"/>
  <c r="L4" i="8" a="1"/>
  <c r="K4" i="8"/>
  <c r="F4" i="8"/>
  <c r="N3" i="8"/>
  <c r="M3" i="8"/>
  <c r="L3" i="8" a="1"/>
  <c r="K3" i="8"/>
  <c r="F3" i="8"/>
  <c r="N2" i="8"/>
  <c r="M2" i="8"/>
  <c r="L2" i="8" a="1"/>
  <c r="K2" i="8"/>
  <c r="F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<sst xmlns="http://schemas.openxmlformats.org/spreadsheetml/2006/main" count="1802" uniqueCount="909">
  <si>
    <t>Psco_191</t>
  </si>
  <si>
    <t>Psco_103</t>
  </si>
  <si>
    <t>Psco_199</t>
  </si>
  <si>
    <t>Psco_111</t>
  </si>
  <si>
    <t>Psco_207</t>
  </si>
  <si>
    <t>Psco_119</t>
  </si>
  <si>
    <t>Psco_215</t>
  </si>
  <si>
    <t>Psco_127</t>
  </si>
  <si>
    <t>Psco_223</t>
  </si>
  <si>
    <t>Psco_135</t>
  </si>
  <si>
    <t>Psco_231</t>
  </si>
  <si>
    <t>Psco_143</t>
  </si>
  <si>
    <t>Psco_239</t>
  </si>
  <si>
    <t>Psco_248</t>
  </si>
  <si>
    <t>Psco_159</t>
  </si>
  <si>
    <t>Psco_256</t>
  </si>
  <si>
    <t>Psco_167</t>
  </si>
  <si>
    <t>Psco_265</t>
  </si>
  <si>
    <t>Psco_175</t>
  </si>
  <si>
    <t>Psco_273</t>
  </si>
  <si>
    <t>Psco_183</t>
  </si>
  <si>
    <t>Psco_281</t>
  </si>
  <si>
    <t>Psco_289</t>
  </si>
  <si>
    <t>Psco_385</t>
  </si>
  <si>
    <t>Psco_297</t>
  </si>
  <si>
    <t>Psco_393</t>
  </si>
  <si>
    <t>Psco_305</t>
  </si>
  <si>
    <t>Psco_416</t>
  </si>
  <si>
    <t>Psco_313</t>
  </si>
  <si>
    <t>Psco_424</t>
  </si>
  <si>
    <t>Psco_321</t>
  </si>
  <si>
    <t>Psco_432</t>
  </si>
  <si>
    <t>Psco_329</t>
  </si>
  <si>
    <t>Psco_440</t>
  </si>
  <si>
    <t>Psco_337</t>
  </si>
  <si>
    <t>Psco_448</t>
  </si>
  <si>
    <t>Psco_345</t>
  </si>
  <si>
    <t>Psco_456</t>
  </si>
  <si>
    <t>Psco_353</t>
  </si>
  <si>
    <t>Psco_464</t>
  </si>
  <si>
    <t>Psco_361</t>
  </si>
  <si>
    <t>Psco_472</t>
  </si>
  <si>
    <t>Psco_369</t>
  </si>
  <si>
    <t>Psco_480</t>
  </si>
  <si>
    <t>Psco_377</t>
  </si>
  <si>
    <t>Psco_488</t>
  </si>
  <si>
    <t>Psco_192</t>
  </si>
  <si>
    <t>Psco_104</t>
  </si>
  <si>
    <t>Psco_200</t>
  </si>
  <si>
    <t>Psco_112</t>
  </si>
  <si>
    <t>Psco_208</t>
  </si>
  <si>
    <t>Psco_120</t>
  </si>
  <si>
    <t>Psco_216</t>
  </si>
  <si>
    <t>Psco_128</t>
  </si>
  <si>
    <t>Psco_224</t>
  </si>
  <si>
    <t>Psco_136</t>
  </si>
  <si>
    <t>Psco_232</t>
  </si>
  <si>
    <t>Psco_144</t>
  </si>
  <si>
    <t>Psco_240</t>
  </si>
  <si>
    <t>Psco_249</t>
  </si>
  <si>
    <t>Psco_257</t>
  </si>
  <si>
    <t>Psco_168</t>
  </si>
  <si>
    <t>Psco_266</t>
  </si>
  <si>
    <t>Psco_176</t>
  </si>
  <si>
    <t>Psco_184</t>
  </si>
  <si>
    <t>Psco_282</t>
  </si>
  <si>
    <t>Psco_290</t>
  </si>
  <si>
    <t>Psco_386</t>
  </si>
  <si>
    <t>Psco_298</t>
  </si>
  <si>
    <t>Psco_394</t>
  </si>
  <si>
    <t>Psco_306</t>
  </si>
  <si>
    <t>Psco_417</t>
  </si>
  <si>
    <t>Psco_314</t>
  </si>
  <si>
    <t>Psco_425</t>
  </si>
  <si>
    <t>Psco_322</t>
  </si>
  <si>
    <t>Psco_433</t>
  </si>
  <si>
    <t>Psco_330</t>
  </si>
  <si>
    <t>Psco_441</t>
  </si>
  <si>
    <t>Psco_338</t>
  </si>
  <si>
    <t>Psco_449</t>
  </si>
  <si>
    <t>Psco_346</t>
  </si>
  <si>
    <t>Psco_457</t>
  </si>
  <si>
    <t>Psco_354</t>
  </si>
  <si>
    <t>Psco_465</t>
  </si>
  <si>
    <t>Psco_362</t>
  </si>
  <si>
    <t>Psco_473</t>
  </si>
  <si>
    <t>Psco_370</t>
  </si>
  <si>
    <t>Psco_481</t>
  </si>
  <si>
    <t>Psco_378</t>
  </si>
  <si>
    <t>Psco_489</t>
  </si>
  <si>
    <t>Psco_193</t>
  </si>
  <si>
    <t>Psco_105</t>
  </si>
  <si>
    <t>Psco_201</t>
  </si>
  <si>
    <t>Psco_113</t>
  </si>
  <si>
    <t>Psco_209</t>
  </si>
  <si>
    <t>Psco_121</t>
  </si>
  <si>
    <t>Psco_217</t>
  </si>
  <si>
    <t>Psco_129</t>
  </si>
  <si>
    <t>Psco_225</t>
  </si>
  <si>
    <t>Psco_137</t>
  </si>
  <si>
    <t>Psco_233</t>
  </si>
  <si>
    <t>Psco_145</t>
  </si>
  <si>
    <t>Psco_241</t>
  </si>
  <si>
    <t>Psco_153</t>
  </si>
  <si>
    <t>Psco_250</t>
  </si>
  <si>
    <t>Psco_161</t>
  </si>
  <si>
    <t>Psco_258</t>
  </si>
  <si>
    <t>Psco_169</t>
  </si>
  <si>
    <t>Psco_267</t>
  </si>
  <si>
    <t>Psco_177</t>
  </si>
  <si>
    <t>Psco_275</t>
  </si>
  <si>
    <t>Psco_185</t>
  </si>
  <si>
    <t>Psco_283</t>
  </si>
  <si>
    <t>Psco_387</t>
  </si>
  <si>
    <t>Psco_299</t>
  </si>
  <si>
    <t>Psco_307</t>
  </si>
  <si>
    <t>Psco_418</t>
  </si>
  <si>
    <t>Psco_315</t>
  </si>
  <si>
    <t>Psco_426</t>
  </si>
  <si>
    <t>Psco_323</t>
  </si>
  <si>
    <t>Psco_434</t>
  </si>
  <si>
    <t>Psco_331</t>
  </si>
  <si>
    <t>Psco_442</t>
  </si>
  <si>
    <t>Psco_339</t>
  </si>
  <si>
    <t>Psco_450</t>
  </si>
  <si>
    <t>Psco_347</t>
  </si>
  <si>
    <t>Psco_458</t>
  </si>
  <si>
    <t>Psco_466</t>
  </si>
  <si>
    <t>Psco_363</t>
  </si>
  <si>
    <t>Psco_474</t>
  </si>
  <si>
    <t>Psco_371</t>
  </si>
  <si>
    <t>Psco_482</t>
  </si>
  <si>
    <t>Psco_379</t>
  </si>
  <si>
    <t>Psco_490</t>
  </si>
  <si>
    <t>Psco_194</t>
  </si>
  <si>
    <t>Psco_106</t>
  </si>
  <si>
    <t>Psco_202</t>
  </si>
  <si>
    <t>Psco_114</t>
  </si>
  <si>
    <t>Psco_210</t>
  </si>
  <si>
    <t>Psco_122</t>
  </si>
  <si>
    <t>Psco_218</t>
  </si>
  <si>
    <t>Psco_130</t>
  </si>
  <si>
    <t>Psco_226</t>
  </si>
  <si>
    <t>Psco_138</t>
  </si>
  <si>
    <t>Psco_234</t>
  </si>
  <si>
    <t>Psco_146</t>
  </si>
  <si>
    <t>Psco_154</t>
  </si>
  <si>
    <t>Psco_251</t>
  </si>
  <si>
    <t>Psco_162</t>
  </si>
  <si>
    <t>Psco_259</t>
  </si>
  <si>
    <t>Psco_170</t>
  </si>
  <si>
    <t>Psco_268</t>
  </si>
  <si>
    <t>Psco_178</t>
  </si>
  <si>
    <t>Psco_276</t>
  </si>
  <si>
    <t>Psco_186</t>
  </si>
  <si>
    <t>Psco_284</t>
  </si>
  <si>
    <t>Psco_292</t>
  </si>
  <si>
    <t>Psco_388</t>
  </si>
  <si>
    <t>Psco_300</t>
  </si>
  <si>
    <t>Psco_308</t>
  </si>
  <si>
    <t>Psco_419</t>
  </si>
  <si>
    <t>Psco_316</t>
  </si>
  <si>
    <t>Psco_427</t>
  </si>
  <si>
    <t>Psco_324</t>
  </si>
  <si>
    <t>Psco_435</t>
  </si>
  <si>
    <t>Psco_332</t>
  </si>
  <si>
    <t>Psco_443</t>
  </si>
  <si>
    <t>Psco_340</t>
  </si>
  <si>
    <t>Psco_451</t>
  </si>
  <si>
    <t>Psco_348</t>
  </si>
  <si>
    <t>Psco_459</t>
  </si>
  <si>
    <t>Psco_356</t>
  </si>
  <si>
    <t>Psco_467</t>
  </si>
  <si>
    <t>Psco_364</t>
  </si>
  <si>
    <t>Psco_475</t>
  </si>
  <si>
    <t>Psco_372</t>
  </si>
  <si>
    <t>Psco_483</t>
  </si>
  <si>
    <t>Psco_380</t>
  </si>
  <si>
    <t>Psco_491</t>
  </si>
  <si>
    <t>Psco_195</t>
  </si>
  <si>
    <t>Psco_107</t>
  </si>
  <si>
    <t>Psco_203</t>
  </si>
  <si>
    <t>Psco_115</t>
  </si>
  <si>
    <t>Psco_211</t>
  </si>
  <si>
    <t>Psco_123</t>
  </si>
  <si>
    <t>Psco_219</t>
  </si>
  <si>
    <t>Psco_131</t>
  </si>
  <si>
    <t>Psco_227</t>
  </si>
  <si>
    <t>Psco_139</t>
  </si>
  <si>
    <t>Psco_235</t>
  </si>
  <si>
    <t>Psco_147</t>
  </si>
  <si>
    <t>Psco_243</t>
  </si>
  <si>
    <t>Psco_155</t>
  </si>
  <si>
    <t>Psco_252</t>
  </si>
  <si>
    <t>Psco_163</t>
  </si>
  <si>
    <t>Psco_261</t>
  </si>
  <si>
    <t>Psco_171</t>
  </si>
  <si>
    <t>Psco_269</t>
  </si>
  <si>
    <t>Psco_179</t>
  </si>
  <si>
    <t>Psco_277</t>
  </si>
  <si>
    <t>Psco_187</t>
  </si>
  <si>
    <t>Psco_285</t>
  </si>
  <si>
    <t>Psco_293</t>
  </si>
  <si>
    <t>Psco_389</t>
  </si>
  <si>
    <t>Psco_301</t>
  </si>
  <si>
    <t>Psco_412</t>
  </si>
  <si>
    <t>Psco_309</t>
  </si>
  <si>
    <t>Psco_420</t>
  </si>
  <si>
    <t>Psco_317</t>
  </si>
  <si>
    <t>Psco_428</t>
  </si>
  <si>
    <t>Psco_325</t>
  </si>
  <si>
    <t>Psco_436</t>
  </si>
  <si>
    <t>Psco_333</t>
  </si>
  <si>
    <t>Psco_444</t>
  </si>
  <si>
    <t>Psco_341</t>
  </si>
  <si>
    <t>Psco_452</t>
  </si>
  <si>
    <t>Psco_349</t>
  </si>
  <si>
    <t>Psco_460</t>
  </si>
  <si>
    <t>Psco_357</t>
  </si>
  <si>
    <t>Psco_468</t>
  </si>
  <si>
    <t>Psco_365</t>
  </si>
  <si>
    <t>Psco_476</t>
  </si>
  <si>
    <t>Psco_373</t>
  </si>
  <si>
    <t>Psco_484</t>
  </si>
  <si>
    <t>Psco_381</t>
  </si>
  <si>
    <t>Psco_492</t>
  </si>
  <si>
    <t>Psco_196</t>
  </si>
  <si>
    <t>Psco_108</t>
  </si>
  <si>
    <t>Psco_204</t>
  </si>
  <si>
    <t>Psco_116</t>
  </si>
  <si>
    <t>Psco_212</t>
  </si>
  <si>
    <t>Psco_124</t>
  </si>
  <si>
    <t>Psco_132</t>
  </si>
  <si>
    <t>Psco_228</t>
  </si>
  <si>
    <t>Psco_140</t>
  </si>
  <si>
    <t>Psco_236</t>
  </si>
  <si>
    <t>Psco_148</t>
  </si>
  <si>
    <t>Psco_156</t>
  </si>
  <si>
    <t>Psco_253</t>
  </si>
  <si>
    <t>Psco_164</t>
  </si>
  <si>
    <t>Psco_262</t>
  </si>
  <si>
    <t>Psco_172</t>
  </si>
  <si>
    <t>Psco_270</t>
  </si>
  <si>
    <t>Psco_180</t>
  </si>
  <si>
    <t>Psco_278</t>
  </si>
  <si>
    <t>Psco_188</t>
  </si>
  <si>
    <t>Psco_286</t>
  </si>
  <si>
    <t>Psco_294</t>
  </si>
  <si>
    <t>Psco_390</t>
  </si>
  <si>
    <t>Psco_302</t>
  </si>
  <si>
    <t>Psco_413</t>
  </si>
  <si>
    <t>Psco_310</t>
  </si>
  <si>
    <t>Psco_421</t>
  </si>
  <si>
    <t>Psco_318</t>
  </si>
  <si>
    <t>Psco_429</t>
  </si>
  <si>
    <t>Psco_326</t>
  </si>
  <si>
    <t>Psco_437</t>
  </si>
  <si>
    <t>Psco_334</t>
  </si>
  <si>
    <t>Psco_445</t>
  </si>
  <si>
    <t>Psco_342</t>
  </si>
  <si>
    <t>Psco_453</t>
  </si>
  <si>
    <t>Psco_350</t>
  </si>
  <si>
    <t>Psco_461</t>
  </si>
  <si>
    <t>Psco_358</t>
  </si>
  <si>
    <t>Psco_469</t>
  </si>
  <si>
    <t>Psco_366</t>
  </si>
  <si>
    <t>Psco_477</t>
  </si>
  <si>
    <t>Psco_374</t>
  </si>
  <si>
    <t>Psco_485</t>
  </si>
  <si>
    <t>Psco_382</t>
  </si>
  <si>
    <t>Psco_493</t>
  </si>
  <si>
    <t>Psco_197</t>
  </si>
  <si>
    <t>Psco_109</t>
  </si>
  <si>
    <t>Psco_205</t>
  </si>
  <si>
    <t>Psco_117</t>
  </si>
  <si>
    <t>Psco_213</t>
  </si>
  <si>
    <t>Psco_125</t>
  </si>
  <si>
    <t>Psco_221</t>
  </si>
  <si>
    <t>Psco_133</t>
  </si>
  <si>
    <t>Psco_229</t>
  </si>
  <si>
    <t>Psco_141</t>
  </si>
  <si>
    <t>Psco_237</t>
  </si>
  <si>
    <t>Psco_149</t>
  </si>
  <si>
    <t>Psco_246</t>
  </si>
  <si>
    <t>Psco_157</t>
  </si>
  <si>
    <t>Psco_254</t>
  </si>
  <si>
    <t>Psco_165</t>
  </si>
  <si>
    <t>Psco_263</t>
  </si>
  <si>
    <t>Psco_173</t>
  </si>
  <si>
    <t>Psco_271</t>
  </si>
  <si>
    <t>Psco_181</t>
  </si>
  <si>
    <t>Psco_279</t>
  </si>
  <si>
    <t>Psco_189</t>
  </si>
  <si>
    <t>Psco_287</t>
  </si>
  <si>
    <t>Psco_295</t>
  </si>
  <si>
    <t>Psco_391</t>
  </si>
  <si>
    <t>Psco_303</t>
  </si>
  <si>
    <t>Psco_414</t>
  </si>
  <si>
    <t>Psco_311</t>
  </si>
  <si>
    <t>Psco_422</t>
  </si>
  <si>
    <t>Psco_430</t>
  </si>
  <si>
    <t>Psco_327</t>
  </si>
  <si>
    <t>Psco_438</t>
  </si>
  <si>
    <t>Psco_335</t>
  </si>
  <si>
    <t>Psco_446</t>
  </si>
  <si>
    <t>Psco_343</t>
  </si>
  <si>
    <t>Psco_454</t>
  </si>
  <si>
    <t>Psco_351</t>
  </si>
  <si>
    <t>Psco_462</t>
  </si>
  <si>
    <t>Psco_470</t>
  </si>
  <si>
    <t>Psco_367</t>
  </si>
  <si>
    <t>Psco_478</t>
  </si>
  <si>
    <t>Psco_375</t>
  </si>
  <si>
    <t>Psco_486</t>
  </si>
  <si>
    <t>Psco_383</t>
  </si>
  <si>
    <t>Psco_494</t>
  </si>
  <si>
    <t>Psco_198</t>
  </si>
  <si>
    <t>Psco_110</t>
  </si>
  <si>
    <t>Psco_206</t>
  </si>
  <si>
    <t>Psco_118</t>
  </si>
  <si>
    <t>Psco_214</t>
  </si>
  <si>
    <t>Psco_126</t>
  </si>
  <si>
    <t>Psco_222</t>
  </si>
  <si>
    <t>Psco_134</t>
  </si>
  <si>
    <t>Psco_230</t>
  </si>
  <si>
    <t>Psco_142</t>
  </si>
  <si>
    <t>Psco_238</t>
  </si>
  <si>
    <t>Psco_150</t>
  </si>
  <si>
    <t>Psco_247</t>
  </si>
  <si>
    <t>Psco_158</t>
  </si>
  <si>
    <t>Psco_255</t>
  </si>
  <si>
    <t>Psco_166</t>
  </si>
  <si>
    <t>Psco_264</t>
  </si>
  <si>
    <t>Psco_174</t>
  </si>
  <si>
    <t>Psco_272</t>
  </si>
  <si>
    <t>Psco_182</t>
  </si>
  <si>
    <t>Psco_280</t>
  </si>
  <si>
    <t>Psco_190</t>
  </si>
  <si>
    <t>Psco_288</t>
  </si>
  <si>
    <t>Psco_296</t>
  </si>
  <si>
    <t>Psco_392</t>
  </si>
  <si>
    <t>Psco_304</t>
  </si>
  <si>
    <t>Psco_312</t>
  </si>
  <si>
    <t>Psco_423</t>
  </si>
  <si>
    <t>Psco_431</t>
  </si>
  <si>
    <t>Psco_328</t>
  </si>
  <si>
    <t>Psco_439</t>
  </si>
  <si>
    <t>Psco_447</t>
  </si>
  <si>
    <t>Psco_344</t>
  </si>
  <si>
    <t>Psco_455</t>
  </si>
  <si>
    <t>Psco_352</t>
  </si>
  <si>
    <t>Psco_463</t>
  </si>
  <si>
    <t>Psco_360</t>
  </si>
  <si>
    <t>Psco_471</t>
  </si>
  <si>
    <t>Psco_368</t>
  </si>
  <si>
    <t>Psco_479</t>
  </si>
  <si>
    <t>Psco_376</t>
  </si>
  <si>
    <t>Psco_487</t>
  </si>
  <si>
    <t>Psco_384</t>
  </si>
  <si>
    <t>Psco_495</t>
  </si>
  <si>
    <t>Psco_990</t>
  </si>
  <si>
    <t>Psco_902</t>
  </si>
  <si>
    <t>Psco_998</t>
  </si>
  <si>
    <t>Psco_910</t>
  </si>
  <si>
    <t>Psco_1006</t>
  </si>
  <si>
    <t>Psco_918</t>
  </si>
  <si>
    <t>Psco_1014</t>
  </si>
  <si>
    <t>Psco_926</t>
  </si>
  <si>
    <t>Psco_1022</t>
  </si>
  <si>
    <t>Psco_1030</t>
  </si>
  <si>
    <t>Psco_942</t>
  </si>
  <si>
    <t>Psco_1038</t>
  </si>
  <si>
    <t>Psco_950</t>
  </si>
  <si>
    <t>Psco_1046</t>
  </si>
  <si>
    <t>Psco_958</t>
  </si>
  <si>
    <t>Psco_1054</t>
  </si>
  <si>
    <t>Psco_966</t>
  </si>
  <si>
    <t>Psco_974</t>
  </si>
  <si>
    <t>Psco_982</t>
  </si>
  <si>
    <t>Psco_895</t>
  </si>
  <si>
    <t>Psco_991</t>
  </si>
  <si>
    <t>Psco_903</t>
  </si>
  <si>
    <t>Psco_999</t>
  </si>
  <si>
    <t>Psco_911</t>
  </si>
  <si>
    <t>Psco_1007</t>
  </si>
  <si>
    <t>Psco_919</t>
  </si>
  <si>
    <t>Psco_1015</t>
  </si>
  <si>
    <t>Psco_927</t>
  </si>
  <si>
    <t>Psco_1023</t>
  </si>
  <si>
    <t>Psco_935</t>
  </si>
  <si>
    <t>Psco_1031</t>
  </si>
  <si>
    <t>Psco_943</t>
  </si>
  <si>
    <t>Psco_1039</t>
  </si>
  <si>
    <t>Psco_951</t>
  </si>
  <si>
    <t>Psco_1047</t>
  </si>
  <si>
    <t>Psco_959</t>
  </si>
  <si>
    <t>Psco_1055</t>
  </si>
  <si>
    <t>Psco_967</t>
  </si>
  <si>
    <t>Psco_975</t>
  </si>
  <si>
    <t>Psco_983</t>
  </si>
  <si>
    <t>Psco_896</t>
  </si>
  <si>
    <t>Psco_992</t>
  </si>
  <si>
    <t>Psco_904</t>
  </si>
  <si>
    <t>Psco_1000</t>
  </si>
  <si>
    <t>Psco_912</t>
  </si>
  <si>
    <t>Psco_1008</t>
  </si>
  <si>
    <t>Psco_920</t>
  </si>
  <si>
    <t>Psco_1016</t>
  </si>
  <si>
    <t>Psco_928</t>
  </si>
  <si>
    <t>Psco_1024</t>
  </si>
  <si>
    <t>Psco_936</t>
  </si>
  <si>
    <t>Psco_1032</t>
  </si>
  <si>
    <t>Psco_944</t>
  </si>
  <si>
    <t>Psco_1040</t>
  </si>
  <si>
    <t>Psco_952</t>
  </si>
  <si>
    <t>Psco_1048</t>
  </si>
  <si>
    <t>Psco_960</t>
  </si>
  <si>
    <t>Psco_1056</t>
  </si>
  <si>
    <t>Psco_968</t>
  </si>
  <si>
    <t>Psco_976</t>
  </si>
  <si>
    <t>Psco_984</t>
  </si>
  <si>
    <t>Psco_897</t>
  </si>
  <si>
    <t>Psco_993</t>
  </si>
  <si>
    <t>Psco_905</t>
  </si>
  <si>
    <t>Psco_1001</t>
  </si>
  <si>
    <t>Psco_913</t>
  </si>
  <si>
    <t>Psco_1009</t>
  </si>
  <si>
    <t>Psco_921</t>
  </si>
  <si>
    <t>Psco_1017</t>
  </si>
  <si>
    <t>Psco_929</t>
  </si>
  <si>
    <t>Psco_1025</t>
  </si>
  <si>
    <t>Psco_937</t>
  </si>
  <si>
    <t>Psco_1033</t>
  </si>
  <si>
    <t>Psco_945</t>
  </si>
  <si>
    <t>Psco_1041</t>
  </si>
  <si>
    <t>Psco_953</t>
  </si>
  <si>
    <t>Psco_1049</t>
  </si>
  <si>
    <t>Psco_961</t>
  </si>
  <si>
    <t>Psco_1057</t>
  </si>
  <si>
    <t>Psco_985</t>
  </si>
  <si>
    <t>Psco_898</t>
  </si>
  <si>
    <t>Psco_994</t>
  </si>
  <si>
    <t>Psco_906</t>
  </si>
  <si>
    <t>Psco_1002</t>
  </si>
  <si>
    <t>Psco_914</t>
  </si>
  <si>
    <t>Psco_1010</t>
  </si>
  <si>
    <t>Psco_922</t>
  </si>
  <si>
    <t>Psco_1018</t>
  </si>
  <si>
    <t>Psco_930</t>
  </si>
  <si>
    <t>Psco_1026</t>
  </si>
  <si>
    <t>Psco_938</t>
  </si>
  <si>
    <t>Psco_1034</t>
  </si>
  <si>
    <t>Psco_946</t>
  </si>
  <si>
    <t>Psco_1042</t>
  </si>
  <si>
    <t>Psco_954</t>
  </si>
  <si>
    <t>Psco_1050</t>
  </si>
  <si>
    <t>Psco_962</t>
  </si>
  <si>
    <t>Psco_1058</t>
  </si>
  <si>
    <t>Psco_970</t>
  </si>
  <si>
    <t>Psco_978</t>
  </si>
  <si>
    <t>Psco_986</t>
  </si>
  <si>
    <t>Psco_899</t>
  </si>
  <si>
    <t>Psco_995</t>
  </si>
  <si>
    <t>Psco_907</t>
  </si>
  <si>
    <t>Psco_1003</t>
  </si>
  <si>
    <t>Psco_915</t>
  </si>
  <si>
    <t>Psco_1011</t>
  </si>
  <si>
    <t>Psco_923</t>
  </si>
  <si>
    <t>Psco_1019</t>
  </si>
  <si>
    <t>Psco_931</t>
  </si>
  <si>
    <t>Psco_1027</t>
  </si>
  <si>
    <t>Psco_939</t>
  </si>
  <si>
    <t>Psco_1035</t>
  </si>
  <si>
    <t>Psco_947</t>
  </si>
  <si>
    <t>Psco_1043</t>
  </si>
  <si>
    <t>Psco_955</t>
  </si>
  <si>
    <t>Psco_963</t>
  </si>
  <si>
    <t>Psco_971</t>
  </si>
  <si>
    <t>Psco_979</t>
  </si>
  <si>
    <t>Psco_987</t>
  </si>
  <si>
    <t>Psco_900</t>
  </si>
  <si>
    <t>Psco_996</t>
  </si>
  <si>
    <t>Psco_908</t>
  </si>
  <si>
    <t>Psco_1004</t>
  </si>
  <si>
    <t>Psco_916</t>
  </si>
  <si>
    <t>Psco_1012</t>
  </si>
  <si>
    <t>Psco_924</t>
  </si>
  <si>
    <t>Psco_1020</t>
  </si>
  <si>
    <t>Psco_932</t>
  </si>
  <si>
    <t>Psco_1028</t>
  </si>
  <si>
    <t>Psco_940</t>
  </si>
  <si>
    <t>Psco_1036</t>
  </si>
  <si>
    <t>Psco_948</t>
  </si>
  <si>
    <t>Psco_1044</t>
  </si>
  <si>
    <t>Psco_956</t>
  </si>
  <si>
    <t>Psco_964</t>
  </si>
  <si>
    <t>Psco_972</t>
  </si>
  <si>
    <t>Psco_980</t>
  </si>
  <si>
    <t>Psco_988</t>
  </si>
  <si>
    <t>Psco_901</t>
  </si>
  <si>
    <t>Psco_997</t>
  </si>
  <si>
    <t>Psco_1005</t>
  </si>
  <si>
    <t>Psco_917</t>
  </si>
  <si>
    <t>Psco_1013</t>
  </si>
  <si>
    <t>Psco_925</t>
  </si>
  <si>
    <t>Psco_1021</t>
  </si>
  <si>
    <t>Psco_933</t>
  </si>
  <si>
    <t>Psco_1029</t>
  </si>
  <si>
    <t>Psco_941</t>
  </si>
  <si>
    <t>Psco_1037</t>
  </si>
  <si>
    <t>Psco_949</t>
  </si>
  <si>
    <t>Psco_1045</t>
  </si>
  <si>
    <t>Psco_957</t>
  </si>
  <si>
    <t>Psco_1053</t>
  </si>
  <si>
    <t>Psco_965</t>
  </si>
  <si>
    <t>Psco_973</t>
  </si>
  <si>
    <t>Psco_981</t>
  </si>
  <si>
    <t>Psco_989</t>
  </si>
  <si>
    <t>Psco_291</t>
  </si>
  <si>
    <t>Psco_319</t>
  </si>
  <si>
    <t>Psco_415</t>
  </si>
  <si>
    <t>Psco_320</t>
  </si>
  <si>
    <t>Psco_336</t>
  </si>
  <si>
    <t>Psco_496</t>
  </si>
  <si>
    <t>Psco_592</t>
  </si>
  <si>
    <t>Psco_504</t>
  </si>
  <si>
    <t>Psco_600</t>
  </si>
  <si>
    <t>Psco_512</t>
  </si>
  <si>
    <t>Psco_608</t>
  </si>
  <si>
    <t>Psco_520</t>
  </si>
  <si>
    <t>Psco_616</t>
  </si>
  <si>
    <t>Psco_528</t>
  </si>
  <si>
    <t>Psco_624</t>
  </si>
  <si>
    <t>Psco_536</t>
  </si>
  <si>
    <t>Psco_632</t>
  </si>
  <si>
    <t>Psco_544</t>
  </si>
  <si>
    <t>Psco_640</t>
  </si>
  <si>
    <t>Psco_552</t>
  </si>
  <si>
    <t>Psco_648</t>
  </si>
  <si>
    <t>Psco_560</t>
  </si>
  <si>
    <t>Psco_656</t>
  </si>
  <si>
    <t>Psco_568</t>
  </si>
  <si>
    <t>Psco_664</t>
  </si>
  <si>
    <t>Psco_576</t>
  </si>
  <si>
    <t>Psco_672</t>
  </si>
  <si>
    <t>Psco_584</t>
  </si>
  <si>
    <t>Psco_680</t>
  </si>
  <si>
    <t>Psco_688</t>
  </si>
  <si>
    <t>Psco_797</t>
  </si>
  <si>
    <t>Psco_696</t>
  </si>
  <si>
    <t>Psco_805</t>
  </si>
  <si>
    <t>Psco_704</t>
  </si>
  <si>
    <t>Psco_813</t>
  </si>
  <si>
    <t>Psco_712</t>
  </si>
  <si>
    <t>Psco_821</t>
  </si>
  <si>
    <t>Psco_720</t>
  </si>
  <si>
    <t>Psco_829</t>
  </si>
  <si>
    <t>Psco_837</t>
  </si>
  <si>
    <t>Psco_749</t>
  </si>
  <si>
    <t>Psco_845</t>
  </si>
  <si>
    <t>Psco_757</t>
  </si>
  <si>
    <t>Psco_853</t>
  </si>
  <si>
    <t>Psco_765</t>
  </si>
  <si>
    <t>Psco_861</t>
  </si>
  <si>
    <t>Psco_773</t>
  </si>
  <si>
    <t>Psco_869</t>
  </si>
  <si>
    <t>Psco_781</t>
  </si>
  <si>
    <t>Psco_877</t>
  </si>
  <si>
    <t>Psco_789</t>
  </si>
  <si>
    <t>Psco_885</t>
  </si>
  <si>
    <t>Psco_497</t>
  </si>
  <si>
    <t>Psco_593</t>
  </si>
  <si>
    <t>Psco_505</t>
  </si>
  <si>
    <t>Psco_601</t>
  </si>
  <si>
    <t>Psco_513</t>
  </si>
  <si>
    <t>Psco_609</t>
  </si>
  <si>
    <t>Psco_521</t>
  </si>
  <si>
    <t>Psco_617</t>
  </si>
  <si>
    <t>Psco_529</t>
  </si>
  <si>
    <t>Psco_625</t>
  </si>
  <si>
    <t>Psco_537</t>
  </si>
  <si>
    <t>Psco_633</t>
  </si>
  <si>
    <t>Psco_545</t>
  </si>
  <si>
    <t>Psco_641</t>
  </si>
  <si>
    <t>Psco_553</t>
  </si>
  <si>
    <t>Psco_649</t>
  </si>
  <si>
    <t>Psco_561</t>
  </si>
  <si>
    <t>Psco_657</t>
  </si>
  <si>
    <t>Psco_569</t>
  </si>
  <si>
    <t>Psco_665</t>
  </si>
  <si>
    <t>Psco_577</t>
  </si>
  <si>
    <t>Psco_585</t>
  </si>
  <si>
    <t>Psco_681</t>
  </si>
  <si>
    <t>Psco_689</t>
  </si>
  <si>
    <t>Psco_798</t>
  </si>
  <si>
    <t>Psco_697</t>
  </si>
  <si>
    <t>Psco_806</t>
  </si>
  <si>
    <t>Psco_705</t>
  </si>
  <si>
    <t>Psco_814</t>
  </si>
  <si>
    <t>Psco_713</t>
  </si>
  <si>
    <t>Psco_822</t>
  </si>
  <si>
    <t>Psco_721</t>
  </si>
  <si>
    <t>Psco_830</t>
  </si>
  <si>
    <t>Psco_838</t>
  </si>
  <si>
    <t>Psco_750</t>
  </si>
  <si>
    <t>Psco_846</t>
  </si>
  <si>
    <t>Psco_758</t>
  </si>
  <si>
    <t>Psco_854</t>
  </si>
  <si>
    <t>Psco_766</t>
  </si>
  <si>
    <t>Psco_862</t>
  </si>
  <si>
    <t>Psco_774</t>
  </si>
  <si>
    <t>Psco_870</t>
  </si>
  <si>
    <t>Psco_782</t>
  </si>
  <si>
    <t>Psco_878</t>
  </si>
  <si>
    <t>Psco_790</t>
  </si>
  <si>
    <t>Psco_886</t>
  </si>
  <si>
    <t>Psco_498</t>
  </si>
  <si>
    <t>Psco_594</t>
  </si>
  <si>
    <t>Psco_506</t>
  </si>
  <si>
    <t>Psco_602</t>
  </si>
  <si>
    <t>Psco_514</t>
  </si>
  <si>
    <t>Psco_610</t>
  </si>
  <si>
    <t>Psco_522</t>
  </si>
  <si>
    <t>Psco_618</t>
  </si>
  <si>
    <t>Psco_530</t>
  </si>
  <si>
    <t>Psco_626</t>
  </si>
  <si>
    <t>Psco_538</t>
  </si>
  <si>
    <t>Psco_634</t>
  </si>
  <si>
    <t>Psco_546</t>
  </si>
  <si>
    <t>Psco_642</t>
  </si>
  <si>
    <t>Psco_554</t>
  </si>
  <si>
    <t>Psco_650</t>
  </si>
  <si>
    <t>Psco_562</t>
  </si>
  <si>
    <t>Psco_658</t>
  </si>
  <si>
    <t>Psco_570</t>
  </si>
  <si>
    <t>Psco_666</t>
  </si>
  <si>
    <t>Psco_578</t>
  </si>
  <si>
    <t>Psco_586</t>
  </si>
  <si>
    <t>Psco_682</t>
  </si>
  <si>
    <t>Psco_690</t>
  </si>
  <si>
    <t>Psco_799</t>
  </si>
  <si>
    <t>Psco_698</t>
  </si>
  <si>
    <t>Psco_706</t>
  </si>
  <si>
    <t>Psco_815</t>
  </si>
  <si>
    <t>Psco_714</t>
  </si>
  <si>
    <t>Psco_823</t>
  </si>
  <si>
    <t>Psco_722</t>
  </si>
  <si>
    <t>Psco_831</t>
  </si>
  <si>
    <t>Psco_839</t>
  </si>
  <si>
    <t>Psco_751</t>
  </si>
  <si>
    <t>Psco_847</t>
  </si>
  <si>
    <t>Psco_759</t>
  </si>
  <si>
    <t>Psco_855</t>
  </si>
  <si>
    <t>Psco_767</t>
  </si>
  <si>
    <t>Psco_775</t>
  </si>
  <si>
    <t>Psco_871</t>
  </si>
  <si>
    <t>Psco_783</t>
  </si>
  <si>
    <t>Psco_879</t>
  </si>
  <si>
    <t>Psco_791</t>
  </si>
  <si>
    <t>Psco_887</t>
  </si>
  <si>
    <t>Psco_499</t>
  </si>
  <si>
    <t>Psco_595</t>
  </si>
  <si>
    <t>Psco_507</t>
  </si>
  <si>
    <t>Psco_603</t>
  </si>
  <si>
    <t>Psco_515</t>
  </si>
  <si>
    <t>Psco_611</t>
  </si>
  <si>
    <t>Psco_523</t>
  </si>
  <si>
    <t>Psco_619</t>
  </si>
  <si>
    <t>Psco_531</t>
  </si>
  <si>
    <t>Psco_627</t>
  </si>
  <si>
    <t>Psco_539</t>
  </si>
  <si>
    <t>Psco_635</t>
  </si>
  <si>
    <t>Psco_547</t>
  </si>
  <si>
    <t>Psco_643</t>
  </si>
  <si>
    <t>Psco_555</t>
  </si>
  <si>
    <t>Psco_651</t>
  </si>
  <si>
    <t>Psco_563</t>
  </si>
  <si>
    <t>Psco_659</t>
  </si>
  <si>
    <t>Psco_571</t>
  </si>
  <si>
    <t>Psco_667</t>
  </si>
  <si>
    <t>Psco_579</t>
  </si>
  <si>
    <t>Psco_675</t>
  </si>
  <si>
    <t>Psco_587</t>
  </si>
  <si>
    <t>Psco_683</t>
  </si>
  <si>
    <t>Psco_691</t>
  </si>
  <si>
    <t>Psco_800</t>
  </si>
  <si>
    <t>Psco_699</t>
  </si>
  <si>
    <t>Psco_808</t>
  </si>
  <si>
    <t>Psco_707</t>
  </si>
  <si>
    <t>Psco_816</t>
  </si>
  <si>
    <t>Psco_715</t>
  </si>
  <si>
    <t>Psco_824</t>
  </si>
  <si>
    <t>Psco_723</t>
  </si>
  <si>
    <t>Psco_832</t>
  </si>
  <si>
    <t>Psco_840</t>
  </si>
  <si>
    <t>Psco_848</t>
  </si>
  <si>
    <t>Psco_760</t>
  </si>
  <si>
    <t>Psco_856</t>
  </si>
  <si>
    <t>Psco_768</t>
  </si>
  <si>
    <t>Psco_864</t>
  </si>
  <si>
    <t>Psco_776</t>
  </si>
  <si>
    <t>Psco_872</t>
  </si>
  <si>
    <t>Psco_784</t>
  </si>
  <si>
    <t>Psco_880</t>
  </si>
  <si>
    <t>Psco_792</t>
  </si>
  <si>
    <t>Psco_888</t>
  </si>
  <si>
    <t>Psco_500</t>
  </si>
  <si>
    <t>Psco_596</t>
  </si>
  <si>
    <t>Psco_508</t>
  </si>
  <si>
    <t>Psco_604</t>
  </si>
  <si>
    <t>Psco_516</t>
  </si>
  <si>
    <t>Psco_612</t>
  </si>
  <si>
    <t>Psco_524</t>
  </si>
  <si>
    <t>Psco_620</t>
  </si>
  <si>
    <t>Psco_532</t>
  </si>
  <si>
    <t>Psco_628</t>
  </si>
  <si>
    <t>Psco_540</t>
  </si>
  <si>
    <t>Psco_636</t>
  </si>
  <si>
    <t>Psco_548</t>
  </si>
  <si>
    <t>Psco_644</t>
  </si>
  <si>
    <t>Psco_556</t>
  </si>
  <si>
    <t>Psco_652</t>
  </si>
  <si>
    <t>Psco_564</t>
  </si>
  <si>
    <t>Psco_660</t>
  </si>
  <si>
    <t>Psco_572</t>
  </si>
  <si>
    <t>Psco_668</t>
  </si>
  <si>
    <t>Psco_580</t>
  </si>
  <si>
    <t>Psco_676</t>
  </si>
  <si>
    <t>Psco_588</t>
  </si>
  <si>
    <t>Psco_684</t>
  </si>
  <si>
    <t>Psco_692</t>
  </si>
  <si>
    <t>Psco_801</t>
  </si>
  <si>
    <t>Psco_700</t>
  </si>
  <si>
    <t>Psco_809</t>
  </si>
  <si>
    <t>Psco_708</t>
  </si>
  <si>
    <t>Psco_817</t>
  </si>
  <si>
    <t>Psco_716</t>
  </si>
  <si>
    <t>Psco_825</t>
  </si>
  <si>
    <t>Psco_724</t>
  </si>
  <si>
    <t>Psco_833</t>
  </si>
  <si>
    <t>Psco_745</t>
  </si>
  <si>
    <t>Psco_841</t>
  </si>
  <si>
    <t>Psco_753</t>
  </si>
  <si>
    <t>Psco_849</t>
  </si>
  <si>
    <t>Psco_761</t>
  </si>
  <si>
    <t>Psco_857</t>
  </si>
  <si>
    <t>Psco_769</t>
  </si>
  <si>
    <t>Psco_865</t>
  </si>
  <si>
    <t>Psco_777</t>
  </si>
  <si>
    <t>Psco_873</t>
  </si>
  <si>
    <t>Psco_785</t>
  </si>
  <si>
    <t>Psco_881</t>
  </si>
  <si>
    <t>Psco_793</t>
  </si>
  <si>
    <t>Psco_889</t>
  </si>
  <si>
    <t>Psco_501</t>
  </si>
  <si>
    <t>Psco_597</t>
  </si>
  <si>
    <t>Psco_509</t>
  </si>
  <si>
    <t>Psco_605</t>
  </si>
  <si>
    <t>Psco_517</t>
  </si>
  <si>
    <t>Psco_613</t>
  </si>
  <si>
    <t>Psco_525</t>
  </si>
  <si>
    <t>Psco_621</t>
  </si>
  <si>
    <t>Psco_533</t>
  </si>
  <si>
    <t>Psco_629</t>
  </si>
  <si>
    <t>Psco_541</t>
  </si>
  <si>
    <t>Psco_637</t>
  </si>
  <si>
    <t>Psco_549</t>
  </si>
  <si>
    <t>Psco_645</t>
  </si>
  <si>
    <t>Psco_557</t>
  </si>
  <si>
    <t>Psco_653</t>
  </si>
  <si>
    <t>Psco_565_2</t>
  </si>
  <si>
    <t>Psco_661</t>
  </si>
  <si>
    <t>Psco_573</t>
  </si>
  <si>
    <t>Psco_669</t>
  </si>
  <si>
    <t>Psco_581</t>
  </si>
  <si>
    <t>Psco_677</t>
  </si>
  <si>
    <t>Psco_589</t>
  </si>
  <si>
    <t>Psco_685</t>
  </si>
  <si>
    <t>Psco_693</t>
  </si>
  <si>
    <t>Psco_802</t>
  </si>
  <si>
    <t>Psco_701</t>
  </si>
  <si>
    <t>Psco_810</t>
  </si>
  <si>
    <t>Psco_709</t>
  </si>
  <si>
    <t>Psco_818</t>
  </si>
  <si>
    <t>Psco_717</t>
  </si>
  <si>
    <t>Psco_826</t>
  </si>
  <si>
    <t>Psco_725_2</t>
  </si>
  <si>
    <t>Psco_834</t>
  </si>
  <si>
    <t>Psco_746</t>
  </si>
  <si>
    <t>Psco_842</t>
  </si>
  <si>
    <t>Psco_754</t>
  </si>
  <si>
    <t>Psco_850</t>
  </si>
  <si>
    <t>Psco_858</t>
  </si>
  <si>
    <t>Psco_770</t>
  </si>
  <si>
    <t>Psco_866</t>
  </si>
  <si>
    <t>Psco_778</t>
  </si>
  <si>
    <t>Psco_874</t>
  </si>
  <si>
    <t>Psco_786</t>
  </si>
  <si>
    <t>Psco_882</t>
  </si>
  <si>
    <t>Psco_794</t>
  </si>
  <si>
    <t>Psco_890</t>
  </si>
  <si>
    <t>Psco_502</t>
  </si>
  <si>
    <t>Psco_598</t>
  </si>
  <si>
    <t>Psco_510</t>
  </si>
  <si>
    <t>Psco_606</t>
  </si>
  <si>
    <t>Psco_518</t>
  </si>
  <si>
    <t>Psco_614</t>
  </si>
  <si>
    <t>Psco_526</t>
  </si>
  <si>
    <t>Psco_622</t>
  </si>
  <si>
    <t>Psco_534</t>
  </si>
  <si>
    <t>Psco_630</t>
  </si>
  <si>
    <t>Psco_542</t>
  </si>
  <si>
    <t>Psco_638</t>
  </si>
  <si>
    <t>Psco_550</t>
  </si>
  <si>
    <t>Psco_646</t>
  </si>
  <si>
    <t>Psco_558</t>
  </si>
  <si>
    <t>Psco_654</t>
  </si>
  <si>
    <t>Psco_566</t>
  </si>
  <si>
    <t>Psco_662</t>
  </si>
  <si>
    <t>Psco_574</t>
  </si>
  <si>
    <t>Psco_670</t>
  </si>
  <si>
    <t>Psco_582</t>
  </si>
  <si>
    <t>Psco_678</t>
  </si>
  <si>
    <t>Psco_590</t>
  </si>
  <si>
    <t>Psco_686</t>
  </si>
  <si>
    <t>Psco_694</t>
  </si>
  <si>
    <t>Psco_803</t>
  </si>
  <si>
    <t>Psco_702</t>
  </si>
  <si>
    <t>Psco_811</t>
  </si>
  <si>
    <t>Psco_710</t>
  </si>
  <si>
    <t>Psco_819</t>
  </si>
  <si>
    <t>Psco_718</t>
  </si>
  <si>
    <t>Psco_827</t>
  </si>
  <si>
    <t>Psco_726</t>
  </si>
  <si>
    <t>Psco_835</t>
  </si>
  <si>
    <t>Psco_747</t>
  </si>
  <si>
    <t>Psco_843</t>
  </si>
  <si>
    <t>Psco_755</t>
  </si>
  <si>
    <t>Psco_851</t>
  </si>
  <si>
    <t>Psco_763</t>
  </si>
  <si>
    <t>Psco_859</t>
  </si>
  <si>
    <t>Psco_771</t>
  </si>
  <si>
    <t>Psco_867</t>
  </si>
  <si>
    <t>Psco_779</t>
  </si>
  <si>
    <t>Psco_875</t>
  </si>
  <si>
    <t>Psco_787</t>
  </si>
  <si>
    <t>Psco_883</t>
  </si>
  <si>
    <t>Psco_795</t>
  </si>
  <si>
    <t>Psco_891</t>
  </si>
  <si>
    <t>Psco_503</t>
  </si>
  <si>
    <t>Psco_599</t>
  </si>
  <si>
    <t>Psco_511</t>
  </si>
  <si>
    <t>Psco_607</t>
  </si>
  <si>
    <t>Psco_519</t>
  </si>
  <si>
    <t>Psco_615</t>
  </si>
  <si>
    <t>Psco_527</t>
  </si>
  <si>
    <t>Psco_623</t>
  </si>
  <si>
    <t>Psco_535</t>
  </si>
  <si>
    <t>Psco_631</t>
  </si>
  <si>
    <t>Psco_543</t>
  </si>
  <si>
    <t>Psco_639</t>
  </si>
  <si>
    <t>Psco_551</t>
  </si>
  <si>
    <t>Psco_647</t>
  </si>
  <si>
    <t>Psco_559</t>
  </si>
  <si>
    <t>Psco_655</t>
  </si>
  <si>
    <t>Psco_567</t>
  </si>
  <si>
    <t>Psco_663</t>
  </si>
  <si>
    <t>Psco_575</t>
  </si>
  <si>
    <t>Psco_671</t>
  </si>
  <si>
    <t>Psco_583</t>
  </si>
  <si>
    <t>Psco_679</t>
  </si>
  <si>
    <t>Psco_591</t>
  </si>
  <si>
    <t>Psco_687</t>
  </si>
  <si>
    <t>Psco_695</t>
  </si>
  <si>
    <t>Psco_804</t>
  </si>
  <si>
    <t>Psco_703</t>
  </si>
  <si>
    <t>Psco_812</t>
  </si>
  <si>
    <t>Psco_711</t>
  </si>
  <si>
    <t>Psco_820</t>
  </si>
  <si>
    <t>Psco_719</t>
  </si>
  <si>
    <t>Psco_828</t>
  </si>
  <si>
    <t>Psco_727</t>
  </si>
  <si>
    <t>Psco_836</t>
  </si>
  <si>
    <t>Psco_748</t>
  </si>
  <si>
    <t>Psco_756</t>
  </si>
  <si>
    <t>Psco_852</t>
  </si>
  <si>
    <t>Psco_860</t>
  </si>
  <si>
    <t>Psco_772</t>
  </si>
  <si>
    <t>Psco_868</t>
  </si>
  <si>
    <t>Psco_780</t>
  </si>
  <si>
    <t>Psco_876</t>
  </si>
  <si>
    <t>Psco_788</t>
  </si>
  <si>
    <t>Psco_884</t>
  </si>
  <si>
    <t>Psco_796</t>
  </si>
  <si>
    <t>Psco_892</t>
  </si>
  <si>
    <t>ID</t>
  </si>
  <si>
    <t>geno_order</t>
  </si>
  <si>
    <t>days_survived</t>
  </si>
  <si>
    <t>zoo</t>
  </si>
  <si>
    <t>TZ</t>
  </si>
  <si>
    <t>MZ</t>
  </si>
  <si>
    <t>fam</t>
  </si>
  <si>
    <t>daysSurv_zoo+age</t>
  </si>
  <si>
    <t>TOP%_pop</t>
  </si>
  <si>
    <t xml:space="preserve">%pop </t>
  </si>
  <si>
    <t>No_families</t>
  </si>
  <si>
    <t>av_EBV_daysSurv</t>
  </si>
  <si>
    <t>%MZ</t>
  </si>
  <si>
    <t>%TZ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</si>
</sst>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0" fontId="16" fillId="0" borderId="0" xfId="0" applyFont="1"/>
    <xf numFmtId="0" fontId="20" fillId="0" borderId="0" xfId="0" applyFont="1"/>
    <xf numFmtId="1" fontId="0" fillId="0" borderId="0" xfId="0" applyNumberFormat="1"/>
    <xf numFmtId="0" fontId="21" fillId="0" borderId="0" xfId="0" applyFont="1"/>
    <xf numFmtId="165" fontId="21" fillId="0" borderId="0" xfId="0" applyNumberFormat="1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davidson_m_unimelb_edu_au/Documents/psco/gParamaters/manuscript/data/Gpred-Animal-Info.xlsx" TargetMode="External"/><Relationship Id="rId2" Type="http://schemas.openxmlformats.org/officeDocument/2006/relationships/externalLinkPath" Target="https://unimelbcloud-my.sharepoint.com/personal/davidson_m_unimelb_edu_au/Documents/psco/gParamaters/manuscript/data/Gpred-Animal-Info.xlsx" TargetMode="External"/><Relationship Id="rId1" Type="http://schemas.openxmlformats.org/officeDocument/2006/relationships/externalLinkPath" Target="/personal/davidson_m_unimelb_edu_au/Documents/psco/gParamaters/manuscript/data/Gpred-Animal-In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henotypes-895"/>
      <sheetName val="895-passedQC"/>
      <sheetName val="Update-FAM"/>
      <sheetName val="918-exposed"/>
      <sheetName val="Families"/>
      <sheetName val="Sheet1"/>
    </sheetNames>
    <sheetDataSet>
      <sheetData sheetId="0" refreshError="1">
        <row r="2">
          <cell r="A2" t="str">
            <v>Psco_191</v>
          </cell>
          <cell r="B2">
            <v>1</v>
          </cell>
          <cell r="C2">
            <v>1</v>
          </cell>
          <cell r="D2" t="str">
            <v>TZ</v>
          </cell>
          <cell r="E2">
            <v>13</v>
          </cell>
          <cell r="F2">
            <v>1</v>
          </cell>
          <cell r="G2">
            <v>56</v>
          </cell>
        </row>
        <row r="3">
          <cell r="A3" t="str">
            <v>Psco_103</v>
          </cell>
          <cell r="B3">
            <v>2</v>
          </cell>
          <cell r="C3">
            <v>1</v>
          </cell>
          <cell r="D3" t="str">
            <v>MZ</v>
          </cell>
          <cell r="E3">
            <v>8</v>
          </cell>
          <cell r="F3">
            <v>0</v>
          </cell>
          <cell r="G3">
            <v>98</v>
          </cell>
        </row>
        <row r="4">
          <cell r="A4" t="str">
            <v>Psco_199</v>
          </cell>
          <cell r="B4">
            <v>3</v>
          </cell>
          <cell r="C4">
            <v>1</v>
          </cell>
          <cell r="D4" t="str">
            <v>MZ</v>
          </cell>
          <cell r="E4">
            <v>8</v>
          </cell>
          <cell r="F4">
            <v>1</v>
          </cell>
          <cell r="G4">
            <v>76</v>
          </cell>
        </row>
        <row r="5">
          <cell r="A5" t="str">
            <v>Psco_111</v>
          </cell>
          <cell r="B5">
            <v>4</v>
          </cell>
          <cell r="C5">
            <v>1</v>
          </cell>
          <cell r="D5" t="str">
            <v>TZ</v>
          </cell>
          <cell r="E5">
            <v>15</v>
          </cell>
          <cell r="F5">
            <v>1</v>
          </cell>
          <cell r="G5">
            <v>63</v>
          </cell>
        </row>
        <row r="6">
          <cell r="A6" t="str">
            <v>Psco_207</v>
          </cell>
          <cell r="B6">
            <v>5</v>
          </cell>
          <cell r="C6">
            <v>1</v>
          </cell>
          <cell r="D6" t="str">
            <v>TZ</v>
          </cell>
          <cell r="E6">
            <v>13</v>
          </cell>
          <cell r="F6">
            <v>1</v>
          </cell>
          <cell r="G6">
            <v>62</v>
          </cell>
        </row>
        <row r="7">
          <cell r="A7" t="str">
            <v>Psco_119</v>
          </cell>
          <cell r="B7">
            <v>6</v>
          </cell>
          <cell r="C7">
            <v>1</v>
          </cell>
          <cell r="D7" t="str">
            <v>MZ</v>
          </cell>
          <cell r="E7">
            <v>3</v>
          </cell>
          <cell r="F7">
            <v>1</v>
          </cell>
          <cell r="G7">
            <v>64</v>
          </cell>
        </row>
        <row r="8">
          <cell r="A8" t="str">
            <v>Psco_215</v>
          </cell>
          <cell r="B8">
            <v>7</v>
          </cell>
          <cell r="C8">
            <v>1</v>
          </cell>
          <cell r="D8" t="str">
            <v>TZ</v>
          </cell>
          <cell r="E8">
            <v>16</v>
          </cell>
          <cell r="F8">
            <v>1</v>
          </cell>
          <cell r="G8">
            <v>53</v>
          </cell>
        </row>
        <row r="9">
          <cell r="A9" t="str">
            <v>Psco_127</v>
          </cell>
          <cell r="B9">
            <v>8</v>
          </cell>
          <cell r="C9">
            <v>1</v>
          </cell>
          <cell r="D9" t="str">
            <v>MZ</v>
          </cell>
          <cell r="E9">
            <v>6</v>
          </cell>
          <cell r="F9">
            <v>0</v>
          </cell>
          <cell r="G9">
            <v>98</v>
          </cell>
        </row>
        <row r="10">
          <cell r="A10" t="str">
            <v>Psco_223</v>
          </cell>
          <cell r="B10">
            <v>9</v>
          </cell>
          <cell r="C10">
            <v>1</v>
          </cell>
          <cell r="D10" t="str">
            <v>TZ</v>
          </cell>
          <cell r="E10">
            <v>12</v>
          </cell>
          <cell r="F10">
            <v>0</v>
          </cell>
          <cell r="G10">
            <v>98</v>
          </cell>
        </row>
        <row r="11">
          <cell r="A11" t="str">
            <v>Psco_135</v>
          </cell>
          <cell r="B11">
            <v>10</v>
          </cell>
          <cell r="C11">
            <v>1</v>
          </cell>
          <cell r="D11" t="str">
            <v>TZ</v>
          </cell>
          <cell r="E11">
            <v>12</v>
          </cell>
          <cell r="F11">
            <v>1</v>
          </cell>
          <cell r="G11">
            <v>62</v>
          </cell>
        </row>
        <row r="12">
          <cell r="A12" t="str">
            <v>Psco_231</v>
          </cell>
          <cell r="B12">
            <v>11</v>
          </cell>
          <cell r="C12">
            <v>1</v>
          </cell>
          <cell r="D12" t="str">
            <v>MZ</v>
          </cell>
          <cell r="E12">
            <v>1</v>
          </cell>
          <cell r="F12">
            <v>1</v>
          </cell>
          <cell r="G12">
            <v>50</v>
          </cell>
        </row>
        <row r="13">
          <cell r="A13" t="str">
            <v>Psco_143</v>
          </cell>
          <cell r="B13">
            <v>12</v>
          </cell>
          <cell r="C13">
            <v>1</v>
          </cell>
          <cell r="D13" t="str">
            <v>MZ</v>
          </cell>
          <cell r="E13">
            <v>5</v>
          </cell>
          <cell r="F13">
            <v>1</v>
          </cell>
          <cell r="G13">
            <v>60</v>
          </cell>
        </row>
        <row r="14">
          <cell r="A14" t="str">
            <v>Psco_239</v>
          </cell>
          <cell r="B14">
            <v>13</v>
          </cell>
          <cell r="C14">
            <v>1</v>
          </cell>
          <cell r="D14" t="str">
            <v>MZ</v>
          </cell>
          <cell r="E14">
            <v>5</v>
          </cell>
          <cell r="F14">
            <v>0</v>
          </cell>
          <cell r="G14">
            <v>98</v>
          </cell>
        </row>
        <row r="15">
          <cell r="A15" t="str">
            <v>Psco_248</v>
          </cell>
          <cell r="B15">
            <v>14</v>
          </cell>
          <cell r="C15">
            <v>1</v>
          </cell>
          <cell r="D15" t="str">
            <v>MZ</v>
          </cell>
          <cell r="E15">
            <v>8</v>
          </cell>
          <cell r="F15">
            <v>1</v>
          </cell>
          <cell r="G15">
            <v>72</v>
          </cell>
        </row>
        <row r="16">
          <cell r="A16" t="str">
            <v>Psco_159</v>
          </cell>
          <cell r="B16">
            <v>15</v>
          </cell>
          <cell r="C16">
            <v>1</v>
          </cell>
          <cell r="D16" t="str">
            <v>TZ</v>
          </cell>
          <cell r="E16">
            <v>9</v>
          </cell>
          <cell r="F16">
            <v>1</v>
          </cell>
          <cell r="G16">
            <v>53</v>
          </cell>
        </row>
        <row r="17">
          <cell r="A17" t="str">
            <v>Psco_256</v>
          </cell>
          <cell r="B17">
            <v>16</v>
          </cell>
          <cell r="C17">
            <v>1</v>
          </cell>
          <cell r="D17" t="str">
            <v>MZ</v>
          </cell>
          <cell r="E17">
            <v>3</v>
          </cell>
          <cell r="F17">
            <v>0</v>
          </cell>
          <cell r="G17">
            <v>98</v>
          </cell>
        </row>
        <row r="18">
          <cell r="A18" t="str">
            <v>Psco_167</v>
          </cell>
          <cell r="B18">
            <v>17</v>
          </cell>
          <cell r="C18">
            <v>1</v>
          </cell>
          <cell r="D18" t="str">
            <v>MZ</v>
          </cell>
          <cell r="E18">
            <v>6</v>
          </cell>
          <cell r="F18">
            <v>1</v>
          </cell>
          <cell r="G18">
            <v>91</v>
          </cell>
        </row>
        <row r="19">
          <cell r="A19" t="str">
            <v>Psco_265</v>
          </cell>
          <cell r="B19">
            <v>18</v>
          </cell>
          <cell r="C19">
            <v>1</v>
          </cell>
          <cell r="D19" t="str">
            <v>TZ</v>
          </cell>
          <cell r="E19">
            <v>9</v>
          </cell>
          <cell r="F19">
            <v>1</v>
          </cell>
          <cell r="G19">
            <v>46</v>
          </cell>
        </row>
        <row r="20">
          <cell r="A20" t="str">
            <v>Psco_175</v>
          </cell>
          <cell r="B20">
            <v>19</v>
          </cell>
          <cell r="C20">
            <v>1</v>
          </cell>
          <cell r="D20" t="str">
            <v>TZ</v>
          </cell>
          <cell r="E20">
            <v>19</v>
          </cell>
          <cell r="F20">
            <v>1</v>
          </cell>
          <cell r="G20">
            <v>61</v>
          </cell>
        </row>
        <row r="21">
          <cell r="A21" t="str">
            <v>Psco_273</v>
          </cell>
          <cell r="B21">
            <v>20</v>
          </cell>
          <cell r="C21">
            <v>1</v>
          </cell>
          <cell r="D21" t="str">
            <v>TZ</v>
          </cell>
          <cell r="E21">
            <v>15</v>
          </cell>
          <cell r="F21">
            <v>1</v>
          </cell>
          <cell r="G21">
            <v>61</v>
          </cell>
        </row>
        <row r="22">
          <cell r="A22" t="str">
            <v>Psco_183</v>
          </cell>
          <cell r="B22">
            <v>21</v>
          </cell>
          <cell r="C22">
            <v>1</v>
          </cell>
          <cell r="D22" t="str">
            <v>TZ</v>
          </cell>
          <cell r="E22">
            <v>9</v>
          </cell>
          <cell r="F22">
            <v>0</v>
          </cell>
          <cell r="G22">
            <v>98</v>
          </cell>
        </row>
        <row r="23">
          <cell r="A23" t="str">
            <v>Psco_281</v>
          </cell>
          <cell r="B23">
            <v>22</v>
          </cell>
          <cell r="C23">
            <v>1</v>
          </cell>
          <cell r="D23" t="str">
            <v>MZ</v>
          </cell>
          <cell r="E23">
            <v>4</v>
          </cell>
          <cell r="F23">
            <v>1</v>
          </cell>
          <cell r="G23">
            <v>74</v>
          </cell>
        </row>
        <row r="24">
          <cell r="A24" t="str">
            <v>Psco_289</v>
          </cell>
          <cell r="B24">
            <v>23</v>
          </cell>
          <cell r="C24">
            <v>1</v>
          </cell>
          <cell r="D24" t="str">
            <v>TZ</v>
          </cell>
          <cell r="E24">
            <v>19</v>
          </cell>
          <cell r="F24">
            <v>1</v>
          </cell>
          <cell r="G24">
            <v>51</v>
          </cell>
        </row>
        <row r="25">
          <cell r="A25" t="str">
            <v>Psco_385</v>
          </cell>
          <cell r="B25">
            <v>24</v>
          </cell>
          <cell r="C25">
            <v>1</v>
          </cell>
          <cell r="D25" t="str">
            <v>MZ</v>
          </cell>
          <cell r="E25">
            <v>1</v>
          </cell>
          <cell r="F25">
            <v>1</v>
          </cell>
          <cell r="G25">
            <v>50</v>
          </cell>
        </row>
        <row r="26">
          <cell r="A26" t="str">
            <v>Psco_297</v>
          </cell>
          <cell r="B26">
            <v>25</v>
          </cell>
          <cell r="C26">
            <v>1</v>
          </cell>
          <cell r="D26" t="str">
            <v>TZ</v>
          </cell>
          <cell r="E26">
            <v>10</v>
          </cell>
          <cell r="F26">
            <v>1</v>
          </cell>
          <cell r="G26">
            <v>81</v>
          </cell>
        </row>
        <row r="27">
          <cell r="A27" t="str">
            <v>Psco_393</v>
          </cell>
          <cell r="B27">
            <v>26</v>
          </cell>
          <cell r="C27">
            <v>1</v>
          </cell>
          <cell r="D27" t="str">
            <v>MZ</v>
          </cell>
          <cell r="E27">
            <v>6</v>
          </cell>
          <cell r="F27">
            <v>1</v>
          </cell>
          <cell r="G27">
            <v>58</v>
          </cell>
        </row>
        <row r="28">
          <cell r="A28" t="str">
            <v>Psco_305</v>
          </cell>
          <cell r="B28">
            <v>27</v>
          </cell>
          <cell r="C28">
            <v>1</v>
          </cell>
          <cell r="D28" t="str">
            <v>TZ</v>
          </cell>
          <cell r="E28">
            <v>12</v>
          </cell>
          <cell r="F28">
            <v>0</v>
          </cell>
          <cell r="G28">
            <v>98</v>
          </cell>
        </row>
        <row r="29">
          <cell r="A29" t="str">
            <v>Psco_416</v>
          </cell>
          <cell r="B29">
            <v>28</v>
          </cell>
          <cell r="C29">
            <v>2</v>
          </cell>
          <cell r="D29" t="str">
            <v>MZ</v>
          </cell>
          <cell r="E29">
            <v>30</v>
          </cell>
          <cell r="F29">
            <v>0</v>
          </cell>
          <cell r="G29">
            <v>98</v>
          </cell>
        </row>
        <row r="30">
          <cell r="A30" t="str">
            <v>Psco_313</v>
          </cell>
          <cell r="B30">
            <v>29</v>
          </cell>
          <cell r="C30">
            <v>1</v>
          </cell>
          <cell r="D30" t="str">
            <v>MZ</v>
          </cell>
          <cell r="E30">
            <v>4</v>
          </cell>
          <cell r="F30">
            <v>1</v>
          </cell>
          <cell r="G30">
            <v>49</v>
          </cell>
        </row>
        <row r="31">
          <cell r="A31" t="str">
            <v>Psco_424</v>
          </cell>
          <cell r="B31">
            <v>30</v>
          </cell>
          <cell r="C31">
            <v>2</v>
          </cell>
          <cell r="D31" t="str">
            <v>MZ</v>
          </cell>
          <cell r="E31">
            <v>24</v>
          </cell>
          <cell r="F31">
            <v>1</v>
          </cell>
          <cell r="G31">
            <v>76</v>
          </cell>
        </row>
        <row r="32">
          <cell r="A32" t="str">
            <v>Psco_321</v>
          </cell>
          <cell r="B32">
            <v>31</v>
          </cell>
          <cell r="C32">
            <v>1</v>
          </cell>
          <cell r="D32" t="str">
            <v>TZ</v>
          </cell>
          <cell r="E32">
            <v>17</v>
          </cell>
          <cell r="F32">
            <v>1</v>
          </cell>
          <cell r="G32">
            <v>52</v>
          </cell>
        </row>
        <row r="33">
          <cell r="A33" t="str">
            <v>Psco_432</v>
          </cell>
          <cell r="B33">
            <v>32</v>
          </cell>
          <cell r="C33">
            <v>2</v>
          </cell>
          <cell r="D33" t="str">
            <v>MZ</v>
          </cell>
          <cell r="E33">
            <v>21</v>
          </cell>
          <cell r="F33">
            <v>1</v>
          </cell>
          <cell r="G33">
            <v>70</v>
          </cell>
        </row>
        <row r="34">
          <cell r="A34" t="str">
            <v>Psco_329</v>
          </cell>
          <cell r="B34">
            <v>33</v>
          </cell>
          <cell r="C34">
            <v>1</v>
          </cell>
          <cell r="D34" t="str">
            <v>TZ</v>
          </cell>
          <cell r="E34">
            <v>15</v>
          </cell>
          <cell r="F34">
            <v>1</v>
          </cell>
          <cell r="G34">
            <v>46</v>
          </cell>
        </row>
        <row r="35">
          <cell r="A35" t="str">
            <v>Psco_440</v>
          </cell>
          <cell r="B35">
            <v>34</v>
          </cell>
          <cell r="C35">
            <v>2</v>
          </cell>
          <cell r="D35" t="str">
            <v>TZ</v>
          </cell>
          <cell r="E35">
            <v>50</v>
          </cell>
          <cell r="F35">
            <v>1</v>
          </cell>
          <cell r="G35">
            <v>62</v>
          </cell>
        </row>
        <row r="36">
          <cell r="A36" t="str">
            <v>Psco_337</v>
          </cell>
          <cell r="B36">
            <v>35</v>
          </cell>
          <cell r="C36">
            <v>1</v>
          </cell>
          <cell r="D36" t="str">
            <v>TZ</v>
          </cell>
          <cell r="E36">
            <v>14</v>
          </cell>
          <cell r="F36">
            <v>1</v>
          </cell>
          <cell r="G36">
            <v>65</v>
          </cell>
        </row>
        <row r="37">
          <cell r="A37" t="str">
            <v>Psco_448</v>
          </cell>
          <cell r="B37">
            <v>36</v>
          </cell>
          <cell r="C37">
            <v>2</v>
          </cell>
          <cell r="D37" t="str">
            <v>TZ</v>
          </cell>
          <cell r="E37">
            <v>44</v>
          </cell>
          <cell r="F37">
            <v>0</v>
          </cell>
          <cell r="G37">
            <v>98</v>
          </cell>
        </row>
        <row r="38">
          <cell r="A38" t="str">
            <v>Psco_345</v>
          </cell>
          <cell r="B38">
            <v>37</v>
          </cell>
          <cell r="C38">
            <v>1</v>
          </cell>
          <cell r="D38" t="str">
            <v>TZ</v>
          </cell>
          <cell r="E38">
            <v>11</v>
          </cell>
          <cell r="F38">
            <v>1</v>
          </cell>
          <cell r="G38">
            <v>63</v>
          </cell>
        </row>
        <row r="39">
          <cell r="A39" t="str">
            <v>Psco_456</v>
          </cell>
          <cell r="B39">
            <v>38</v>
          </cell>
          <cell r="C39">
            <v>2</v>
          </cell>
          <cell r="D39" t="str">
            <v>TZ</v>
          </cell>
          <cell r="E39">
            <v>43</v>
          </cell>
          <cell r="F39">
            <v>1</v>
          </cell>
          <cell r="G39">
            <v>70</v>
          </cell>
        </row>
        <row r="40">
          <cell r="A40" t="str">
            <v>Psco_353</v>
          </cell>
          <cell r="B40">
            <v>39</v>
          </cell>
          <cell r="C40">
            <v>1</v>
          </cell>
          <cell r="D40" t="str">
            <v>TZ</v>
          </cell>
          <cell r="E40">
            <v>17</v>
          </cell>
          <cell r="F40">
            <v>1</v>
          </cell>
          <cell r="G40">
            <v>76</v>
          </cell>
        </row>
        <row r="41">
          <cell r="A41" t="str">
            <v>Psco_464</v>
          </cell>
          <cell r="B41">
            <v>40</v>
          </cell>
          <cell r="C41">
            <v>2</v>
          </cell>
          <cell r="D41" t="str">
            <v>MZ</v>
          </cell>
          <cell r="E41">
            <v>37</v>
          </cell>
          <cell r="F41">
            <v>1</v>
          </cell>
          <cell r="G41">
            <v>49</v>
          </cell>
        </row>
        <row r="42">
          <cell r="A42" t="str">
            <v>Psco_361</v>
          </cell>
          <cell r="B42">
            <v>41</v>
          </cell>
          <cell r="C42">
            <v>1</v>
          </cell>
          <cell r="D42" t="str">
            <v>MZ</v>
          </cell>
          <cell r="E42">
            <v>6</v>
          </cell>
          <cell r="F42">
            <v>1</v>
          </cell>
          <cell r="G42">
            <v>60</v>
          </cell>
        </row>
        <row r="43">
          <cell r="A43" t="str">
            <v>Psco_472</v>
          </cell>
          <cell r="B43">
            <v>42</v>
          </cell>
          <cell r="C43">
            <v>2</v>
          </cell>
          <cell r="D43" t="str">
            <v>MZ</v>
          </cell>
          <cell r="E43">
            <v>23</v>
          </cell>
          <cell r="F43">
            <v>1</v>
          </cell>
          <cell r="G43">
            <v>56</v>
          </cell>
        </row>
        <row r="44">
          <cell r="A44" t="str">
            <v>Psco_369</v>
          </cell>
          <cell r="B44">
            <v>43</v>
          </cell>
          <cell r="C44">
            <v>1</v>
          </cell>
          <cell r="D44" t="str">
            <v>TZ</v>
          </cell>
          <cell r="E44">
            <v>15</v>
          </cell>
          <cell r="F44">
            <v>1</v>
          </cell>
          <cell r="G44">
            <v>78</v>
          </cell>
        </row>
        <row r="45">
          <cell r="A45" t="str">
            <v>Psco_480</v>
          </cell>
          <cell r="B45">
            <v>44</v>
          </cell>
          <cell r="C45">
            <v>2</v>
          </cell>
          <cell r="D45" t="str">
            <v>MZ</v>
          </cell>
          <cell r="E45">
            <v>32</v>
          </cell>
          <cell r="F45">
            <v>1</v>
          </cell>
          <cell r="G45">
            <v>67</v>
          </cell>
        </row>
        <row r="46">
          <cell r="A46" t="str">
            <v>Psco_377</v>
          </cell>
          <cell r="B46">
            <v>45</v>
          </cell>
          <cell r="C46">
            <v>1</v>
          </cell>
          <cell r="D46" t="str">
            <v>TZ</v>
          </cell>
          <cell r="E46">
            <v>20</v>
          </cell>
          <cell r="F46">
            <v>0</v>
          </cell>
          <cell r="G46">
            <v>98</v>
          </cell>
        </row>
        <row r="47">
          <cell r="A47" t="str">
            <v>Psco_488</v>
          </cell>
          <cell r="B47">
            <v>46</v>
          </cell>
          <cell r="C47">
            <v>2</v>
          </cell>
          <cell r="D47" t="str">
            <v>TZ</v>
          </cell>
          <cell r="E47">
            <v>48</v>
          </cell>
          <cell r="F47">
            <v>1</v>
          </cell>
          <cell r="G47">
            <v>67</v>
          </cell>
        </row>
        <row r="48">
          <cell r="A48" t="str">
            <v>Psco_192</v>
          </cell>
          <cell r="B48">
            <v>47</v>
          </cell>
          <cell r="C48">
            <v>1</v>
          </cell>
          <cell r="D48" t="str">
            <v>MZ</v>
          </cell>
          <cell r="E48">
            <v>6</v>
          </cell>
          <cell r="F48">
            <v>1</v>
          </cell>
          <cell r="G48">
            <v>56</v>
          </cell>
        </row>
        <row r="49">
          <cell r="A49" t="str">
            <v>Psco_104</v>
          </cell>
          <cell r="B49">
            <v>48</v>
          </cell>
          <cell r="C49">
            <v>1</v>
          </cell>
          <cell r="D49" t="str">
            <v>TZ</v>
          </cell>
          <cell r="E49">
            <v>16</v>
          </cell>
          <cell r="F49">
            <v>1</v>
          </cell>
          <cell r="G49">
            <v>61</v>
          </cell>
        </row>
        <row r="50">
          <cell r="A50" t="str">
            <v>Psco_200</v>
          </cell>
          <cell r="B50">
            <v>49</v>
          </cell>
          <cell r="C50">
            <v>1</v>
          </cell>
          <cell r="D50" t="str">
            <v>TZ</v>
          </cell>
          <cell r="E50">
            <v>17</v>
          </cell>
          <cell r="F50">
            <v>1</v>
          </cell>
          <cell r="G50">
            <v>64</v>
          </cell>
        </row>
        <row r="51">
          <cell r="A51" t="str">
            <v>Psco_112</v>
          </cell>
          <cell r="B51">
            <v>50</v>
          </cell>
          <cell r="C51">
            <v>1</v>
          </cell>
          <cell r="D51" t="str">
            <v>MZ</v>
          </cell>
          <cell r="E51">
            <v>6</v>
          </cell>
          <cell r="F51">
            <v>0</v>
          </cell>
          <cell r="G51">
            <v>98</v>
          </cell>
        </row>
        <row r="52">
          <cell r="A52" t="str">
            <v>Psco_208</v>
          </cell>
          <cell r="B52">
            <v>51</v>
          </cell>
          <cell r="C52">
            <v>1</v>
          </cell>
          <cell r="D52" t="str">
            <v>TZ</v>
          </cell>
          <cell r="E52">
            <v>11</v>
          </cell>
          <cell r="F52">
            <v>0</v>
          </cell>
          <cell r="G52">
            <v>98</v>
          </cell>
        </row>
        <row r="53">
          <cell r="A53" t="str">
            <v>Psco_120</v>
          </cell>
          <cell r="B53">
            <v>52</v>
          </cell>
          <cell r="C53">
            <v>1</v>
          </cell>
          <cell r="D53" t="str">
            <v>TZ</v>
          </cell>
          <cell r="E53">
            <v>14</v>
          </cell>
          <cell r="F53">
            <v>1</v>
          </cell>
          <cell r="G53">
            <v>53</v>
          </cell>
        </row>
        <row r="54">
          <cell r="A54" t="str">
            <v>Psco_216</v>
          </cell>
          <cell r="B54">
            <v>53</v>
          </cell>
          <cell r="C54">
            <v>1</v>
          </cell>
          <cell r="D54" t="str">
            <v>TZ</v>
          </cell>
          <cell r="E54">
            <v>10</v>
          </cell>
          <cell r="F54">
            <v>0</v>
          </cell>
          <cell r="G54">
            <v>98</v>
          </cell>
        </row>
        <row r="55">
          <cell r="A55" t="str">
            <v>Psco_128</v>
          </cell>
          <cell r="B55">
            <v>54</v>
          </cell>
          <cell r="C55">
            <v>1</v>
          </cell>
          <cell r="D55" t="str">
            <v>MZ</v>
          </cell>
          <cell r="E55">
            <v>7</v>
          </cell>
          <cell r="F55">
            <v>1</v>
          </cell>
          <cell r="G55">
            <v>61</v>
          </cell>
        </row>
        <row r="56">
          <cell r="A56" t="str">
            <v>Psco_224</v>
          </cell>
          <cell r="B56">
            <v>55</v>
          </cell>
          <cell r="C56">
            <v>1</v>
          </cell>
          <cell r="D56" t="str">
            <v>MZ</v>
          </cell>
          <cell r="E56">
            <v>3</v>
          </cell>
          <cell r="F56">
            <v>1</v>
          </cell>
          <cell r="G56">
            <v>55</v>
          </cell>
        </row>
        <row r="57">
          <cell r="A57" t="str">
            <v>Psco_136</v>
          </cell>
          <cell r="B57">
            <v>56</v>
          </cell>
          <cell r="C57">
            <v>1</v>
          </cell>
          <cell r="D57" t="str">
            <v>TZ</v>
          </cell>
          <cell r="E57">
            <v>12</v>
          </cell>
          <cell r="F57">
            <v>1</v>
          </cell>
          <cell r="G57">
            <v>48</v>
          </cell>
        </row>
        <row r="58">
          <cell r="A58" t="str">
            <v>Psco_232</v>
          </cell>
          <cell r="B58">
            <v>57</v>
          </cell>
          <cell r="C58">
            <v>1</v>
          </cell>
          <cell r="D58" t="str">
            <v>TZ</v>
          </cell>
          <cell r="E58">
            <v>15</v>
          </cell>
          <cell r="F58">
            <v>1</v>
          </cell>
          <cell r="G58">
            <v>45</v>
          </cell>
        </row>
        <row r="59">
          <cell r="A59" t="str">
            <v>Psco_144</v>
          </cell>
          <cell r="B59">
            <v>58</v>
          </cell>
          <cell r="C59">
            <v>1</v>
          </cell>
          <cell r="D59" t="str">
            <v>MZ</v>
          </cell>
          <cell r="E59">
            <v>4</v>
          </cell>
          <cell r="F59">
            <v>1</v>
          </cell>
          <cell r="G59">
            <v>56</v>
          </cell>
        </row>
        <row r="60">
          <cell r="A60" t="str">
            <v>Psco_240</v>
          </cell>
          <cell r="B60">
            <v>59</v>
          </cell>
          <cell r="C60">
            <v>1</v>
          </cell>
          <cell r="D60" t="str">
            <v>TZ</v>
          </cell>
          <cell r="E60">
            <v>17</v>
          </cell>
          <cell r="F60">
            <v>1</v>
          </cell>
          <cell r="G60">
            <v>51</v>
          </cell>
        </row>
        <row r="61">
          <cell r="A61" t="str">
            <v>Psco_249</v>
          </cell>
          <cell r="B61">
            <v>60</v>
          </cell>
          <cell r="C61">
            <v>1</v>
          </cell>
          <cell r="D61" t="str">
            <v>TZ</v>
          </cell>
          <cell r="E61">
            <v>18</v>
          </cell>
          <cell r="F61">
            <v>1</v>
          </cell>
          <cell r="G61">
            <v>88</v>
          </cell>
        </row>
        <row r="62">
          <cell r="A62" t="str">
            <v>Psco_257</v>
          </cell>
          <cell r="B62">
            <v>61</v>
          </cell>
          <cell r="C62">
            <v>1</v>
          </cell>
          <cell r="D62" t="str">
            <v>TZ</v>
          </cell>
          <cell r="E62">
            <v>19</v>
          </cell>
          <cell r="F62">
            <v>1</v>
          </cell>
          <cell r="G62">
            <v>74</v>
          </cell>
        </row>
        <row r="63">
          <cell r="A63" t="str">
            <v>Psco_168</v>
          </cell>
          <cell r="B63">
            <v>62</v>
          </cell>
          <cell r="C63">
            <v>1</v>
          </cell>
          <cell r="D63" t="str">
            <v>TZ</v>
          </cell>
          <cell r="E63">
            <v>14</v>
          </cell>
          <cell r="F63">
            <v>1</v>
          </cell>
          <cell r="G63">
            <v>68</v>
          </cell>
        </row>
        <row r="64">
          <cell r="A64" t="str">
            <v>Psco_266</v>
          </cell>
          <cell r="B64">
            <v>63</v>
          </cell>
          <cell r="C64">
            <v>1</v>
          </cell>
          <cell r="D64" t="str">
            <v>TZ</v>
          </cell>
          <cell r="E64">
            <v>11</v>
          </cell>
          <cell r="F64">
            <v>1</v>
          </cell>
          <cell r="G64">
            <v>53</v>
          </cell>
        </row>
        <row r="65">
          <cell r="A65" t="str">
            <v>Psco_176</v>
          </cell>
          <cell r="B65">
            <v>64</v>
          </cell>
          <cell r="C65">
            <v>1</v>
          </cell>
          <cell r="D65" t="str">
            <v>MZ</v>
          </cell>
          <cell r="E65">
            <v>5</v>
          </cell>
          <cell r="F65">
            <v>0</v>
          </cell>
          <cell r="G65">
            <v>98</v>
          </cell>
        </row>
        <row r="66">
          <cell r="A66" t="str">
            <v>Psco_184</v>
          </cell>
          <cell r="B66">
            <v>65</v>
          </cell>
          <cell r="C66">
            <v>1</v>
          </cell>
          <cell r="D66" t="str">
            <v>TZ</v>
          </cell>
          <cell r="E66">
            <v>12</v>
          </cell>
          <cell r="F66">
            <v>0</v>
          </cell>
          <cell r="G66">
            <v>98</v>
          </cell>
        </row>
        <row r="67">
          <cell r="A67" t="str">
            <v>Psco_282</v>
          </cell>
          <cell r="B67">
            <v>66</v>
          </cell>
          <cell r="C67">
            <v>1</v>
          </cell>
          <cell r="D67" t="str">
            <v>TZ</v>
          </cell>
          <cell r="E67">
            <v>19</v>
          </cell>
          <cell r="F67">
            <v>1</v>
          </cell>
          <cell r="G67">
            <v>72</v>
          </cell>
        </row>
        <row r="68">
          <cell r="A68" t="str">
            <v>Psco_290</v>
          </cell>
          <cell r="B68">
            <v>67</v>
          </cell>
          <cell r="C68">
            <v>1</v>
          </cell>
          <cell r="D68" t="str">
            <v>TZ</v>
          </cell>
          <cell r="E68">
            <v>13</v>
          </cell>
          <cell r="F68">
            <v>1</v>
          </cell>
          <cell r="G68">
            <v>46</v>
          </cell>
        </row>
        <row r="69">
          <cell r="A69" t="str">
            <v>Psco_386</v>
          </cell>
          <cell r="B69">
            <v>68</v>
          </cell>
          <cell r="C69">
            <v>1</v>
          </cell>
          <cell r="D69" t="str">
            <v>MZ</v>
          </cell>
          <cell r="E69">
            <v>2</v>
          </cell>
          <cell r="F69">
            <v>1</v>
          </cell>
          <cell r="G69">
            <v>74</v>
          </cell>
        </row>
        <row r="70">
          <cell r="A70" t="str">
            <v>Psco_298</v>
          </cell>
          <cell r="B70">
            <v>69</v>
          </cell>
          <cell r="C70">
            <v>1</v>
          </cell>
          <cell r="D70" t="str">
            <v>TZ</v>
          </cell>
          <cell r="E70">
            <v>19</v>
          </cell>
          <cell r="F70">
            <v>1</v>
          </cell>
          <cell r="G70">
            <v>48</v>
          </cell>
        </row>
        <row r="71">
          <cell r="A71" t="str">
            <v>Psco_394</v>
          </cell>
          <cell r="B71">
            <v>70</v>
          </cell>
          <cell r="C71">
            <v>1</v>
          </cell>
          <cell r="D71" t="str">
            <v>TZ</v>
          </cell>
          <cell r="E71">
            <v>13</v>
          </cell>
          <cell r="F71">
            <v>1</v>
          </cell>
          <cell r="G71">
            <v>54</v>
          </cell>
        </row>
        <row r="72">
          <cell r="A72" t="str">
            <v>Psco_306</v>
          </cell>
          <cell r="B72">
            <v>71</v>
          </cell>
          <cell r="C72">
            <v>1</v>
          </cell>
          <cell r="D72" t="str">
            <v>TZ</v>
          </cell>
          <cell r="E72">
            <v>16</v>
          </cell>
          <cell r="F72">
            <v>0</v>
          </cell>
          <cell r="G72">
            <v>98</v>
          </cell>
        </row>
        <row r="73">
          <cell r="A73" t="str">
            <v>Psco_417</v>
          </cell>
          <cell r="B73">
            <v>72</v>
          </cell>
          <cell r="C73">
            <v>2</v>
          </cell>
          <cell r="D73" t="str">
            <v>MZ</v>
          </cell>
          <cell r="E73">
            <v>33</v>
          </cell>
          <cell r="F73">
            <v>1</v>
          </cell>
          <cell r="G73">
            <v>86</v>
          </cell>
        </row>
        <row r="74">
          <cell r="A74" t="str">
            <v>Psco_314</v>
          </cell>
          <cell r="B74">
            <v>73</v>
          </cell>
          <cell r="C74">
            <v>1</v>
          </cell>
          <cell r="D74" t="str">
            <v>TZ</v>
          </cell>
          <cell r="E74">
            <v>19</v>
          </cell>
          <cell r="F74">
            <v>1</v>
          </cell>
          <cell r="G74">
            <v>48</v>
          </cell>
        </row>
        <row r="75">
          <cell r="A75" t="str">
            <v>Psco_425</v>
          </cell>
          <cell r="B75">
            <v>74</v>
          </cell>
          <cell r="C75">
            <v>2</v>
          </cell>
          <cell r="D75" t="str">
            <v>MZ</v>
          </cell>
          <cell r="E75">
            <v>21</v>
          </cell>
          <cell r="F75">
            <v>1</v>
          </cell>
          <cell r="G75">
            <v>59</v>
          </cell>
        </row>
        <row r="76">
          <cell r="A76" t="str">
            <v>Psco_322</v>
          </cell>
          <cell r="B76">
            <v>75</v>
          </cell>
          <cell r="C76">
            <v>1</v>
          </cell>
          <cell r="D76" t="str">
            <v>MZ</v>
          </cell>
          <cell r="E76">
            <v>3</v>
          </cell>
          <cell r="F76">
            <v>1</v>
          </cell>
          <cell r="G76">
            <v>63</v>
          </cell>
        </row>
        <row r="77">
          <cell r="A77" t="str">
            <v>Psco_433</v>
          </cell>
          <cell r="B77">
            <v>76</v>
          </cell>
          <cell r="C77">
            <v>2</v>
          </cell>
          <cell r="D77" t="str">
            <v>MZ</v>
          </cell>
          <cell r="E77">
            <v>25</v>
          </cell>
          <cell r="F77">
            <v>1</v>
          </cell>
          <cell r="G77">
            <v>80</v>
          </cell>
        </row>
        <row r="78">
          <cell r="A78" t="str">
            <v>Psco_330</v>
          </cell>
          <cell r="B78">
            <v>77</v>
          </cell>
          <cell r="C78">
            <v>1</v>
          </cell>
          <cell r="D78" t="str">
            <v>TZ</v>
          </cell>
          <cell r="E78">
            <v>9</v>
          </cell>
          <cell r="F78">
            <v>0</v>
          </cell>
          <cell r="G78">
            <v>98</v>
          </cell>
        </row>
        <row r="79">
          <cell r="A79" t="str">
            <v>Psco_441</v>
          </cell>
          <cell r="B79">
            <v>78</v>
          </cell>
          <cell r="C79">
            <v>2</v>
          </cell>
          <cell r="D79" t="str">
            <v>MZ</v>
          </cell>
          <cell r="E79">
            <v>28</v>
          </cell>
          <cell r="F79">
            <v>1</v>
          </cell>
          <cell r="G79">
            <v>67</v>
          </cell>
        </row>
        <row r="80">
          <cell r="A80" t="str">
            <v>Psco_338</v>
          </cell>
          <cell r="B80">
            <v>79</v>
          </cell>
          <cell r="C80">
            <v>1</v>
          </cell>
          <cell r="D80" t="str">
            <v>TZ</v>
          </cell>
          <cell r="E80">
            <v>18</v>
          </cell>
          <cell r="F80">
            <v>1</v>
          </cell>
          <cell r="G80">
            <v>81</v>
          </cell>
        </row>
        <row r="81">
          <cell r="A81" t="str">
            <v>Psco_449</v>
          </cell>
          <cell r="B81">
            <v>80</v>
          </cell>
          <cell r="C81">
            <v>2</v>
          </cell>
          <cell r="D81" t="str">
            <v>TZ</v>
          </cell>
          <cell r="E81">
            <v>44</v>
          </cell>
          <cell r="F81">
            <v>1</v>
          </cell>
          <cell r="G81">
            <v>58</v>
          </cell>
        </row>
        <row r="82">
          <cell r="A82" t="str">
            <v>Psco_346</v>
          </cell>
          <cell r="B82">
            <v>81</v>
          </cell>
          <cell r="C82">
            <v>1</v>
          </cell>
          <cell r="D82" t="str">
            <v>TZ</v>
          </cell>
          <cell r="E82">
            <v>12</v>
          </cell>
          <cell r="F82">
            <v>1</v>
          </cell>
          <cell r="G82">
            <v>72</v>
          </cell>
        </row>
        <row r="83">
          <cell r="A83" t="str">
            <v>Psco_457</v>
          </cell>
          <cell r="B83">
            <v>82</v>
          </cell>
          <cell r="C83">
            <v>2</v>
          </cell>
          <cell r="D83" t="str">
            <v>MZ</v>
          </cell>
          <cell r="E83">
            <v>33</v>
          </cell>
          <cell r="F83">
            <v>1</v>
          </cell>
          <cell r="G83">
            <v>76</v>
          </cell>
        </row>
        <row r="84">
          <cell r="A84" t="str">
            <v>Psco_354</v>
          </cell>
          <cell r="B84">
            <v>83</v>
          </cell>
          <cell r="C84">
            <v>1</v>
          </cell>
          <cell r="D84" t="str">
            <v>TZ</v>
          </cell>
          <cell r="E84">
            <v>10</v>
          </cell>
          <cell r="F84">
            <v>1</v>
          </cell>
          <cell r="G84">
            <v>54</v>
          </cell>
        </row>
        <row r="85">
          <cell r="A85" t="str">
            <v>Psco_465</v>
          </cell>
          <cell r="B85">
            <v>84</v>
          </cell>
          <cell r="C85">
            <v>2</v>
          </cell>
          <cell r="D85" t="str">
            <v>MZ</v>
          </cell>
          <cell r="E85">
            <v>39</v>
          </cell>
          <cell r="F85">
            <v>1</v>
          </cell>
          <cell r="G85">
            <v>63</v>
          </cell>
        </row>
        <row r="86">
          <cell r="A86" t="str">
            <v>Psco_362</v>
          </cell>
          <cell r="B86">
            <v>85</v>
          </cell>
          <cell r="C86">
            <v>1</v>
          </cell>
          <cell r="D86" t="str">
            <v>MZ</v>
          </cell>
          <cell r="E86">
            <v>8</v>
          </cell>
          <cell r="F86">
            <v>0</v>
          </cell>
          <cell r="G86">
            <v>98</v>
          </cell>
        </row>
        <row r="87">
          <cell r="A87" t="str">
            <v>Psco_473</v>
          </cell>
          <cell r="B87">
            <v>86</v>
          </cell>
          <cell r="C87">
            <v>2</v>
          </cell>
          <cell r="D87" t="str">
            <v>MZ</v>
          </cell>
          <cell r="E87">
            <v>36</v>
          </cell>
          <cell r="F87">
            <v>1</v>
          </cell>
          <cell r="G87">
            <v>73</v>
          </cell>
        </row>
        <row r="88">
          <cell r="A88" t="str">
            <v>Psco_370</v>
          </cell>
          <cell r="B88">
            <v>87</v>
          </cell>
          <cell r="C88">
            <v>1</v>
          </cell>
          <cell r="D88" t="str">
            <v>MZ</v>
          </cell>
          <cell r="E88">
            <v>7</v>
          </cell>
          <cell r="F88">
            <v>1</v>
          </cell>
          <cell r="G88">
            <v>53</v>
          </cell>
        </row>
        <row r="89">
          <cell r="A89" t="str">
            <v>Psco_481</v>
          </cell>
          <cell r="B89">
            <v>88</v>
          </cell>
          <cell r="C89">
            <v>2</v>
          </cell>
          <cell r="D89" t="str">
            <v>MZ</v>
          </cell>
          <cell r="E89">
            <v>27</v>
          </cell>
          <cell r="F89">
            <v>1</v>
          </cell>
          <cell r="G89">
            <v>89</v>
          </cell>
        </row>
        <row r="90">
          <cell r="A90" t="str">
            <v>Psco_378</v>
          </cell>
          <cell r="B90">
            <v>89</v>
          </cell>
          <cell r="C90">
            <v>1</v>
          </cell>
          <cell r="D90" t="str">
            <v>TZ</v>
          </cell>
          <cell r="E90">
            <v>9</v>
          </cell>
          <cell r="F90">
            <v>0</v>
          </cell>
          <cell r="G90">
            <v>98</v>
          </cell>
        </row>
        <row r="91">
          <cell r="A91" t="str">
            <v>Psco_489</v>
          </cell>
          <cell r="B91">
            <v>90</v>
          </cell>
          <cell r="C91">
            <v>2</v>
          </cell>
          <cell r="D91" t="str">
            <v>TZ</v>
          </cell>
          <cell r="E91">
            <v>48</v>
          </cell>
          <cell r="F91">
            <v>0</v>
          </cell>
          <cell r="G91">
            <v>98</v>
          </cell>
        </row>
        <row r="92">
          <cell r="A92" t="str">
            <v>Psco_193</v>
          </cell>
          <cell r="B92">
            <v>91</v>
          </cell>
          <cell r="C92">
            <v>1</v>
          </cell>
          <cell r="D92" t="str">
            <v>MZ</v>
          </cell>
          <cell r="E92">
            <v>2</v>
          </cell>
          <cell r="F92">
            <v>0</v>
          </cell>
          <cell r="G92">
            <v>98</v>
          </cell>
        </row>
        <row r="93">
          <cell r="A93" t="str">
            <v>Psco_105</v>
          </cell>
          <cell r="B93">
            <v>92</v>
          </cell>
          <cell r="C93">
            <v>1</v>
          </cell>
          <cell r="D93" t="str">
            <v>MZ</v>
          </cell>
          <cell r="E93">
            <v>6</v>
          </cell>
          <cell r="F93">
            <v>1</v>
          </cell>
          <cell r="G93">
            <v>81</v>
          </cell>
        </row>
        <row r="94">
          <cell r="A94" t="str">
            <v>Psco_201</v>
          </cell>
          <cell r="B94">
            <v>93</v>
          </cell>
          <cell r="C94">
            <v>1</v>
          </cell>
          <cell r="D94" t="str">
            <v>MZ</v>
          </cell>
          <cell r="E94">
            <v>6</v>
          </cell>
          <cell r="F94">
            <v>1</v>
          </cell>
          <cell r="G94">
            <v>82</v>
          </cell>
        </row>
        <row r="95">
          <cell r="A95" t="str">
            <v>Psco_113</v>
          </cell>
          <cell r="B95">
            <v>94</v>
          </cell>
          <cell r="C95">
            <v>1</v>
          </cell>
          <cell r="D95" t="str">
            <v>TZ</v>
          </cell>
          <cell r="E95">
            <v>9</v>
          </cell>
          <cell r="F95">
            <v>1</v>
          </cell>
          <cell r="G95">
            <v>56</v>
          </cell>
        </row>
        <row r="96">
          <cell r="A96" t="str">
            <v>Psco_209</v>
          </cell>
          <cell r="B96">
            <v>95</v>
          </cell>
          <cell r="C96">
            <v>1</v>
          </cell>
          <cell r="D96" t="str">
            <v>MZ</v>
          </cell>
          <cell r="E96">
            <v>4</v>
          </cell>
          <cell r="F96">
            <v>1</v>
          </cell>
          <cell r="G96">
            <v>71</v>
          </cell>
        </row>
        <row r="97">
          <cell r="A97" t="str">
            <v>Psco_121</v>
          </cell>
          <cell r="B97">
            <v>96</v>
          </cell>
          <cell r="C97">
            <v>1</v>
          </cell>
          <cell r="D97" t="str">
            <v>MZ</v>
          </cell>
          <cell r="E97">
            <v>2</v>
          </cell>
          <cell r="F97">
            <v>0</v>
          </cell>
          <cell r="G97">
            <v>98</v>
          </cell>
        </row>
        <row r="98">
          <cell r="A98" t="str">
            <v>Psco_217</v>
          </cell>
          <cell r="B98">
            <v>97</v>
          </cell>
          <cell r="C98">
            <v>1</v>
          </cell>
          <cell r="D98" t="str">
            <v>TZ</v>
          </cell>
          <cell r="E98">
            <v>14</v>
          </cell>
          <cell r="F98">
            <v>1</v>
          </cell>
          <cell r="G98">
            <v>56</v>
          </cell>
        </row>
        <row r="99">
          <cell r="A99" t="str">
            <v>Psco_129</v>
          </cell>
          <cell r="B99">
            <v>98</v>
          </cell>
          <cell r="C99">
            <v>1</v>
          </cell>
          <cell r="D99" t="str">
            <v>TZ</v>
          </cell>
          <cell r="E99">
            <v>9</v>
          </cell>
          <cell r="F99">
            <v>1</v>
          </cell>
          <cell r="G99">
            <v>84</v>
          </cell>
        </row>
        <row r="100">
          <cell r="A100" t="str">
            <v>Psco_225</v>
          </cell>
          <cell r="B100">
            <v>99</v>
          </cell>
          <cell r="C100">
            <v>1</v>
          </cell>
          <cell r="D100" t="str">
            <v>TZ</v>
          </cell>
          <cell r="E100">
            <v>9</v>
          </cell>
          <cell r="F100">
            <v>1</v>
          </cell>
          <cell r="G100">
            <v>72</v>
          </cell>
        </row>
        <row r="101">
          <cell r="A101" t="str">
            <v>Psco_137</v>
          </cell>
          <cell r="B101">
            <v>100</v>
          </cell>
          <cell r="C101">
            <v>1</v>
          </cell>
          <cell r="D101" t="str">
            <v>TZ</v>
          </cell>
          <cell r="E101">
            <v>13</v>
          </cell>
          <cell r="F101">
            <v>1</v>
          </cell>
          <cell r="G101">
            <v>46</v>
          </cell>
        </row>
        <row r="102">
          <cell r="A102" t="str">
            <v>Psco_233</v>
          </cell>
          <cell r="B102">
            <v>101</v>
          </cell>
          <cell r="C102">
            <v>1</v>
          </cell>
          <cell r="D102" t="str">
            <v>TZ</v>
          </cell>
          <cell r="E102">
            <v>12</v>
          </cell>
          <cell r="F102">
            <v>0</v>
          </cell>
          <cell r="G102">
            <v>98</v>
          </cell>
        </row>
        <row r="103">
          <cell r="A103" t="str">
            <v>Psco_145</v>
          </cell>
          <cell r="B103">
            <v>102</v>
          </cell>
          <cell r="C103">
            <v>1</v>
          </cell>
          <cell r="D103" t="str">
            <v>TZ</v>
          </cell>
          <cell r="E103">
            <v>14</v>
          </cell>
          <cell r="F103">
            <v>1</v>
          </cell>
          <cell r="G103">
            <v>53</v>
          </cell>
        </row>
        <row r="104">
          <cell r="A104" t="str">
            <v>Psco_241</v>
          </cell>
          <cell r="B104">
            <v>103</v>
          </cell>
          <cell r="C104">
            <v>1</v>
          </cell>
          <cell r="D104" t="str">
            <v>TZ</v>
          </cell>
          <cell r="E104">
            <v>11</v>
          </cell>
          <cell r="F104">
            <v>1</v>
          </cell>
          <cell r="G104">
            <v>58</v>
          </cell>
        </row>
        <row r="105">
          <cell r="A105" t="str">
            <v>Psco_153</v>
          </cell>
          <cell r="B105">
            <v>104</v>
          </cell>
          <cell r="C105">
            <v>1</v>
          </cell>
          <cell r="D105" t="str">
            <v>MZ</v>
          </cell>
          <cell r="E105">
            <v>7</v>
          </cell>
          <cell r="F105">
            <v>1</v>
          </cell>
          <cell r="G105">
            <v>56</v>
          </cell>
        </row>
        <row r="106">
          <cell r="A106" t="str">
            <v>Psco_250</v>
          </cell>
          <cell r="B106">
            <v>105</v>
          </cell>
          <cell r="C106">
            <v>1</v>
          </cell>
          <cell r="D106" t="str">
            <v>TZ</v>
          </cell>
          <cell r="E106">
            <v>19</v>
          </cell>
          <cell r="F106">
            <v>1</v>
          </cell>
          <cell r="G106">
            <v>56</v>
          </cell>
        </row>
        <row r="107">
          <cell r="A107" t="str">
            <v>Psco_161</v>
          </cell>
          <cell r="B107">
            <v>106</v>
          </cell>
          <cell r="C107">
            <v>1</v>
          </cell>
          <cell r="D107" t="str">
            <v>TZ</v>
          </cell>
          <cell r="E107">
            <v>9</v>
          </cell>
          <cell r="F107">
            <v>1</v>
          </cell>
          <cell r="G107">
            <v>79</v>
          </cell>
        </row>
        <row r="108">
          <cell r="A108" t="str">
            <v>Psco_258</v>
          </cell>
          <cell r="B108">
            <v>107</v>
          </cell>
          <cell r="C108">
            <v>1</v>
          </cell>
          <cell r="D108" t="str">
            <v>TZ</v>
          </cell>
          <cell r="E108">
            <v>17</v>
          </cell>
          <cell r="F108">
            <v>1</v>
          </cell>
          <cell r="G108">
            <v>44</v>
          </cell>
        </row>
        <row r="109">
          <cell r="A109" t="str">
            <v>Psco_169</v>
          </cell>
          <cell r="B109">
            <v>108</v>
          </cell>
          <cell r="C109">
            <v>1</v>
          </cell>
          <cell r="D109" t="str">
            <v>MZ</v>
          </cell>
          <cell r="E109">
            <v>1</v>
          </cell>
          <cell r="F109">
            <v>0</v>
          </cell>
          <cell r="G109">
            <v>98</v>
          </cell>
        </row>
        <row r="110">
          <cell r="A110" t="str">
            <v>Psco_267</v>
          </cell>
          <cell r="B110">
            <v>109</v>
          </cell>
          <cell r="C110">
            <v>1</v>
          </cell>
          <cell r="D110" t="str">
            <v>TZ</v>
          </cell>
          <cell r="E110">
            <v>16</v>
          </cell>
          <cell r="F110">
            <v>1</v>
          </cell>
          <cell r="G110">
            <v>73</v>
          </cell>
        </row>
        <row r="111">
          <cell r="A111" t="str">
            <v>Psco_177</v>
          </cell>
          <cell r="B111">
            <v>110</v>
          </cell>
          <cell r="C111">
            <v>1</v>
          </cell>
          <cell r="D111" t="str">
            <v>MZ</v>
          </cell>
          <cell r="E111">
            <v>1</v>
          </cell>
          <cell r="F111">
            <v>1</v>
          </cell>
          <cell r="G111">
            <v>76</v>
          </cell>
        </row>
        <row r="112">
          <cell r="A112" t="str">
            <v>Psco_275</v>
          </cell>
          <cell r="B112">
            <v>111</v>
          </cell>
          <cell r="C112">
            <v>1</v>
          </cell>
          <cell r="D112" t="str">
            <v>MZ</v>
          </cell>
          <cell r="E112">
            <v>1</v>
          </cell>
          <cell r="F112">
            <v>0</v>
          </cell>
          <cell r="G112">
            <v>98</v>
          </cell>
        </row>
        <row r="113">
          <cell r="A113" t="str">
            <v>Psco_185</v>
          </cell>
          <cell r="B113">
            <v>112</v>
          </cell>
          <cell r="C113">
            <v>1</v>
          </cell>
          <cell r="D113" t="str">
            <v>TZ</v>
          </cell>
          <cell r="E113">
            <v>19</v>
          </cell>
          <cell r="F113">
            <v>1</v>
          </cell>
          <cell r="G113">
            <v>61</v>
          </cell>
        </row>
        <row r="114">
          <cell r="A114" t="str">
            <v>Psco_283</v>
          </cell>
          <cell r="B114">
            <v>113</v>
          </cell>
          <cell r="C114">
            <v>1</v>
          </cell>
          <cell r="D114" t="str">
            <v>MZ</v>
          </cell>
          <cell r="E114">
            <v>4</v>
          </cell>
          <cell r="F114">
            <v>0</v>
          </cell>
          <cell r="G114">
            <v>98</v>
          </cell>
        </row>
        <row r="115">
          <cell r="A115" t="str">
            <v>Psco_387</v>
          </cell>
          <cell r="B115">
            <v>114</v>
          </cell>
          <cell r="C115">
            <v>1</v>
          </cell>
          <cell r="D115" t="str">
            <v>MZ</v>
          </cell>
          <cell r="E115">
            <v>5</v>
          </cell>
          <cell r="F115">
            <v>1</v>
          </cell>
          <cell r="G115">
            <v>56</v>
          </cell>
        </row>
        <row r="116">
          <cell r="A116" t="str">
            <v>Psco_299</v>
          </cell>
          <cell r="B116">
            <v>115</v>
          </cell>
          <cell r="C116">
            <v>1</v>
          </cell>
          <cell r="D116" t="str">
            <v>MZ</v>
          </cell>
          <cell r="E116">
            <v>1</v>
          </cell>
          <cell r="F116">
            <v>0</v>
          </cell>
          <cell r="G116">
            <v>98</v>
          </cell>
        </row>
        <row r="117">
          <cell r="A117" t="str">
            <v>Psco_307</v>
          </cell>
          <cell r="B117">
            <v>116</v>
          </cell>
          <cell r="C117">
            <v>1</v>
          </cell>
          <cell r="D117" t="str">
            <v>MZ</v>
          </cell>
          <cell r="E117">
            <v>8</v>
          </cell>
          <cell r="F117">
            <v>0</v>
          </cell>
          <cell r="G117">
            <v>98</v>
          </cell>
        </row>
        <row r="118">
          <cell r="A118" t="str">
            <v>Psco_418</v>
          </cell>
          <cell r="B118">
            <v>117</v>
          </cell>
          <cell r="C118">
            <v>2</v>
          </cell>
          <cell r="D118" t="str">
            <v>MZ</v>
          </cell>
          <cell r="E118">
            <v>36</v>
          </cell>
          <cell r="F118">
            <v>1</v>
          </cell>
          <cell r="G118">
            <v>70</v>
          </cell>
        </row>
        <row r="119">
          <cell r="A119" t="str">
            <v>Psco_315</v>
          </cell>
          <cell r="B119">
            <v>118</v>
          </cell>
          <cell r="C119">
            <v>1</v>
          </cell>
          <cell r="D119" t="str">
            <v>TZ</v>
          </cell>
          <cell r="E119">
            <v>12</v>
          </cell>
          <cell r="F119">
            <v>0</v>
          </cell>
          <cell r="G119">
            <v>98</v>
          </cell>
        </row>
        <row r="120">
          <cell r="A120" t="str">
            <v>Psco_426</v>
          </cell>
          <cell r="B120">
            <v>119</v>
          </cell>
          <cell r="C120">
            <v>2</v>
          </cell>
          <cell r="D120" t="str">
            <v>TZ</v>
          </cell>
          <cell r="E120">
            <v>52</v>
          </cell>
          <cell r="F120">
            <v>0</v>
          </cell>
          <cell r="G120">
            <v>98</v>
          </cell>
        </row>
        <row r="121">
          <cell r="A121" t="str">
            <v>Psco_323</v>
          </cell>
          <cell r="B121">
            <v>120</v>
          </cell>
          <cell r="C121">
            <v>1</v>
          </cell>
          <cell r="D121" t="str">
            <v>TZ</v>
          </cell>
          <cell r="E121">
            <v>12</v>
          </cell>
          <cell r="F121">
            <v>1</v>
          </cell>
          <cell r="G121">
            <v>78</v>
          </cell>
        </row>
        <row r="122">
          <cell r="A122" t="str">
            <v>Psco_434</v>
          </cell>
          <cell r="B122">
            <v>121</v>
          </cell>
          <cell r="C122">
            <v>2</v>
          </cell>
          <cell r="D122" t="str">
            <v>MZ</v>
          </cell>
          <cell r="E122">
            <v>37</v>
          </cell>
          <cell r="F122">
            <v>0</v>
          </cell>
          <cell r="G122">
            <v>98</v>
          </cell>
        </row>
        <row r="123">
          <cell r="A123" t="str">
            <v>Psco_331</v>
          </cell>
          <cell r="B123">
            <v>122</v>
          </cell>
          <cell r="C123">
            <v>1</v>
          </cell>
          <cell r="D123" t="str">
            <v>TZ</v>
          </cell>
          <cell r="E123">
            <v>12</v>
          </cell>
          <cell r="F123">
            <v>1</v>
          </cell>
          <cell r="G123">
            <v>58</v>
          </cell>
        </row>
        <row r="124">
          <cell r="A124" t="str">
            <v>Psco_442</v>
          </cell>
          <cell r="B124">
            <v>123</v>
          </cell>
          <cell r="C124">
            <v>2</v>
          </cell>
          <cell r="D124" t="str">
            <v>MZ</v>
          </cell>
          <cell r="E124">
            <v>32</v>
          </cell>
          <cell r="F124">
            <v>1</v>
          </cell>
          <cell r="G124">
            <v>56</v>
          </cell>
        </row>
        <row r="125">
          <cell r="A125" t="str">
            <v>Psco_339</v>
          </cell>
          <cell r="B125">
            <v>124</v>
          </cell>
          <cell r="C125">
            <v>1</v>
          </cell>
          <cell r="D125" t="str">
            <v>TZ</v>
          </cell>
          <cell r="E125">
            <v>16</v>
          </cell>
          <cell r="F125">
            <v>1</v>
          </cell>
          <cell r="G125">
            <v>53</v>
          </cell>
        </row>
        <row r="126">
          <cell r="A126" t="str">
            <v>Psco_450</v>
          </cell>
          <cell r="B126">
            <v>125</v>
          </cell>
          <cell r="C126">
            <v>2</v>
          </cell>
          <cell r="D126" t="str">
            <v>MZ</v>
          </cell>
          <cell r="E126">
            <v>29</v>
          </cell>
          <cell r="F126">
            <v>1</v>
          </cell>
          <cell r="G126">
            <v>66</v>
          </cell>
        </row>
        <row r="127">
          <cell r="A127" t="str">
            <v>Psco_347</v>
          </cell>
          <cell r="B127">
            <v>126</v>
          </cell>
          <cell r="C127">
            <v>1</v>
          </cell>
          <cell r="D127" t="str">
            <v>TZ</v>
          </cell>
          <cell r="E127">
            <v>13</v>
          </cell>
          <cell r="F127">
            <v>1</v>
          </cell>
          <cell r="G127">
            <v>51</v>
          </cell>
        </row>
        <row r="128">
          <cell r="A128" t="str">
            <v>Psco_458</v>
          </cell>
          <cell r="B128">
            <v>127</v>
          </cell>
          <cell r="C128">
            <v>2</v>
          </cell>
          <cell r="D128" t="str">
            <v>TZ</v>
          </cell>
          <cell r="E128">
            <v>49</v>
          </cell>
          <cell r="F128">
            <v>1</v>
          </cell>
          <cell r="G128">
            <v>59</v>
          </cell>
        </row>
        <row r="129">
          <cell r="A129" t="str">
            <v>Psco_466</v>
          </cell>
          <cell r="B129">
            <v>128</v>
          </cell>
          <cell r="C129">
            <v>2</v>
          </cell>
          <cell r="D129" t="str">
            <v>TZ</v>
          </cell>
          <cell r="E129">
            <v>50</v>
          </cell>
          <cell r="F129">
            <v>0</v>
          </cell>
          <cell r="G129">
            <v>98</v>
          </cell>
        </row>
        <row r="130">
          <cell r="A130" t="str">
            <v>Psco_363</v>
          </cell>
          <cell r="B130">
            <v>129</v>
          </cell>
          <cell r="C130">
            <v>1</v>
          </cell>
          <cell r="D130" t="str">
            <v>TZ</v>
          </cell>
          <cell r="E130">
            <v>16</v>
          </cell>
          <cell r="F130">
            <v>0</v>
          </cell>
          <cell r="G130">
            <v>98</v>
          </cell>
        </row>
        <row r="131">
          <cell r="A131" t="str">
            <v>Psco_474</v>
          </cell>
          <cell r="B131">
            <v>130</v>
          </cell>
          <cell r="C131">
            <v>2</v>
          </cell>
          <cell r="D131" t="str">
            <v>TZ</v>
          </cell>
          <cell r="E131">
            <v>43</v>
          </cell>
          <cell r="F131">
            <v>1</v>
          </cell>
          <cell r="G131">
            <v>62</v>
          </cell>
        </row>
        <row r="132">
          <cell r="A132" t="str">
            <v>Psco_371</v>
          </cell>
          <cell r="B132">
            <v>131</v>
          </cell>
          <cell r="C132">
            <v>1</v>
          </cell>
          <cell r="D132" t="str">
            <v>TZ</v>
          </cell>
          <cell r="E132">
            <v>11</v>
          </cell>
          <cell r="F132">
            <v>1</v>
          </cell>
          <cell r="G132">
            <v>64</v>
          </cell>
        </row>
        <row r="133">
          <cell r="A133" t="str">
            <v>Psco_482</v>
          </cell>
          <cell r="B133">
            <v>132</v>
          </cell>
          <cell r="C133">
            <v>2</v>
          </cell>
          <cell r="D133" t="str">
            <v>MZ</v>
          </cell>
          <cell r="E133">
            <v>34</v>
          </cell>
          <cell r="F133">
            <v>1</v>
          </cell>
          <cell r="G133">
            <v>70</v>
          </cell>
        </row>
        <row r="134">
          <cell r="A134" t="str">
            <v>Psco_379</v>
          </cell>
          <cell r="B134">
            <v>133</v>
          </cell>
          <cell r="C134">
            <v>1</v>
          </cell>
          <cell r="D134" t="str">
            <v>TZ</v>
          </cell>
          <cell r="E134">
            <v>10</v>
          </cell>
          <cell r="F134">
            <v>1</v>
          </cell>
          <cell r="G134">
            <v>71</v>
          </cell>
        </row>
        <row r="135">
          <cell r="A135" t="str">
            <v>Psco_490</v>
          </cell>
          <cell r="B135">
            <v>134</v>
          </cell>
          <cell r="C135">
            <v>2</v>
          </cell>
          <cell r="D135" t="str">
            <v>MZ</v>
          </cell>
          <cell r="E135">
            <v>28</v>
          </cell>
          <cell r="F135">
            <v>0</v>
          </cell>
          <cell r="G135">
            <v>98</v>
          </cell>
        </row>
        <row r="136">
          <cell r="A136" t="str">
            <v>Psco_194</v>
          </cell>
          <cell r="B136">
            <v>135</v>
          </cell>
          <cell r="C136">
            <v>1</v>
          </cell>
          <cell r="D136" t="str">
            <v>TZ</v>
          </cell>
          <cell r="E136">
            <v>16</v>
          </cell>
          <cell r="F136">
            <v>1</v>
          </cell>
          <cell r="G136">
            <v>46</v>
          </cell>
        </row>
        <row r="137">
          <cell r="A137" t="str">
            <v>Psco_106</v>
          </cell>
          <cell r="B137">
            <v>136</v>
          </cell>
          <cell r="C137">
            <v>1</v>
          </cell>
          <cell r="D137" t="str">
            <v>MZ</v>
          </cell>
          <cell r="E137">
            <v>3</v>
          </cell>
          <cell r="F137">
            <v>0</v>
          </cell>
          <cell r="G137">
            <v>98</v>
          </cell>
        </row>
        <row r="138">
          <cell r="A138" t="str">
            <v>Psco_202</v>
          </cell>
          <cell r="B138">
            <v>137</v>
          </cell>
          <cell r="C138">
            <v>1</v>
          </cell>
          <cell r="D138" t="str">
            <v>TZ</v>
          </cell>
          <cell r="E138">
            <v>13</v>
          </cell>
          <cell r="F138">
            <v>1</v>
          </cell>
          <cell r="G138">
            <v>60</v>
          </cell>
        </row>
        <row r="139">
          <cell r="A139" t="str">
            <v>Psco_114</v>
          </cell>
          <cell r="B139">
            <v>138</v>
          </cell>
          <cell r="C139">
            <v>1</v>
          </cell>
          <cell r="D139" t="str">
            <v>MZ</v>
          </cell>
          <cell r="E139">
            <v>4</v>
          </cell>
          <cell r="F139">
            <v>1</v>
          </cell>
          <cell r="G139">
            <v>56</v>
          </cell>
        </row>
        <row r="140">
          <cell r="A140" t="str">
            <v>Psco_210</v>
          </cell>
          <cell r="B140">
            <v>139</v>
          </cell>
          <cell r="C140">
            <v>1</v>
          </cell>
          <cell r="D140" t="str">
            <v>MZ</v>
          </cell>
          <cell r="E140">
            <v>2</v>
          </cell>
          <cell r="F140">
            <v>0</v>
          </cell>
          <cell r="G140">
            <v>98</v>
          </cell>
        </row>
        <row r="141">
          <cell r="A141" t="str">
            <v>Psco_122</v>
          </cell>
          <cell r="B141">
            <v>140</v>
          </cell>
          <cell r="C141">
            <v>1</v>
          </cell>
          <cell r="D141" t="str">
            <v>TZ</v>
          </cell>
          <cell r="E141">
            <v>16</v>
          </cell>
          <cell r="F141">
            <v>1</v>
          </cell>
          <cell r="G141">
            <v>49</v>
          </cell>
        </row>
        <row r="142">
          <cell r="A142" t="str">
            <v>Psco_218</v>
          </cell>
          <cell r="B142">
            <v>141</v>
          </cell>
          <cell r="C142">
            <v>1</v>
          </cell>
          <cell r="D142" t="str">
            <v>MZ</v>
          </cell>
          <cell r="E142">
            <v>5</v>
          </cell>
          <cell r="F142">
            <v>1</v>
          </cell>
          <cell r="G142">
            <v>51</v>
          </cell>
        </row>
        <row r="143">
          <cell r="A143" t="str">
            <v>Psco_130</v>
          </cell>
          <cell r="B143">
            <v>142</v>
          </cell>
          <cell r="C143">
            <v>1</v>
          </cell>
          <cell r="D143" t="str">
            <v>MZ</v>
          </cell>
          <cell r="E143">
            <v>8</v>
          </cell>
          <cell r="F143">
            <v>0</v>
          </cell>
          <cell r="G143">
            <v>98</v>
          </cell>
        </row>
        <row r="144">
          <cell r="A144" t="str">
            <v>Psco_226</v>
          </cell>
          <cell r="B144">
            <v>143</v>
          </cell>
          <cell r="C144">
            <v>1</v>
          </cell>
          <cell r="D144" t="str">
            <v>TZ</v>
          </cell>
          <cell r="E144">
            <v>14</v>
          </cell>
          <cell r="F144">
            <v>1</v>
          </cell>
          <cell r="G144">
            <v>56</v>
          </cell>
        </row>
        <row r="145">
          <cell r="A145" t="str">
            <v>Psco_138</v>
          </cell>
          <cell r="B145">
            <v>144</v>
          </cell>
          <cell r="C145">
            <v>1</v>
          </cell>
          <cell r="D145" t="str">
            <v>TZ</v>
          </cell>
          <cell r="E145">
            <v>9</v>
          </cell>
          <cell r="F145">
            <v>1</v>
          </cell>
          <cell r="G145">
            <v>49</v>
          </cell>
        </row>
        <row r="146">
          <cell r="A146" t="str">
            <v>Psco_234</v>
          </cell>
          <cell r="B146">
            <v>145</v>
          </cell>
          <cell r="C146">
            <v>1</v>
          </cell>
          <cell r="D146" t="str">
            <v>TZ</v>
          </cell>
          <cell r="E146">
            <v>15</v>
          </cell>
          <cell r="F146">
            <v>1</v>
          </cell>
          <cell r="G146">
            <v>61</v>
          </cell>
        </row>
        <row r="147">
          <cell r="A147" t="str">
            <v>Psco_146</v>
          </cell>
          <cell r="B147">
            <v>146</v>
          </cell>
          <cell r="C147">
            <v>1</v>
          </cell>
          <cell r="D147" t="str">
            <v>TZ</v>
          </cell>
          <cell r="E147">
            <v>9</v>
          </cell>
          <cell r="F147">
            <v>1</v>
          </cell>
          <cell r="G147">
            <v>54</v>
          </cell>
        </row>
        <row r="148">
          <cell r="A148" t="str">
            <v>Psco_154</v>
          </cell>
          <cell r="B148">
            <v>147</v>
          </cell>
          <cell r="C148">
            <v>1</v>
          </cell>
          <cell r="D148" t="str">
            <v>TZ</v>
          </cell>
          <cell r="E148">
            <v>10</v>
          </cell>
          <cell r="F148">
            <v>1</v>
          </cell>
          <cell r="G148">
            <v>61</v>
          </cell>
        </row>
        <row r="149">
          <cell r="A149" t="str">
            <v>Psco_251</v>
          </cell>
          <cell r="B149">
            <v>148</v>
          </cell>
          <cell r="C149">
            <v>1</v>
          </cell>
          <cell r="D149" t="str">
            <v>MZ</v>
          </cell>
          <cell r="E149">
            <v>4</v>
          </cell>
          <cell r="F149">
            <v>0</v>
          </cell>
          <cell r="G149">
            <v>98</v>
          </cell>
        </row>
        <row r="150">
          <cell r="A150" t="str">
            <v>Psco_162</v>
          </cell>
          <cell r="B150">
            <v>149</v>
          </cell>
          <cell r="C150">
            <v>1</v>
          </cell>
          <cell r="D150" t="str">
            <v>TZ</v>
          </cell>
          <cell r="E150">
            <v>9</v>
          </cell>
          <cell r="F150">
            <v>1</v>
          </cell>
          <cell r="G150">
            <v>62</v>
          </cell>
        </row>
        <row r="151">
          <cell r="A151" t="str">
            <v>Psco_259</v>
          </cell>
          <cell r="B151">
            <v>150</v>
          </cell>
          <cell r="C151">
            <v>1</v>
          </cell>
          <cell r="D151" t="str">
            <v>TZ</v>
          </cell>
          <cell r="E151">
            <v>15</v>
          </cell>
          <cell r="F151">
            <v>1</v>
          </cell>
          <cell r="G151">
            <v>56</v>
          </cell>
        </row>
        <row r="152">
          <cell r="A152" t="str">
            <v>Psco_170</v>
          </cell>
          <cell r="B152">
            <v>151</v>
          </cell>
          <cell r="C152">
            <v>1</v>
          </cell>
          <cell r="D152" t="str">
            <v>TZ</v>
          </cell>
          <cell r="E152">
            <v>12</v>
          </cell>
          <cell r="F152">
            <v>0</v>
          </cell>
          <cell r="G152">
            <v>98</v>
          </cell>
        </row>
        <row r="153">
          <cell r="A153" t="str">
            <v>Psco_268</v>
          </cell>
          <cell r="B153">
            <v>152</v>
          </cell>
          <cell r="C153">
            <v>1</v>
          </cell>
          <cell r="D153" t="str">
            <v>MZ</v>
          </cell>
          <cell r="E153">
            <v>5</v>
          </cell>
          <cell r="F153">
            <v>1</v>
          </cell>
          <cell r="G153">
            <v>72</v>
          </cell>
        </row>
        <row r="154">
          <cell r="A154" t="str">
            <v>Psco_178</v>
          </cell>
          <cell r="B154">
            <v>153</v>
          </cell>
          <cell r="C154">
            <v>1</v>
          </cell>
          <cell r="D154" t="str">
            <v>TZ</v>
          </cell>
          <cell r="E154">
            <v>15</v>
          </cell>
          <cell r="F154">
            <v>0</v>
          </cell>
          <cell r="G154">
            <v>98</v>
          </cell>
        </row>
        <row r="155">
          <cell r="A155" t="str">
            <v>Psco_276</v>
          </cell>
          <cell r="B155">
            <v>154</v>
          </cell>
          <cell r="C155">
            <v>1</v>
          </cell>
          <cell r="D155" t="str">
            <v>MZ</v>
          </cell>
          <cell r="E155">
            <v>1</v>
          </cell>
          <cell r="F155">
            <v>1</v>
          </cell>
          <cell r="G155">
            <v>57</v>
          </cell>
        </row>
        <row r="156">
          <cell r="A156" t="str">
            <v>Psco_186</v>
          </cell>
          <cell r="B156">
            <v>155</v>
          </cell>
          <cell r="C156">
            <v>1</v>
          </cell>
          <cell r="D156" t="str">
            <v>MZ</v>
          </cell>
          <cell r="E156">
            <v>5</v>
          </cell>
          <cell r="F156">
            <v>1</v>
          </cell>
          <cell r="G156">
            <v>56</v>
          </cell>
        </row>
        <row r="157">
          <cell r="A157" t="str">
            <v>Psco_284</v>
          </cell>
          <cell r="B157">
            <v>156</v>
          </cell>
          <cell r="C157">
            <v>1</v>
          </cell>
          <cell r="D157" t="str">
            <v>MZ</v>
          </cell>
          <cell r="E157">
            <v>6</v>
          </cell>
          <cell r="F157">
            <v>1</v>
          </cell>
          <cell r="G157">
            <v>75</v>
          </cell>
        </row>
        <row r="158">
          <cell r="A158" t="str">
            <v>Psco_292</v>
          </cell>
          <cell r="B158">
            <v>157</v>
          </cell>
          <cell r="C158">
            <v>1</v>
          </cell>
          <cell r="D158" t="str">
            <v>TZ</v>
          </cell>
          <cell r="E158">
            <v>10</v>
          </cell>
          <cell r="F158">
            <v>0</v>
          </cell>
          <cell r="G158">
            <v>98</v>
          </cell>
        </row>
        <row r="159">
          <cell r="A159" t="str">
            <v>Psco_388</v>
          </cell>
          <cell r="B159">
            <v>158</v>
          </cell>
          <cell r="C159">
            <v>1</v>
          </cell>
          <cell r="D159" t="str">
            <v>MZ</v>
          </cell>
          <cell r="E159">
            <v>6</v>
          </cell>
          <cell r="F159">
            <v>1</v>
          </cell>
          <cell r="G159">
            <v>53</v>
          </cell>
        </row>
        <row r="160">
          <cell r="A160" t="str">
            <v>Psco_300</v>
          </cell>
          <cell r="B160">
            <v>159</v>
          </cell>
          <cell r="C160">
            <v>1</v>
          </cell>
          <cell r="D160" t="str">
            <v>TZ</v>
          </cell>
          <cell r="E160">
            <v>12</v>
          </cell>
          <cell r="F160">
            <v>1</v>
          </cell>
          <cell r="G160">
            <v>62</v>
          </cell>
        </row>
        <row r="161">
          <cell r="A161" t="str">
            <v>Psco_308</v>
          </cell>
          <cell r="B161">
            <v>160</v>
          </cell>
          <cell r="C161">
            <v>1</v>
          </cell>
          <cell r="D161" t="str">
            <v>MZ</v>
          </cell>
          <cell r="E161">
            <v>1</v>
          </cell>
          <cell r="F161">
            <v>0</v>
          </cell>
          <cell r="G161">
            <v>98</v>
          </cell>
        </row>
        <row r="162">
          <cell r="A162" t="str">
            <v>Psco_419</v>
          </cell>
          <cell r="B162">
            <v>161</v>
          </cell>
          <cell r="C162">
            <v>2</v>
          </cell>
          <cell r="D162" t="str">
            <v>MZ</v>
          </cell>
          <cell r="E162">
            <v>27</v>
          </cell>
          <cell r="F162">
            <v>1</v>
          </cell>
          <cell r="G162">
            <v>70</v>
          </cell>
        </row>
        <row r="163">
          <cell r="A163" t="str">
            <v>Psco_316</v>
          </cell>
          <cell r="B163">
            <v>162</v>
          </cell>
          <cell r="C163">
            <v>1</v>
          </cell>
          <cell r="D163" t="str">
            <v>MZ</v>
          </cell>
          <cell r="E163">
            <v>3</v>
          </cell>
          <cell r="F163">
            <v>1</v>
          </cell>
          <cell r="G163">
            <v>76</v>
          </cell>
        </row>
        <row r="164">
          <cell r="A164" t="str">
            <v>Psco_427</v>
          </cell>
          <cell r="B164">
            <v>163</v>
          </cell>
          <cell r="C164">
            <v>2</v>
          </cell>
          <cell r="D164" t="str">
            <v>TZ</v>
          </cell>
          <cell r="E164">
            <v>50</v>
          </cell>
          <cell r="F164">
            <v>1</v>
          </cell>
          <cell r="G164">
            <v>60</v>
          </cell>
        </row>
        <row r="165">
          <cell r="A165" t="str">
            <v>Psco_324</v>
          </cell>
          <cell r="B165">
            <v>164</v>
          </cell>
          <cell r="C165">
            <v>1</v>
          </cell>
          <cell r="D165" t="str">
            <v>MZ</v>
          </cell>
          <cell r="E165">
            <v>6</v>
          </cell>
          <cell r="F165">
            <v>1</v>
          </cell>
          <cell r="G165">
            <v>58</v>
          </cell>
        </row>
        <row r="166">
          <cell r="A166" t="str">
            <v>Psco_435</v>
          </cell>
          <cell r="B166">
            <v>165</v>
          </cell>
          <cell r="C166">
            <v>2</v>
          </cell>
          <cell r="D166" t="str">
            <v>TZ</v>
          </cell>
          <cell r="E166">
            <v>50</v>
          </cell>
          <cell r="F166">
            <v>0</v>
          </cell>
          <cell r="G166">
            <v>98</v>
          </cell>
        </row>
        <row r="167">
          <cell r="A167" t="str">
            <v>Psco_332</v>
          </cell>
          <cell r="B167">
            <v>166</v>
          </cell>
          <cell r="C167">
            <v>1</v>
          </cell>
          <cell r="D167" t="str">
            <v>MZ</v>
          </cell>
          <cell r="E167">
            <v>6</v>
          </cell>
          <cell r="F167">
            <v>1</v>
          </cell>
          <cell r="G167">
            <v>57</v>
          </cell>
        </row>
        <row r="168">
          <cell r="A168" t="str">
            <v>Psco_443</v>
          </cell>
          <cell r="B168">
            <v>167</v>
          </cell>
          <cell r="C168">
            <v>2</v>
          </cell>
          <cell r="D168" t="str">
            <v>MZ</v>
          </cell>
          <cell r="E168">
            <v>38</v>
          </cell>
          <cell r="F168">
            <v>1</v>
          </cell>
          <cell r="G168">
            <v>86</v>
          </cell>
        </row>
        <row r="169">
          <cell r="A169" t="str">
            <v>Psco_340</v>
          </cell>
          <cell r="B169">
            <v>168</v>
          </cell>
          <cell r="C169">
            <v>1</v>
          </cell>
          <cell r="D169" t="str">
            <v>TZ</v>
          </cell>
          <cell r="E169">
            <v>12</v>
          </cell>
          <cell r="F169">
            <v>1</v>
          </cell>
          <cell r="G169">
            <v>51</v>
          </cell>
        </row>
        <row r="170">
          <cell r="A170" t="str">
            <v>Psco_451</v>
          </cell>
          <cell r="B170">
            <v>169</v>
          </cell>
          <cell r="C170">
            <v>2</v>
          </cell>
          <cell r="D170" t="str">
            <v>MZ</v>
          </cell>
          <cell r="E170">
            <v>24</v>
          </cell>
          <cell r="F170">
            <v>1</v>
          </cell>
          <cell r="G170">
            <v>63</v>
          </cell>
        </row>
        <row r="171">
          <cell r="A171" t="str">
            <v>Psco_348</v>
          </cell>
          <cell r="B171">
            <v>170</v>
          </cell>
          <cell r="C171">
            <v>1</v>
          </cell>
          <cell r="D171" t="str">
            <v>MZ</v>
          </cell>
          <cell r="E171">
            <v>8</v>
          </cell>
          <cell r="F171">
            <v>0</v>
          </cell>
          <cell r="G171">
            <v>98</v>
          </cell>
        </row>
        <row r="172">
          <cell r="A172" t="str">
            <v>Psco_459</v>
          </cell>
          <cell r="B172">
            <v>171</v>
          </cell>
          <cell r="C172">
            <v>2</v>
          </cell>
          <cell r="D172" t="str">
            <v>TZ</v>
          </cell>
          <cell r="E172">
            <v>53</v>
          </cell>
          <cell r="F172">
            <v>1</v>
          </cell>
          <cell r="G172">
            <v>84</v>
          </cell>
        </row>
        <row r="173">
          <cell r="A173" t="str">
            <v>Psco_356</v>
          </cell>
          <cell r="B173">
            <v>172</v>
          </cell>
          <cell r="C173">
            <v>1</v>
          </cell>
          <cell r="D173" t="str">
            <v>TZ</v>
          </cell>
          <cell r="E173">
            <v>11</v>
          </cell>
          <cell r="F173">
            <v>0</v>
          </cell>
          <cell r="G173">
            <v>98</v>
          </cell>
        </row>
        <row r="174">
          <cell r="A174" t="str">
            <v>Psco_467</v>
          </cell>
          <cell r="B174">
            <v>173</v>
          </cell>
          <cell r="C174">
            <v>2</v>
          </cell>
          <cell r="D174" t="str">
            <v>MZ</v>
          </cell>
          <cell r="E174">
            <v>29</v>
          </cell>
          <cell r="F174">
            <v>0</v>
          </cell>
          <cell r="G174">
            <v>98</v>
          </cell>
        </row>
        <row r="175">
          <cell r="A175" t="str">
            <v>Psco_364</v>
          </cell>
          <cell r="B175">
            <v>174</v>
          </cell>
          <cell r="C175">
            <v>1</v>
          </cell>
          <cell r="D175" t="str">
            <v>TZ</v>
          </cell>
          <cell r="E175">
            <v>9</v>
          </cell>
          <cell r="F175">
            <v>1</v>
          </cell>
          <cell r="G175">
            <v>72</v>
          </cell>
        </row>
        <row r="176">
          <cell r="A176" t="str">
            <v>Psco_475</v>
          </cell>
          <cell r="B176">
            <v>175</v>
          </cell>
          <cell r="C176">
            <v>2</v>
          </cell>
          <cell r="D176" t="str">
            <v>MZ</v>
          </cell>
          <cell r="E176">
            <v>30</v>
          </cell>
          <cell r="F176">
            <v>1</v>
          </cell>
          <cell r="G176">
            <v>75</v>
          </cell>
        </row>
        <row r="177">
          <cell r="A177" t="str">
            <v>Psco_372</v>
          </cell>
          <cell r="B177">
            <v>176</v>
          </cell>
          <cell r="C177">
            <v>1</v>
          </cell>
          <cell r="D177" t="str">
            <v>MZ</v>
          </cell>
          <cell r="E177">
            <v>4</v>
          </cell>
          <cell r="F177">
            <v>0</v>
          </cell>
          <cell r="G177">
            <v>98</v>
          </cell>
        </row>
        <row r="178">
          <cell r="A178" t="str">
            <v>Psco_483</v>
          </cell>
          <cell r="B178">
            <v>177</v>
          </cell>
          <cell r="C178">
            <v>2</v>
          </cell>
          <cell r="D178" t="str">
            <v>TZ</v>
          </cell>
          <cell r="E178">
            <v>49</v>
          </cell>
          <cell r="F178">
            <v>0</v>
          </cell>
          <cell r="G178">
            <v>98</v>
          </cell>
        </row>
        <row r="179">
          <cell r="A179" t="str">
            <v>Psco_380</v>
          </cell>
          <cell r="B179">
            <v>178</v>
          </cell>
          <cell r="C179">
            <v>1</v>
          </cell>
          <cell r="D179" t="str">
            <v>TZ</v>
          </cell>
          <cell r="E179">
            <v>18</v>
          </cell>
          <cell r="F179">
            <v>1</v>
          </cell>
          <cell r="G179">
            <v>63</v>
          </cell>
        </row>
        <row r="180">
          <cell r="A180" t="str">
            <v>Psco_491</v>
          </cell>
          <cell r="B180">
            <v>179</v>
          </cell>
          <cell r="C180">
            <v>2</v>
          </cell>
          <cell r="D180" t="str">
            <v>MZ</v>
          </cell>
          <cell r="E180">
            <v>28</v>
          </cell>
          <cell r="F180">
            <v>0</v>
          </cell>
          <cell r="G180">
            <v>98</v>
          </cell>
        </row>
        <row r="181">
          <cell r="A181" t="str">
            <v>Psco_195</v>
          </cell>
          <cell r="B181">
            <v>180</v>
          </cell>
          <cell r="C181">
            <v>1</v>
          </cell>
          <cell r="D181" t="str">
            <v>TZ</v>
          </cell>
          <cell r="E181">
            <v>11</v>
          </cell>
          <cell r="F181">
            <v>1</v>
          </cell>
          <cell r="G181">
            <v>66</v>
          </cell>
        </row>
        <row r="182">
          <cell r="A182" t="str">
            <v>Psco_107</v>
          </cell>
          <cell r="B182">
            <v>181</v>
          </cell>
          <cell r="C182">
            <v>1</v>
          </cell>
          <cell r="D182" t="str">
            <v>MZ</v>
          </cell>
          <cell r="E182">
            <v>3</v>
          </cell>
          <cell r="F182">
            <v>1</v>
          </cell>
          <cell r="G182">
            <v>66</v>
          </cell>
        </row>
        <row r="183">
          <cell r="A183" t="str">
            <v>Psco_203</v>
          </cell>
          <cell r="B183">
            <v>182</v>
          </cell>
          <cell r="C183">
            <v>1</v>
          </cell>
          <cell r="D183" t="str">
            <v>TZ</v>
          </cell>
          <cell r="E183">
            <v>10</v>
          </cell>
          <cell r="F183">
            <v>1</v>
          </cell>
          <cell r="G183">
            <v>54</v>
          </cell>
        </row>
        <row r="184">
          <cell r="A184" t="str">
            <v>Psco_115</v>
          </cell>
          <cell r="B184">
            <v>183</v>
          </cell>
          <cell r="C184">
            <v>1</v>
          </cell>
          <cell r="D184" t="str">
            <v>MZ</v>
          </cell>
          <cell r="E184">
            <v>3</v>
          </cell>
          <cell r="F184">
            <v>1</v>
          </cell>
          <cell r="G184">
            <v>53</v>
          </cell>
        </row>
        <row r="185">
          <cell r="A185" t="str">
            <v>Psco_211</v>
          </cell>
          <cell r="B185">
            <v>184</v>
          </cell>
          <cell r="C185">
            <v>1</v>
          </cell>
          <cell r="D185" t="str">
            <v>MZ</v>
          </cell>
          <cell r="E185">
            <v>6</v>
          </cell>
          <cell r="F185">
            <v>1</v>
          </cell>
          <cell r="G185">
            <v>62</v>
          </cell>
        </row>
        <row r="186">
          <cell r="A186" t="str">
            <v>Psco_123</v>
          </cell>
          <cell r="B186">
            <v>185</v>
          </cell>
          <cell r="C186">
            <v>1</v>
          </cell>
          <cell r="D186" t="str">
            <v>TZ</v>
          </cell>
          <cell r="E186">
            <v>11</v>
          </cell>
          <cell r="F186">
            <v>1</v>
          </cell>
          <cell r="G186">
            <v>66</v>
          </cell>
        </row>
        <row r="187">
          <cell r="A187" t="str">
            <v>Psco_219</v>
          </cell>
          <cell r="B187">
            <v>186</v>
          </cell>
          <cell r="C187">
            <v>1</v>
          </cell>
          <cell r="D187" t="str">
            <v>MZ</v>
          </cell>
          <cell r="E187">
            <v>5</v>
          </cell>
          <cell r="F187">
            <v>1</v>
          </cell>
          <cell r="G187">
            <v>55</v>
          </cell>
        </row>
        <row r="188">
          <cell r="A188" t="str">
            <v>Psco_131</v>
          </cell>
          <cell r="B188">
            <v>187</v>
          </cell>
          <cell r="C188">
            <v>1</v>
          </cell>
          <cell r="D188" t="str">
            <v>TZ</v>
          </cell>
          <cell r="E188">
            <v>13</v>
          </cell>
          <cell r="F188">
            <v>1</v>
          </cell>
          <cell r="G188">
            <v>64</v>
          </cell>
        </row>
        <row r="189">
          <cell r="A189" t="str">
            <v>Psco_227</v>
          </cell>
          <cell r="B189">
            <v>188</v>
          </cell>
          <cell r="C189">
            <v>1</v>
          </cell>
          <cell r="D189" t="str">
            <v>TZ</v>
          </cell>
          <cell r="E189">
            <v>14</v>
          </cell>
          <cell r="F189">
            <v>1</v>
          </cell>
          <cell r="G189">
            <v>69</v>
          </cell>
        </row>
        <row r="190">
          <cell r="A190" t="str">
            <v>Psco_139</v>
          </cell>
          <cell r="B190">
            <v>189</v>
          </cell>
          <cell r="C190">
            <v>1</v>
          </cell>
          <cell r="D190" t="str">
            <v>TZ</v>
          </cell>
          <cell r="E190">
            <v>16</v>
          </cell>
          <cell r="F190">
            <v>1</v>
          </cell>
          <cell r="G190">
            <v>49</v>
          </cell>
        </row>
        <row r="191">
          <cell r="A191" t="str">
            <v>Psco_235</v>
          </cell>
          <cell r="B191">
            <v>190</v>
          </cell>
          <cell r="C191">
            <v>1</v>
          </cell>
          <cell r="D191" t="str">
            <v>MZ</v>
          </cell>
          <cell r="E191">
            <v>3</v>
          </cell>
          <cell r="F191">
            <v>1</v>
          </cell>
          <cell r="G191">
            <v>62</v>
          </cell>
        </row>
        <row r="192">
          <cell r="A192" t="str">
            <v>Psco_147</v>
          </cell>
          <cell r="B192">
            <v>191</v>
          </cell>
          <cell r="C192">
            <v>1</v>
          </cell>
          <cell r="D192" t="str">
            <v>MZ</v>
          </cell>
          <cell r="E192">
            <v>6</v>
          </cell>
          <cell r="F192">
            <v>1</v>
          </cell>
          <cell r="G192">
            <v>56</v>
          </cell>
        </row>
        <row r="193">
          <cell r="A193" t="str">
            <v>Psco_243</v>
          </cell>
          <cell r="B193">
            <v>192</v>
          </cell>
          <cell r="C193">
            <v>1</v>
          </cell>
          <cell r="D193" t="str">
            <v>MZ</v>
          </cell>
          <cell r="E193">
            <v>8</v>
          </cell>
          <cell r="F193">
            <v>0</v>
          </cell>
          <cell r="G193">
            <v>98</v>
          </cell>
        </row>
        <row r="194">
          <cell r="A194" t="str">
            <v>Psco_155</v>
          </cell>
          <cell r="B194">
            <v>193</v>
          </cell>
          <cell r="C194">
            <v>1</v>
          </cell>
          <cell r="D194" t="str">
            <v>MZ</v>
          </cell>
          <cell r="E194">
            <v>6</v>
          </cell>
          <cell r="F194">
            <v>0</v>
          </cell>
          <cell r="G194">
            <v>98</v>
          </cell>
        </row>
        <row r="195">
          <cell r="A195" t="str">
            <v>Psco_252</v>
          </cell>
          <cell r="B195">
            <v>194</v>
          </cell>
          <cell r="C195">
            <v>1</v>
          </cell>
          <cell r="D195" t="str">
            <v>MZ</v>
          </cell>
          <cell r="E195">
            <v>4</v>
          </cell>
          <cell r="F195">
            <v>1</v>
          </cell>
          <cell r="G195">
            <v>61</v>
          </cell>
        </row>
        <row r="196">
          <cell r="A196" t="str">
            <v>Psco_163</v>
          </cell>
          <cell r="B196">
            <v>195</v>
          </cell>
          <cell r="C196">
            <v>1</v>
          </cell>
          <cell r="D196" t="str">
            <v>TZ</v>
          </cell>
          <cell r="E196">
            <v>16</v>
          </cell>
          <cell r="F196">
            <v>1</v>
          </cell>
          <cell r="G196">
            <v>76</v>
          </cell>
        </row>
        <row r="197">
          <cell r="A197" t="str">
            <v>Psco_261</v>
          </cell>
          <cell r="B197">
            <v>196</v>
          </cell>
          <cell r="C197">
            <v>1</v>
          </cell>
          <cell r="D197" t="str">
            <v>MZ</v>
          </cell>
          <cell r="E197">
            <v>5</v>
          </cell>
          <cell r="F197">
            <v>1</v>
          </cell>
          <cell r="G197">
            <v>55</v>
          </cell>
        </row>
        <row r="198">
          <cell r="A198" t="str">
            <v>Psco_171</v>
          </cell>
          <cell r="B198">
            <v>197</v>
          </cell>
          <cell r="C198">
            <v>1</v>
          </cell>
          <cell r="D198" t="str">
            <v>MZ</v>
          </cell>
          <cell r="E198">
            <v>6</v>
          </cell>
          <cell r="F198">
            <v>0</v>
          </cell>
          <cell r="G198">
            <v>98</v>
          </cell>
        </row>
        <row r="199">
          <cell r="A199" t="str">
            <v>Psco_269</v>
          </cell>
          <cell r="B199">
            <v>198</v>
          </cell>
          <cell r="C199">
            <v>1</v>
          </cell>
          <cell r="D199" t="str">
            <v>TZ</v>
          </cell>
          <cell r="E199">
            <v>19</v>
          </cell>
          <cell r="F199">
            <v>1</v>
          </cell>
          <cell r="G199">
            <v>51</v>
          </cell>
        </row>
        <row r="200">
          <cell r="A200" t="str">
            <v>Psco_179</v>
          </cell>
          <cell r="B200">
            <v>199</v>
          </cell>
          <cell r="C200">
            <v>1</v>
          </cell>
          <cell r="D200" t="str">
            <v>MZ</v>
          </cell>
          <cell r="E200">
            <v>3</v>
          </cell>
          <cell r="F200">
            <v>0</v>
          </cell>
          <cell r="G200">
            <v>98</v>
          </cell>
        </row>
        <row r="201">
          <cell r="A201" t="str">
            <v>Psco_277</v>
          </cell>
          <cell r="B201">
            <v>200</v>
          </cell>
          <cell r="C201">
            <v>1</v>
          </cell>
          <cell r="D201" t="str">
            <v>TZ</v>
          </cell>
          <cell r="E201">
            <v>13</v>
          </cell>
          <cell r="F201">
            <v>1</v>
          </cell>
          <cell r="G201">
            <v>50</v>
          </cell>
        </row>
        <row r="202">
          <cell r="A202" t="str">
            <v>Psco_187</v>
          </cell>
          <cell r="B202">
            <v>201</v>
          </cell>
          <cell r="C202">
            <v>1</v>
          </cell>
          <cell r="D202" t="str">
            <v>TZ</v>
          </cell>
          <cell r="E202">
            <v>18</v>
          </cell>
          <cell r="F202">
            <v>1</v>
          </cell>
          <cell r="G202">
            <v>65</v>
          </cell>
        </row>
        <row r="203">
          <cell r="A203" t="str">
            <v>Psco_285</v>
          </cell>
          <cell r="B203">
            <v>202</v>
          </cell>
          <cell r="C203">
            <v>1</v>
          </cell>
          <cell r="D203" t="str">
            <v>TZ</v>
          </cell>
          <cell r="E203">
            <v>11</v>
          </cell>
          <cell r="F203">
            <v>1</v>
          </cell>
          <cell r="G203">
            <v>65</v>
          </cell>
        </row>
        <row r="204">
          <cell r="A204" t="str">
            <v>Psco_293</v>
          </cell>
          <cell r="B204">
            <v>203</v>
          </cell>
          <cell r="C204">
            <v>1</v>
          </cell>
          <cell r="D204" t="str">
            <v>MZ</v>
          </cell>
          <cell r="E204">
            <v>8</v>
          </cell>
          <cell r="F204">
            <v>1</v>
          </cell>
          <cell r="G204">
            <v>76</v>
          </cell>
        </row>
        <row r="205">
          <cell r="A205" t="str">
            <v>Psco_389</v>
          </cell>
          <cell r="B205">
            <v>204</v>
          </cell>
          <cell r="C205">
            <v>1</v>
          </cell>
          <cell r="D205" t="str">
            <v>TZ</v>
          </cell>
          <cell r="E205">
            <v>17</v>
          </cell>
          <cell r="F205">
            <v>1</v>
          </cell>
          <cell r="G205">
            <v>43</v>
          </cell>
        </row>
        <row r="206">
          <cell r="A206" t="str">
            <v>Psco_301</v>
          </cell>
          <cell r="B206">
            <v>205</v>
          </cell>
          <cell r="C206">
            <v>1</v>
          </cell>
          <cell r="D206" t="str">
            <v>TZ</v>
          </cell>
          <cell r="E206">
            <v>11</v>
          </cell>
          <cell r="F206">
            <v>1</v>
          </cell>
          <cell r="G206">
            <v>65</v>
          </cell>
        </row>
        <row r="207">
          <cell r="A207" t="str">
            <v>Psco_412</v>
          </cell>
          <cell r="B207">
            <v>206</v>
          </cell>
          <cell r="C207">
            <v>2</v>
          </cell>
          <cell r="D207" t="str">
            <v>MZ</v>
          </cell>
          <cell r="E207">
            <v>36</v>
          </cell>
          <cell r="F207">
            <v>1</v>
          </cell>
          <cell r="G207">
            <v>58</v>
          </cell>
        </row>
        <row r="208">
          <cell r="A208" t="str">
            <v>Psco_309</v>
          </cell>
          <cell r="B208">
            <v>207</v>
          </cell>
          <cell r="C208">
            <v>1</v>
          </cell>
          <cell r="D208" t="str">
            <v>MZ</v>
          </cell>
          <cell r="E208">
            <v>3</v>
          </cell>
          <cell r="F208">
            <v>1</v>
          </cell>
          <cell r="G208">
            <v>65</v>
          </cell>
        </row>
        <row r="209">
          <cell r="A209" t="str">
            <v>Psco_420</v>
          </cell>
          <cell r="B209">
            <v>208</v>
          </cell>
          <cell r="C209">
            <v>2</v>
          </cell>
          <cell r="D209" t="str">
            <v>TZ</v>
          </cell>
          <cell r="E209">
            <v>52</v>
          </cell>
          <cell r="F209">
            <v>1</v>
          </cell>
          <cell r="G209">
            <v>57</v>
          </cell>
        </row>
        <row r="210">
          <cell r="A210" t="str">
            <v>Psco_317</v>
          </cell>
          <cell r="B210">
            <v>209</v>
          </cell>
          <cell r="C210">
            <v>1</v>
          </cell>
          <cell r="D210" t="str">
            <v>MZ</v>
          </cell>
          <cell r="E210">
            <v>2</v>
          </cell>
          <cell r="F210">
            <v>0</v>
          </cell>
          <cell r="G210">
            <v>98</v>
          </cell>
        </row>
        <row r="211">
          <cell r="A211" t="str">
            <v>Psco_428</v>
          </cell>
          <cell r="B211">
            <v>210</v>
          </cell>
          <cell r="C211">
            <v>2</v>
          </cell>
          <cell r="D211" t="str">
            <v>TZ</v>
          </cell>
          <cell r="E211">
            <v>50</v>
          </cell>
          <cell r="F211">
            <v>1</v>
          </cell>
          <cell r="G211">
            <v>74</v>
          </cell>
        </row>
        <row r="212">
          <cell r="A212" t="str">
            <v>Psco_325</v>
          </cell>
          <cell r="B212">
            <v>211</v>
          </cell>
          <cell r="C212">
            <v>1</v>
          </cell>
          <cell r="D212" t="str">
            <v>TZ</v>
          </cell>
          <cell r="E212">
            <v>9</v>
          </cell>
          <cell r="F212">
            <v>1</v>
          </cell>
          <cell r="G212">
            <v>56</v>
          </cell>
        </row>
        <row r="213">
          <cell r="A213" t="str">
            <v>Psco_436</v>
          </cell>
          <cell r="B213">
            <v>212</v>
          </cell>
          <cell r="C213">
            <v>2</v>
          </cell>
          <cell r="D213" t="str">
            <v>TZ</v>
          </cell>
          <cell r="E213">
            <v>50</v>
          </cell>
          <cell r="F213">
            <v>1</v>
          </cell>
          <cell r="G213">
            <v>59</v>
          </cell>
        </row>
        <row r="214">
          <cell r="A214" t="str">
            <v>Psco_333</v>
          </cell>
          <cell r="B214">
            <v>213</v>
          </cell>
          <cell r="C214">
            <v>1</v>
          </cell>
          <cell r="D214" t="str">
            <v>MZ</v>
          </cell>
          <cell r="E214">
            <v>5</v>
          </cell>
          <cell r="F214">
            <v>1</v>
          </cell>
          <cell r="G214">
            <v>65</v>
          </cell>
        </row>
        <row r="215">
          <cell r="A215" t="str">
            <v>Psco_444</v>
          </cell>
          <cell r="B215">
            <v>214</v>
          </cell>
          <cell r="C215">
            <v>2</v>
          </cell>
          <cell r="D215" t="str">
            <v>TZ</v>
          </cell>
          <cell r="E215">
            <v>54</v>
          </cell>
          <cell r="F215">
            <v>1</v>
          </cell>
          <cell r="G215">
            <v>70</v>
          </cell>
        </row>
        <row r="216">
          <cell r="A216" t="str">
            <v>Psco_341</v>
          </cell>
          <cell r="B216">
            <v>215</v>
          </cell>
          <cell r="C216">
            <v>1</v>
          </cell>
          <cell r="D216" t="str">
            <v>MZ</v>
          </cell>
          <cell r="E216">
            <v>7</v>
          </cell>
          <cell r="F216">
            <v>0</v>
          </cell>
          <cell r="G216">
            <v>98</v>
          </cell>
        </row>
        <row r="217">
          <cell r="A217" t="str">
            <v>Psco_452</v>
          </cell>
          <cell r="B217">
            <v>216</v>
          </cell>
          <cell r="C217">
            <v>2</v>
          </cell>
          <cell r="D217" t="str">
            <v>TZ</v>
          </cell>
          <cell r="E217">
            <v>44</v>
          </cell>
          <cell r="F217">
            <v>1</v>
          </cell>
          <cell r="G217">
            <v>62</v>
          </cell>
        </row>
        <row r="218">
          <cell r="A218" t="str">
            <v>Psco_349</v>
          </cell>
          <cell r="B218">
            <v>217</v>
          </cell>
          <cell r="C218">
            <v>1</v>
          </cell>
          <cell r="D218" t="str">
            <v>TZ</v>
          </cell>
          <cell r="E218">
            <v>12</v>
          </cell>
          <cell r="F218">
            <v>1</v>
          </cell>
          <cell r="G218">
            <v>63</v>
          </cell>
        </row>
        <row r="219">
          <cell r="A219" t="str">
            <v>Psco_460</v>
          </cell>
          <cell r="B219">
            <v>218</v>
          </cell>
          <cell r="C219">
            <v>2</v>
          </cell>
          <cell r="D219" t="str">
            <v>TZ</v>
          </cell>
          <cell r="E219">
            <v>49</v>
          </cell>
          <cell r="F219">
            <v>1</v>
          </cell>
          <cell r="G219">
            <v>54</v>
          </cell>
        </row>
        <row r="220">
          <cell r="A220" t="str">
            <v>Psco_357</v>
          </cell>
          <cell r="B220">
            <v>219</v>
          </cell>
          <cell r="C220">
            <v>1</v>
          </cell>
          <cell r="D220" t="str">
            <v>MZ</v>
          </cell>
          <cell r="E220">
            <v>1</v>
          </cell>
          <cell r="F220">
            <v>0</v>
          </cell>
          <cell r="G220">
            <v>98</v>
          </cell>
        </row>
        <row r="221">
          <cell r="A221" t="str">
            <v>Psco_468</v>
          </cell>
          <cell r="B221">
            <v>220</v>
          </cell>
          <cell r="C221">
            <v>2</v>
          </cell>
          <cell r="D221" t="str">
            <v>TZ</v>
          </cell>
          <cell r="E221">
            <v>50</v>
          </cell>
          <cell r="F221">
            <v>0</v>
          </cell>
          <cell r="G221">
            <v>98</v>
          </cell>
        </row>
        <row r="222">
          <cell r="A222" t="str">
            <v>Psco_365</v>
          </cell>
          <cell r="B222">
            <v>221</v>
          </cell>
          <cell r="C222">
            <v>1</v>
          </cell>
          <cell r="D222" t="str">
            <v>TZ</v>
          </cell>
          <cell r="E222">
            <v>11</v>
          </cell>
          <cell r="F222">
            <v>0</v>
          </cell>
          <cell r="G222">
            <v>98</v>
          </cell>
        </row>
        <row r="223">
          <cell r="A223" t="str">
            <v>Psco_476</v>
          </cell>
          <cell r="B223">
            <v>222</v>
          </cell>
          <cell r="C223">
            <v>2</v>
          </cell>
          <cell r="D223" t="str">
            <v>TZ</v>
          </cell>
          <cell r="E223">
            <v>46</v>
          </cell>
          <cell r="F223">
            <v>1</v>
          </cell>
          <cell r="G223">
            <v>70</v>
          </cell>
        </row>
        <row r="224">
          <cell r="A224" t="str">
            <v>Psco_373</v>
          </cell>
          <cell r="B224">
            <v>223</v>
          </cell>
          <cell r="C224">
            <v>1</v>
          </cell>
          <cell r="D224" t="str">
            <v>MZ</v>
          </cell>
          <cell r="E224">
            <v>1</v>
          </cell>
          <cell r="F224">
            <v>0</v>
          </cell>
          <cell r="G224">
            <v>98</v>
          </cell>
        </row>
        <row r="225">
          <cell r="A225" t="str">
            <v>Psco_484</v>
          </cell>
          <cell r="B225">
            <v>224</v>
          </cell>
          <cell r="C225">
            <v>2</v>
          </cell>
          <cell r="D225" t="str">
            <v>MZ</v>
          </cell>
          <cell r="E225">
            <v>31</v>
          </cell>
          <cell r="F225">
            <v>0</v>
          </cell>
          <cell r="G225">
            <v>98</v>
          </cell>
        </row>
        <row r="226">
          <cell r="A226" t="str">
            <v>Psco_381</v>
          </cell>
          <cell r="B226">
            <v>225</v>
          </cell>
          <cell r="C226">
            <v>1</v>
          </cell>
          <cell r="D226" t="str">
            <v>MZ</v>
          </cell>
          <cell r="E226">
            <v>6</v>
          </cell>
          <cell r="F226">
            <v>1</v>
          </cell>
          <cell r="G226">
            <v>64</v>
          </cell>
        </row>
        <row r="227">
          <cell r="A227" t="str">
            <v>Psco_492</v>
          </cell>
          <cell r="B227">
            <v>226</v>
          </cell>
          <cell r="C227">
            <v>2</v>
          </cell>
          <cell r="D227" t="str">
            <v>MZ</v>
          </cell>
          <cell r="E227">
            <v>25</v>
          </cell>
          <cell r="F227">
            <v>0</v>
          </cell>
          <cell r="G227">
            <v>98</v>
          </cell>
        </row>
        <row r="228">
          <cell r="A228" t="str">
            <v>Psco_196</v>
          </cell>
          <cell r="B228">
            <v>227</v>
          </cell>
          <cell r="C228">
            <v>1</v>
          </cell>
          <cell r="D228" t="str">
            <v>MZ</v>
          </cell>
          <cell r="E228">
            <v>8</v>
          </cell>
          <cell r="F228">
            <v>0</v>
          </cell>
          <cell r="G228">
            <v>98</v>
          </cell>
        </row>
        <row r="229">
          <cell r="A229" t="str">
            <v>Psco_108</v>
          </cell>
          <cell r="B229">
            <v>228</v>
          </cell>
          <cell r="C229">
            <v>1</v>
          </cell>
          <cell r="D229" t="str">
            <v>MZ</v>
          </cell>
          <cell r="E229">
            <v>4</v>
          </cell>
          <cell r="F229">
            <v>1</v>
          </cell>
          <cell r="G229">
            <v>80</v>
          </cell>
        </row>
        <row r="230">
          <cell r="A230" t="str">
            <v>Psco_204</v>
          </cell>
          <cell r="B230">
            <v>229</v>
          </cell>
          <cell r="C230">
            <v>1</v>
          </cell>
          <cell r="D230" t="str">
            <v>TZ</v>
          </cell>
          <cell r="E230">
            <v>15</v>
          </cell>
          <cell r="F230">
            <v>1</v>
          </cell>
          <cell r="G230">
            <v>58</v>
          </cell>
        </row>
        <row r="231">
          <cell r="A231" t="str">
            <v>Psco_116</v>
          </cell>
          <cell r="B231">
            <v>230</v>
          </cell>
          <cell r="C231">
            <v>1</v>
          </cell>
          <cell r="D231" t="str">
            <v>TZ</v>
          </cell>
          <cell r="E231">
            <v>13</v>
          </cell>
          <cell r="F231">
            <v>0</v>
          </cell>
          <cell r="G231">
            <v>98</v>
          </cell>
        </row>
        <row r="232">
          <cell r="A232" t="str">
            <v>Psco_212</v>
          </cell>
          <cell r="B232">
            <v>231</v>
          </cell>
          <cell r="C232">
            <v>1</v>
          </cell>
          <cell r="D232" t="str">
            <v>TZ</v>
          </cell>
          <cell r="E232">
            <v>11</v>
          </cell>
          <cell r="F232">
            <v>0</v>
          </cell>
          <cell r="G232">
            <v>98</v>
          </cell>
        </row>
        <row r="233">
          <cell r="A233" t="str">
            <v>Psco_124</v>
          </cell>
          <cell r="B233">
            <v>232</v>
          </cell>
          <cell r="C233">
            <v>1</v>
          </cell>
          <cell r="D233" t="str">
            <v>MZ</v>
          </cell>
          <cell r="E233">
            <v>2</v>
          </cell>
          <cell r="F233">
            <v>1</v>
          </cell>
          <cell r="G233">
            <v>63</v>
          </cell>
        </row>
        <row r="234">
          <cell r="A234" t="str">
            <v>Psco_132</v>
          </cell>
          <cell r="B234">
            <v>233</v>
          </cell>
          <cell r="C234">
            <v>1</v>
          </cell>
          <cell r="D234" t="str">
            <v>TZ</v>
          </cell>
          <cell r="E234">
            <v>14</v>
          </cell>
          <cell r="F234">
            <v>1</v>
          </cell>
          <cell r="G234">
            <v>84</v>
          </cell>
        </row>
        <row r="235">
          <cell r="A235" t="str">
            <v>Psco_228</v>
          </cell>
          <cell r="B235">
            <v>234</v>
          </cell>
          <cell r="C235">
            <v>1</v>
          </cell>
          <cell r="D235" t="str">
            <v>TZ</v>
          </cell>
          <cell r="E235">
            <v>17</v>
          </cell>
          <cell r="F235">
            <v>0</v>
          </cell>
          <cell r="G235">
            <v>98</v>
          </cell>
        </row>
        <row r="236">
          <cell r="A236" t="str">
            <v>Psco_140</v>
          </cell>
          <cell r="B236">
            <v>235</v>
          </cell>
          <cell r="C236">
            <v>1</v>
          </cell>
          <cell r="D236" t="str">
            <v>TZ</v>
          </cell>
          <cell r="E236">
            <v>19</v>
          </cell>
          <cell r="F236">
            <v>1</v>
          </cell>
          <cell r="G236">
            <v>61</v>
          </cell>
        </row>
        <row r="237">
          <cell r="A237" t="str">
            <v>Psco_236</v>
          </cell>
          <cell r="B237">
            <v>236</v>
          </cell>
          <cell r="C237">
            <v>1</v>
          </cell>
          <cell r="D237" t="str">
            <v>TZ</v>
          </cell>
          <cell r="E237">
            <v>14</v>
          </cell>
          <cell r="F237">
            <v>1</v>
          </cell>
          <cell r="G237">
            <v>72</v>
          </cell>
        </row>
        <row r="238">
          <cell r="A238" t="str">
            <v>Psco_148</v>
          </cell>
          <cell r="B238">
            <v>237</v>
          </cell>
          <cell r="C238">
            <v>1</v>
          </cell>
          <cell r="D238" t="str">
            <v>TZ</v>
          </cell>
          <cell r="E238">
            <v>10</v>
          </cell>
          <cell r="F238">
            <v>1</v>
          </cell>
          <cell r="G238">
            <v>79</v>
          </cell>
        </row>
        <row r="239">
          <cell r="A239" t="str">
            <v>Psco_156</v>
          </cell>
          <cell r="B239">
            <v>238</v>
          </cell>
          <cell r="C239">
            <v>1</v>
          </cell>
          <cell r="D239" t="str">
            <v>TZ</v>
          </cell>
          <cell r="E239">
            <v>17</v>
          </cell>
          <cell r="F239">
            <v>1</v>
          </cell>
          <cell r="G239">
            <v>63</v>
          </cell>
        </row>
        <row r="240">
          <cell r="A240" t="str">
            <v>Psco_253</v>
          </cell>
          <cell r="B240">
            <v>239</v>
          </cell>
          <cell r="C240">
            <v>1</v>
          </cell>
          <cell r="D240" t="str">
            <v>MZ</v>
          </cell>
          <cell r="E240">
            <v>2</v>
          </cell>
          <cell r="F240">
            <v>1</v>
          </cell>
          <cell r="G240">
            <v>53</v>
          </cell>
        </row>
        <row r="241">
          <cell r="A241" t="str">
            <v>Psco_164</v>
          </cell>
          <cell r="B241">
            <v>240</v>
          </cell>
          <cell r="C241">
            <v>1</v>
          </cell>
          <cell r="D241" t="str">
            <v>MZ</v>
          </cell>
          <cell r="E241">
            <v>6</v>
          </cell>
          <cell r="F241">
            <v>0</v>
          </cell>
          <cell r="G241">
            <v>98</v>
          </cell>
        </row>
        <row r="242">
          <cell r="A242" t="str">
            <v>Psco_262</v>
          </cell>
          <cell r="B242">
            <v>241</v>
          </cell>
          <cell r="C242">
            <v>1</v>
          </cell>
          <cell r="D242" t="str">
            <v>TZ</v>
          </cell>
          <cell r="E242">
            <v>19</v>
          </cell>
          <cell r="F242">
            <v>1</v>
          </cell>
          <cell r="G242">
            <v>71</v>
          </cell>
        </row>
        <row r="243">
          <cell r="A243" t="str">
            <v>Psco_172</v>
          </cell>
          <cell r="B243">
            <v>242</v>
          </cell>
          <cell r="C243">
            <v>1</v>
          </cell>
          <cell r="D243" t="str">
            <v>TZ</v>
          </cell>
          <cell r="E243">
            <v>12</v>
          </cell>
          <cell r="F243">
            <v>1</v>
          </cell>
          <cell r="G243">
            <v>69</v>
          </cell>
        </row>
        <row r="244">
          <cell r="A244" t="str">
            <v>Psco_270</v>
          </cell>
          <cell r="B244">
            <v>243</v>
          </cell>
          <cell r="C244">
            <v>1</v>
          </cell>
          <cell r="D244" t="str">
            <v>MZ</v>
          </cell>
          <cell r="E244">
            <v>2</v>
          </cell>
          <cell r="F244">
            <v>0</v>
          </cell>
          <cell r="G244">
            <v>98</v>
          </cell>
        </row>
        <row r="245">
          <cell r="A245" t="str">
            <v>Psco_180</v>
          </cell>
          <cell r="B245">
            <v>244</v>
          </cell>
          <cell r="C245">
            <v>1</v>
          </cell>
          <cell r="D245" t="str">
            <v>MZ</v>
          </cell>
          <cell r="E245">
            <v>5</v>
          </cell>
          <cell r="F245">
            <v>0</v>
          </cell>
          <cell r="G245">
            <v>98</v>
          </cell>
        </row>
        <row r="246">
          <cell r="A246" t="str">
            <v>Psco_278</v>
          </cell>
          <cell r="B246">
            <v>245</v>
          </cell>
          <cell r="C246">
            <v>1</v>
          </cell>
          <cell r="D246" t="str">
            <v>TZ</v>
          </cell>
          <cell r="E246">
            <v>18</v>
          </cell>
          <cell r="F246">
            <v>1</v>
          </cell>
          <cell r="G246">
            <v>63</v>
          </cell>
        </row>
        <row r="247">
          <cell r="A247" t="str">
            <v>Psco_188</v>
          </cell>
          <cell r="B247">
            <v>246</v>
          </cell>
          <cell r="C247">
            <v>1</v>
          </cell>
          <cell r="D247" t="str">
            <v>MZ</v>
          </cell>
          <cell r="E247">
            <v>6</v>
          </cell>
          <cell r="F247">
            <v>1</v>
          </cell>
          <cell r="G247">
            <v>60</v>
          </cell>
        </row>
        <row r="248">
          <cell r="A248" t="str">
            <v>Psco_286</v>
          </cell>
          <cell r="B248">
            <v>247</v>
          </cell>
          <cell r="C248">
            <v>1</v>
          </cell>
          <cell r="D248" t="str">
            <v>MZ</v>
          </cell>
          <cell r="E248">
            <v>1</v>
          </cell>
          <cell r="F248">
            <v>0</v>
          </cell>
          <cell r="G248">
            <v>98</v>
          </cell>
        </row>
        <row r="249">
          <cell r="A249" t="str">
            <v>Psco_294</v>
          </cell>
          <cell r="B249">
            <v>248</v>
          </cell>
          <cell r="C249">
            <v>1</v>
          </cell>
          <cell r="D249" t="str">
            <v>TZ</v>
          </cell>
          <cell r="E249">
            <v>10</v>
          </cell>
          <cell r="F249">
            <v>0</v>
          </cell>
          <cell r="G249">
            <v>98</v>
          </cell>
        </row>
        <row r="250">
          <cell r="A250" t="str">
            <v>Psco_390</v>
          </cell>
          <cell r="B250">
            <v>249</v>
          </cell>
          <cell r="C250">
            <v>1</v>
          </cell>
          <cell r="D250" t="str">
            <v>TZ</v>
          </cell>
          <cell r="E250">
            <v>10</v>
          </cell>
          <cell r="F250">
            <v>1</v>
          </cell>
          <cell r="G250">
            <v>56</v>
          </cell>
        </row>
        <row r="251">
          <cell r="A251" t="str">
            <v>Psco_302</v>
          </cell>
          <cell r="B251">
            <v>250</v>
          </cell>
          <cell r="C251">
            <v>1</v>
          </cell>
          <cell r="D251" t="str">
            <v>TZ</v>
          </cell>
          <cell r="E251">
            <v>16</v>
          </cell>
          <cell r="F251">
            <v>1</v>
          </cell>
          <cell r="G251">
            <v>64</v>
          </cell>
        </row>
        <row r="252">
          <cell r="A252" t="str">
            <v>Psco_413</v>
          </cell>
          <cell r="B252">
            <v>251</v>
          </cell>
          <cell r="C252">
            <v>2</v>
          </cell>
          <cell r="D252" t="str">
            <v>MZ</v>
          </cell>
          <cell r="E252">
            <v>34</v>
          </cell>
          <cell r="F252">
            <v>1</v>
          </cell>
          <cell r="G252">
            <v>47</v>
          </cell>
        </row>
        <row r="253">
          <cell r="A253" t="str">
            <v>Psco_310</v>
          </cell>
          <cell r="B253">
            <v>252</v>
          </cell>
          <cell r="C253">
            <v>1</v>
          </cell>
          <cell r="D253" t="str">
            <v>MZ</v>
          </cell>
          <cell r="E253">
            <v>1</v>
          </cell>
          <cell r="F253">
            <v>1</v>
          </cell>
          <cell r="G253">
            <v>63</v>
          </cell>
        </row>
        <row r="254">
          <cell r="A254" t="str">
            <v>Psco_421</v>
          </cell>
          <cell r="B254">
            <v>253</v>
          </cell>
          <cell r="C254">
            <v>2</v>
          </cell>
          <cell r="D254" t="str">
            <v>MZ</v>
          </cell>
          <cell r="E254">
            <v>22</v>
          </cell>
          <cell r="F254">
            <v>0</v>
          </cell>
          <cell r="G254">
            <v>98</v>
          </cell>
        </row>
        <row r="255">
          <cell r="A255" t="str">
            <v>Psco_318</v>
          </cell>
          <cell r="B255">
            <v>254</v>
          </cell>
          <cell r="C255">
            <v>1</v>
          </cell>
          <cell r="D255" t="str">
            <v>TZ</v>
          </cell>
          <cell r="E255">
            <v>11</v>
          </cell>
          <cell r="F255">
            <v>1</v>
          </cell>
          <cell r="G255">
            <v>51</v>
          </cell>
        </row>
        <row r="256">
          <cell r="A256" t="str">
            <v>Psco_429</v>
          </cell>
          <cell r="B256">
            <v>255</v>
          </cell>
          <cell r="C256">
            <v>2</v>
          </cell>
          <cell r="D256" t="str">
            <v>TZ</v>
          </cell>
          <cell r="E256">
            <v>50</v>
          </cell>
          <cell r="F256">
            <v>1</v>
          </cell>
          <cell r="G256">
            <v>79</v>
          </cell>
        </row>
        <row r="257">
          <cell r="A257" t="str">
            <v>Psco_326</v>
          </cell>
          <cell r="B257">
            <v>256</v>
          </cell>
          <cell r="C257">
            <v>1</v>
          </cell>
          <cell r="D257" t="str">
            <v>MZ</v>
          </cell>
          <cell r="E257">
            <v>2</v>
          </cell>
          <cell r="F257">
            <v>1</v>
          </cell>
          <cell r="G257">
            <v>62</v>
          </cell>
        </row>
        <row r="258">
          <cell r="A258" t="str">
            <v>Psco_437</v>
          </cell>
          <cell r="B258">
            <v>257</v>
          </cell>
          <cell r="C258">
            <v>2</v>
          </cell>
          <cell r="D258" t="str">
            <v>TZ</v>
          </cell>
          <cell r="E258">
            <v>50</v>
          </cell>
          <cell r="F258">
            <v>1</v>
          </cell>
          <cell r="G258">
            <v>62</v>
          </cell>
        </row>
        <row r="259">
          <cell r="A259" t="str">
            <v>Psco_334</v>
          </cell>
          <cell r="B259">
            <v>258</v>
          </cell>
          <cell r="C259">
            <v>1</v>
          </cell>
          <cell r="D259" t="str">
            <v>TZ</v>
          </cell>
          <cell r="E259">
            <v>17</v>
          </cell>
          <cell r="F259">
            <v>1</v>
          </cell>
          <cell r="G259">
            <v>67</v>
          </cell>
        </row>
        <row r="260">
          <cell r="A260" t="str">
            <v>Psco_445</v>
          </cell>
          <cell r="B260">
            <v>259</v>
          </cell>
          <cell r="C260">
            <v>2</v>
          </cell>
          <cell r="D260" t="str">
            <v>MZ</v>
          </cell>
          <cell r="E260">
            <v>24</v>
          </cell>
          <cell r="F260">
            <v>1</v>
          </cell>
          <cell r="G260">
            <v>84</v>
          </cell>
        </row>
        <row r="261">
          <cell r="A261" t="str">
            <v>Psco_342</v>
          </cell>
          <cell r="B261">
            <v>260</v>
          </cell>
          <cell r="C261">
            <v>1</v>
          </cell>
          <cell r="D261" t="str">
            <v>TZ</v>
          </cell>
          <cell r="E261">
            <v>11</v>
          </cell>
          <cell r="F261">
            <v>1</v>
          </cell>
          <cell r="G261">
            <v>59</v>
          </cell>
        </row>
        <row r="262">
          <cell r="A262" t="str">
            <v>Psco_453</v>
          </cell>
          <cell r="B262">
            <v>261</v>
          </cell>
          <cell r="C262">
            <v>2</v>
          </cell>
          <cell r="D262" t="str">
            <v>TZ</v>
          </cell>
          <cell r="E262">
            <v>42</v>
          </cell>
          <cell r="F262">
            <v>1</v>
          </cell>
          <cell r="G262">
            <v>71</v>
          </cell>
        </row>
        <row r="263">
          <cell r="A263" t="str">
            <v>Psco_350</v>
          </cell>
          <cell r="B263">
            <v>262</v>
          </cell>
          <cell r="C263">
            <v>1</v>
          </cell>
          <cell r="D263" t="str">
            <v>TZ</v>
          </cell>
          <cell r="E263">
            <v>14</v>
          </cell>
          <cell r="F263">
            <v>1</v>
          </cell>
          <cell r="G263">
            <v>63</v>
          </cell>
        </row>
        <row r="264">
          <cell r="A264" t="str">
            <v>Psco_461</v>
          </cell>
          <cell r="B264">
            <v>263</v>
          </cell>
          <cell r="C264">
            <v>2</v>
          </cell>
          <cell r="D264" t="str">
            <v>MZ</v>
          </cell>
          <cell r="E264">
            <v>34</v>
          </cell>
          <cell r="F264">
            <v>1</v>
          </cell>
          <cell r="G264">
            <v>77</v>
          </cell>
        </row>
        <row r="265">
          <cell r="A265" t="str">
            <v>Psco_358</v>
          </cell>
          <cell r="B265">
            <v>264</v>
          </cell>
          <cell r="C265">
            <v>1</v>
          </cell>
          <cell r="D265" t="str">
            <v>TZ</v>
          </cell>
          <cell r="E265">
            <v>15</v>
          </cell>
          <cell r="F265">
            <v>1</v>
          </cell>
          <cell r="G265">
            <v>53</v>
          </cell>
        </row>
        <row r="266">
          <cell r="A266" t="str">
            <v>Psco_469</v>
          </cell>
          <cell r="B266">
            <v>265</v>
          </cell>
          <cell r="C266">
            <v>2</v>
          </cell>
          <cell r="D266" t="str">
            <v>TZ</v>
          </cell>
          <cell r="E266">
            <v>47</v>
          </cell>
          <cell r="F266">
            <v>0</v>
          </cell>
          <cell r="G266">
            <v>98</v>
          </cell>
        </row>
        <row r="267">
          <cell r="A267" t="str">
            <v>Psco_366</v>
          </cell>
          <cell r="B267">
            <v>266</v>
          </cell>
          <cell r="C267">
            <v>1</v>
          </cell>
          <cell r="D267" t="str">
            <v>TZ</v>
          </cell>
          <cell r="E267">
            <v>10</v>
          </cell>
          <cell r="F267">
            <v>1</v>
          </cell>
          <cell r="G267">
            <v>50</v>
          </cell>
        </row>
        <row r="268">
          <cell r="A268" t="str">
            <v>Psco_477</v>
          </cell>
          <cell r="B268">
            <v>267</v>
          </cell>
          <cell r="C268">
            <v>2</v>
          </cell>
          <cell r="D268" t="str">
            <v>TZ</v>
          </cell>
          <cell r="E268">
            <v>43</v>
          </cell>
          <cell r="F268">
            <v>1</v>
          </cell>
          <cell r="G268">
            <v>54</v>
          </cell>
        </row>
        <row r="269">
          <cell r="A269" t="str">
            <v>Psco_374</v>
          </cell>
          <cell r="B269">
            <v>268</v>
          </cell>
          <cell r="C269">
            <v>1</v>
          </cell>
          <cell r="D269" t="str">
            <v>TZ</v>
          </cell>
          <cell r="E269">
            <v>19</v>
          </cell>
          <cell r="F269">
            <v>1</v>
          </cell>
          <cell r="G269">
            <v>50</v>
          </cell>
        </row>
        <row r="270">
          <cell r="A270" t="str">
            <v>Psco_485</v>
          </cell>
          <cell r="B270">
            <v>269</v>
          </cell>
          <cell r="C270">
            <v>2</v>
          </cell>
          <cell r="D270" t="str">
            <v>TZ</v>
          </cell>
          <cell r="E270">
            <v>50</v>
          </cell>
          <cell r="F270">
            <v>1</v>
          </cell>
          <cell r="G270">
            <v>76</v>
          </cell>
        </row>
        <row r="271">
          <cell r="A271" t="str">
            <v>Psco_382</v>
          </cell>
          <cell r="B271">
            <v>270</v>
          </cell>
          <cell r="C271">
            <v>1</v>
          </cell>
          <cell r="D271" t="str">
            <v>TZ</v>
          </cell>
          <cell r="E271">
            <v>19</v>
          </cell>
          <cell r="F271">
            <v>1</v>
          </cell>
          <cell r="G271">
            <v>56</v>
          </cell>
        </row>
        <row r="272">
          <cell r="A272" t="str">
            <v>Psco_493</v>
          </cell>
          <cell r="B272">
            <v>271</v>
          </cell>
          <cell r="C272">
            <v>2</v>
          </cell>
          <cell r="D272" t="str">
            <v>MZ</v>
          </cell>
          <cell r="E272">
            <v>32</v>
          </cell>
          <cell r="F272">
            <v>0</v>
          </cell>
          <cell r="G272">
            <v>98</v>
          </cell>
        </row>
        <row r="273">
          <cell r="A273" t="str">
            <v>Psco_197</v>
          </cell>
          <cell r="B273">
            <v>272</v>
          </cell>
          <cell r="C273">
            <v>1</v>
          </cell>
          <cell r="D273" t="str">
            <v>TZ</v>
          </cell>
          <cell r="E273">
            <v>19</v>
          </cell>
          <cell r="F273">
            <v>1</v>
          </cell>
          <cell r="G273">
            <v>60</v>
          </cell>
        </row>
        <row r="274">
          <cell r="A274" t="str">
            <v>Psco_109</v>
          </cell>
          <cell r="B274">
            <v>273</v>
          </cell>
          <cell r="C274">
            <v>1</v>
          </cell>
          <cell r="D274" t="str">
            <v>MZ</v>
          </cell>
          <cell r="E274">
            <v>5</v>
          </cell>
          <cell r="F274">
            <v>1</v>
          </cell>
          <cell r="G274">
            <v>50</v>
          </cell>
        </row>
        <row r="275">
          <cell r="A275" t="str">
            <v>Psco_205</v>
          </cell>
          <cell r="B275">
            <v>274</v>
          </cell>
          <cell r="C275">
            <v>1</v>
          </cell>
          <cell r="D275" t="str">
            <v>MZ</v>
          </cell>
          <cell r="E275">
            <v>2</v>
          </cell>
          <cell r="F275">
            <v>0</v>
          </cell>
          <cell r="G275">
            <v>98</v>
          </cell>
        </row>
        <row r="276">
          <cell r="A276" t="str">
            <v>Psco_117</v>
          </cell>
          <cell r="B276">
            <v>275</v>
          </cell>
          <cell r="C276">
            <v>1</v>
          </cell>
          <cell r="D276" t="str">
            <v>MZ</v>
          </cell>
          <cell r="E276">
            <v>2</v>
          </cell>
          <cell r="F276">
            <v>1</v>
          </cell>
          <cell r="G276">
            <v>56</v>
          </cell>
        </row>
        <row r="277">
          <cell r="A277" t="str">
            <v>Psco_213</v>
          </cell>
          <cell r="B277">
            <v>276</v>
          </cell>
          <cell r="C277">
            <v>1</v>
          </cell>
          <cell r="D277" t="str">
            <v>MZ</v>
          </cell>
          <cell r="E277">
            <v>6</v>
          </cell>
          <cell r="F277">
            <v>0</v>
          </cell>
          <cell r="G277">
            <v>98</v>
          </cell>
        </row>
        <row r="278">
          <cell r="A278" t="str">
            <v>Psco_125</v>
          </cell>
          <cell r="B278">
            <v>277</v>
          </cell>
          <cell r="C278">
            <v>1</v>
          </cell>
          <cell r="D278" t="str">
            <v>TZ</v>
          </cell>
          <cell r="E278">
            <v>10</v>
          </cell>
          <cell r="F278">
            <v>1</v>
          </cell>
          <cell r="G278">
            <v>56</v>
          </cell>
        </row>
        <row r="279">
          <cell r="A279" t="str">
            <v>Psco_221</v>
          </cell>
          <cell r="B279">
            <v>278</v>
          </cell>
          <cell r="C279">
            <v>1</v>
          </cell>
          <cell r="D279" t="str">
            <v>MZ</v>
          </cell>
          <cell r="E279">
            <v>5</v>
          </cell>
          <cell r="F279">
            <v>1</v>
          </cell>
          <cell r="G279">
            <v>70</v>
          </cell>
        </row>
        <row r="280">
          <cell r="A280" t="str">
            <v>Psco_133</v>
          </cell>
          <cell r="B280">
            <v>279</v>
          </cell>
          <cell r="C280">
            <v>1</v>
          </cell>
          <cell r="D280" t="str">
            <v>TZ</v>
          </cell>
          <cell r="E280">
            <v>17</v>
          </cell>
          <cell r="F280">
            <v>1</v>
          </cell>
          <cell r="G280">
            <v>68</v>
          </cell>
        </row>
        <row r="281">
          <cell r="A281" t="str">
            <v>Psco_229</v>
          </cell>
          <cell r="B281">
            <v>280</v>
          </cell>
          <cell r="C281">
            <v>1</v>
          </cell>
          <cell r="D281" t="str">
            <v>MZ</v>
          </cell>
          <cell r="E281">
            <v>6</v>
          </cell>
          <cell r="F281">
            <v>1</v>
          </cell>
          <cell r="G281">
            <v>57</v>
          </cell>
        </row>
        <row r="282">
          <cell r="A282" t="str">
            <v>Psco_141</v>
          </cell>
          <cell r="B282">
            <v>281</v>
          </cell>
          <cell r="C282">
            <v>1</v>
          </cell>
          <cell r="D282" t="str">
            <v>MZ</v>
          </cell>
          <cell r="E282">
            <v>2</v>
          </cell>
          <cell r="F282">
            <v>0</v>
          </cell>
          <cell r="G282">
            <v>98</v>
          </cell>
        </row>
        <row r="283">
          <cell r="A283" t="str">
            <v>Psco_237</v>
          </cell>
          <cell r="B283">
            <v>282</v>
          </cell>
          <cell r="C283">
            <v>1</v>
          </cell>
          <cell r="D283" t="str">
            <v>MZ</v>
          </cell>
          <cell r="E283">
            <v>7</v>
          </cell>
          <cell r="F283">
            <v>1</v>
          </cell>
          <cell r="G283">
            <v>62</v>
          </cell>
        </row>
        <row r="284">
          <cell r="A284" t="str">
            <v>Psco_149</v>
          </cell>
          <cell r="B284">
            <v>283</v>
          </cell>
          <cell r="C284">
            <v>1</v>
          </cell>
          <cell r="D284" t="str">
            <v>TZ</v>
          </cell>
          <cell r="E284">
            <v>17</v>
          </cell>
          <cell r="F284">
            <v>1</v>
          </cell>
          <cell r="G284">
            <v>53</v>
          </cell>
        </row>
        <row r="285">
          <cell r="A285" t="str">
            <v>Psco_246</v>
          </cell>
          <cell r="B285">
            <v>284</v>
          </cell>
          <cell r="C285">
            <v>1</v>
          </cell>
          <cell r="D285" t="str">
            <v>TZ</v>
          </cell>
          <cell r="E285">
            <v>16</v>
          </cell>
          <cell r="F285">
            <v>1</v>
          </cell>
          <cell r="G285">
            <v>66</v>
          </cell>
        </row>
        <row r="286">
          <cell r="A286" t="str">
            <v>Psco_157</v>
          </cell>
          <cell r="B286">
            <v>285</v>
          </cell>
          <cell r="C286">
            <v>1</v>
          </cell>
          <cell r="D286" t="str">
            <v>MZ</v>
          </cell>
          <cell r="E286">
            <v>6</v>
          </cell>
          <cell r="F286">
            <v>0</v>
          </cell>
          <cell r="G286">
            <v>98</v>
          </cell>
        </row>
        <row r="287">
          <cell r="A287" t="str">
            <v>Psco_254</v>
          </cell>
          <cell r="B287">
            <v>286</v>
          </cell>
          <cell r="C287">
            <v>1</v>
          </cell>
          <cell r="D287" t="str">
            <v>TZ</v>
          </cell>
          <cell r="E287">
            <v>11</v>
          </cell>
          <cell r="F287">
            <v>0</v>
          </cell>
          <cell r="G287">
            <v>98</v>
          </cell>
        </row>
        <row r="288">
          <cell r="A288" t="str">
            <v>Psco_165</v>
          </cell>
          <cell r="B288">
            <v>287</v>
          </cell>
          <cell r="C288">
            <v>1</v>
          </cell>
          <cell r="D288" t="str">
            <v>MZ</v>
          </cell>
          <cell r="E288">
            <v>1</v>
          </cell>
          <cell r="F288">
            <v>1</v>
          </cell>
          <cell r="G288">
            <v>49</v>
          </cell>
        </row>
        <row r="289">
          <cell r="A289" t="str">
            <v>Psco_263</v>
          </cell>
          <cell r="B289">
            <v>288</v>
          </cell>
          <cell r="C289">
            <v>1</v>
          </cell>
          <cell r="D289" t="str">
            <v>MZ</v>
          </cell>
          <cell r="E289">
            <v>6</v>
          </cell>
          <cell r="F289">
            <v>1</v>
          </cell>
          <cell r="G289">
            <v>57</v>
          </cell>
        </row>
        <row r="290">
          <cell r="A290" t="str">
            <v>Psco_173</v>
          </cell>
          <cell r="B290">
            <v>289</v>
          </cell>
          <cell r="C290">
            <v>1</v>
          </cell>
          <cell r="D290" t="str">
            <v>MZ</v>
          </cell>
          <cell r="E290">
            <v>2</v>
          </cell>
          <cell r="F290">
            <v>1</v>
          </cell>
          <cell r="G290">
            <v>53</v>
          </cell>
        </row>
        <row r="291">
          <cell r="A291" t="str">
            <v>Psco_271</v>
          </cell>
          <cell r="B291">
            <v>290</v>
          </cell>
          <cell r="C291">
            <v>1</v>
          </cell>
          <cell r="D291" t="str">
            <v>MZ</v>
          </cell>
          <cell r="E291">
            <v>5</v>
          </cell>
          <cell r="F291">
            <v>1</v>
          </cell>
          <cell r="G291">
            <v>66</v>
          </cell>
        </row>
        <row r="292">
          <cell r="A292" t="str">
            <v>Psco_181</v>
          </cell>
          <cell r="B292">
            <v>291</v>
          </cell>
          <cell r="C292">
            <v>1</v>
          </cell>
          <cell r="D292" t="str">
            <v>TZ</v>
          </cell>
          <cell r="E292">
            <v>16</v>
          </cell>
          <cell r="F292">
            <v>0</v>
          </cell>
          <cell r="G292">
            <v>98</v>
          </cell>
        </row>
        <row r="293">
          <cell r="A293" t="str">
            <v>Psco_279</v>
          </cell>
          <cell r="B293">
            <v>292</v>
          </cell>
          <cell r="C293">
            <v>1</v>
          </cell>
          <cell r="D293" t="str">
            <v>MZ</v>
          </cell>
          <cell r="E293">
            <v>7</v>
          </cell>
          <cell r="F293">
            <v>1</v>
          </cell>
          <cell r="G293">
            <v>79</v>
          </cell>
        </row>
        <row r="294">
          <cell r="A294" t="str">
            <v>Psco_189</v>
          </cell>
          <cell r="B294">
            <v>293</v>
          </cell>
          <cell r="C294">
            <v>1</v>
          </cell>
          <cell r="D294" t="str">
            <v>MZ</v>
          </cell>
          <cell r="E294">
            <v>7</v>
          </cell>
          <cell r="F294">
            <v>0</v>
          </cell>
          <cell r="G294">
            <v>98</v>
          </cell>
        </row>
        <row r="295">
          <cell r="A295" t="str">
            <v>Psco_287</v>
          </cell>
          <cell r="B295">
            <v>294</v>
          </cell>
          <cell r="C295">
            <v>1</v>
          </cell>
          <cell r="D295" t="str">
            <v>TZ</v>
          </cell>
          <cell r="E295">
            <v>15</v>
          </cell>
          <cell r="F295">
            <v>1</v>
          </cell>
          <cell r="G295">
            <v>58</v>
          </cell>
        </row>
        <row r="296">
          <cell r="A296" t="str">
            <v>Psco_295</v>
          </cell>
          <cell r="B296">
            <v>295</v>
          </cell>
          <cell r="C296">
            <v>1</v>
          </cell>
          <cell r="D296" t="str">
            <v>TZ</v>
          </cell>
          <cell r="E296">
            <v>15</v>
          </cell>
          <cell r="F296">
            <v>0</v>
          </cell>
          <cell r="G296">
            <v>98</v>
          </cell>
        </row>
        <row r="297">
          <cell r="A297" t="str">
            <v>Psco_391</v>
          </cell>
          <cell r="B297">
            <v>296</v>
          </cell>
          <cell r="C297">
            <v>1</v>
          </cell>
          <cell r="D297" t="str">
            <v>TZ</v>
          </cell>
          <cell r="E297">
            <v>14</v>
          </cell>
          <cell r="F297">
            <v>1</v>
          </cell>
          <cell r="G297">
            <v>43</v>
          </cell>
        </row>
        <row r="298">
          <cell r="A298" t="str">
            <v>Psco_303</v>
          </cell>
          <cell r="B298">
            <v>297</v>
          </cell>
          <cell r="C298">
            <v>1</v>
          </cell>
          <cell r="D298" t="str">
            <v>MZ</v>
          </cell>
          <cell r="E298">
            <v>4</v>
          </cell>
          <cell r="F298">
            <v>1</v>
          </cell>
          <cell r="G298">
            <v>72</v>
          </cell>
        </row>
        <row r="299">
          <cell r="A299" t="str">
            <v>Psco_414</v>
          </cell>
          <cell r="B299">
            <v>298</v>
          </cell>
          <cell r="C299">
            <v>2</v>
          </cell>
          <cell r="D299" t="str">
            <v>TZ</v>
          </cell>
          <cell r="E299">
            <v>50</v>
          </cell>
          <cell r="F299">
            <v>1</v>
          </cell>
          <cell r="G299">
            <v>62</v>
          </cell>
        </row>
        <row r="300">
          <cell r="A300" t="str">
            <v>Psco_311</v>
          </cell>
          <cell r="B300">
            <v>299</v>
          </cell>
          <cell r="C300">
            <v>1</v>
          </cell>
          <cell r="D300" t="str">
            <v>TZ</v>
          </cell>
          <cell r="E300">
            <v>10</v>
          </cell>
          <cell r="F300">
            <v>1</v>
          </cell>
          <cell r="G300">
            <v>45</v>
          </cell>
        </row>
        <row r="301">
          <cell r="A301" t="str">
            <v>Psco_422</v>
          </cell>
          <cell r="B301">
            <v>300</v>
          </cell>
          <cell r="C301">
            <v>2</v>
          </cell>
          <cell r="D301" t="str">
            <v>TZ</v>
          </cell>
          <cell r="E301">
            <v>50</v>
          </cell>
          <cell r="F301">
            <v>1</v>
          </cell>
          <cell r="G301">
            <v>59</v>
          </cell>
        </row>
        <row r="302">
          <cell r="A302" t="str">
            <v>Psco_430</v>
          </cell>
          <cell r="B302">
            <v>301</v>
          </cell>
          <cell r="C302">
            <v>2</v>
          </cell>
          <cell r="D302" t="str">
            <v>MZ</v>
          </cell>
          <cell r="E302">
            <v>24</v>
          </cell>
          <cell r="F302">
            <v>1</v>
          </cell>
          <cell r="G302">
            <v>76</v>
          </cell>
        </row>
        <row r="303">
          <cell r="A303" t="str">
            <v>Psco_327</v>
          </cell>
          <cell r="B303">
            <v>302</v>
          </cell>
          <cell r="C303">
            <v>1</v>
          </cell>
          <cell r="D303" t="str">
            <v>TZ</v>
          </cell>
          <cell r="E303">
            <v>13</v>
          </cell>
          <cell r="F303">
            <v>0</v>
          </cell>
          <cell r="G303">
            <v>98</v>
          </cell>
        </row>
        <row r="304">
          <cell r="A304" t="str">
            <v>Psco_438</v>
          </cell>
          <cell r="B304">
            <v>303</v>
          </cell>
          <cell r="C304">
            <v>2</v>
          </cell>
          <cell r="D304" t="str">
            <v>MZ</v>
          </cell>
          <cell r="E304">
            <v>34</v>
          </cell>
          <cell r="F304">
            <v>1</v>
          </cell>
          <cell r="G304">
            <v>68</v>
          </cell>
        </row>
        <row r="305">
          <cell r="A305" t="str">
            <v>Psco_335</v>
          </cell>
          <cell r="B305">
            <v>304</v>
          </cell>
          <cell r="C305">
            <v>1</v>
          </cell>
          <cell r="D305" t="str">
            <v>TZ</v>
          </cell>
          <cell r="E305">
            <v>13</v>
          </cell>
          <cell r="F305">
            <v>1</v>
          </cell>
          <cell r="G305">
            <v>49</v>
          </cell>
        </row>
        <row r="306">
          <cell r="A306" t="str">
            <v>Psco_446</v>
          </cell>
          <cell r="B306">
            <v>305</v>
          </cell>
          <cell r="C306">
            <v>2</v>
          </cell>
          <cell r="D306" t="str">
            <v>MZ</v>
          </cell>
          <cell r="E306">
            <v>37</v>
          </cell>
          <cell r="F306">
            <v>0</v>
          </cell>
          <cell r="G306">
            <v>98</v>
          </cell>
        </row>
        <row r="307">
          <cell r="A307" t="str">
            <v>Psco_343</v>
          </cell>
          <cell r="B307">
            <v>306</v>
          </cell>
          <cell r="C307">
            <v>1</v>
          </cell>
          <cell r="D307" t="str">
            <v>MZ</v>
          </cell>
          <cell r="E307">
            <v>8</v>
          </cell>
          <cell r="F307">
            <v>1</v>
          </cell>
          <cell r="G307">
            <v>76</v>
          </cell>
        </row>
        <row r="308">
          <cell r="A308" t="str">
            <v>Psco_454</v>
          </cell>
          <cell r="B308">
            <v>307</v>
          </cell>
          <cell r="C308">
            <v>2</v>
          </cell>
          <cell r="D308" t="str">
            <v>TZ</v>
          </cell>
          <cell r="E308">
            <v>49</v>
          </cell>
          <cell r="F308">
            <v>1</v>
          </cell>
          <cell r="G308">
            <v>67</v>
          </cell>
        </row>
        <row r="309">
          <cell r="A309" t="str">
            <v>Psco_351</v>
          </cell>
          <cell r="B309">
            <v>308</v>
          </cell>
          <cell r="C309">
            <v>1</v>
          </cell>
          <cell r="D309" t="str">
            <v>MZ</v>
          </cell>
          <cell r="E309">
            <v>7</v>
          </cell>
          <cell r="F309">
            <v>0</v>
          </cell>
          <cell r="G309">
            <v>98</v>
          </cell>
        </row>
        <row r="310">
          <cell r="A310" t="str">
            <v>Psco_462</v>
          </cell>
          <cell r="B310">
            <v>309</v>
          </cell>
          <cell r="C310">
            <v>2</v>
          </cell>
          <cell r="D310" t="str">
            <v>TZ</v>
          </cell>
          <cell r="E310">
            <v>51</v>
          </cell>
          <cell r="F310">
            <v>1</v>
          </cell>
          <cell r="G310">
            <v>59</v>
          </cell>
        </row>
        <row r="311">
          <cell r="A311" t="str">
            <v>Psco_470</v>
          </cell>
          <cell r="B311">
            <v>310</v>
          </cell>
          <cell r="C311">
            <v>2</v>
          </cell>
          <cell r="D311" t="str">
            <v>TZ</v>
          </cell>
          <cell r="E311">
            <v>48</v>
          </cell>
          <cell r="F311">
            <v>1</v>
          </cell>
          <cell r="G311">
            <v>79</v>
          </cell>
        </row>
        <row r="312">
          <cell r="A312" t="str">
            <v>Psco_367</v>
          </cell>
          <cell r="B312">
            <v>311</v>
          </cell>
          <cell r="C312">
            <v>1</v>
          </cell>
          <cell r="D312" t="str">
            <v>MZ</v>
          </cell>
          <cell r="E312">
            <v>1</v>
          </cell>
          <cell r="F312">
            <v>1</v>
          </cell>
          <cell r="G312">
            <v>37</v>
          </cell>
        </row>
        <row r="313">
          <cell r="A313" t="str">
            <v>Psco_478</v>
          </cell>
          <cell r="B313">
            <v>312</v>
          </cell>
          <cell r="C313">
            <v>2</v>
          </cell>
          <cell r="D313" t="str">
            <v>MZ</v>
          </cell>
          <cell r="E313">
            <v>22</v>
          </cell>
          <cell r="F313">
            <v>1</v>
          </cell>
          <cell r="G313">
            <v>61</v>
          </cell>
        </row>
        <row r="314">
          <cell r="A314" t="str">
            <v>Psco_375</v>
          </cell>
          <cell r="B314">
            <v>313</v>
          </cell>
          <cell r="C314">
            <v>1</v>
          </cell>
          <cell r="D314" t="str">
            <v>MZ</v>
          </cell>
          <cell r="E314">
            <v>3</v>
          </cell>
          <cell r="F314">
            <v>1</v>
          </cell>
          <cell r="G314">
            <v>50</v>
          </cell>
        </row>
        <row r="315">
          <cell r="A315" t="str">
            <v>Psco_486</v>
          </cell>
          <cell r="B315">
            <v>314</v>
          </cell>
          <cell r="C315">
            <v>2</v>
          </cell>
          <cell r="D315" t="str">
            <v>MZ</v>
          </cell>
          <cell r="E315">
            <v>39</v>
          </cell>
          <cell r="F315">
            <v>0</v>
          </cell>
          <cell r="G315">
            <v>98</v>
          </cell>
        </row>
        <row r="316">
          <cell r="A316" t="str">
            <v>Psco_383</v>
          </cell>
          <cell r="B316">
            <v>315</v>
          </cell>
          <cell r="C316">
            <v>1</v>
          </cell>
          <cell r="D316" t="str">
            <v>MZ</v>
          </cell>
          <cell r="E316">
            <v>5</v>
          </cell>
          <cell r="F316">
            <v>0</v>
          </cell>
          <cell r="G316">
            <v>98</v>
          </cell>
        </row>
        <row r="317">
          <cell r="A317" t="str">
            <v>Psco_494</v>
          </cell>
          <cell r="B317">
            <v>316</v>
          </cell>
          <cell r="C317">
            <v>2</v>
          </cell>
          <cell r="D317" t="str">
            <v>MZ</v>
          </cell>
          <cell r="E317">
            <v>40</v>
          </cell>
          <cell r="F317">
            <v>1</v>
          </cell>
          <cell r="G317">
            <v>68</v>
          </cell>
        </row>
        <row r="318">
          <cell r="A318" t="str">
            <v>Psco_198</v>
          </cell>
          <cell r="B318">
            <v>317</v>
          </cell>
          <cell r="C318">
            <v>1</v>
          </cell>
          <cell r="D318" t="str">
            <v>TZ</v>
          </cell>
          <cell r="E318">
            <v>16</v>
          </cell>
          <cell r="F318">
            <v>1</v>
          </cell>
          <cell r="G318">
            <v>49</v>
          </cell>
        </row>
        <row r="319">
          <cell r="A319" t="str">
            <v>Psco_110</v>
          </cell>
          <cell r="B319">
            <v>318</v>
          </cell>
          <cell r="C319">
            <v>1</v>
          </cell>
          <cell r="D319" t="str">
            <v>TZ</v>
          </cell>
          <cell r="E319">
            <v>9</v>
          </cell>
          <cell r="F319">
            <v>0</v>
          </cell>
          <cell r="G319">
            <v>98</v>
          </cell>
        </row>
        <row r="320">
          <cell r="A320" t="str">
            <v>Psco_206</v>
          </cell>
          <cell r="B320">
            <v>319</v>
          </cell>
          <cell r="C320">
            <v>1</v>
          </cell>
          <cell r="D320" t="str">
            <v>MZ</v>
          </cell>
          <cell r="E320">
            <v>3</v>
          </cell>
          <cell r="F320">
            <v>1</v>
          </cell>
          <cell r="G320">
            <v>64</v>
          </cell>
        </row>
        <row r="321">
          <cell r="A321" t="str">
            <v>Psco_118</v>
          </cell>
          <cell r="B321">
            <v>320</v>
          </cell>
          <cell r="C321">
            <v>1</v>
          </cell>
          <cell r="D321" t="str">
            <v>MZ</v>
          </cell>
          <cell r="E321">
            <v>8</v>
          </cell>
          <cell r="F321">
            <v>0</v>
          </cell>
          <cell r="G321">
            <v>98</v>
          </cell>
        </row>
        <row r="322">
          <cell r="A322" t="str">
            <v>Psco_214</v>
          </cell>
          <cell r="B322">
            <v>321</v>
          </cell>
          <cell r="C322">
            <v>1</v>
          </cell>
          <cell r="D322" t="str">
            <v>TZ</v>
          </cell>
          <cell r="E322">
            <v>20</v>
          </cell>
          <cell r="F322">
            <v>1</v>
          </cell>
          <cell r="G322">
            <v>72</v>
          </cell>
        </row>
        <row r="323">
          <cell r="A323" t="str">
            <v>Psco_126</v>
          </cell>
          <cell r="B323">
            <v>322</v>
          </cell>
          <cell r="C323">
            <v>1</v>
          </cell>
          <cell r="D323" t="str">
            <v>TZ</v>
          </cell>
          <cell r="E323">
            <v>11</v>
          </cell>
          <cell r="F323">
            <v>1</v>
          </cell>
          <cell r="G323">
            <v>53</v>
          </cell>
        </row>
        <row r="324">
          <cell r="A324" t="str">
            <v>Psco_222</v>
          </cell>
          <cell r="B324">
            <v>323</v>
          </cell>
          <cell r="C324">
            <v>1</v>
          </cell>
          <cell r="D324" t="str">
            <v>MZ</v>
          </cell>
          <cell r="E324">
            <v>4</v>
          </cell>
          <cell r="F324">
            <v>0</v>
          </cell>
          <cell r="G324">
            <v>98</v>
          </cell>
        </row>
        <row r="325">
          <cell r="A325" t="str">
            <v>Psco_134</v>
          </cell>
          <cell r="B325">
            <v>324</v>
          </cell>
          <cell r="C325">
            <v>1</v>
          </cell>
          <cell r="D325" t="str">
            <v>MZ</v>
          </cell>
          <cell r="E325">
            <v>8</v>
          </cell>
          <cell r="F325">
            <v>1</v>
          </cell>
          <cell r="G325">
            <v>53</v>
          </cell>
        </row>
        <row r="326">
          <cell r="A326" t="str">
            <v>Psco_230</v>
          </cell>
          <cell r="B326">
            <v>325</v>
          </cell>
          <cell r="C326">
            <v>1</v>
          </cell>
          <cell r="D326" t="str">
            <v>MZ</v>
          </cell>
          <cell r="E326">
            <v>5</v>
          </cell>
          <cell r="F326">
            <v>1</v>
          </cell>
          <cell r="G326">
            <v>57</v>
          </cell>
        </row>
        <row r="327">
          <cell r="A327" t="str">
            <v>Psco_142</v>
          </cell>
          <cell r="B327">
            <v>326</v>
          </cell>
          <cell r="C327">
            <v>1</v>
          </cell>
          <cell r="D327" t="str">
            <v>TZ</v>
          </cell>
          <cell r="E327">
            <v>16</v>
          </cell>
          <cell r="F327">
            <v>1</v>
          </cell>
          <cell r="G327">
            <v>61</v>
          </cell>
        </row>
        <row r="328">
          <cell r="A328" t="str">
            <v>Psco_238</v>
          </cell>
          <cell r="B328">
            <v>327</v>
          </cell>
          <cell r="C328">
            <v>1</v>
          </cell>
          <cell r="D328" t="str">
            <v>TZ</v>
          </cell>
          <cell r="E328">
            <v>17</v>
          </cell>
          <cell r="F328">
            <v>1</v>
          </cell>
          <cell r="G328">
            <v>53</v>
          </cell>
        </row>
        <row r="329">
          <cell r="A329" t="str">
            <v>Psco_150</v>
          </cell>
          <cell r="B329">
            <v>328</v>
          </cell>
          <cell r="C329">
            <v>1</v>
          </cell>
          <cell r="D329" t="str">
            <v>MZ</v>
          </cell>
          <cell r="E329">
            <v>5</v>
          </cell>
          <cell r="F329">
            <v>1</v>
          </cell>
          <cell r="G329">
            <v>62</v>
          </cell>
        </row>
        <row r="330">
          <cell r="A330" t="str">
            <v>Psco_247</v>
          </cell>
          <cell r="B330">
            <v>329</v>
          </cell>
          <cell r="C330">
            <v>1</v>
          </cell>
          <cell r="D330" t="str">
            <v>TZ</v>
          </cell>
          <cell r="E330">
            <v>13</v>
          </cell>
          <cell r="F330">
            <v>0</v>
          </cell>
          <cell r="G330">
            <v>98</v>
          </cell>
        </row>
        <row r="331">
          <cell r="A331" t="str">
            <v>Psco_158</v>
          </cell>
          <cell r="B331">
            <v>330</v>
          </cell>
          <cell r="C331">
            <v>1</v>
          </cell>
          <cell r="D331" t="str">
            <v>MZ</v>
          </cell>
          <cell r="E331">
            <v>1</v>
          </cell>
          <cell r="F331">
            <v>1</v>
          </cell>
          <cell r="G331">
            <v>48</v>
          </cell>
        </row>
        <row r="332">
          <cell r="A332" t="str">
            <v>Psco_255</v>
          </cell>
          <cell r="B332">
            <v>331</v>
          </cell>
          <cell r="C332">
            <v>1</v>
          </cell>
          <cell r="D332" t="str">
            <v>TZ</v>
          </cell>
          <cell r="E332">
            <v>9</v>
          </cell>
          <cell r="F332">
            <v>0</v>
          </cell>
          <cell r="G332">
            <v>98</v>
          </cell>
        </row>
        <row r="333">
          <cell r="A333" t="str">
            <v>Psco_166</v>
          </cell>
          <cell r="B333">
            <v>332</v>
          </cell>
          <cell r="C333">
            <v>1</v>
          </cell>
          <cell r="D333" t="str">
            <v>MZ</v>
          </cell>
          <cell r="E333">
            <v>5</v>
          </cell>
          <cell r="F333">
            <v>1</v>
          </cell>
          <cell r="G333">
            <v>51</v>
          </cell>
        </row>
        <row r="334">
          <cell r="A334" t="str">
            <v>Psco_264</v>
          </cell>
          <cell r="B334">
            <v>333</v>
          </cell>
          <cell r="C334">
            <v>1</v>
          </cell>
          <cell r="D334" t="str">
            <v>MZ</v>
          </cell>
          <cell r="E334">
            <v>4</v>
          </cell>
          <cell r="F334">
            <v>1</v>
          </cell>
          <cell r="G334">
            <v>62</v>
          </cell>
        </row>
        <row r="335">
          <cell r="A335" t="str">
            <v>Psco_174</v>
          </cell>
          <cell r="B335">
            <v>334</v>
          </cell>
          <cell r="C335">
            <v>1</v>
          </cell>
          <cell r="D335" t="str">
            <v>MZ</v>
          </cell>
          <cell r="E335">
            <v>4</v>
          </cell>
          <cell r="F335">
            <v>1</v>
          </cell>
          <cell r="G335">
            <v>80</v>
          </cell>
        </row>
        <row r="336">
          <cell r="A336" t="str">
            <v>Psco_272</v>
          </cell>
          <cell r="B336">
            <v>335</v>
          </cell>
          <cell r="C336">
            <v>1</v>
          </cell>
          <cell r="D336" t="str">
            <v>MZ</v>
          </cell>
          <cell r="E336">
            <v>4</v>
          </cell>
          <cell r="F336">
            <v>1</v>
          </cell>
          <cell r="G336">
            <v>63</v>
          </cell>
        </row>
        <row r="337">
          <cell r="A337" t="str">
            <v>Psco_182</v>
          </cell>
          <cell r="B337">
            <v>336</v>
          </cell>
          <cell r="C337">
            <v>1</v>
          </cell>
          <cell r="D337" t="str">
            <v>MZ</v>
          </cell>
          <cell r="E337">
            <v>4</v>
          </cell>
          <cell r="F337">
            <v>0</v>
          </cell>
          <cell r="G337">
            <v>98</v>
          </cell>
        </row>
        <row r="338">
          <cell r="A338" t="str">
            <v>Psco_280</v>
          </cell>
          <cell r="B338">
            <v>337</v>
          </cell>
          <cell r="C338">
            <v>1</v>
          </cell>
          <cell r="D338" t="str">
            <v>MZ</v>
          </cell>
          <cell r="E338">
            <v>6</v>
          </cell>
          <cell r="F338">
            <v>0</v>
          </cell>
          <cell r="G338">
            <v>98</v>
          </cell>
        </row>
        <row r="339">
          <cell r="A339" t="str">
            <v>Psco_190</v>
          </cell>
          <cell r="B339">
            <v>338</v>
          </cell>
          <cell r="C339">
            <v>1</v>
          </cell>
          <cell r="D339" t="str">
            <v>MZ</v>
          </cell>
          <cell r="E339">
            <v>8</v>
          </cell>
          <cell r="F339">
            <v>1</v>
          </cell>
          <cell r="G339">
            <v>76</v>
          </cell>
        </row>
        <row r="340">
          <cell r="A340" t="str">
            <v>Psco_288</v>
          </cell>
          <cell r="B340">
            <v>339</v>
          </cell>
          <cell r="C340">
            <v>1</v>
          </cell>
          <cell r="D340" t="str">
            <v>MZ</v>
          </cell>
          <cell r="E340">
            <v>4</v>
          </cell>
          <cell r="F340">
            <v>1</v>
          </cell>
          <cell r="G340">
            <v>62</v>
          </cell>
        </row>
        <row r="341">
          <cell r="A341" t="str">
            <v>Psco_296</v>
          </cell>
          <cell r="B341">
            <v>340</v>
          </cell>
          <cell r="C341">
            <v>1</v>
          </cell>
          <cell r="D341" t="str">
            <v>TZ</v>
          </cell>
          <cell r="E341">
            <v>14</v>
          </cell>
          <cell r="F341">
            <v>1</v>
          </cell>
          <cell r="G341">
            <v>74</v>
          </cell>
        </row>
        <row r="342">
          <cell r="A342" t="str">
            <v>Psco_392</v>
          </cell>
          <cell r="B342">
            <v>341</v>
          </cell>
          <cell r="C342">
            <v>1</v>
          </cell>
          <cell r="D342" t="str">
            <v>MZ</v>
          </cell>
          <cell r="E342">
            <v>3</v>
          </cell>
          <cell r="F342">
            <v>1</v>
          </cell>
          <cell r="G342">
            <v>57</v>
          </cell>
        </row>
        <row r="343">
          <cell r="A343" t="str">
            <v>Psco_304</v>
          </cell>
          <cell r="B343">
            <v>342</v>
          </cell>
          <cell r="C343">
            <v>1</v>
          </cell>
          <cell r="D343" t="str">
            <v>TZ</v>
          </cell>
          <cell r="E343">
            <v>11</v>
          </cell>
          <cell r="F343">
            <v>0</v>
          </cell>
          <cell r="G343">
            <v>98</v>
          </cell>
        </row>
        <row r="344">
          <cell r="A344" t="str">
            <v>Psco_312</v>
          </cell>
          <cell r="B344">
            <v>343</v>
          </cell>
          <cell r="C344">
            <v>1</v>
          </cell>
          <cell r="D344" t="str">
            <v>MZ</v>
          </cell>
          <cell r="E344">
            <v>2</v>
          </cell>
          <cell r="F344">
            <v>0</v>
          </cell>
          <cell r="G344">
            <v>98</v>
          </cell>
        </row>
        <row r="345">
          <cell r="A345" t="str">
            <v>Psco_423</v>
          </cell>
          <cell r="B345">
            <v>344</v>
          </cell>
          <cell r="C345">
            <v>2</v>
          </cell>
          <cell r="D345" t="str">
            <v>TZ</v>
          </cell>
          <cell r="E345">
            <v>50</v>
          </cell>
          <cell r="F345">
            <v>0</v>
          </cell>
          <cell r="G345">
            <v>98</v>
          </cell>
        </row>
        <row r="346">
          <cell r="A346" t="str">
            <v>Psco_431</v>
          </cell>
          <cell r="B346">
            <v>345</v>
          </cell>
          <cell r="C346">
            <v>2</v>
          </cell>
          <cell r="D346" t="str">
            <v>MZ</v>
          </cell>
          <cell r="E346">
            <v>27</v>
          </cell>
          <cell r="F346">
            <v>1</v>
          </cell>
          <cell r="G346">
            <v>86</v>
          </cell>
        </row>
        <row r="347">
          <cell r="A347" t="str">
            <v>Psco_328</v>
          </cell>
          <cell r="B347">
            <v>346</v>
          </cell>
          <cell r="C347">
            <v>1</v>
          </cell>
          <cell r="D347" t="str">
            <v>TZ</v>
          </cell>
          <cell r="E347">
            <v>13</v>
          </cell>
          <cell r="F347">
            <v>1</v>
          </cell>
          <cell r="G347">
            <v>91</v>
          </cell>
        </row>
        <row r="348">
          <cell r="A348" t="str">
            <v>Psco_439</v>
          </cell>
          <cell r="B348">
            <v>347</v>
          </cell>
          <cell r="C348">
            <v>2</v>
          </cell>
          <cell r="D348" t="str">
            <v>TZ</v>
          </cell>
          <cell r="E348">
            <v>53</v>
          </cell>
          <cell r="F348">
            <v>1</v>
          </cell>
          <cell r="G348">
            <v>60</v>
          </cell>
        </row>
        <row r="349">
          <cell r="A349" t="str">
            <v>Psco_447</v>
          </cell>
          <cell r="B349">
            <v>348</v>
          </cell>
          <cell r="C349">
            <v>2</v>
          </cell>
          <cell r="D349" t="str">
            <v>MZ</v>
          </cell>
          <cell r="E349">
            <v>36</v>
          </cell>
          <cell r="F349">
            <v>1</v>
          </cell>
          <cell r="G349">
            <v>84</v>
          </cell>
        </row>
        <row r="350">
          <cell r="A350" t="str">
            <v>Psco_344</v>
          </cell>
          <cell r="B350">
            <v>349</v>
          </cell>
          <cell r="C350">
            <v>1</v>
          </cell>
          <cell r="D350" t="str">
            <v>TZ</v>
          </cell>
          <cell r="E350">
            <v>15</v>
          </cell>
          <cell r="F350">
            <v>1</v>
          </cell>
          <cell r="G350">
            <v>64</v>
          </cell>
        </row>
        <row r="351">
          <cell r="A351" t="str">
            <v>Psco_455</v>
          </cell>
          <cell r="B351">
            <v>350</v>
          </cell>
          <cell r="C351">
            <v>2</v>
          </cell>
          <cell r="D351" t="str">
            <v>MZ</v>
          </cell>
          <cell r="E351">
            <v>39</v>
          </cell>
          <cell r="F351">
            <v>1</v>
          </cell>
          <cell r="G351">
            <v>67</v>
          </cell>
        </row>
        <row r="352">
          <cell r="A352" t="str">
            <v>Psco_352</v>
          </cell>
          <cell r="B352">
            <v>351</v>
          </cell>
          <cell r="C352">
            <v>1</v>
          </cell>
          <cell r="D352" t="str">
            <v>TZ</v>
          </cell>
          <cell r="E352">
            <v>13</v>
          </cell>
          <cell r="F352">
            <v>1</v>
          </cell>
          <cell r="G352">
            <v>71</v>
          </cell>
        </row>
        <row r="353">
          <cell r="A353" t="str">
            <v>Psco_463</v>
          </cell>
          <cell r="B353">
            <v>352</v>
          </cell>
          <cell r="C353">
            <v>2</v>
          </cell>
          <cell r="D353" t="str">
            <v>TZ</v>
          </cell>
          <cell r="E353">
            <v>44</v>
          </cell>
          <cell r="F353">
            <v>0</v>
          </cell>
          <cell r="G353">
            <v>98</v>
          </cell>
        </row>
        <row r="354">
          <cell r="A354" t="str">
            <v>Psco_360</v>
          </cell>
          <cell r="B354">
            <v>353</v>
          </cell>
          <cell r="C354">
            <v>1</v>
          </cell>
          <cell r="D354" t="str">
            <v>MZ</v>
          </cell>
          <cell r="E354">
            <v>6</v>
          </cell>
          <cell r="F354">
            <v>1</v>
          </cell>
          <cell r="G354">
            <v>53</v>
          </cell>
        </row>
        <row r="355">
          <cell r="A355" t="str">
            <v>Psco_471</v>
          </cell>
          <cell r="B355">
            <v>354</v>
          </cell>
          <cell r="C355">
            <v>2</v>
          </cell>
          <cell r="D355" t="str">
            <v>TZ</v>
          </cell>
          <cell r="E355">
            <v>53</v>
          </cell>
          <cell r="F355">
            <v>1</v>
          </cell>
          <cell r="G355">
            <v>62</v>
          </cell>
        </row>
        <row r="356">
          <cell r="A356" t="str">
            <v>Psco_368</v>
          </cell>
          <cell r="B356">
            <v>355</v>
          </cell>
          <cell r="C356">
            <v>1</v>
          </cell>
          <cell r="D356" t="str">
            <v>MZ</v>
          </cell>
          <cell r="E356">
            <v>6</v>
          </cell>
          <cell r="F356">
            <v>0</v>
          </cell>
          <cell r="G356">
            <v>98</v>
          </cell>
        </row>
        <row r="357">
          <cell r="A357" t="str">
            <v>Psco_479</v>
          </cell>
          <cell r="B357">
            <v>356</v>
          </cell>
          <cell r="C357">
            <v>2</v>
          </cell>
          <cell r="D357" t="str">
            <v>MZ</v>
          </cell>
          <cell r="E357">
            <v>35</v>
          </cell>
          <cell r="F357">
            <v>1</v>
          </cell>
          <cell r="G357">
            <v>42</v>
          </cell>
        </row>
        <row r="358">
          <cell r="A358" t="str">
            <v>Psco_376</v>
          </cell>
          <cell r="B358">
            <v>357</v>
          </cell>
          <cell r="C358">
            <v>1</v>
          </cell>
          <cell r="D358" t="str">
            <v>MZ</v>
          </cell>
          <cell r="E358">
            <v>6</v>
          </cell>
          <cell r="F358">
            <v>1</v>
          </cell>
          <cell r="G358">
            <v>69</v>
          </cell>
        </row>
        <row r="359">
          <cell r="A359" t="str">
            <v>Psco_487</v>
          </cell>
          <cell r="B359">
            <v>358</v>
          </cell>
          <cell r="C359">
            <v>2</v>
          </cell>
          <cell r="D359" t="str">
            <v>MZ</v>
          </cell>
          <cell r="E359">
            <v>40</v>
          </cell>
          <cell r="F359">
            <v>1</v>
          </cell>
          <cell r="G359">
            <v>49</v>
          </cell>
        </row>
        <row r="360">
          <cell r="A360" t="str">
            <v>Psco_384</v>
          </cell>
          <cell r="B360">
            <v>359</v>
          </cell>
          <cell r="C360">
            <v>1</v>
          </cell>
          <cell r="D360" t="str">
            <v>MZ</v>
          </cell>
          <cell r="E360">
            <v>2</v>
          </cell>
          <cell r="F360">
            <v>1</v>
          </cell>
          <cell r="G360">
            <v>42</v>
          </cell>
        </row>
        <row r="361">
          <cell r="A361" t="str">
            <v>Psco_495</v>
          </cell>
          <cell r="B361">
            <v>360</v>
          </cell>
          <cell r="C361">
            <v>2</v>
          </cell>
          <cell r="D361" t="str">
            <v>MZ</v>
          </cell>
          <cell r="E361">
            <v>27</v>
          </cell>
          <cell r="F361">
            <v>0</v>
          </cell>
          <cell r="G361">
            <v>98</v>
          </cell>
        </row>
        <row r="362">
          <cell r="A362" t="str">
            <v>Psco_990</v>
          </cell>
          <cell r="B362">
            <v>361</v>
          </cell>
          <cell r="C362">
            <v>3</v>
          </cell>
          <cell r="D362" t="str">
            <v>TZ</v>
          </cell>
          <cell r="E362">
            <v>52</v>
          </cell>
          <cell r="F362">
            <v>1</v>
          </cell>
          <cell r="G362">
            <v>94</v>
          </cell>
        </row>
        <row r="363">
          <cell r="A363" t="str">
            <v>Psco_902</v>
          </cell>
          <cell r="B363">
            <v>362</v>
          </cell>
          <cell r="C363">
            <v>3</v>
          </cell>
          <cell r="D363" t="str">
            <v>MZ</v>
          </cell>
          <cell r="E363">
            <v>36</v>
          </cell>
          <cell r="F363">
            <v>0</v>
          </cell>
          <cell r="G363">
            <v>98</v>
          </cell>
        </row>
        <row r="364">
          <cell r="A364" t="str">
            <v>Psco_998</v>
          </cell>
          <cell r="B364">
            <v>363</v>
          </cell>
          <cell r="C364">
            <v>3</v>
          </cell>
          <cell r="D364" t="str">
            <v>TZ</v>
          </cell>
          <cell r="E364">
            <v>42</v>
          </cell>
          <cell r="F364">
            <v>1</v>
          </cell>
          <cell r="G364">
            <v>76</v>
          </cell>
        </row>
        <row r="365">
          <cell r="A365" t="str">
            <v>Psco_910</v>
          </cell>
          <cell r="B365">
            <v>364</v>
          </cell>
          <cell r="C365">
            <v>3</v>
          </cell>
          <cell r="D365" t="str">
            <v>TZ</v>
          </cell>
          <cell r="E365">
            <v>44</v>
          </cell>
          <cell r="F365">
            <v>0</v>
          </cell>
          <cell r="G365">
            <v>98</v>
          </cell>
        </row>
        <row r="366">
          <cell r="A366" t="str">
            <v>Psco_1006</v>
          </cell>
          <cell r="B366">
            <v>365</v>
          </cell>
          <cell r="C366">
            <v>3</v>
          </cell>
          <cell r="D366" t="str">
            <v>TZ</v>
          </cell>
          <cell r="E366">
            <v>50</v>
          </cell>
          <cell r="F366">
            <v>0</v>
          </cell>
          <cell r="G366">
            <v>98</v>
          </cell>
        </row>
        <row r="367">
          <cell r="A367" t="str">
            <v>Psco_918</v>
          </cell>
          <cell r="B367">
            <v>366</v>
          </cell>
          <cell r="C367">
            <v>3</v>
          </cell>
          <cell r="D367" t="str">
            <v>TZ</v>
          </cell>
          <cell r="E367">
            <v>50</v>
          </cell>
          <cell r="F367">
            <v>0</v>
          </cell>
          <cell r="G367">
            <v>98</v>
          </cell>
        </row>
        <row r="368">
          <cell r="A368" t="str">
            <v>Psco_1014</v>
          </cell>
          <cell r="B368">
            <v>367</v>
          </cell>
          <cell r="C368">
            <v>3</v>
          </cell>
          <cell r="D368" t="str">
            <v>TZ</v>
          </cell>
          <cell r="E368">
            <v>44</v>
          </cell>
          <cell r="F368">
            <v>1</v>
          </cell>
          <cell r="G368">
            <v>69</v>
          </cell>
        </row>
        <row r="369">
          <cell r="A369" t="str">
            <v>Psco_926</v>
          </cell>
          <cell r="B369">
            <v>368</v>
          </cell>
          <cell r="C369">
            <v>3</v>
          </cell>
          <cell r="D369" t="str">
            <v>TZ</v>
          </cell>
          <cell r="E369">
            <v>44</v>
          </cell>
          <cell r="F369">
            <v>1</v>
          </cell>
          <cell r="G369">
            <v>66</v>
          </cell>
        </row>
        <row r="370">
          <cell r="A370" t="str">
            <v>Psco_1022</v>
          </cell>
          <cell r="B370">
            <v>369</v>
          </cell>
          <cell r="C370">
            <v>3</v>
          </cell>
          <cell r="D370" t="str">
            <v>TZ</v>
          </cell>
          <cell r="E370">
            <v>42</v>
          </cell>
          <cell r="F370">
            <v>1</v>
          </cell>
          <cell r="G370">
            <v>70</v>
          </cell>
        </row>
        <row r="371">
          <cell r="A371" t="str">
            <v>Psco_1030</v>
          </cell>
          <cell r="B371">
            <v>370</v>
          </cell>
          <cell r="C371">
            <v>3</v>
          </cell>
          <cell r="D371" t="str">
            <v>TZ</v>
          </cell>
          <cell r="E371">
            <v>46</v>
          </cell>
          <cell r="F371">
            <v>1</v>
          </cell>
          <cell r="G371">
            <v>62</v>
          </cell>
        </row>
        <row r="372">
          <cell r="A372" t="str">
            <v>Psco_942</v>
          </cell>
          <cell r="B372">
            <v>371</v>
          </cell>
          <cell r="C372">
            <v>3</v>
          </cell>
          <cell r="D372" t="str">
            <v>TZ</v>
          </cell>
          <cell r="E372">
            <v>50</v>
          </cell>
          <cell r="F372">
            <v>1</v>
          </cell>
          <cell r="G372">
            <v>48</v>
          </cell>
        </row>
        <row r="373">
          <cell r="A373" t="str">
            <v>Psco_1038</v>
          </cell>
          <cell r="B373">
            <v>372</v>
          </cell>
          <cell r="C373">
            <v>3</v>
          </cell>
          <cell r="D373" t="str">
            <v>TZ</v>
          </cell>
          <cell r="E373">
            <v>48</v>
          </cell>
          <cell r="F373">
            <v>1</v>
          </cell>
          <cell r="G373">
            <v>74</v>
          </cell>
        </row>
        <row r="374">
          <cell r="A374" t="str">
            <v>Psco_950</v>
          </cell>
          <cell r="B374">
            <v>373</v>
          </cell>
          <cell r="C374">
            <v>3</v>
          </cell>
          <cell r="D374" t="str">
            <v>TZ</v>
          </cell>
          <cell r="E374">
            <v>50</v>
          </cell>
          <cell r="F374">
            <v>0</v>
          </cell>
          <cell r="G374">
            <v>98</v>
          </cell>
        </row>
        <row r="375">
          <cell r="A375" t="str">
            <v>Psco_1046</v>
          </cell>
          <cell r="B375">
            <v>374</v>
          </cell>
          <cell r="C375">
            <v>3</v>
          </cell>
          <cell r="D375" t="str">
            <v>TZ</v>
          </cell>
          <cell r="E375">
            <v>48</v>
          </cell>
          <cell r="F375">
            <v>0</v>
          </cell>
          <cell r="G375">
            <v>98</v>
          </cell>
        </row>
        <row r="376">
          <cell r="A376" t="str">
            <v>Psco_958</v>
          </cell>
          <cell r="B376">
            <v>375</v>
          </cell>
          <cell r="C376">
            <v>3</v>
          </cell>
          <cell r="D376" t="str">
            <v>TZ</v>
          </cell>
          <cell r="E376">
            <v>44</v>
          </cell>
          <cell r="F376">
            <v>1</v>
          </cell>
          <cell r="G376">
            <v>62</v>
          </cell>
        </row>
        <row r="377">
          <cell r="A377" t="str">
            <v>Psco_1054</v>
          </cell>
          <cell r="B377">
            <v>376</v>
          </cell>
          <cell r="C377">
            <v>3</v>
          </cell>
          <cell r="D377" t="str">
            <v>TZ</v>
          </cell>
          <cell r="E377">
            <v>49</v>
          </cell>
          <cell r="F377">
            <v>1</v>
          </cell>
          <cell r="G377">
            <v>88</v>
          </cell>
        </row>
        <row r="378">
          <cell r="A378" t="str">
            <v>Psco_966</v>
          </cell>
          <cell r="B378">
            <v>377</v>
          </cell>
          <cell r="C378">
            <v>3</v>
          </cell>
          <cell r="D378" t="str">
            <v>TZ</v>
          </cell>
          <cell r="E378">
            <v>41</v>
          </cell>
          <cell r="F378">
            <v>0</v>
          </cell>
          <cell r="G378">
            <v>98</v>
          </cell>
        </row>
        <row r="379">
          <cell r="A379" t="str">
            <v>Psco_974</v>
          </cell>
          <cell r="B379">
            <v>378</v>
          </cell>
          <cell r="C379">
            <v>3</v>
          </cell>
          <cell r="D379" t="str">
            <v>TZ</v>
          </cell>
          <cell r="E379">
            <v>50</v>
          </cell>
          <cell r="F379">
            <v>0</v>
          </cell>
          <cell r="G379">
            <v>98</v>
          </cell>
        </row>
        <row r="380">
          <cell r="A380" t="str">
            <v>Psco_982</v>
          </cell>
          <cell r="B380">
            <v>379</v>
          </cell>
          <cell r="C380">
            <v>3</v>
          </cell>
          <cell r="D380" t="str">
            <v>TZ</v>
          </cell>
          <cell r="E380">
            <v>44</v>
          </cell>
          <cell r="F380">
            <v>0</v>
          </cell>
          <cell r="G380">
            <v>98</v>
          </cell>
        </row>
        <row r="381">
          <cell r="A381" t="str">
            <v>Psco_895</v>
          </cell>
          <cell r="B381">
            <v>380</v>
          </cell>
          <cell r="C381">
            <v>3</v>
          </cell>
          <cell r="D381" t="str">
            <v>MZ</v>
          </cell>
          <cell r="E381">
            <v>36</v>
          </cell>
          <cell r="F381">
            <v>0</v>
          </cell>
          <cell r="G381">
            <v>98</v>
          </cell>
        </row>
        <row r="382">
          <cell r="A382" t="str">
            <v>Psco_991</v>
          </cell>
          <cell r="B382">
            <v>381</v>
          </cell>
          <cell r="C382">
            <v>3</v>
          </cell>
          <cell r="D382" t="str">
            <v>TZ</v>
          </cell>
          <cell r="E382">
            <v>50</v>
          </cell>
          <cell r="F382">
            <v>0</v>
          </cell>
          <cell r="G382">
            <v>98</v>
          </cell>
        </row>
        <row r="383">
          <cell r="A383" t="str">
            <v>Psco_903</v>
          </cell>
          <cell r="B383">
            <v>382</v>
          </cell>
          <cell r="C383">
            <v>3</v>
          </cell>
          <cell r="D383" t="str">
            <v>MZ</v>
          </cell>
          <cell r="E383">
            <v>27</v>
          </cell>
          <cell r="F383">
            <v>1</v>
          </cell>
          <cell r="G383">
            <v>61</v>
          </cell>
        </row>
        <row r="384">
          <cell r="A384" t="str">
            <v>Psco_999</v>
          </cell>
          <cell r="B384">
            <v>383</v>
          </cell>
          <cell r="C384">
            <v>3</v>
          </cell>
          <cell r="D384" t="str">
            <v>TZ</v>
          </cell>
          <cell r="E384">
            <v>49</v>
          </cell>
          <cell r="F384">
            <v>1</v>
          </cell>
          <cell r="G384">
            <v>57</v>
          </cell>
        </row>
        <row r="385">
          <cell r="A385" t="str">
            <v>Psco_911</v>
          </cell>
          <cell r="B385">
            <v>384</v>
          </cell>
          <cell r="C385">
            <v>3</v>
          </cell>
          <cell r="D385" t="str">
            <v>TZ</v>
          </cell>
          <cell r="E385">
            <v>46</v>
          </cell>
          <cell r="F385">
            <v>1</v>
          </cell>
          <cell r="G385">
            <v>89</v>
          </cell>
        </row>
        <row r="386">
          <cell r="A386" t="str">
            <v>Psco_1007</v>
          </cell>
          <cell r="B386">
            <v>385</v>
          </cell>
          <cell r="C386">
            <v>3</v>
          </cell>
          <cell r="D386" t="str">
            <v>TZ</v>
          </cell>
          <cell r="E386">
            <v>49</v>
          </cell>
          <cell r="F386">
            <v>1</v>
          </cell>
          <cell r="G386">
            <v>51</v>
          </cell>
        </row>
        <row r="387">
          <cell r="A387" t="str">
            <v>Psco_919</v>
          </cell>
          <cell r="B387">
            <v>386</v>
          </cell>
          <cell r="C387">
            <v>3</v>
          </cell>
          <cell r="D387" t="str">
            <v>TZ</v>
          </cell>
          <cell r="E387">
            <v>49</v>
          </cell>
          <cell r="F387">
            <v>1</v>
          </cell>
          <cell r="G387">
            <v>75</v>
          </cell>
        </row>
        <row r="388">
          <cell r="A388" t="str">
            <v>Psco_1015</v>
          </cell>
          <cell r="B388">
            <v>387</v>
          </cell>
          <cell r="C388">
            <v>3</v>
          </cell>
          <cell r="D388" t="str">
            <v>TZ</v>
          </cell>
          <cell r="E388">
            <v>44</v>
          </cell>
          <cell r="F388">
            <v>0</v>
          </cell>
          <cell r="G388">
            <v>98</v>
          </cell>
        </row>
        <row r="389">
          <cell r="A389" t="str">
            <v>Psco_927</v>
          </cell>
          <cell r="B389">
            <v>388</v>
          </cell>
          <cell r="C389">
            <v>3</v>
          </cell>
          <cell r="D389" t="str">
            <v>TZ</v>
          </cell>
          <cell r="E389">
            <v>52</v>
          </cell>
          <cell r="F389">
            <v>0</v>
          </cell>
          <cell r="G389">
            <v>98</v>
          </cell>
        </row>
        <row r="390">
          <cell r="A390" t="str">
            <v>Psco_1023</v>
          </cell>
          <cell r="B390">
            <v>389</v>
          </cell>
          <cell r="C390">
            <v>3</v>
          </cell>
          <cell r="D390" t="str">
            <v>TZ</v>
          </cell>
          <cell r="E390">
            <v>50</v>
          </cell>
          <cell r="F390">
            <v>0</v>
          </cell>
          <cell r="G390">
            <v>98</v>
          </cell>
        </row>
        <row r="391">
          <cell r="A391" t="str">
            <v>Psco_935</v>
          </cell>
          <cell r="B391">
            <v>390</v>
          </cell>
          <cell r="C391">
            <v>3</v>
          </cell>
          <cell r="D391" t="str">
            <v>TZ</v>
          </cell>
          <cell r="E391">
            <v>42</v>
          </cell>
          <cell r="F391">
            <v>0</v>
          </cell>
          <cell r="G391">
            <v>98</v>
          </cell>
        </row>
        <row r="392">
          <cell r="A392" t="str">
            <v>Psco_1031</v>
          </cell>
          <cell r="B392">
            <v>391</v>
          </cell>
          <cell r="C392">
            <v>3</v>
          </cell>
          <cell r="D392" t="str">
            <v>TZ</v>
          </cell>
          <cell r="E392">
            <v>44</v>
          </cell>
          <cell r="F392">
            <v>0</v>
          </cell>
          <cell r="G392">
            <v>98</v>
          </cell>
        </row>
        <row r="393">
          <cell r="A393" t="str">
            <v>Psco_943</v>
          </cell>
          <cell r="B393">
            <v>392</v>
          </cell>
          <cell r="C393">
            <v>3</v>
          </cell>
          <cell r="D393" t="str">
            <v>TZ</v>
          </cell>
          <cell r="E393">
            <v>49</v>
          </cell>
          <cell r="F393">
            <v>0</v>
          </cell>
          <cell r="G393">
            <v>98</v>
          </cell>
        </row>
        <row r="394">
          <cell r="A394" t="str">
            <v>Psco_1039</v>
          </cell>
          <cell r="B394">
            <v>393</v>
          </cell>
          <cell r="C394">
            <v>3</v>
          </cell>
          <cell r="D394" t="str">
            <v>TZ</v>
          </cell>
          <cell r="E394">
            <v>54</v>
          </cell>
          <cell r="F394">
            <v>1</v>
          </cell>
          <cell r="G394">
            <v>76</v>
          </cell>
        </row>
        <row r="395">
          <cell r="A395" t="str">
            <v>Psco_951</v>
          </cell>
          <cell r="B395">
            <v>394</v>
          </cell>
          <cell r="C395">
            <v>3</v>
          </cell>
          <cell r="D395" t="str">
            <v>TZ</v>
          </cell>
          <cell r="E395">
            <v>42</v>
          </cell>
          <cell r="F395">
            <v>0</v>
          </cell>
          <cell r="G395">
            <v>98</v>
          </cell>
        </row>
        <row r="396">
          <cell r="A396" t="str">
            <v>Psco_1047</v>
          </cell>
          <cell r="B396">
            <v>395</v>
          </cell>
          <cell r="C396">
            <v>3</v>
          </cell>
          <cell r="D396" t="str">
            <v>TZ</v>
          </cell>
          <cell r="E396">
            <v>44</v>
          </cell>
          <cell r="F396">
            <v>0</v>
          </cell>
          <cell r="G396">
            <v>98</v>
          </cell>
        </row>
        <row r="397">
          <cell r="A397" t="str">
            <v>Psco_959</v>
          </cell>
          <cell r="B397">
            <v>396</v>
          </cell>
          <cell r="C397">
            <v>3</v>
          </cell>
          <cell r="D397" t="str">
            <v>TZ</v>
          </cell>
          <cell r="E397">
            <v>49</v>
          </cell>
          <cell r="F397">
            <v>1</v>
          </cell>
          <cell r="G397">
            <v>60</v>
          </cell>
        </row>
        <row r="398">
          <cell r="A398" t="str">
            <v>Psco_1055</v>
          </cell>
          <cell r="B398">
            <v>397</v>
          </cell>
          <cell r="C398">
            <v>3</v>
          </cell>
          <cell r="D398" t="str">
            <v>TZ</v>
          </cell>
          <cell r="E398">
            <v>50</v>
          </cell>
          <cell r="F398">
            <v>1</v>
          </cell>
          <cell r="G398">
            <v>61</v>
          </cell>
        </row>
        <row r="399">
          <cell r="A399" t="str">
            <v>Psco_967</v>
          </cell>
          <cell r="B399">
            <v>398</v>
          </cell>
          <cell r="C399">
            <v>3</v>
          </cell>
          <cell r="D399" t="str">
            <v>TZ</v>
          </cell>
          <cell r="E399">
            <v>43</v>
          </cell>
          <cell r="F399">
            <v>1</v>
          </cell>
          <cell r="G399">
            <v>69</v>
          </cell>
        </row>
        <row r="400">
          <cell r="A400" t="str">
            <v>Psco_975</v>
          </cell>
          <cell r="B400">
            <v>399</v>
          </cell>
          <cell r="C400">
            <v>3</v>
          </cell>
          <cell r="D400" t="str">
            <v>TZ</v>
          </cell>
          <cell r="E400">
            <v>50</v>
          </cell>
          <cell r="F400">
            <v>1</v>
          </cell>
          <cell r="G400">
            <v>92</v>
          </cell>
        </row>
        <row r="401">
          <cell r="A401" t="str">
            <v>Psco_983</v>
          </cell>
          <cell r="B401">
            <v>400</v>
          </cell>
          <cell r="C401">
            <v>3</v>
          </cell>
          <cell r="D401" t="str">
            <v>TZ</v>
          </cell>
          <cell r="E401">
            <v>50</v>
          </cell>
          <cell r="F401">
            <v>0</v>
          </cell>
          <cell r="G401">
            <v>98</v>
          </cell>
        </row>
        <row r="402">
          <cell r="A402" t="str">
            <v>Psco_896</v>
          </cell>
          <cell r="B402">
            <v>401</v>
          </cell>
          <cell r="C402">
            <v>3</v>
          </cell>
          <cell r="D402" t="str">
            <v>MZ</v>
          </cell>
          <cell r="E402">
            <v>35</v>
          </cell>
          <cell r="F402">
            <v>0</v>
          </cell>
          <cell r="G402">
            <v>98</v>
          </cell>
        </row>
        <row r="403">
          <cell r="A403" t="str">
            <v>Psco_992</v>
          </cell>
          <cell r="B403">
            <v>402</v>
          </cell>
          <cell r="C403">
            <v>3</v>
          </cell>
          <cell r="D403" t="str">
            <v>TZ</v>
          </cell>
          <cell r="E403">
            <v>50</v>
          </cell>
          <cell r="F403">
            <v>1</v>
          </cell>
          <cell r="G403">
            <v>75</v>
          </cell>
        </row>
        <row r="404">
          <cell r="A404" t="str">
            <v>Psco_904</v>
          </cell>
          <cell r="B404">
            <v>403</v>
          </cell>
          <cell r="C404">
            <v>3</v>
          </cell>
          <cell r="D404" t="str">
            <v>MZ</v>
          </cell>
          <cell r="E404">
            <v>34</v>
          </cell>
          <cell r="F404">
            <v>1</v>
          </cell>
          <cell r="G404">
            <v>69</v>
          </cell>
        </row>
        <row r="405">
          <cell r="A405" t="str">
            <v>Psco_1000</v>
          </cell>
          <cell r="B405">
            <v>404</v>
          </cell>
          <cell r="C405">
            <v>3</v>
          </cell>
          <cell r="D405" t="str">
            <v>TZ</v>
          </cell>
          <cell r="E405">
            <v>49</v>
          </cell>
          <cell r="F405">
            <v>1</v>
          </cell>
          <cell r="G405">
            <v>66</v>
          </cell>
        </row>
        <row r="406">
          <cell r="A406" t="str">
            <v>Psco_912</v>
          </cell>
          <cell r="B406">
            <v>405</v>
          </cell>
          <cell r="C406">
            <v>3</v>
          </cell>
          <cell r="D406" t="str">
            <v>TZ</v>
          </cell>
          <cell r="E406">
            <v>48</v>
          </cell>
          <cell r="F406">
            <v>0</v>
          </cell>
          <cell r="G406">
            <v>98</v>
          </cell>
        </row>
        <row r="407">
          <cell r="A407" t="str">
            <v>Psco_1008</v>
          </cell>
          <cell r="B407">
            <v>406</v>
          </cell>
          <cell r="C407">
            <v>3</v>
          </cell>
          <cell r="D407" t="str">
            <v>TZ</v>
          </cell>
          <cell r="E407">
            <v>50</v>
          </cell>
          <cell r="F407">
            <v>1</v>
          </cell>
          <cell r="G407">
            <v>56</v>
          </cell>
        </row>
        <row r="408">
          <cell r="A408" t="str">
            <v>Psco_920</v>
          </cell>
          <cell r="B408">
            <v>407</v>
          </cell>
          <cell r="C408">
            <v>3</v>
          </cell>
          <cell r="D408" t="str">
            <v>TZ</v>
          </cell>
          <cell r="E408">
            <v>51</v>
          </cell>
          <cell r="F408">
            <v>1</v>
          </cell>
          <cell r="G408">
            <v>65</v>
          </cell>
        </row>
        <row r="409">
          <cell r="A409" t="str">
            <v>Psco_1016</v>
          </cell>
          <cell r="B409">
            <v>408</v>
          </cell>
          <cell r="C409">
            <v>3</v>
          </cell>
          <cell r="D409" t="str">
            <v>TZ</v>
          </cell>
          <cell r="E409">
            <v>49</v>
          </cell>
          <cell r="F409">
            <v>1</v>
          </cell>
          <cell r="G409">
            <v>60</v>
          </cell>
        </row>
        <row r="410">
          <cell r="A410" t="str">
            <v>Psco_928</v>
          </cell>
          <cell r="B410">
            <v>409</v>
          </cell>
          <cell r="C410">
            <v>3</v>
          </cell>
          <cell r="D410" t="str">
            <v>TZ</v>
          </cell>
          <cell r="E410">
            <v>51</v>
          </cell>
          <cell r="F410">
            <v>0</v>
          </cell>
          <cell r="G410">
            <v>98</v>
          </cell>
        </row>
        <row r="411">
          <cell r="A411" t="str">
            <v>Psco_1024</v>
          </cell>
          <cell r="B411">
            <v>410</v>
          </cell>
          <cell r="C411">
            <v>3</v>
          </cell>
          <cell r="D411" t="str">
            <v>TZ</v>
          </cell>
          <cell r="E411">
            <v>50</v>
          </cell>
          <cell r="F411">
            <v>1</v>
          </cell>
          <cell r="G411">
            <v>54</v>
          </cell>
        </row>
        <row r="412">
          <cell r="A412" t="str">
            <v>Psco_936</v>
          </cell>
          <cell r="B412">
            <v>411</v>
          </cell>
          <cell r="C412">
            <v>3</v>
          </cell>
          <cell r="D412" t="str">
            <v>TZ</v>
          </cell>
          <cell r="E412">
            <v>50</v>
          </cell>
          <cell r="F412">
            <v>0</v>
          </cell>
          <cell r="G412">
            <v>98</v>
          </cell>
        </row>
        <row r="413">
          <cell r="A413" t="str">
            <v>Psco_1032</v>
          </cell>
          <cell r="B413">
            <v>412</v>
          </cell>
          <cell r="C413">
            <v>3</v>
          </cell>
          <cell r="D413" t="str">
            <v>TZ</v>
          </cell>
          <cell r="E413">
            <v>53</v>
          </cell>
          <cell r="F413">
            <v>0</v>
          </cell>
          <cell r="G413">
            <v>98</v>
          </cell>
        </row>
        <row r="414">
          <cell r="A414" t="str">
            <v>Psco_944</v>
          </cell>
          <cell r="B414">
            <v>413</v>
          </cell>
          <cell r="C414">
            <v>3</v>
          </cell>
          <cell r="D414" t="str">
            <v>TZ</v>
          </cell>
          <cell r="E414">
            <v>49</v>
          </cell>
          <cell r="F414">
            <v>0</v>
          </cell>
          <cell r="G414">
            <v>98</v>
          </cell>
        </row>
        <row r="415">
          <cell r="A415" t="str">
            <v>Psco_1040</v>
          </cell>
          <cell r="B415">
            <v>414</v>
          </cell>
          <cell r="C415">
            <v>3</v>
          </cell>
          <cell r="D415" t="str">
            <v>TZ</v>
          </cell>
          <cell r="E415">
            <v>50</v>
          </cell>
          <cell r="F415">
            <v>1</v>
          </cell>
          <cell r="G415">
            <v>89</v>
          </cell>
        </row>
        <row r="416">
          <cell r="A416" t="str">
            <v>Psco_952</v>
          </cell>
          <cell r="B416">
            <v>415</v>
          </cell>
          <cell r="C416">
            <v>3</v>
          </cell>
          <cell r="D416" t="str">
            <v>TZ</v>
          </cell>
          <cell r="E416">
            <v>48</v>
          </cell>
          <cell r="F416">
            <v>1</v>
          </cell>
          <cell r="G416">
            <v>91</v>
          </cell>
        </row>
        <row r="417">
          <cell r="A417" t="str">
            <v>Psco_1048</v>
          </cell>
          <cell r="B417">
            <v>416</v>
          </cell>
          <cell r="C417">
            <v>3</v>
          </cell>
          <cell r="D417" t="str">
            <v>TZ</v>
          </cell>
          <cell r="E417">
            <v>45</v>
          </cell>
          <cell r="F417">
            <v>0</v>
          </cell>
          <cell r="G417">
            <v>98</v>
          </cell>
        </row>
        <row r="418">
          <cell r="A418" t="str">
            <v>Psco_960</v>
          </cell>
          <cell r="B418">
            <v>417</v>
          </cell>
          <cell r="C418">
            <v>3</v>
          </cell>
          <cell r="D418" t="str">
            <v>TZ</v>
          </cell>
          <cell r="E418">
            <v>42</v>
          </cell>
          <cell r="F418">
            <v>1</v>
          </cell>
          <cell r="G418">
            <v>88</v>
          </cell>
        </row>
        <row r="419">
          <cell r="A419" t="str">
            <v>Psco_1056</v>
          </cell>
          <cell r="B419">
            <v>418</v>
          </cell>
          <cell r="C419">
            <v>3</v>
          </cell>
          <cell r="D419" t="str">
            <v>TZ</v>
          </cell>
          <cell r="E419">
            <v>42</v>
          </cell>
          <cell r="F419">
            <v>0</v>
          </cell>
          <cell r="G419">
            <v>98</v>
          </cell>
        </row>
        <row r="420">
          <cell r="A420" t="str">
            <v>Psco_968</v>
          </cell>
          <cell r="B420">
            <v>419</v>
          </cell>
          <cell r="C420">
            <v>3</v>
          </cell>
          <cell r="D420" t="str">
            <v>TZ</v>
          </cell>
          <cell r="E420">
            <v>54</v>
          </cell>
          <cell r="F420">
            <v>0</v>
          </cell>
          <cell r="G420">
            <v>98</v>
          </cell>
        </row>
        <row r="421">
          <cell r="A421" t="str">
            <v>Psco_976</v>
          </cell>
          <cell r="B421">
            <v>420</v>
          </cell>
          <cell r="C421">
            <v>3</v>
          </cell>
          <cell r="D421" t="str">
            <v>TZ</v>
          </cell>
          <cell r="E421">
            <v>53</v>
          </cell>
          <cell r="F421">
            <v>0</v>
          </cell>
          <cell r="G421">
            <v>98</v>
          </cell>
        </row>
        <row r="422">
          <cell r="A422" t="str">
            <v>Psco_984</v>
          </cell>
          <cell r="B422">
            <v>421</v>
          </cell>
          <cell r="C422">
            <v>3</v>
          </cell>
          <cell r="D422" t="str">
            <v>TZ</v>
          </cell>
          <cell r="E422">
            <v>42</v>
          </cell>
          <cell r="F422">
            <v>0</v>
          </cell>
          <cell r="G422">
            <v>98</v>
          </cell>
        </row>
        <row r="423">
          <cell r="A423" t="str">
            <v>Psco_897</v>
          </cell>
          <cell r="B423">
            <v>422</v>
          </cell>
          <cell r="C423">
            <v>3</v>
          </cell>
          <cell r="D423" t="str">
            <v>MZ</v>
          </cell>
          <cell r="E423">
            <v>31</v>
          </cell>
          <cell r="F423">
            <v>1</v>
          </cell>
          <cell r="G423">
            <v>64</v>
          </cell>
        </row>
        <row r="424">
          <cell r="A424" t="str">
            <v>Psco_993</v>
          </cell>
          <cell r="B424">
            <v>423</v>
          </cell>
          <cell r="C424">
            <v>3</v>
          </cell>
          <cell r="D424" t="str">
            <v>TZ</v>
          </cell>
          <cell r="E424">
            <v>48</v>
          </cell>
          <cell r="F424">
            <v>1</v>
          </cell>
          <cell r="G424">
            <v>58</v>
          </cell>
        </row>
        <row r="425">
          <cell r="A425" t="str">
            <v>Psco_905</v>
          </cell>
          <cell r="B425">
            <v>424</v>
          </cell>
          <cell r="C425">
            <v>3</v>
          </cell>
          <cell r="D425" t="str">
            <v>MZ</v>
          </cell>
          <cell r="E425">
            <v>29</v>
          </cell>
          <cell r="F425">
            <v>0</v>
          </cell>
          <cell r="G425">
            <v>98</v>
          </cell>
        </row>
        <row r="426">
          <cell r="A426" t="str">
            <v>Psco_1001</v>
          </cell>
          <cell r="B426">
            <v>425</v>
          </cell>
          <cell r="C426">
            <v>3</v>
          </cell>
          <cell r="D426" t="str">
            <v>TZ</v>
          </cell>
          <cell r="E426">
            <v>52</v>
          </cell>
          <cell r="F426">
            <v>1</v>
          </cell>
          <cell r="G426">
            <v>57</v>
          </cell>
        </row>
        <row r="427">
          <cell r="A427" t="str">
            <v>Psco_913</v>
          </cell>
          <cell r="B427">
            <v>426</v>
          </cell>
          <cell r="C427">
            <v>3</v>
          </cell>
          <cell r="D427" t="str">
            <v>TZ</v>
          </cell>
          <cell r="E427">
            <v>50</v>
          </cell>
          <cell r="F427">
            <v>0</v>
          </cell>
          <cell r="G427">
            <v>98</v>
          </cell>
        </row>
        <row r="428">
          <cell r="A428" t="str">
            <v>Psco_1009</v>
          </cell>
          <cell r="B428">
            <v>427</v>
          </cell>
          <cell r="C428">
            <v>3</v>
          </cell>
          <cell r="D428" t="str">
            <v>TZ</v>
          </cell>
          <cell r="E428">
            <v>49</v>
          </cell>
          <cell r="F428">
            <v>1</v>
          </cell>
          <cell r="G428">
            <v>63</v>
          </cell>
        </row>
        <row r="429">
          <cell r="A429" t="str">
            <v>Psco_921</v>
          </cell>
          <cell r="B429">
            <v>428</v>
          </cell>
          <cell r="C429">
            <v>3</v>
          </cell>
          <cell r="D429" t="str">
            <v>TZ</v>
          </cell>
          <cell r="E429">
            <v>53</v>
          </cell>
          <cell r="F429">
            <v>1</v>
          </cell>
          <cell r="G429">
            <v>62</v>
          </cell>
        </row>
        <row r="430">
          <cell r="A430" t="str">
            <v>Psco_1017</v>
          </cell>
          <cell r="B430">
            <v>429</v>
          </cell>
          <cell r="C430">
            <v>3</v>
          </cell>
          <cell r="D430" t="str">
            <v>TZ</v>
          </cell>
          <cell r="E430">
            <v>50</v>
          </cell>
          <cell r="F430">
            <v>0</v>
          </cell>
          <cell r="G430">
            <v>98</v>
          </cell>
        </row>
        <row r="431">
          <cell r="A431" t="str">
            <v>Psco_929</v>
          </cell>
          <cell r="B431">
            <v>430</v>
          </cell>
          <cell r="C431">
            <v>3</v>
          </cell>
          <cell r="D431" t="str">
            <v>TZ</v>
          </cell>
          <cell r="E431">
            <v>43</v>
          </cell>
          <cell r="F431">
            <v>1</v>
          </cell>
          <cell r="G431">
            <v>68</v>
          </cell>
        </row>
        <row r="432">
          <cell r="A432" t="str">
            <v>Psco_1025</v>
          </cell>
          <cell r="B432">
            <v>431</v>
          </cell>
          <cell r="C432">
            <v>3</v>
          </cell>
          <cell r="D432" t="str">
            <v>TZ</v>
          </cell>
          <cell r="E432">
            <v>42</v>
          </cell>
          <cell r="F432">
            <v>1</v>
          </cell>
          <cell r="G432">
            <v>65</v>
          </cell>
        </row>
        <row r="433">
          <cell r="A433" t="str">
            <v>Psco_937</v>
          </cell>
          <cell r="B433">
            <v>432</v>
          </cell>
          <cell r="C433">
            <v>3</v>
          </cell>
          <cell r="D433" t="str">
            <v>TZ</v>
          </cell>
          <cell r="E433">
            <v>50</v>
          </cell>
          <cell r="F433">
            <v>0</v>
          </cell>
          <cell r="G433">
            <v>98</v>
          </cell>
        </row>
        <row r="434">
          <cell r="A434" t="str">
            <v>Psco_1033</v>
          </cell>
          <cell r="B434">
            <v>433</v>
          </cell>
          <cell r="C434">
            <v>3</v>
          </cell>
          <cell r="D434" t="str">
            <v>TZ</v>
          </cell>
          <cell r="E434">
            <v>45</v>
          </cell>
          <cell r="F434">
            <v>0</v>
          </cell>
          <cell r="G434">
            <v>98</v>
          </cell>
        </row>
        <row r="435">
          <cell r="A435" t="str">
            <v>Psco_945</v>
          </cell>
          <cell r="B435">
            <v>434</v>
          </cell>
          <cell r="C435">
            <v>3</v>
          </cell>
          <cell r="D435" t="str">
            <v>TZ</v>
          </cell>
          <cell r="E435">
            <v>42</v>
          </cell>
          <cell r="F435">
            <v>0</v>
          </cell>
          <cell r="G435">
            <v>98</v>
          </cell>
        </row>
        <row r="436">
          <cell r="A436" t="str">
            <v>Psco_1041</v>
          </cell>
          <cell r="B436">
            <v>435</v>
          </cell>
          <cell r="C436">
            <v>3</v>
          </cell>
          <cell r="D436" t="str">
            <v>TZ</v>
          </cell>
          <cell r="E436">
            <v>42</v>
          </cell>
          <cell r="F436">
            <v>0</v>
          </cell>
          <cell r="G436">
            <v>98</v>
          </cell>
        </row>
        <row r="437">
          <cell r="A437" t="str">
            <v>Psco_953</v>
          </cell>
          <cell r="B437">
            <v>436</v>
          </cell>
          <cell r="C437">
            <v>3</v>
          </cell>
          <cell r="D437" t="str">
            <v>TZ</v>
          </cell>
          <cell r="E437">
            <v>41</v>
          </cell>
          <cell r="F437">
            <v>0</v>
          </cell>
          <cell r="G437">
            <v>98</v>
          </cell>
        </row>
        <row r="438">
          <cell r="A438" t="str">
            <v>Psco_1049</v>
          </cell>
          <cell r="B438">
            <v>437</v>
          </cell>
          <cell r="C438">
            <v>3</v>
          </cell>
          <cell r="D438" t="str">
            <v>TZ</v>
          </cell>
          <cell r="E438">
            <v>49</v>
          </cell>
          <cell r="F438">
            <v>0</v>
          </cell>
          <cell r="G438">
            <v>98</v>
          </cell>
        </row>
        <row r="439">
          <cell r="A439" t="str">
            <v>Psco_961</v>
          </cell>
          <cell r="B439">
            <v>438</v>
          </cell>
          <cell r="C439">
            <v>3</v>
          </cell>
          <cell r="D439" t="str">
            <v>TZ</v>
          </cell>
          <cell r="E439">
            <v>50</v>
          </cell>
          <cell r="F439">
            <v>1</v>
          </cell>
          <cell r="G439">
            <v>88</v>
          </cell>
        </row>
        <row r="440">
          <cell r="A440" t="str">
            <v>Psco_1057</v>
          </cell>
          <cell r="B440">
            <v>439</v>
          </cell>
          <cell r="C440">
            <v>3</v>
          </cell>
          <cell r="D440" t="str">
            <v>TZ</v>
          </cell>
          <cell r="E440">
            <v>54</v>
          </cell>
          <cell r="F440">
            <v>0</v>
          </cell>
          <cell r="G440">
            <v>98</v>
          </cell>
        </row>
        <row r="441">
          <cell r="A441" t="str">
            <v>Psco_985</v>
          </cell>
          <cell r="B441">
            <v>440</v>
          </cell>
          <cell r="C441">
            <v>3</v>
          </cell>
          <cell r="D441" t="str">
            <v>TZ</v>
          </cell>
          <cell r="E441">
            <v>52</v>
          </cell>
          <cell r="F441">
            <v>0</v>
          </cell>
          <cell r="G441">
            <v>98</v>
          </cell>
        </row>
        <row r="442">
          <cell r="A442" t="str">
            <v>Psco_898</v>
          </cell>
          <cell r="B442">
            <v>441</v>
          </cell>
          <cell r="C442">
            <v>3</v>
          </cell>
          <cell r="D442" t="str">
            <v>MZ</v>
          </cell>
          <cell r="E442">
            <v>40</v>
          </cell>
          <cell r="F442">
            <v>0</v>
          </cell>
          <cell r="G442">
            <v>98</v>
          </cell>
        </row>
        <row r="443">
          <cell r="A443" t="str">
            <v>Psco_994</v>
          </cell>
          <cell r="B443">
            <v>442</v>
          </cell>
          <cell r="C443">
            <v>3</v>
          </cell>
          <cell r="D443" t="str">
            <v>TZ</v>
          </cell>
          <cell r="E443">
            <v>50</v>
          </cell>
          <cell r="F443">
            <v>0</v>
          </cell>
          <cell r="G443">
            <v>98</v>
          </cell>
        </row>
        <row r="444">
          <cell r="A444" t="str">
            <v>Psco_906</v>
          </cell>
          <cell r="B444">
            <v>443</v>
          </cell>
          <cell r="C444">
            <v>3</v>
          </cell>
          <cell r="D444" t="str">
            <v>MZ</v>
          </cell>
          <cell r="E444">
            <v>29</v>
          </cell>
          <cell r="F444">
            <v>0</v>
          </cell>
          <cell r="G444">
            <v>98</v>
          </cell>
        </row>
        <row r="445">
          <cell r="A445" t="str">
            <v>Psco_1002</v>
          </cell>
          <cell r="B445">
            <v>444</v>
          </cell>
          <cell r="C445">
            <v>3</v>
          </cell>
          <cell r="D445" t="str">
            <v>TZ</v>
          </cell>
          <cell r="E445">
            <v>46</v>
          </cell>
          <cell r="F445">
            <v>1</v>
          </cell>
          <cell r="G445">
            <v>60</v>
          </cell>
        </row>
        <row r="446">
          <cell r="A446" t="str">
            <v>Psco_914</v>
          </cell>
          <cell r="B446">
            <v>445</v>
          </cell>
          <cell r="C446">
            <v>3</v>
          </cell>
          <cell r="D446" t="str">
            <v>TZ</v>
          </cell>
          <cell r="E446">
            <v>52</v>
          </cell>
          <cell r="F446">
            <v>1</v>
          </cell>
          <cell r="G446">
            <v>85</v>
          </cell>
        </row>
        <row r="447">
          <cell r="A447" t="str">
            <v>Psco_1010</v>
          </cell>
          <cell r="B447">
            <v>446</v>
          </cell>
          <cell r="C447">
            <v>3</v>
          </cell>
          <cell r="D447" t="str">
            <v>TZ</v>
          </cell>
          <cell r="E447">
            <v>46</v>
          </cell>
          <cell r="F447">
            <v>0</v>
          </cell>
          <cell r="G447">
            <v>98</v>
          </cell>
        </row>
        <row r="448">
          <cell r="A448" t="str">
            <v>Psco_922</v>
          </cell>
          <cell r="B448">
            <v>447</v>
          </cell>
          <cell r="C448">
            <v>3</v>
          </cell>
          <cell r="D448" t="str">
            <v>TZ</v>
          </cell>
          <cell r="E448">
            <v>50</v>
          </cell>
          <cell r="F448">
            <v>1</v>
          </cell>
          <cell r="G448">
            <v>60</v>
          </cell>
        </row>
        <row r="449">
          <cell r="A449" t="str">
            <v>Psco_1018</v>
          </cell>
          <cell r="B449">
            <v>448</v>
          </cell>
          <cell r="C449">
            <v>3</v>
          </cell>
          <cell r="D449" t="str">
            <v>TZ</v>
          </cell>
          <cell r="E449">
            <v>42</v>
          </cell>
          <cell r="F449">
            <v>1</v>
          </cell>
          <cell r="G449">
            <v>55</v>
          </cell>
        </row>
        <row r="450">
          <cell r="A450" t="str">
            <v>Psco_930</v>
          </cell>
          <cell r="B450">
            <v>449</v>
          </cell>
          <cell r="C450">
            <v>3</v>
          </cell>
          <cell r="D450" t="str">
            <v>TZ</v>
          </cell>
          <cell r="E450">
            <v>53</v>
          </cell>
          <cell r="F450">
            <v>0</v>
          </cell>
          <cell r="G450">
            <v>98</v>
          </cell>
        </row>
        <row r="451">
          <cell r="A451" t="str">
            <v>Psco_1026</v>
          </cell>
          <cell r="B451">
            <v>450</v>
          </cell>
          <cell r="C451">
            <v>3</v>
          </cell>
          <cell r="D451" t="str">
            <v>TZ</v>
          </cell>
          <cell r="E451">
            <v>49</v>
          </cell>
          <cell r="F451">
            <v>0</v>
          </cell>
          <cell r="G451">
            <v>98</v>
          </cell>
        </row>
        <row r="452">
          <cell r="A452" t="str">
            <v>Psco_938</v>
          </cell>
          <cell r="B452">
            <v>451</v>
          </cell>
          <cell r="C452">
            <v>3</v>
          </cell>
          <cell r="D452" t="str">
            <v>TZ</v>
          </cell>
          <cell r="E452">
            <v>44</v>
          </cell>
          <cell r="F452">
            <v>1</v>
          </cell>
          <cell r="G452">
            <v>67</v>
          </cell>
        </row>
        <row r="453">
          <cell r="A453" t="str">
            <v>Psco_1034</v>
          </cell>
          <cell r="B453">
            <v>452</v>
          </cell>
          <cell r="C453">
            <v>3</v>
          </cell>
          <cell r="D453" t="str">
            <v>TZ</v>
          </cell>
          <cell r="E453">
            <v>42</v>
          </cell>
          <cell r="F453">
            <v>1</v>
          </cell>
          <cell r="G453">
            <v>88</v>
          </cell>
        </row>
        <row r="454">
          <cell r="A454" t="str">
            <v>Psco_946</v>
          </cell>
          <cell r="B454">
            <v>453</v>
          </cell>
          <cell r="C454">
            <v>3</v>
          </cell>
          <cell r="D454" t="str">
            <v>TZ</v>
          </cell>
          <cell r="E454">
            <v>53</v>
          </cell>
          <cell r="F454">
            <v>0</v>
          </cell>
          <cell r="G454">
            <v>98</v>
          </cell>
        </row>
        <row r="455">
          <cell r="A455" t="str">
            <v>Psco_1042</v>
          </cell>
          <cell r="B455">
            <v>454</v>
          </cell>
          <cell r="C455">
            <v>3</v>
          </cell>
          <cell r="D455" t="str">
            <v>TZ</v>
          </cell>
          <cell r="E455">
            <v>45</v>
          </cell>
          <cell r="F455">
            <v>1</v>
          </cell>
          <cell r="G455">
            <v>74</v>
          </cell>
        </row>
        <row r="456">
          <cell r="A456" t="str">
            <v>Psco_954</v>
          </cell>
          <cell r="B456">
            <v>455</v>
          </cell>
          <cell r="C456">
            <v>3</v>
          </cell>
          <cell r="D456" t="str">
            <v>TZ</v>
          </cell>
          <cell r="E456">
            <v>48</v>
          </cell>
          <cell r="F456">
            <v>1</v>
          </cell>
          <cell r="G456">
            <v>81</v>
          </cell>
        </row>
        <row r="457">
          <cell r="A457" t="str">
            <v>Psco_1050</v>
          </cell>
          <cell r="B457">
            <v>456</v>
          </cell>
          <cell r="C457">
            <v>3</v>
          </cell>
          <cell r="D457" t="str">
            <v>TZ</v>
          </cell>
          <cell r="E457">
            <v>53</v>
          </cell>
          <cell r="F457">
            <v>0</v>
          </cell>
          <cell r="G457">
            <v>98</v>
          </cell>
        </row>
        <row r="458">
          <cell r="A458" t="str">
            <v>Psco_962</v>
          </cell>
          <cell r="B458">
            <v>457</v>
          </cell>
          <cell r="C458">
            <v>3</v>
          </cell>
          <cell r="D458" t="str">
            <v>TZ</v>
          </cell>
          <cell r="E458">
            <v>45</v>
          </cell>
          <cell r="F458">
            <v>0</v>
          </cell>
          <cell r="G458">
            <v>98</v>
          </cell>
        </row>
        <row r="459">
          <cell r="A459" t="str">
            <v>Psco_1058</v>
          </cell>
          <cell r="B459">
            <v>458</v>
          </cell>
          <cell r="C459">
            <v>3</v>
          </cell>
          <cell r="D459" t="str">
            <v>TZ</v>
          </cell>
          <cell r="E459">
            <v>50</v>
          </cell>
          <cell r="F459">
            <v>1</v>
          </cell>
          <cell r="G459">
            <v>57</v>
          </cell>
        </row>
        <row r="460">
          <cell r="A460" t="str">
            <v>Psco_970</v>
          </cell>
          <cell r="B460">
            <v>459</v>
          </cell>
          <cell r="C460">
            <v>3</v>
          </cell>
          <cell r="D460" t="str">
            <v>TZ</v>
          </cell>
          <cell r="E460">
            <v>47</v>
          </cell>
          <cell r="F460">
            <v>1</v>
          </cell>
          <cell r="G460">
            <v>66</v>
          </cell>
        </row>
        <row r="461">
          <cell r="A461" t="str">
            <v>Psco_978</v>
          </cell>
          <cell r="B461">
            <v>460</v>
          </cell>
          <cell r="C461">
            <v>3</v>
          </cell>
          <cell r="D461" t="str">
            <v>TZ</v>
          </cell>
          <cell r="E461">
            <v>50</v>
          </cell>
          <cell r="F461">
            <v>1</v>
          </cell>
          <cell r="G461">
            <v>63</v>
          </cell>
        </row>
        <row r="462">
          <cell r="A462" t="str">
            <v>Psco_986</v>
          </cell>
          <cell r="B462">
            <v>461</v>
          </cell>
          <cell r="C462">
            <v>3</v>
          </cell>
          <cell r="D462" t="str">
            <v>TZ</v>
          </cell>
          <cell r="E462">
            <v>51</v>
          </cell>
          <cell r="F462">
            <v>1</v>
          </cell>
          <cell r="G462">
            <v>86</v>
          </cell>
        </row>
        <row r="463">
          <cell r="A463" t="str">
            <v>Psco_899</v>
          </cell>
          <cell r="B463">
            <v>462</v>
          </cell>
          <cell r="C463">
            <v>3</v>
          </cell>
          <cell r="D463" t="str">
            <v>MZ</v>
          </cell>
          <cell r="E463">
            <v>32</v>
          </cell>
          <cell r="F463">
            <v>1</v>
          </cell>
          <cell r="G463">
            <v>89</v>
          </cell>
        </row>
        <row r="464">
          <cell r="A464" t="str">
            <v>Psco_995</v>
          </cell>
          <cell r="B464">
            <v>463</v>
          </cell>
          <cell r="C464">
            <v>3</v>
          </cell>
          <cell r="D464" t="str">
            <v>TZ</v>
          </cell>
          <cell r="E464">
            <v>44</v>
          </cell>
          <cell r="F464">
            <v>1</v>
          </cell>
          <cell r="G464">
            <v>52</v>
          </cell>
        </row>
        <row r="465">
          <cell r="A465" t="str">
            <v>Psco_907</v>
          </cell>
          <cell r="B465">
            <v>464</v>
          </cell>
          <cell r="C465">
            <v>3</v>
          </cell>
          <cell r="D465" t="str">
            <v>MZ</v>
          </cell>
          <cell r="E465">
            <v>21</v>
          </cell>
          <cell r="F465">
            <v>0</v>
          </cell>
          <cell r="G465">
            <v>98</v>
          </cell>
        </row>
        <row r="466">
          <cell r="A466" t="str">
            <v>Psco_1003</v>
          </cell>
          <cell r="B466">
            <v>465</v>
          </cell>
          <cell r="C466">
            <v>3</v>
          </cell>
          <cell r="D466" t="str">
            <v>TZ</v>
          </cell>
          <cell r="E466">
            <v>52</v>
          </cell>
          <cell r="F466">
            <v>0</v>
          </cell>
          <cell r="G466">
            <v>98</v>
          </cell>
        </row>
        <row r="467">
          <cell r="A467" t="str">
            <v>Psco_915</v>
          </cell>
          <cell r="B467">
            <v>466</v>
          </cell>
          <cell r="C467">
            <v>3</v>
          </cell>
          <cell r="D467" t="str">
            <v>TZ</v>
          </cell>
          <cell r="E467">
            <v>54</v>
          </cell>
          <cell r="F467">
            <v>0</v>
          </cell>
          <cell r="G467">
            <v>98</v>
          </cell>
        </row>
        <row r="468">
          <cell r="A468" t="str">
            <v>Psco_1011</v>
          </cell>
          <cell r="B468">
            <v>467</v>
          </cell>
          <cell r="C468">
            <v>3</v>
          </cell>
          <cell r="D468" t="str">
            <v>TZ</v>
          </cell>
          <cell r="E468">
            <v>42</v>
          </cell>
          <cell r="F468">
            <v>0</v>
          </cell>
          <cell r="G468">
            <v>98</v>
          </cell>
        </row>
        <row r="469">
          <cell r="A469" t="str">
            <v>Psco_923</v>
          </cell>
          <cell r="B469">
            <v>468</v>
          </cell>
          <cell r="C469">
            <v>3</v>
          </cell>
          <cell r="D469" t="str">
            <v>TZ</v>
          </cell>
          <cell r="E469">
            <v>44</v>
          </cell>
          <cell r="F469">
            <v>0</v>
          </cell>
          <cell r="G469">
            <v>98</v>
          </cell>
        </row>
        <row r="470">
          <cell r="A470" t="str">
            <v>Psco_1019</v>
          </cell>
          <cell r="B470">
            <v>469</v>
          </cell>
          <cell r="C470">
            <v>3</v>
          </cell>
          <cell r="D470" t="str">
            <v>TZ</v>
          </cell>
          <cell r="E470">
            <v>47</v>
          </cell>
          <cell r="F470">
            <v>1</v>
          </cell>
          <cell r="G470">
            <v>60</v>
          </cell>
        </row>
        <row r="471">
          <cell r="A471" t="str">
            <v>Psco_931</v>
          </cell>
          <cell r="B471">
            <v>470</v>
          </cell>
          <cell r="C471">
            <v>3</v>
          </cell>
          <cell r="D471" t="str">
            <v>TZ</v>
          </cell>
          <cell r="E471">
            <v>49</v>
          </cell>
          <cell r="F471">
            <v>0</v>
          </cell>
          <cell r="G471">
            <v>98</v>
          </cell>
        </row>
        <row r="472">
          <cell r="A472" t="str">
            <v>Psco_1027</v>
          </cell>
          <cell r="B472">
            <v>471</v>
          </cell>
          <cell r="C472">
            <v>3</v>
          </cell>
          <cell r="D472" t="str">
            <v>TZ</v>
          </cell>
          <cell r="E472">
            <v>54</v>
          </cell>
          <cell r="F472">
            <v>0</v>
          </cell>
          <cell r="G472">
            <v>98</v>
          </cell>
        </row>
        <row r="473">
          <cell r="A473" t="str">
            <v>Psco_939</v>
          </cell>
          <cell r="B473">
            <v>472</v>
          </cell>
          <cell r="C473">
            <v>3</v>
          </cell>
          <cell r="D473" t="str">
            <v>TZ</v>
          </cell>
          <cell r="E473">
            <v>46</v>
          </cell>
          <cell r="F473">
            <v>0</v>
          </cell>
          <cell r="G473">
            <v>98</v>
          </cell>
        </row>
        <row r="474">
          <cell r="A474" t="str">
            <v>Psco_1035</v>
          </cell>
          <cell r="B474">
            <v>473</v>
          </cell>
          <cell r="C474">
            <v>3</v>
          </cell>
          <cell r="D474" t="str">
            <v>TZ</v>
          </cell>
          <cell r="E474">
            <v>51</v>
          </cell>
          <cell r="F474">
            <v>0</v>
          </cell>
          <cell r="G474">
            <v>98</v>
          </cell>
        </row>
        <row r="475">
          <cell r="A475" t="str">
            <v>Psco_947</v>
          </cell>
          <cell r="B475">
            <v>474</v>
          </cell>
          <cell r="C475">
            <v>3</v>
          </cell>
          <cell r="D475" t="str">
            <v>TZ</v>
          </cell>
          <cell r="E475">
            <v>54</v>
          </cell>
          <cell r="F475">
            <v>0</v>
          </cell>
          <cell r="G475">
            <v>98</v>
          </cell>
        </row>
        <row r="476">
          <cell r="A476" t="str">
            <v>Psco_1043</v>
          </cell>
          <cell r="B476">
            <v>475</v>
          </cell>
          <cell r="C476">
            <v>3</v>
          </cell>
          <cell r="D476" t="str">
            <v>TZ</v>
          </cell>
          <cell r="E476">
            <v>44</v>
          </cell>
          <cell r="F476">
            <v>1</v>
          </cell>
          <cell r="G476">
            <v>58</v>
          </cell>
        </row>
        <row r="477">
          <cell r="A477" t="str">
            <v>Psco_955</v>
          </cell>
          <cell r="B477">
            <v>476</v>
          </cell>
          <cell r="C477">
            <v>3</v>
          </cell>
          <cell r="D477" t="str">
            <v>TZ</v>
          </cell>
          <cell r="E477">
            <v>45</v>
          </cell>
          <cell r="F477">
            <v>1</v>
          </cell>
          <cell r="G477">
            <v>86</v>
          </cell>
        </row>
        <row r="478">
          <cell r="A478" t="str">
            <v>Psco_963</v>
          </cell>
          <cell r="B478">
            <v>477</v>
          </cell>
          <cell r="C478">
            <v>3</v>
          </cell>
          <cell r="D478" t="str">
            <v>TZ</v>
          </cell>
          <cell r="E478">
            <v>49</v>
          </cell>
          <cell r="F478">
            <v>0</v>
          </cell>
          <cell r="G478">
            <v>98</v>
          </cell>
        </row>
        <row r="479">
          <cell r="A479" t="str">
            <v>Psco_971</v>
          </cell>
          <cell r="B479">
            <v>478</v>
          </cell>
          <cell r="C479">
            <v>3</v>
          </cell>
          <cell r="D479" t="str">
            <v>TZ</v>
          </cell>
          <cell r="E479">
            <v>42</v>
          </cell>
          <cell r="F479">
            <v>1</v>
          </cell>
          <cell r="G479">
            <v>66</v>
          </cell>
        </row>
        <row r="480">
          <cell r="A480" t="str">
            <v>Psco_979</v>
          </cell>
          <cell r="B480">
            <v>479</v>
          </cell>
          <cell r="C480">
            <v>3</v>
          </cell>
          <cell r="D480" t="str">
            <v>TZ</v>
          </cell>
          <cell r="E480">
            <v>54</v>
          </cell>
          <cell r="F480">
            <v>1</v>
          </cell>
          <cell r="G480">
            <v>62</v>
          </cell>
        </row>
        <row r="481">
          <cell r="A481" t="str">
            <v>Psco_987</v>
          </cell>
          <cell r="B481">
            <v>480</v>
          </cell>
          <cell r="C481">
            <v>3</v>
          </cell>
          <cell r="D481" t="str">
            <v>TZ</v>
          </cell>
          <cell r="E481">
            <v>53</v>
          </cell>
          <cell r="F481">
            <v>0</v>
          </cell>
          <cell r="G481">
            <v>98</v>
          </cell>
        </row>
        <row r="482">
          <cell r="A482" t="str">
            <v>Psco_900</v>
          </cell>
          <cell r="B482">
            <v>481</v>
          </cell>
          <cell r="C482">
            <v>3</v>
          </cell>
          <cell r="D482" t="str">
            <v>MZ</v>
          </cell>
          <cell r="E482">
            <v>34</v>
          </cell>
          <cell r="F482">
            <v>0</v>
          </cell>
          <cell r="G482">
            <v>98</v>
          </cell>
        </row>
        <row r="483">
          <cell r="A483" t="str">
            <v>Psco_996</v>
          </cell>
          <cell r="B483">
            <v>482</v>
          </cell>
          <cell r="C483">
            <v>3</v>
          </cell>
          <cell r="D483" t="str">
            <v>TZ</v>
          </cell>
          <cell r="E483">
            <v>50</v>
          </cell>
          <cell r="F483">
            <v>1</v>
          </cell>
          <cell r="G483">
            <v>82</v>
          </cell>
        </row>
        <row r="484">
          <cell r="A484" t="str">
            <v>Psco_908</v>
          </cell>
          <cell r="B484">
            <v>483</v>
          </cell>
          <cell r="C484">
            <v>3</v>
          </cell>
          <cell r="D484" t="str">
            <v>MZ</v>
          </cell>
          <cell r="E484">
            <v>36</v>
          </cell>
          <cell r="F484">
            <v>1</v>
          </cell>
          <cell r="G484">
            <v>57</v>
          </cell>
        </row>
        <row r="485">
          <cell r="A485" t="str">
            <v>Psco_1004</v>
          </cell>
          <cell r="B485">
            <v>484</v>
          </cell>
          <cell r="C485">
            <v>3</v>
          </cell>
          <cell r="D485" t="str">
            <v>TZ</v>
          </cell>
          <cell r="E485">
            <v>50</v>
          </cell>
          <cell r="F485">
            <v>1</v>
          </cell>
          <cell r="G485">
            <v>69</v>
          </cell>
        </row>
        <row r="486">
          <cell r="A486" t="str">
            <v>Psco_916</v>
          </cell>
          <cell r="B486">
            <v>485</v>
          </cell>
          <cell r="C486">
            <v>3</v>
          </cell>
          <cell r="D486" t="str">
            <v>TZ</v>
          </cell>
          <cell r="E486">
            <v>50</v>
          </cell>
          <cell r="F486">
            <v>1</v>
          </cell>
          <cell r="G486">
            <v>92</v>
          </cell>
        </row>
        <row r="487">
          <cell r="A487" t="str">
            <v>Psco_1012</v>
          </cell>
          <cell r="B487">
            <v>486</v>
          </cell>
          <cell r="C487">
            <v>3</v>
          </cell>
          <cell r="D487" t="str">
            <v>TZ</v>
          </cell>
          <cell r="E487">
            <v>50</v>
          </cell>
          <cell r="F487">
            <v>1</v>
          </cell>
          <cell r="G487">
            <v>64</v>
          </cell>
        </row>
        <row r="488">
          <cell r="A488" t="str">
            <v>Psco_924</v>
          </cell>
          <cell r="B488">
            <v>487</v>
          </cell>
          <cell r="C488">
            <v>3</v>
          </cell>
          <cell r="D488" t="str">
            <v>TZ</v>
          </cell>
          <cell r="E488">
            <v>48</v>
          </cell>
          <cell r="F488">
            <v>0</v>
          </cell>
          <cell r="G488">
            <v>98</v>
          </cell>
        </row>
        <row r="489">
          <cell r="A489" t="str">
            <v>Psco_1020</v>
          </cell>
          <cell r="B489">
            <v>488</v>
          </cell>
          <cell r="C489">
            <v>3</v>
          </cell>
          <cell r="D489" t="str">
            <v>TZ</v>
          </cell>
          <cell r="E489">
            <v>46</v>
          </cell>
          <cell r="F489">
            <v>1</v>
          </cell>
          <cell r="G489">
            <v>69</v>
          </cell>
        </row>
        <row r="490">
          <cell r="A490" t="str">
            <v>Psco_932</v>
          </cell>
          <cell r="B490">
            <v>489</v>
          </cell>
          <cell r="C490">
            <v>3</v>
          </cell>
          <cell r="D490" t="str">
            <v>TZ</v>
          </cell>
          <cell r="E490">
            <v>50</v>
          </cell>
          <cell r="F490">
            <v>1</v>
          </cell>
          <cell r="G490">
            <v>69</v>
          </cell>
        </row>
        <row r="491">
          <cell r="A491" t="str">
            <v>Psco_1028</v>
          </cell>
          <cell r="B491">
            <v>490</v>
          </cell>
          <cell r="C491">
            <v>3</v>
          </cell>
          <cell r="D491" t="str">
            <v>TZ</v>
          </cell>
          <cell r="E491">
            <v>46</v>
          </cell>
          <cell r="F491">
            <v>0</v>
          </cell>
          <cell r="G491">
            <v>98</v>
          </cell>
        </row>
        <row r="492">
          <cell r="A492" t="str">
            <v>Psco_940</v>
          </cell>
          <cell r="B492">
            <v>491</v>
          </cell>
          <cell r="C492">
            <v>3</v>
          </cell>
          <cell r="D492" t="str">
            <v>TZ</v>
          </cell>
          <cell r="E492">
            <v>46</v>
          </cell>
          <cell r="F492">
            <v>1</v>
          </cell>
          <cell r="G492">
            <v>80</v>
          </cell>
        </row>
        <row r="493">
          <cell r="A493" t="str">
            <v>Psco_1036</v>
          </cell>
          <cell r="B493">
            <v>492</v>
          </cell>
          <cell r="C493">
            <v>3</v>
          </cell>
          <cell r="D493" t="str">
            <v>TZ</v>
          </cell>
          <cell r="E493">
            <v>48</v>
          </cell>
          <cell r="F493">
            <v>0</v>
          </cell>
          <cell r="G493">
            <v>98</v>
          </cell>
        </row>
        <row r="494">
          <cell r="A494" t="str">
            <v>Psco_948</v>
          </cell>
          <cell r="B494">
            <v>493</v>
          </cell>
          <cell r="C494">
            <v>3</v>
          </cell>
          <cell r="D494" t="str">
            <v>TZ</v>
          </cell>
          <cell r="E494">
            <v>50</v>
          </cell>
          <cell r="F494">
            <v>0</v>
          </cell>
          <cell r="G494">
            <v>98</v>
          </cell>
        </row>
        <row r="495">
          <cell r="A495" t="str">
            <v>Psco_1044</v>
          </cell>
          <cell r="B495">
            <v>494</v>
          </cell>
          <cell r="C495">
            <v>3</v>
          </cell>
          <cell r="D495" t="str">
            <v>TZ</v>
          </cell>
          <cell r="E495">
            <v>47</v>
          </cell>
          <cell r="F495">
            <v>1</v>
          </cell>
          <cell r="G495">
            <v>90</v>
          </cell>
        </row>
        <row r="496">
          <cell r="A496" t="str">
            <v>Psco_956</v>
          </cell>
          <cell r="B496">
            <v>495</v>
          </cell>
          <cell r="C496">
            <v>3</v>
          </cell>
          <cell r="D496" t="str">
            <v>TZ</v>
          </cell>
          <cell r="E496">
            <v>50</v>
          </cell>
          <cell r="F496">
            <v>1</v>
          </cell>
          <cell r="G496">
            <v>57</v>
          </cell>
        </row>
        <row r="497">
          <cell r="A497" t="str">
            <v>Psco_964</v>
          </cell>
          <cell r="B497">
            <v>496</v>
          </cell>
          <cell r="C497">
            <v>3</v>
          </cell>
          <cell r="D497" t="str">
            <v>TZ</v>
          </cell>
          <cell r="E497">
            <v>45</v>
          </cell>
          <cell r="F497">
            <v>1</v>
          </cell>
          <cell r="G497">
            <v>74</v>
          </cell>
        </row>
        <row r="498">
          <cell r="A498" t="str">
            <v>Psco_972</v>
          </cell>
          <cell r="B498">
            <v>497</v>
          </cell>
          <cell r="C498">
            <v>3</v>
          </cell>
          <cell r="D498" t="str">
            <v>TZ</v>
          </cell>
          <cell r="E498">
            <v>54</v>
          </cell>
          <cell r="F498">
            <v>0</v>
          </cell>
          <cell r="G498">
            <v>98</v>
          </cell>
        </row>
        <row r="499">
          <cell r="A499" t="str">
            <v>Psco_980</v>
          </cell>
          <cell r="B499">
            <v>498</v>
          </cell>
          <cell r="C499">
            <v>3</v>
          </cell>
          <cell r="D499" t="str">
            <v>TZ</v>
          </cell>
          <cell r="E499">
            <v>49</v>
          </cell>
          <cell r="F499">
            <v>0</v>
          </cell>
          <cell r="G499">
            <v>98</v>
          </cell>
        </row>
        <row r="500">
          <cell r="A500" t="str">
            <v>Psco_988</v>
          </cell>
          <cell r="B500">
            <v>499</v>
          </cell>
          <cell r="C500">
            <v>3</v>
          </cell>
          <cell r="D500" t="str">
            <v>TZ</v>
          </cell>
          <cell r="E500">
            <v>53</v>
          </cell>
          <cell r="F500">
            <v>0</v>
          </cell>
          <cell r="G500">
            <v>98</v>
          </cell>
        </row>
        <row r="501">
          <cell r="A501" t="str">
            <v>Psco_901</v>
          </cell>
          <cell r="B501">
            <v>500</v>
          </cell>
          <cell r="C501">
            <v>3</v>
          </cell>
          <cell r="D501" t="str">
            <v>MZ</v>
          </cell>
          <cell r="E501">
            <v>36</v>
          </cell>
          <cell r="F501">
            <v>1</v>
          </cell>
          <cell r="G501">
            <v>55</v>
          </cell>
        </row>
        <row r="502">
          <cell r="A502" t="str">
            <v>Psco_997</v>
          </cell>
          <cell r="B502">
            <v>501</v>
          </cell>
          <cell r="C502">
            <v>3</v>
          </cell>
          <cell r="D502" t="str">
            <v>TZ</v>
          </cell>
          <cell r="E502">
            <v>49</v>
          </cell>
          <cell r="F502">
            <v>0</v>
          </cell>
          <cell r="G502">
            <v>98</v>
          </cell>
        </row>
        <row r="503">
          <cell r="A503" t="str">
            <v>Psco_1005</v>
          </cell>
          <cell r="B503">
            <v>502</v>
          </cell>
          <cell r="C503">
            <v>3</v>
          </cell>
          <cell r="D503" t="str">
            <v>TZ</v>
          </cell>
          <cell r="E503">
            <v>42</v>
          </cell>
          <cell r="F503">
            <v>1</v>
          </cell>
          <cell r="G503">
            <v>74</v>
          </cell>
        </row>
        <row r="504">
          <cell r="A504" t="str">
            <v>Psco_917</v>
          </cell>
          <cell r="B504">
            <v>503</v>
          </cell>
          <cell r="C504">
            <v>3</v>
          </cell>
          <cell r="D504" t="str">
            <v>TZ</v>
          </cell>
          <cell r="E504">
            <v>52</v>
          </cell>
          <cell r="F504">
            <v>1</v>
          </cell>
          <cell r="G504">
            <v>83</v>
          </cell>
        </row>
        <row r="505">
          <cell r="A505" t="str">
            <v>Psco_1013</v>
          </cell>
          <cell r="B505">
            <v>504</v>
          </cell>
          <cell r="C505">
            <v>3</v>
          </cell>
          <cell r="D505" t="str">
            <v>TZ</v>
          </cell>
          <cell r="E505">
            <v>50</v>
          </cell>
          <cell r="F505">
            <v>0</v>
          </cell>
          <cell r="G505">
            <v>98</v>
          </cell>
        </row>
        <row r="506">
          <cell r="A506" t="str">
            <v>Psco_925</v>
          </cell>
          <cell r="B506">
            <v>505</v>
          </cell>
          <cell r="C506">
            <v>3</v>
          </cell>
          <cell r="D506" t="str">
            <v>TZ</v>
          </cell>
          <cell r="E506">
            <v>44</v>
          </cell>
          <cell r="F506">
            <v>0</v>
          </cell>
          <cell r="G506">
            <v>98</v>
          </cell>
        </row>
        <row r="507">
          <cell r="A507" t="str">
            <v>Psco_1021</v>
          </cell>
          <cell r="B507">
            <v>506</v>
          </cell>
          <cell r="C507">
            <v>3</v>
          </cell>
          <cell r="D507" t="str">
            <v>TZ</v>
          </cell>
          <cell r="E507">
            <v>42</v>
          </cell>
          <cell r="F507">
            <v>0</v>
          </cell>
          <cell r="G507">
            <v>98</v>
          </cell>
        </row>
        <row r="508">
          <cell r="A508" t="str">
            <v>Psco_933</v>
          </cell>
          <cell r="B508">
            <v>507</v>
          </cell>
          <cell r="C508">
            <v>3</v>
          </cell>
          <cell r="D508" t="str">
            <v>TZ</v>
          </cell>
          <cell r="E508">
            <v>46</v>
          </cell>
          <cell r="F508">
            <v>1</v>
          </cell>
          <cell r="G508">
            <v>75</v>
          </cell>
        </row>
        <row r="509">
          <cell r="A509" t="str">
            <v>Psco_1029</v>
          </cell>
          <cell r="B509">
            <v>508</v>
          </cell>
          <cell r="C509">
            <v>3</v>
          </cell>
          <cell r="D509" t="str">
            <v>TZ</v>
          </cell>
          <cell r="E509">
            <v>50</v>
          </cell>
          <cell r="F509">
            <v>1</v>
          </cell>
          <cell r="G509">
            <v>62</v>
          </cell>
        </row>
        <row r="510">
          <cell r="A510" t="str">
            <v>Psco_941</v>
          </cell>
          <cell r="B510">
            <v>509</v>
          </cell>
          <cell r="C510">
            <v>3</v>
          </cell>
          <cell r="D510" t="str">
            <v>TZ</v>
          </cell>
          <cell r="E510">
            <v>45</v>
          </cell>
          <cell r="F510">
            <v>1</v>
          </cell>
          <cell r="G510">
            <v>41</v>
          </cell>
        </row>
        <row r="511">
          <cell r="A511" t="str">
            <v>Psco_1037</v>
          </cell>
          <cell r="B511">
            <v>510</v>
          </cell>
          <cell r="C511">
            <v>3</v>
          </cell>
          <cell r="D511" t="str">
            <v>TZ</v>
          </cell>
          <cell r="E511">
            <v>49</v>
          </cell>
          <cell r="F511">
            <v>0</v>
          </cell>
          <cell r="G511">
            <v>98</v>
          </cell>
        </row>
        <row r="512">
          <cell r="A512" t="str">
            <v>Psco_949</v>
          </cell>
          <cell r="B512">
            <v>511</v>
          </cell>
          <cell r="C512">
            <v>3</v>
          </cell>
          <cell r="D512" t="str">
            <v>TZ</v>
          </cell>
          <cell r="E512">
            <v>54</v>
          </cell>
          <cell r="F512">
            <v>0</v>
          </cell>
          <cell r="G512">
            <v>98</v>
          </cell>
        </row>
        <row r="513">
          <cell r="A513" t="str">
            <v>Psco_1045</v>
          </cell>
          <cell r="B513">
            <v>512</v>
          </cell>
          <cell r="C513">
            <v>3</v>
          </cell>
          <cell r="D513" t="str">
            <v>TZ</v>
          </cell>
          <cell r="E513">
            <v>50</v>
          </cell>
          <cell r="F513">
            <v>1</v>
          </cell>
          <cell r="G513">
            <v>44</v>
          </cell>
        </row>
        <row r="514">
          <cell r="A514" t="str">
            <v>Psco_957</v>
          </cell>
          <cell r="B514">
            <v>513</v>
          </cell>
          <cell r="C514">
            <v>3</v>
          </cell>
          <cell r="D514" t="str">
            <v>TZ</v>
          </cell>
          <cell r="E514">
            <v>42</v>
          </cell>
          <cell r="F514">
            <v>0</v>
          </cell>
          <cell r="G514">
            <v>98</v>
          </cell>
        </row>
        <row r="515">
          <cell r="A515" t="str">
            <v>Psco_1053</v>
          </cell>
          <cell r="B515">
            <v>514</v>
          </cell>
          <cell r="C515">
            <v>3</v>
          </cell>
          <cell r="D515" t="str">
            <v>TZ</v>
          </cell>
          <cell r="E515">
            <v>50</v>
          </cell>
          <cell r="F515">
            <v>1</v>
          </cell>
          <cell r="G515">
            <v>74</v>
          </cell>
        </row>
        <row r="516">
          <cell r="A516" t="str">
            <v>Psco_965</v>
          </cell>
          <cell r="B516">
            <v>515</v>
          </cell>
          <cell r="C516">
            <v>3</v>
          </cell>
          <cell r="D516" t="str">
            <v>TZ</v>
          </cell>
          <cell r="E516">
            <v>54</v>
          </cell>
          <cell r="F516">
            <v>1</v>
          </cell>
          <cell r="G516">
            <v>81</v>
          </cell>
        </row>
        <row r="517">
          <cell r="A517" t="str">
            <v>Psco_973</v>
          </cell>
          <cell r="B517">
            <v>516</v>
          </cell>
          <cell r="C517">
            <v>3</v>
          </cell>
          <cell r="D517" t="str">
            <v>TZ</v>
          </cell>
          <cell r="E517">
            <v>44</v>
          </cell>
          <cell r="F517">
            <v>0</v>
          </cell>
          <cell r="G517">
            <v>98</v>
          </cell>
        </row>
        <row r="518">
          <cell r="A518" t="str">
            <v>Psco_981</v>
          </cell>
          <cell r="B518">
            <v>517</v>
          </cell>
          <cell r="C518">
            <v>3</v>
          </cell>
          <cell r="D518" t="str">
            <v>TZ</v>
          </cell>
          <cell r="E518">
            <v>49</v>
          </cell>
          <cell r="F518">
            <v>0</v>
          </cell>
          <cell r="G518">
            <v>98</v>
          </cell>
        </row>
        <row r="519">
          <cell r="A519" t="str">
            <v>Psco_989</v>
          </cell>
          <cell r="B519">
            <v>518</v>
          </cell>
          <cell r="C519">
            <v>3</v>
          </cell>
          <cell r="D519" t="str">
            <v>TZ</v>
          </cell>
          <cell r="E519">
            <v>53</v>
          </cell>
          <cell r="F519">
            <v>0</v>
          </cell>
          <cell r="G519">
            <v>98</v>
          </cell>
        </row>
        <row r="520">
          <cell r="A520" t="str">
            <v>Psco_291</v>
          </cell>
          <cell r="B520">
            <v>519</v>
          </cell>
          <cell r="C520">
            <v>1</v>
          </cell>
          <cell r="D520" t="str">
            <v>TZ</v>
          </cell>
          <cell r="E520">
            <v>16</v>
          </cell>
          <cell r="F520">
            <v>1</v>
          </cell>
          <cell r="G520">
            <v>44</v>
          </cell>
        </row>
        <row r="521">
          <cell r="A521" t="str">
            <v>Psco_319</v>
          </cell>
          <cell r="B521">
            <v>520</v>
          </cell>
          <cell r="C521">
            <v>1</v>
          </cell>
          <cell r="D521" t="str">
            <v>MZ</v>
          </cell>
          <cell r="E521">
            <v>3</v>
          </cell>
          <cell r="F521">
            <v>1</v>
          </cell>
          <cell r="G521">
            <v>72</v>
          </cell>
        </row>
        <row r="522">
          <cell r="A522" t="str">
            <v>Psco_415</v>
          </cell>
          <cell r="B522">
            <v>521</v>
          </cell>
          <cell r="C522">
            <v>2</v>
          </cell>
          <cell r="D522" t="str">
            <v>MZ</v>
          </cell>
          <cell r="E522">
            <v>21</v>
          </cell>
          <cell r="F522">
            <v>1</v>
          </cell>
          <cell r="G522">
            <v>49</v>
          </cell>
        </row>
        <row r="523">
          <cell r="A523" t="str">
            <v>Psco_320</v>
          </cell>
          <cell r="B523">
            <v>522</v>
          </cell>
          <cell r="C523">
            <v>1</v>
          </cell>
          <cell r="D523" t="str">
            <v>MZ</v>
          </cell>
          <cell r="E523">
            <v>3</v>
          </cell>
          <cell r="F523">
            <v>0</v>
          </cell>
          <cell r="G523">
            <v>98</v>
          </cell>
        </row>
        <row r="524">
          <cell r="A524" t="str">
            <v>Psco_336</v>
          </cell>
          <cell r="B524">
            <v>523</v>
          </cell>
          <cell r="C524">
            <v>1</v>
          </cell>
          <cell r="D524" t="str">
            <v>MZ</v>
          </cell>
          <cell r="E524">
            <v>3</v>
          </cell>
          <cell r="F524">
            <v>1</v>
          </cell>
          <cell r="G524">
            <v>74</v>
          </cell>
        </row>
        <row r="525">
          <cell r="A525" t="str">
            <v>Psco_496</v>
          </cell>
          <cell r="B525">
            <v>524</v>
          </cell>
          <cell r="C525">
            <v>2</v>
          </cell>
          <cell r="D525" t="str">
            <v>MZ</v>
          </cell>
          <cell r="E525">
            <v>30</v>
          </cell>
          <cell r="F525">
            <v>0</v>
          </cell>
          <cell r="G525">
            <v>98</v>
          </cell>
        </row>
        <row r="526">
          <cell r="A526" t="str">
            <v>Psco_592</v>
          </cell>
          <cell r="B526">
            <v>525</v>
          </cell>
          <cell r="C526">
            <v>2</v>
          </cell>
          <cell r="D526" t="str">
            <v>MZ</v>
          </cell>
          <cell r="E526">
            <v>24</v>
          </cell>
          <cell r="F526">
            <v>1</v>
          </cell>
          <cell r="G526">
            <v>62</v>
          </cell>
        </row>
        <row r="527">
          <cell r="A527" t="str">
            <v>Psco_504</v>
          </cell>
          <cell r="B527">
            <v>526</v>
          </cell>
          <cell r="C527">
            <v>2</v>
          </cell>
          <cell r="D527" t="str">
            <v>MZ</v>
          </cell>
          <cell r="E527">
            <v>30</v>
          </cell>
          <cell r="F527">
            <v>0</v>
          </cell>
          <cell r="G527">
            <v>98</v>
          </cell>
        </row>
        <row r="528">
          <cell r="A528" t="str">
            <v>Psco_600</v>
          </cell>
          <cell r="B528">
            <v>527</v>
          </cell>
          <cell r="C528">
            <v>2</v>
          </cell>
          <cell r="D528" t="str">
            <v>MZ</v>
          </cell>
          <cell r="E528">
            <v>26</v>
          </cell>
          <cell r="F528">
            <v>1</v>
          </cell>
          <cell r="G528">
            <v>68</v>
          </cell>
        </row>
        <row r="529">
          <cell r="A529" t="str">
            <v>Psco_512</v>
          </cell>
          <cell r="B529">
            <v>528</v>
          </cell>
          <cell r="C529">
            <v>2</v>
          </cell>
          <cell r="D529" t="str">
            <v>TZ</v>
          </cell>
          <cell r="E529">
            <v>49</v>
          </cell>
          <cell r="F529">
            <v>1</v>
          </cell>
          <cell r="G529">
            <v>78</v>
          </cell>
        </row>
        <row r="530">
          <cell r="A530" t="str">
            <v>Psco_608</v>
          </cell>
          <cell r="B530">
            <v>529</v>
          </cell>
          <cell r="C530">
            <v>2</v>
          </cell>
          <cell r="D530" t="str">
            <v>TZ</v>
          </cell>
          <cell r="E530">
            <v>49</v>
          </cell>
          <cell r="F530">
            <v>1</v>
          </cell>
          <cell r="G530">
            <v>72</v>
          </cell>
        </row>
        <row r="531">
          <cell r="A531" t="str">
            <v>Psco_520</v>
          </cell>
          <cell r="B531">
            <v>530</v>
          </cell>
          <cell r="C531">
            <v>2</v>
          </cell>
          <cell r="D531" t="str">
            <v>MZ</v>
          </cell>
          <cell r="E531">
            <v>33</v>
          </cell>
          <cell r="F531">
            <v>1</v>
          </cell>
          <cell r="G531">
            <v>75</v>
          </cell>
        </row>
        <row r="532">
          <cell r="A532" t="str">
            <v>Psco_616</v>
          </cell>
          <cell r="B532">
            <v>531</v>
          </cell>
          <cell r="C532">
            <v>2</v>
          </cell>
          <cell r="D532" t="str">
            <v>MZ</v>
          </cell>
          <cell r="E532">
            <v>34</v>
          </cell>
          <cell r="F532">
            <v>1</v>
          </cell>
          <cell r="G532">
            <v>58</v>
          </cell>
        </row>
        <row r="533">
          <cell r="A533" t="str">
            <v>Psco_528</v>
          </cell>
          <cell r="B533">
            <v>532</v>
          </cell>
          <cell r="C533">
            <v>2</v>
          </cell>
          <cell r="D533" t="str">
            <v>TZ</v>
          </cell>
          <cell r="E533">
            <v>44</v>
          </cell>
          <cell r="F533">
            <v>1</v>
          </cell>
          <cell r="G533">
            <v>77</v>
          </cell>
        </row>
        <row r="534">
          <cell r="A534" t="str">
            <v>Psco_624</v>
          </cell>
          <cell r="B534">
            <v>533</v>
          </cell>
          <cell r="C534">
            <v>2</v>
          </cell>
          <cell r="D534" t="str">
            <v>TZ</v>
          </cell>
          <cell r="E534">
            <v>42</v>
          </cell>
          <cell r="F534">
            <v>1</v>
          </cell>
          <cell r="G534">
            <v>40</v>
          </cell>
        </row>
        <row r="535">
          <cell r="A535" t="str">
            <v>Psco_536</v>
          </cell>
          <cell r="B535">
            <v>534</v>
          </cell>
          <cell r="C535">
            <v>2</v>
          </cell>
          <cell r="D535" t="str">
            <v>MZ</v>
          </cell>
          <cell r="E535">
            <v>31</v>
          </cell>
          <cell r="F535">
            <v>1</v>
          </cell>
          <cell r="G535">
            <v>64</v>
          </cell>
        </row>
        <row r="536">
          <cell r="A536" t="str">
            <v>Psco_632</v>
          </cell>
          <cell r="B536">
            <v>535</v>
          </cell>
          <cell r="C536">
            <v>2</v>
          </cell>
          <cell r="D536" t="str">
            <v>MZ</v>
          </cell>
          <cell r="E536">
            <v>36</v>
          </cell>
          <cell r="F536">
            <v>0</v>
          </cell>
          <cell r="G536">
            <v>98</v>
          </cell>
        </row>
        <row r="537">
          <cell r="A537" t="str">
            <v>Psco_544</v>
          </cell>
          <cell r="B537">
            <v>536</v>
          </cell>
          <cell r="C537">
            <v>2</v>
          </cell>
          <cell r="D537" t="str">
            <v>MZ</v>
          </cell>
          <cell r="E537">
            <v>40</v>
          </cell>
          <cell r="F537">
            <v>1</v>
          </cell>
          <cell r="G537">
            <v>68</v>
          </cell>
        </row>
        <row r="538">
          <cell r="A538" t="str">
            <v>Psco_640</v>
          </cell>
          <cell r="B538">
            <v>537</v>
          </cell>
          <cell r="C538">
            <v>2</v>
          </cell>
          <cell r="D538" t="str">
            <v>MZ</v>
          </cell>
          <cell r="E538">
            <v>26</v>
          </cell>
          <cell r="F538">
            <v>1</v>
          </cell>
          <cell r="G538">
            <v>85</v>
          </cell>
        </row>
        <row r="539">
          <cell r="A539" t="str">
            <v>Psco_552</v>
          </cell>
          <cell r="B539">
            <v>538</v>
          </cell>
          <cell r="C539">
            <v>2</v>
          </cell>
          <cell r="D539" t="str">
            <v>MZ</v>
          </cell>
          <cell r="E539">
            <v>25</v>
          </cell>
          <cell r="F539">
            <v>0</v>
          </cell>
          <cell r="G539">
            <v>98</v>
          </cell>
        </row>
        <row r="540">
          <cell r="A540" t="str">
            <v>Psco_648</v>
          </cell>
          <cell r="B540">
            <v>539</v>
          </cell>
          <cell r="C540">
            <v>2</v>
          </cell>
          <cell r="D540" t="str">
            <v>TZ</v>
          </cell>
          <cell r="E540">
            <v>49</v>
          </cell>
          <cell r="F540">
            <v>1</v>
          </cell>
          <cell r="G540">
            <v>56</v>
          </cell>
        </row>
        <row r="541">
          <cell r="A541" t="str">
            <v>Psco_560</v>
          </cell>
          <cell r="B541">
            <v>540</v>
          </cell>
          <cell r="C541">
            <v>2</v>
          </cell>
          <cell r="D541" t="str">
            <v>MZ</v>
          </cell>
          <cell r="E541">
            <v>26</v>
          </cell>
          <cell r="F541">
            <v>1</v>
          </cell>
          <cell r="G541">
            <v>67</v>
          </cell>
        </row>
        <row r="542">
          <cell r="A542" t="str">
            <v>Psco_656</v>
          </cell>
          <cell r="B542">
            <v>541</v>
          </cell>
          <cell r="C542">
            <v>2</v>
          </cell>
          <cell r="D542" t="str">
            <v>TZ</v>
          </cell>
          <cell r="E542">
            <v>45</v>
          </cell>
          <cell r="F542">
            <v>1</v>
          </cell>
          <cell r="G542">
            <v>65</v>
          </cell>
        </row>
        <row r="543">
          <cell r="A543" t="str">
            <v>Psco_568</v>
          </cell>
          <cell r="B543">
            <v>542</v>
          </cell>
          <cell r="C543">
            <v>2</v>
          </cell>
          <cell r="D543" t="str">
            <v>TZ</v>
          </cell>
          <cell r="E543">
            <v>53</v>
          </cell>
          <cell r="F543">
            <v>1</v>
          </cell>
          <cell r="G543">
            <v>70</v>
          </cell>
        </row>
        <row r="544">
          <cell r="A544" t="str">
            <v>Psco_664</v>
          </cell>
          <cell r="B544">
            <v>543</v>
          </cell>
          <cell r="C544">
            <v>2</v>
          </cell>
          <cell r="D544" t="str">
            <v>TZ</v>
          </cell>
          <cell r="E544">
            <v>53</v>
          </cell>
          <cell r="F544">
            <v>0</v>
          </cell>
          <cell r="G544">
            <v>98</v>
          </cell>
        </row>
        <row r="545">
          <cell r="A545" t="str">
            <v>Psco_576</v>
          </cell>
          <cell r="B545">
            <v>544</v>
          </cell>
          <cell r="C545">
            <v>2</v>
          </cell>
          <cell r="D545" t="str">
            <v>MZ</v>
          </cell>
          <cell r="E545">
            <v>39</v>
          </cell>
          <cell r="F545">
            <v>0</v>
          </cell>
          <cell r="G545">
            <v>98</v>
          </cell>
        </row>
        <row r="546">
          <cell r="A546" t="str">
            <v>Psco_672</v>
          </cell>
          <cell r="B546">
            <v>545</v>
          </cell>
          <cell r="C546">
            <v>2</v>
          </cell>
          <cell r="D546" t="str">
            <v>MZ</v>
          </cell>
          <cell r="E546">
            <v>28</v>
          </cell>
          <cell r="F546">
            <v>1</v>
          </cell>
          <cell r="G546">
            <v>62</v>
          </cell>
        </row>
        <row r="547">
          <cell r="A547" t="str">
            <v>Psco_584</v>
          </cell>
          <cell r="B547">
            <v>546</v>
          </cell>
          <cell r="C547">
            <v>2</v>
          </cell>
          <cell r="D547" t="str">
            <v>TZ</v>
          </cell>
          <cell r="E547">
            <v>54</v>
          </cell>
          <cell r="F547">
            <v>0</v>
          </cell>
          <cell r="G547">
            <v>98</v>
          </cell>
        </row>
        <row r="548">
          <cell r="A548" t="str">
            <v>Psco_680</v>
          </cell>
          <cell r="B548">
            <v>547</v>
          </cell>
          <cell r="C548">
            <v>2</v>
          </cell>
          <cell r="D548" t="str">
            <v>TZ</v>
          </cell>
          <cell r="E548">
            <v>45</v>
          </cell>
          <cell r="F548">
            <v>1</v>
          </cell>
          <cell r="G548">
            <v>77</v>
          </cell>
        </row>
        <row r="549">
          <cell r="A549" t="str">
            <v>Psco_688</v>
          </cell>
          <cell r="B549">
            <v>548</v>
          </cell>
          <cell r="C549">
            <v>2</v>
          </cell>
          <cell r="D549" t="str">
            <v>TZ</v>
          </cell>
          <cell r="E549">
            <v>44</v>
          </cell>
          <cell r="F549">
            <v>1</v>
          </cell>
          <cell r="G549">
            <v>54</v>
          </cell>
        </row>
        <row r="550">
          <cell r="A550" t="str">
            <v>Psco_797</v>
          </cell>
          <cell r="B550">
            <v>549</v>
          </cell>
          <cell r="C550">
            <v>3</v>
          </cell>
          <cell r="D550" t="str">
            <v>MZ</v>
          </cell>
          <cell r="E550">
            <v>39</v>
          </cell>
          <cell r="F550">
            <v>0</v>
          </cell>
          <cell r="G550">
            <v>98</v>
          </cell>
        </row>
        <row r="551">
          <cell r="A551" t="str">
            <v>Psco_696</v>
          </cell>
          <cell r="B551">
            <v>550</v>
          </cell>
          <cell r="C551">
            <v>2</v>
          </cell>
          <cell r="D551" t="str">
            <v>TZ</v>
          </cell>
          <cell r="E551">
            <v>44</v>
          </cell>
          <cell r="F551">
            <v>1</v>
          </cell>
          <cell r="G551">
            <v>45</v>
          </cell>
        </row>
        <row r="552">
          <cell r="A552" t="str">
            <v>Psco_805</v>
          </cell>
          <cell r="B552">
            <v>551</v>
          </cell>
          <cell r="C552">
            <v>3</v>
          </cell>
          <cell r="D552" t="str">
            <v>MZ</v>
          </cell>
          <cell r="E552">
            <v>33</v>
          </cell>
          <cell r="F552">
            <v>1</v>
          </cell>
          <cell r="G552">
            <v>63</v>
          </cell>
        </row>
        <row r="553">
          <cell r="A553" t="str">
            <v>Psco_704</v>
          </cell>
          <cell r="B553">
            <v>552</v>
          </cell>
          <cell r="C553">
            <v>2</v>
          </cell>
          <cell r="D553" t="str">
            <v>TZ</v>
          </cell>
          <cell r="E553">
            <v>50</v>
          </cell>
          <cell r="F553">
            <v>1</v>
          </cell>
          <cell r="G553">
            <v>48</v>
          </cell>
        </row>
        <row r="554">
          <cell r="A554" t="str">
            <v>Psco_813</v>
          </cell>
          <cell r="B554">
            <v>553</v>
          </cell>
          <cell r="C554">
            <v>3</v>
          </cell>
          <cell r="D554" t="str">
            <v>MZ</v>
          </cell>
          <cell r="E554">
            <v>25</v>
          </cell>
          <cell r="F554">
            <v>0</v>
          </cell>
          <cell r="G554">
            <v>98</v>
          </cell>
        </row>
        <row r="555">
          <cell r="A555" t="str">
            <v>Psco_712</v>
          </cell>
          <cell r="B555">
            <v>554</v>
          </cell>
          <cell r="C555">
            <v>2</v>
          </cell>
          <cell r="D555" t="str">
            <v>MZ</v>
          </cell>
          <cell r="E555">
            <v>33</v>
          </cell>
          <cell r="F555">
            <v>1</v>
          </cell>
          <cell r="G555">
            <v>83</v>
          </cell>
        </row>
        <row r="556">
          <cell r="A556" t="str">
            <v>Psco_821</v>
          </cell>
          <cell r="B556">
            <v>555</v>
          </cell>
          <cell r="C556">
            <v>3</v>
          </cell>
          <cell r="D556" t="str">
            <v>MZ</v>
          </cell>
          <cell r="E556">
            <v>39</v>
          </cell>
          <cell r="F556">
            <v>0</v>
          </cell>
          <cell r="G556">
            <v>98</v>
          </cell>
        </row>
        <row r="557">
          <cell r="A557" t="str">
            <v>Psco_720</v>
          </cell>
          <cell r="B557">
            <v>556</v>
          </cell>
          <cell r="C557">
            <v>2</v>
          </cell>
          <cell r="D557" t="str">
            <v>TZ</v>
          </cell>
          <cell r="E557">
            <v>42</v>
          </cell>
          <cell r="F557">
            <v>1</v>
          </cell>
          <cell r="G557">
            <v>62</v>
          </cell>
        </row>
        <row r="558">
          <cell r="A558" t="str">
            <v>Psco_829</v>
          </cell>
          <cell r="B558">
            <v>557</v>
          </cell>
          <cell r="C558">
            <v>3</v>
          </cell>
          <cell r="D558" t="str">
            <v>MZ</v>
          </cell>
          <cell r="E558">
            <v>33</v>
          </cell>
          <cell r="F558">
            <v>0</v>
          </cell>
          <cell r="G558">
            <v>98</v>
          </cell>
        </row>
        <row r="559">
          <cell r="A559" t="str">
            <v>Psco_837</v>
          </cell>
          <cell r="B559">
            <v>558</v>
          </cell>
          <cell r="C559">
            <v>3</v>
          </cell>
          <cell r="D559" t="str">
            <v>MZ</v>
          </cell>
          <cell r="E559">
            <v>39</v>
          </cell>
          <cell r="F559">
            <v>1</v>
          </cell>
          <cell r="G559">
            <v>78</v>
          </cell>
        </row>
        <row r="560">
          <cell r="A560" t="str">
            <v>Psco_749</v>
          </cell>
          <cell r="B560">
            <v>559</v>
          </cell>
          <cell r="C560">
            <v>3</v>
          </cell>
          <cell r="D560" t="str">
            <v>MZ</v>
          </cell>
          <cell r="E560">
            <v>26</v>
          </cell>
          <cell r="F560">
            <v>0</v>
          </cell>
          <cell r="G560">
            <v>98</v>
          </cell>
        </row>
        <row r="561">
          <cell r="A561" t="str">
            <v>Psco_845</v>
          </cell>
          <cell r="B561">
            <v>560</v>
          </cell>
          <cell r="C561">
            <v>3</v>
          </cell>
          <cell r="D561" t="str">
            <v>MZ</v>
          </cell>
          <cell r="E561">
            <v>32</v>
          </cell>
          <cell r="F561">
            <v>0</v>
          </cell>
          <cell r="G561">
            <v>98</v>
          </cell>
        </row>
        <row r="562">
          <cell r="A562" t="str">
            <v>Psco_757</v>
          </cell>
          <cell r="B562">
            <v>561</v>
          </cell>
          <cell r="C562">
            <v>3</v>
          </cell>
          <cell r="D562" t="str">
            <v>MZ</v>
          </cell>
          <cell r="E562">
            <v>23</v>
          </cell>
          <cell r="F562">
            <v>0</v>
          </cell>
          <cell r="G562">
            <v>98</v>
          </cell>
        </row>
        <row r="563">
          <cell r="A563" t="str">
            <v>Psco_853</v>
          </cell>
          <cell r="B563">
            <v>562</v>
          </cell>
          <cell r="C563">
            <v>3</v>
          </cell>
          <cell r="D563" t="str">
            <v>MZ</v>
          </cell>
          <cell r="E563">
            <v>39</v>
          </cell>
          <cell r="F563">
            <v>0</v>
          </cell>
          <cell r="G563">
            <v>98</v>
          </cell>
        </row>
        <row r="564">
          <cell r="A564" t="str">
            <v>Psco_765</v>
          </cell>
          <cell r="B564">
            <v>563</v>
          </cell>
          <cell r="C564">
            <v>3</v>
          </cell>
          <cell r="D564" t="str">
            <v>MZ</v>
          </cell>
          <cell r="E564">
            <v>26</v>
          </cell>
          <cell r="F564">
            <v>0</v>
          </cell>
          <cell r="G564">
            <v>98</v>
          </cell>
        </row>
        <row r="565">
          <cell r="A565" t="str">
            <v>Psco_861</v>
          </cell>
          <cell r="B565">
            <v>564</v>
          </cell>
          <cell r="C565">
            <v>3</v>
          </cell>
          <cell r="D565" t="str">
            <v>MZ</v>
          </cell>
          <cell r="E565">
            <v>34</v>
          </cell>
          <cell r="F565">
            <v>0</v>
          </cell>
          <cell r="G565">
            <v>98</v>
          </cell>
        </row>
        <row r="566">
          <cell r="A566" t="str">
            <v>Psco_773</v>
          </cell>
          <cell r="B566">
            <v>565</v>
          </cell>
          <cell r="C566">
            <v>3</v>
          </cell>
          <cell r="D566" t="str">
            <v>MZ</v>
          </cell>
          <cell r="E566">
            <v>32</v>
          </cell>
          <cell r="F566">
            <v>0</v>
          </cell>
          <cell r="G566">
            <v>98</v>
          </cell>
        </row>
        <row r="567">
          <cell r="A567" t="str">
            <v>Psco_869</v>
          </cell>
          <cell r="B567">
            <v>566</v>
          </cell>
          <cell r="C567">
            <v>3</v>
          </cell>
          <cell r="D567" t="str">
            <v>MZ</v>
          </cell>
          <cell r="E567">
            <v>21</v>
          </cell>
          <cell r="F567">
            <v>1</v>
          </cell>
          <cell r="G567">
            <v>85</v>
          </cell>
        </row>
        <row r="568">
          <cell r="A568" t="str">
            <v>Psco_781</v>
          </cell>
          <cell r="B568">
            <v>567</v>
          </cell>
          <cell r="C568">
            <v>3</v>
          </cell>
          <cell r="D568" t="str">
            <v>MZ</v>
          </cell>
          <cell r="E568">
            <v>35</v>
          </cell>
          <cell r="F568">
            <v>0</v>
          </cell>
          <cell r="G568">
            <v>98</v>
          </cell>
        </row>
        <row r="569">
          <cell r="A569" t="str">
            <v>Psco_877</v>
          </cell>
          <cell r="B569">
            <v>568</v>
          </cell>
          <cell r="C569">
            <v>3</v>
          </cell>
          <cell r="D569" t="str">
            <v>MZ</v>
          </cell>
          <cell r="E569">
            <v>40</v>
          </cell>
          <cell r="F569">
            <v>0</v>
          </cell>
          <cell r="G569">
            <v>98</v>
          </cell>
        </row>
        <row r="570">
          <cell r="A570" t="str">
            <v>Psco_789</v>
          </cell>
          <cell r="B570">
            <v>569</v>
          </cell>
          <cell r="C570">
            <v>3</v>
          </cell>
          <cell r="D570" t="str">
            <v>MZ</v>
          </cell>
          <cell r="E570">
            <v>40</v>
          </cell>
          <cell r="F570">
            <v>0</v>
          </cell>
          <cell r="G570">
            <v>98</v>
          </cell>
        </row>
        <row r="571">
          <cell r="A571" t="str">
            <v>Psco_885</v>
          </cell>
          <cell r="B571">
            <v>570</v>
          </cell>
          <cell r="C571">
            <v>3</v>
          </cell>
          <cell r="D571" t="str">
            <v>MZ</v>
          </cell>
          <cell r="E571">
            <v>33</v>
          </cell>
          <cell r="F571">
            <v>0</v>
          </cell>
          <cell r="G571">
            <v>98</v>
          </cell>
        </row>
        <row r="572">
          <cell r="A572" t="str">
            <v>Psco_497</v>
          </cell>
          <cell r="B572">
            <v>571</v>
          </cell>
          <cell r="C572">
            <v>2</v>
          </cell>
          <cell r="D572" t="str">
            <v>TZ</v>
          </cell>
          <cell r="E572">
            <v>41</v>
          </cell>
          <cell r="F572">
            <v>0</v>
          </cell>
          <cell r="G572">
            <v>98</v>
          </cell>
        </row>
        <row r="573">
          <cell r="A573" t="str">
            <v>Psco_593</v>
          </cell>
          <cell r="B573">
            <v>572</v>
          </cell>
          <cell r="C573">
            <v>2</v>
          </cell>
          <cell r="D573" t="str">
            <v>MZ</v>
          </cell>
          <cell r="E573">
            <v>23</v>
          </cell>
          <cell r="F573">
            <v>0</v>
          </cell>
          <cell r="G573">
            <v>98</v>
          </cell>
        </row>
        <row r="574">
          <cell r="A574" t="str">
            <v>Psco_505</v>
          </cell>
          <cell r="B574">
            <v>573</v>
          </cell>
          <cell r="C574">
            <v>2</v>
          </cell>
          <cell r="D574" t="str">
            <v>TZ</v>
          </cell>
          <cell r="E574">
            <v>45</v>
          </cell>
          <cell r="F574">
            <v>0</v>
          </cell>
          <cell r="G574">
            <v>98</v>
          </cell>
        </row>
        <row r="575">
          <cell r="A575" t="str">
            <v>Psco_601</v>
          </cell>
          <cell r="B575">
            <v>574</v>
          </cell>
          <cell r="C575">
            <v>2</v>
          </cell>
          <cell r="D575" t="str">
            <v>TZ</v>
          </cell>
          <cell r="E575">
            <v>54</v>
          </cell>
          <cell r="F575">
            <v>1</v>
          </cell>
          <cell r="G575">
            <v>63</v>
          </cell>
        </row>
        <row r="576">
          <cell r="A576" t="str">
            <v>Psco_513</v>
          </cell>
          <cell r="B576">
            <v>575</v>
          </cell>
          <cell r="C576">
            <v>2</v>
          </cell>
          <cell r="D576" t="str">
            <v>TZ</v>
          </cell>
          <cell r="E576">
            <v>54</v>
          </cell>
          <cell r="F576">
            <v>1</v>
          </cell>
          <cell r="G576">
            <v>65</v>
          </cell>
        </row>
        <row r="577">
          <cell r="A577" t="str">
            <v>Psco_609</v>
          </cell>
          <cell r="B577">
            <v>576</v>
          </cell>
          <cell r="C577">
            <v>2</v>
          </cell>
          <cell r="D577" t="str">
            <v>TZ</v>
          </cell>
          <cell r="E577">
            <v>49</v>
          </cell>
          <cell r="F577">
            <v>1</v>
          </cell>
          <cell r="G577">
            <v>60</v>
          </cell>
        </row>
        <row r="578">
          <cell r="A578" t="str">
            <v>Psco_521</v>
          </cell>
          <cell r="B578">
            <v>577</v>
          </cell>
          <cell r="C578">
            <v>2</v>
          </cell>
          <cell r="D578" t="str">
            <v>TZ</v>
          </cell>
          <cell r="E578">
            <v>42</v>
          </cell>
          <cell r="F578">
            <v>1</v>
          </cell>
          <cell r="G578">
            <v>67</v>
          </cell>
        </row>
        <row r="579">
          <cell r="A579" t="str">
            <v>Psco_617</v>
          </cell>
          <cell r="B579">
            <v>578</v>
          </cell>
          <cell r="C579">
            <v>2</v>
          </cell>
          <cell r="D579" t="str">
            <v>MZ</v>
          </cell>
          <cell r="E579">
            <v>34</v>
          </cell>
          <cell r="F579">
            <v>0</v>
          </cell>
          <cell r="G579">
            <v>98</v>
          </cell>
        </row>
        <row r="580">
          <cell r="A580" t="str">
            <v>Psco_529</v>
          </cell>
          <cell r="B580">
            <v>579</v>
          </cell>
          <cell r="C580">
            <v>2</v>
          </cell>
          <cell r="D580" t="str">
            <v>TZ</v>
          </cell>
          <cell r="E580">
            <v>42</v>
          </cell>
          <cell r="F580">
            <v>0</v>
          </cell>
          <cell r="G580">
            <v>98</v>
          </cell>
        </row>
        <row r="581">
          <cell r="A581" t="str">
            <v>Psco_625</v>
          </cell>
          <cell r="B581">
            <v>580</v>
          </cell>
          <cell r="C581">
            <v>2</v>
          </cell>
          <cell r="D581" t="str">
            <v>MZ</v>
          </cell>
          <cell r="E581">
            <v>34</v>
          </cell>
          <cell r="F581">
            <v>1</v>
          </cell>
          <cell r="G581">
            <v>58</v>
          </cell>
        </row>
        <row r="582">
          <cell r="A582" t="str">
            <v>Psco_537</v>
          </cell>
          <cell r="B582">
            <v>581</v>
          </cell>
          <cell r="C582">
            <v>2</v>
          </cell>
          <cell r="D582" t="str">
            <v>TZ</v>
          </cell>
          <cell r="E582">
            <v>53</v>
          </cell>
          <cell r="F582">
            <v>1</v>
          </cell>
          <cell r="G582">
            <v>63</v>
          </cell>
        </row>
        <row r="583">
          <cell r="A583" t="str">
            <v>Psco_633</v>
          </cell>
          <cell r="B583">
            <v>582</v>
          </cell>
          <cell r="C583">
            <v>2</v>
          </cell>
          <cell r="D583" t="str">
            <v>TZ</v>
          </cell>
          <cell r="E583">
            <v>49</v>
          </cell>
          <cell r="F583">
            <v>0</v>
          </cell>
          <cell r="G583">
            <v>98</v>
          </cell>
        </row>
        <row r="584">
          <cell r="A584" t="str">
            <v>Psco_545</v>
          </cell>
          <cell r="B584">
            <v>583</v>
          </cell>
          <cell r="C584">
            <v>2</v>
          </cell>
          <cell r="D584" t="str">
            <v>TZ</v>
          </cell>
          <cell r="E584">
            <v>44</v>
          </cell>
          <cell r="F584">
            <v>1</v>
          </cell>
          <cell r="G584">
            <v>81</v>
          </cell>
        </row>
        <row r="585">
          <cell r="A585" t="str">
            <v>Psco_641</v>
          </cell>
          <cell r="B585">
            <v>584</v>
          </cell>
          <cell r="C585">
            <v>2</v>
          </cell>
          <cell r="D585" t="str">
            <v>TZ</v>
          </cell>
          <cell r="E585">
            <v>46</v>
          </cell>
          <cell r="F585">
            <v>0</v>
          </cell>
          <cell r="G585">
            <v>98</v>
          </cell>
        </row>
        <row r="586">
          <cell r="A586" t="str">
            <v>Psco_553</v>
          </cell>
          <cell r="B586">
            <v>585</v>
          </cell>
          <cell r="C586">
            <v>2</v>
          </cell>
          <cell r="D586" t="str">
            <v>MZ</v>
          </cell>
          <cell r="E586">
            <v>34</v>
          </cell>
          <cell r="F586">
            <v>1</v>
          </cell>
          <cell r="G586">
            <v>63</v>
          </cell>
        </row>
        <row r="587">
          <cell r="A587" t="str">
            <v>Psco_649</v>
          </cell>
          <cell r="B587">
            <v>586</v>
          </cell>
          <cell r="C587">
            <v>2</v>
          </cell>
          <cell r="D587" t="str">
            <v>TZ</v>
          </cell>
          <cell r="E587">
            <v>45</v>
          </cell>
          <cell r="F587">
            <v>1</v>
          </cell>
          <cell r="G587">
            <v>53</v>
          </cell>
        </row>
        <row r="588">
          <cell r="A588" t="str">
            <v>Psco_561</v>
          </cell>
          <cell r="B588">
            <v>587</v>
          </cell>
          <cell r="C588">
            <v>2</v>
          </cell>
          <cell r="D588" t="str">
            <v>TZ</v>
          </cell>
          <cell r="E588">
            <v>44</v>
          </cell>
          <cell r="F588">
            <v>0</v>
          </cell>
          <cell r="G588">
            <v>98</v>
          </cell>
        </row>
        <row r="589">
          <cell r="A589" t="str">
            <v>Psco_657</v>
          </cell>
          <cell r="B589">
            <v>588</v>
          </cell>
          <cell r="C589">
            <v>2</v>
          </cell>
          <cell r="D589" t="str">
            <v>MZ</v>
          </cell>
          <cell r="E589">
            <v>37</v>
          </cell>
          <cell r="F589">
            <v>1</v>
          </cell>
          <cell r="G589">
            <v>50</v>
          </cell>
        </row>
        <row r="590">
          <cell r="A590" t="str">
            <v>Psco_569</v>
          </cell>
          <cell r="B590">
            <v>589</v>
          </cell>
          <cell r="C590">
            <v>2</v>
          </cell>
          <cell r="D590" t="str">
            <v>TZ</v>
          </cell>
          <cell r="E590">
            <v>50</v>
          </cell>
          <cell r="F590">
            <v>1</v>
          </cell>
          <cell r="G590">
            <v>70</v>
          </cell>
        </row>
        <row r="591">
          <cell r="A591" t="str">
            <v>Psco_665</v>
          </cell>
          <cell r="B591">
            <v>590</v>
          </cell>
          <cell r="C591">
            <v>2</v>
          </cell>
          <cell r="D591" t="str">
            <v>TZ</v>
          </cell>
          <cell r="E591">
            <v>42</v>
          </cell>
          <cell r="F591">
            <v>1</v>
          </cell>
          <cell r="G591">
            <v>72</v>
          </cell>
        </row>
        <row r="592">
          <cell r="A592" t="str">
            <v>Psco_577</v>
          </cell>
          <cell r="B592">
            <v>591</v>
          </cell>
          <cell r="C592">
            <v>2</v>
          </cell>
          <cell r="D592" t="str">
            <v>TZ</v>
          </cell>
          <cell r="E592">
            <v>42</v>
          </cell>
          <cell r="F592">
            <v>0</v>
          </cell>
          <cell r="G592">
            <v>98</v>
          </cell>
        </row>
        <row r="593">
          <cell r="A593" t="str">
            <v>Psco_585</v>
          </cell>
          <cell r="B593">
            <v>592</v>
          </cell>
          <cell r="C593">
            <v>2</v>
          </cell>
          <cell r="D593" t="str">
            <v>MZ</v>
          </cell>
          <cell r="E593">
            <v>38</v>
          </cell>
          <cell r="F593">
            <v>1</v>
          </cell>
          <cell r="G593">
            <v>93</v>
          </cell>
        </row>
        <row r="594">
          <cell r="A594" t="str">
            <v>Psco_681</v>
          </cell>
          <cell r="B594">
            <v>593</v>
          </cell>
          <cell r="C594">
            <v>2</v>
          </cell>
          <cell r="D594" t="str">
            <v>TZ</v>
          </cell>
          <cell r="E594">
            <v>45</v>
          </cell>
          <cell r="F594">
            <v>1</v>
          </cell>
          <cell r="G594">
            <v>81</v>
          </cell>
        </row>
        <row r="595">
          <cell r="A595" t="str">
            <v>Psco_689</v>
          </cell>
          <cell r="B595">
            <v>594</v>
          </cell>
          <cell r="C595">
            <v>2</v>
          </cell>
          <cell r="D595" t="str">
            <v>MZ</v>
          </cell>
          <cell r="E595">
            <v>25</v>
          </cell>
          <cell r="F595">
            <v>1</v>
          </cell>
          <cell r="G595">
            <v>51</v>
          </cell>
        </row>
        <row r="596">
          <cell r="A596" t="str">
            <v>Psco_798</v>
          </cell>
          <cell r="B596">
            <v>595</v>
          </cell>
          <cell r="C596">
            <v>3</v>
          </cell>
          <cell r="D596" t="str">
            <v>MZ</v>
          </cell>
          <cell r="E596">
            <v>25</v>
          </cell>
          <cell r="F596">
            <v>0</v>
          </cell>
          <cell r="G596">
            <v>98</v>
          </cell>
        </row>
        <row r="597">
          <cell r="A597" t="str">
            <v>Psco_697</v>
          </cell>
          <cell r="B597">
            <v>596</v>
          </cell>
          <cell r="C597">
            <v>2</v>
          </cell>
          <cell r="D597" t="str">
            <v>MZ</v>
          </cell>
          <cell r="E597">
            <v>32</v>
          </cell>
          <cell r="F597">
            <v>0</v>
          </cell>
          <cell r="G597">
            <v>98</v>
          </cell>
        </row>
        <row r="598">
          <cell r="A598" t="str">
            <v>Psco_806</v>
          </cell>
          <cell r="B598">
            <v>597</v>
          </cell>
          <cell r="C598">
            <v>3</v>
          </cell>
          <cell r="D598" t="str">
            <v>MZ</v>
          </cell>
          <cell r="E598">
            <v>38</v>
          </cell>
          <cell r="F598">
            <v>0</v>
          </cell>
          <cell r="G598">
            <v>98</v>
          </cell>
        </row>
        <row r="599">
          <cell r="A599" t="str">
            <v>Psco_705</v>
          </cell>
          <cell r="B599">
            <v>598</v>
          </cell>
          <cell r="C599">
            <v>2</v>
          </cell>
          <cell r="D599" t="str">
            <v>MZ</v>
          </cell>
          <cell r="E599">
            <v>25</v>
          </cell>
          <cell r="F599">
            <v>1</v>
          </cell>
          <cell r="G599">
            <v>56</v>
          </cell>
        </row>
        <row r="600">
          <cell r="A600" t="str">
            <v>Psco_814</v>
          </cell>
          <cell r="B600">
            <v>599</v>
          </cell>
          <cell r="C600">
            <v>3</v>
          </cell>
          <cell r="D600" t="str">
            <v>MZ</v>
          </cell>
          <cell r="E600">
            <v>33</v>
          </cell>
          <cell r="F600">
            <v>0</v>
          </cell>
          <cell r="G600">
            <v>98</v>
          </cell>
        </row>
        <row r="601">
          <cell r="A601" t="str">
            <v>Psco_713</v>
          </cell>
          <cell r="B601">
            <v>600</v>
          </cell>
          <cell r="C601">
            <v>2</v>
          </cell>
          <cell r="D601" t="str">
            <v>MZ</v>
          </cell>
          <cell r="E601">
            <v>36</v>
          </cell>
          <cell r="F601">
            <v>1</v>
          </cell>
          <cell r="G601">
            <v>76</v>
          </cell>
        </row>
        <row r="602">
          <cell r="A602" t="str">
            <v>Psco_822</v>
          </cell>
          <cell r="B602">
            <v>601</v>
          </cell>
          <cell r="C602">
            <v>3</v>
          </cell>
          <cell r="D602" t="str">
            <v>MZ</v>
          </cell>
          <cell r="E602">
            <v>38</v>
          </cell>
          <cell r="F602">
            <v>0</v>
          </cell>
          <cell r="G602">
            <v>98</v>
          </cell>
        </row>
        <row r="603">
          <cell r="A603" t="str">
            <v>Psco_721</v>
          </cell>
          <cell r="B603">
            <v>602</v>
          </cell>
          <cell r="C603">
            <v>2</v>
          </cell>
          <cell r="D603" t="str">
            <v>TZ</v>
          </cell>
          <cell r="E603">
            <v>49</v>
          </cell>
          <cell r="F603">
            <v>1</v>
          </cell>
          <cell r="G603">
            <v>63</v>
          </cell>
        </row>
        <row r="604">
          <cell r="A604" t="str">
            <v>Psco_830</v>
          </cell>
          <cell r="B604">
            <v>603</v>
          </cell>
          <cell r="C604">
            <v>3</v>
          </cell>
          <cell r="D604" t="str">
            <v>MZ</v>
          </cell>
          <cell r="E604">
            <v>34</v>
          </cell>
          <cell r="F604">
            <v>0</v>
          </cell>
          <cell r="G604">
            <v>98</v>
          </cell>
        </row>
        <row r="605">
          <cell r="A605" t="str">
            <v>Psco_838</v>
          </cell>
          <cell r="B605">
            <v>604</v>
          </cell>
          <cell r="C605">
            <v>3</v>
          </cell>
          <cell r="D605" t="str">
            <v>MZ</v>
          </cell>
          <cell r="E605">
            <v>34</v>
          </cell>
          <cell r="F605">
            <v>1</v>
          </cell>
          <cell r="G605">
            <v>72</v>
          </cell>
        </row>
        <row r="606">
          <cell r="A606" t="str">
            <v>Psco_750</v>
          </cell>
          <cell r="B606">
            <v>605</v>
          </cell>
          <cell r="C606">
            <v>3</v>
          </cell>
          <cell r="D606" t="str">
            <v>MZ</v>
          </cell>
          <cell r="E606">
            <v>40</v>
          </cell>
          <cell r="F606">
            <v>0</v>
          </cell>
          <cell r="G606">
            <v>98</v>
          </cell>
        </row>
        <row r="607">
          <cell r="A607" t="str">
            <v>Psco_846</v>
          </cell>
          <cell r="B607">
            <v>606</v>
          </cell>
          <cell r="C607">
            <v>3</v>
          </cell>
          <cell r="D607" t="str">
            <v>MZ</v>
          </cell>
          <cell r="E607">
            <v>21</v>
          </cell>
          <cell r="F607">
            <v>0</v>
          </cell>
          <cell r="G607">
            <v>98</v>
          </cell>
        </row>
        <row r="608">
          <cell r="A608" t="str">
            <v>Psco_758</v>
          </cell>
          <cell r="B608">
            <v>607</v>
          </cell>
          <cell r="C608">
            <v>3</v>
          </cell>
          <cell r="D608" t="str">
            <v>MZ</v>
          </cell>
          <cell r="E608">
            <v>34</v>
          </cell>
          <cell r="F608">
            <v>0</v>
          </cell>
          <cell r="G608">
            <v>98</v>
          </cell>
        </row>
        <row r="609">
          <cell r="A609" t="str">
            <v>Psco_854</v>
          </cell>
          <cell r="B609">
            <v>608</v>
          </cell>
          <cell r="C609">
            <v>3</v>
          </cell>
          <cell r="D609" t="str">
            <v>MZ</v>
          </cell>
          <cell r="E609">
            <v>36</v>
          </cell>
          <cell r="F609">
            <v>0</v>
          </cell>
          <cell r="G609">
            <v>98</v>
          </cell>
        </row>
        <row r="610">
          <cell r="A610" t="str">
            <v>Psco_766</v>
          </cell>
          <cell r="B610">
            <v>609</v>
          </cell>
          <cell r="C610">
            <v>3</v>
          </cell>
          <cell r="D610" t="str">
            <v>MZ</v>
          </cell>
          <cell r="E610">
            <v>37</v>
          </cell>
          <cell r="F610">
            <v>0</v>
          </cell>
          <cell r="G610">
            <v>98</v>
          </cell>
        </row>
        <row r="611">
          <cell r="A611" t="str">
            <v>Psco_862</v>
          </cell>
          <cell r="B611">
            <v>610</v>
          </cell>
          <cell r="C611">
            <v>3</v>
          </cell>
          <cell r="D611" t="str">
            <v>MZ</v>
          </cell>
          <cell r="E611">
            <v>32</v>
          </cell>
          <cell r="F611">
            <v>1</v>
          </cell>
          <cell r="G611">
            <v>48</v>
          </cell>
        </row>
        <row r="612">
          <cell r="A612" t="str">
            <v>Psco_774</v>
          </cell>
          <cell r="B612">
            <v>611</v>
          </cell>
          <cell r="C612">
            <v>3</v>
          </cell>
          <cell r="D612" t="str">
            <v>MZ</v>
          </cell>
          <cell r="E612">
            <v>21</v>
          </cell>
          <cell r="F612">
            <v>0</v>
          </cell>
          <cell r="G612">
            <v>98</v>
          </cell>
        </row>
        <row r="613">
          <cell r="A613" t="str">
            <v>Psco_870</v>
          </cell>
          <cell r="B613">
            <v>612</v>
          </cell>
          <cell r="C613">
            <v>3</v>
          </cell>
          <cell r="D613" t="str">
            <v>MZ</v>
          </cell>
          <cell r="E613">
            <v>29</v>
          </cell>
          <cell r="F613">
            <v>1</v>
          </cell>
          <cell r="G613">
            <v>76</v>
          </cell>
        </row>
        <row r="614">
          <cell r="A614" t="str">
            <v>Psco_782</v>
          </cell>
          <cell r="B614">
            <v>613</v>
          </cell>
          <cell r="C614">
            <v>3</v>
          </cell>
          <cell r="D614" t="str">
            <v>MZ</v>
          </cell>
          <cell r="E614">
            <v>27</v>
          </cell>
          <cell r="F614">
            <v>0</v>
          </cell>
          <cell r="G614">
            <v>98</v>
          </cell>
        </row>
        <row r="615">
          <cell r="A615" t="str">
            <v>Psco_878</v>
          </cell>
          <cell r="B615">
            <v>614</v>
          </cell>
          <cell r="C615">
            <v>3</v>
          </cell>
          <cell r="D615" t="str">
            <v>MZ</v>
          </cell>
          <cell r="E615">
            <v>23</v>
          </cell>
          <cell r="F615">
            <v>0</v>
          </cell>
          <cell r="G615">
            <v>98</v>
          </cell>
        </row>
        <row r="616">
          <cell r="A616" t="str">
            <v>Psco_790</v>
          </cell>
          <cell r="B616">
            <v>615</v>
          </cell>
          <cell r="C616">
            <v>3</v>
          </cell>
          <cell r="D616" t="str">
            <v>MZ</v>
          </cell>
          <cell r="E616">
            <v>35</v>
          </cell>
          <cell r="F616">
            <v>0</v>
          </cell>
          <cell r="G616">
            <v>98</v>
          </cell>
        </row>
        <row r="617">
          <cell r="A617" t="str">
            <v>Psco_886</v>
          </cell>
          <cell r="B617">
            <v>616</v>
          </cell>
          <cell r="C617">
            <v>3</v>
          </cell>
          <cell r="D617" t="str">
            <v>MZ</v>
          </cell>
          <cell r="E617">
            <v>40</v>
          </cell>
          <cell r="F617">
            <v>1</v>
          </cell>
          <cell r="G617">
            <v>77</v>
          </cell>
        </row>
        <row r="618">
          <cell r="A618" t="str">
            <v>Psco_498</v>
          </cell>
          <cell r="B618">
            <v>617</v>
          </cell>
          <cell r="C618">
            <v>2</v>
          </cell>
          <cell r="D618" t="str">
            <v>MZ</v>
          </cell>
          <cell r="E618">
            <v>21</v>
          </cell>
          <cell r="F618">
            <v>0</v>
          </cell>
          <cell r="G618">
            <v>98</v>
          </cell>
        </row>
        <row r="619">
          <cell r="A619" t="str">
            <v>Psco_594</v>
          </cell>
          <cell r="B619">
            <v>618</v>
          </cell>
          <cell r="C619">
            <v>2</v>
          </cell>
          <cell r="D619" t="str">
            <v>TZ</v>
          </cell>
          <cell r="E619">
            <v>42</v>
          </cell>
          <cell r="F619">
            <v>1</v>
          </cell>
          <cell r="G619">
            <v>86</v>
          </cell>
        </row>
        <row r="620">
          <cell r="A620" t="str">
            <v>Psco_506</v>
          </cell>
          <cell r="B620">
            <v>619</v>
          </cell>
          <cell r="C620">
            <v>2</v>
          </cell>
          <cell r="D620" t="str">
            <v>MZ</v>
          </cell>
          <cell r="E620">
            <v>33</v>
          </cell>
          <cell r="F620">
            <v>0</v>
          </cell>
          <cell r="G620">
            <v>98</v>
          </cell>
        </row>
        <row r="621">
          <cell r="A621" t="str">
            <v>Psco_602</v>
          </cell>
          <cell r="B621">
            <v>620</v>
          </cell>
          <cell r="C621">
            <v>2</v>
          </cell>
          <cell r="D621" t="str">
            <v>MZ</v>
          </cell>
          <cell r="E621">
            <v>38</v>
          </cell>
          <cell r="F621">
            <v>1</v>
          </cell>
          <cell r="G621">
            <v>95</v>
          </cell>
        </row>
        <row r="622">
          <cell r="A622" t="str">
            <v>Psco_514</v>
          </cell>
          <cell r="B622">
            <v>621</v>
          </cell>
          <cell r="C622">
            <v>2</v>
          </cell>
          <cell r="D622" t="str">
            <v>MZ</v>
          </cell>
          <cell r="E622">
            <v>25</v>
          </cell>
          <cell r="F622">
            <v>1</v>
          </cell>
          <cell r="G622">
            <v>94</v>
          </cell>
        </row>
        <row r="623">
          <cell r="A623" t="str">
            <v>Psco_610</v>
          </cell>
          <cell r="B623">
            <v>622</v>
          </cell>
          <cell r="C623">
            <v>2</v>
          </cell>
          <cell r="D623" t="str">
            <v>MZ</v>
          </cell>
          <cell r="E623">
            <v>40</v>
          </cell>
          <cell r="F623">
            <v>0</v>
          </cell>
          <cell r="G623">
            <v>98</v>
          </cell>
        </row>
        <row r="624">
          <cell r="A624" t="str">
            <v>Psco_522</v>
          </cell>
          <cell r="B624">
            <v>623</v>
          </cell>
          <cell r="C624">
            <v>2</v>
          </cell>
          <cell r="D624" t="str">
            <v>MZ</v>
          </cell>
          <cell r="E624">
            <v>23</v>
          </cell>
          <cell r="F624">
            <v>0</v>
          </cell>
          <cell r="G624">
            <v>98</v>
          </cell>
        </row>
        <row r="625">
          <cell r="A625" t="str">
            <v>Psco_618</v>
          </cell>
          <cell r="B625">
            <v>624</v>
          </cell>
          <cell r="C625">
            <v>2</v>
          </cell>
          <cell r="D625" t="str">
            <v>MZ</v>
          </cell>
          <cell r="E625">
            <v>27</v>
          </cell>
          <cell r="F625">
            <v>1</v>
          </cell>
          <cell r="G625">
            <v>58</v>
          </cell>
        </row>
        <row r="626">
          <cell r="A626" t="str">
            <v>Psco_530</v>
          </cell>
          <cell r="B626">
            <v>625</v>
          </cell>
          <cell r="C626">
            <v>2</v>
          </cell>
          <cell r="D626" t="str">
            <v>MZ</v>
          </cell>
          <cell r="E626">
            <v>30</v>
          </cell>
          <cell r="F626">
            <v>0</v>
          </cell>
          <cell r="G626">
            <v>98</v>
          </cell>
        </row>
        <row r="627">
          <cell r="A627" t="str">
            <v>Psco_626</v>
          </cell>
          <cell r="B627">
            <v>626</v>
          </cell>
          <cell r="C627">
            <v>2</v>
          </cell>
          <cell r="D627" t="str">
            <v>MZ</v>
          </cell>
          <cell r="E627">
            <v>27</v>
          </cell>
          <cell r="F627">
            <v>1</v>
          </cell>
          <cell r="G627">
            <v>70</v>
          </cell>
        </row>
        <row r="628">
          <cell r="A628" t="str">
            <v>Psco_538</v>
          </cell>
          <cell r="B628">
            <v>627</v>
          </cell>
          <cell r="C628">
            <v>2</v>
          </cell>
          <cell r="D628" t="str">
            <v>MZ</v>
          </cell>
          <cell r="E628">
            <v>32</v>
          </cell>
          <cell r="F628">
            <v>1</v>
          </cell>
          <cell r="G628">
            <v>60</v>
          </cell>
        </row>
        <row r="629">
          <cell r="A629" t="str">
            <v>Psco_634</v>
          </cell>
          <cell r="B629">
            <v>628</v>
          </cell>
          <cell r="C629">
            <v>2</v>
          </cell>
          <cell r="D629" t="str">
            <v>MZ</v>
          </cell>
          <cell r="E629">
            <v>40</v>
          </cell>
          <cell r="F629">
            <v>1</v>
          </cell>
          <cell r="G629">
            <v>74</v>
          </cell>
        </row>
        <row r="630">
          <cell r="A630" t="str">
            <v>Psco_546</v>
          </cell>
          <cell r="B630">
            <v>629</v>
          </cell>
          <cell r="C630">
            <v>2</v>
          </cell>
          <cell r="D630" t="str">
            <v>MZ</v>
          </cell>
          <cell r="E630">
            <v>27</v>
          </cell>
          <cell r="F630">
            <v>0</v>
          </cell>
          <cell r="G630">
            <v>98</v>
          </cell>
        </row>
        <row r="631">
          <cell r="A631" t="str">
            <v>Psco_642</v>
          </cell>
          <cell r="B631">
            <v>630</v>
          </cell>
          <cell r="C631">
            <v>2</v>
          </cell>
          <cell r="D631" t="str">
            <v>MZ</v>
          </cell>
          <cell r="E631">
            <v>36</v>
          </cell>
          <cell r="F631">
            <v>1</v>
          </cell>
          <cell r="G631">
            <v>65</v>
          </cell>
        </row>
        <row r="632">
          <cell r="A632" t="str">
            <v>Psco_554</v>
          </cell>
          <cell r="B632">
            <v>631</v>
          </cell>
          <cell r="C632">
            <v>2</v>
          </cell>
          <cell r="D632" t="str">
            <v>MZ</v>
          </cell>
          <cell r="E632">
            <v>28</v>
          </cell>
          <cell r="F632">
            <v>0</v>
          </cell>
          <cell r="G632">
            <v>98</v>
          </cell>
        </row>
        <row r="633">
          <cell r="A633" t="str">
            <v>Psco_650</v>
          </cell>
          <cell r="B633">
            <v>632</v>
          </cell>
          <cell r="C633">
            <v>2</v>
          </cell>
          <cell r="D633" t="str">
            <v>MZ</v>
          </cell>
          <cell r="E633">
            <v>29</v>
          </cell>
          <cell r="F633">
            <v>1</v>
          </cell>
          <cell r="G633">
            <v>44</v>
          </cell>
        </row>
        <row r="634">
          <cell r="A634" t="str">
            <v>Psco_562</v>
          </cell>
          <cell r="B634">
            <v>633</v>
          </cell>
          <cell r="C634">
            <v>2</v>
          </cell>
          <cell r="D634" t="str">
            <v>MZ</v>
          </cell>
          <cell r="E634">
            <v>23</v>
          </cell>
          <cell r="F634">
            <v>0</v>
          </cell>
          <cell r="G634">
            <v>98</v>
          </cell>
        </row>
        <row r="635">
          <cell r="A635" t="str">
            <v>Psco_658</v>
          </cell>
          <cell r="B635">
            <v>634</v>
          </cell>
          <cell r="C635">
            <v>2</v>
          </cell>
          <cell r="D635" t="str">
            <v>MZ</v>
          </cell>
          <cell r="E635">
            <v>26</v>
          </cell>
          <cell r="F635">
            <v>1</v>
          </cell>
          <cell r="G635">
            <v>76</v>
          </cell>
        </row>
        <row r="636">
          <cell r="A636" t="str">
            <v>Psco_570</v>
          </cell>
          <cell r="B636">
            <v>635</v>
          </cell>
          <cell r="C636">
            <v>2</v>
          </cell>
          <cell r="D636" t="str">
            <v>TZ</v>
          </cell>
          <cell r="E636">
            <v>50</v>
          </cell>
          <cell r="F636">
            <v>1</v>
          </cell>
          <cell r="G636">
            <v>72</v>
          </cell>
        </row>
        <row r="637">
          <cell r="A637" t="str">
            <v>Psco_666</v>
          </cell>
          <cell r="B637">
            <v>636</v>
          </cell>
          <cell r="C637">
            <v>2</v>
          </cell>
          <cell r="D637" t="str">
            <v>MZ</v>
          </cell>
          <cell r="E637">
            <v>40</v>
          </cell>
          <cell r="F637">
            <v>1</v>
          </cell>
          <cell r="G637">
            <v>70</v>
          </cell>
        </row>
        <row r="638">
          <cell r="A638" t="str">
            <v>Psco_578</v>
          </cell>
          <cell r="B638">
            <v>637</v>
          </cell>
          <cell r="C638">
            <v>2</v>
          </cell>
          <cell r="D638" t="str">
            <v>TZ</v>
          </cell>
          <cell r="E638">
            <v>46</v>
          </cell>
          <cell r="F638">
            <v>0</v>
          </cell>
          <cell r="G638">
            <v>98</v>
          </cell>
        </row>
        <row r="639">
          <cell r="A639" t="str">
            <v>Psco_586</v>
          </cell>
          <cell r="B639">
            <v>638</v>
          </cell>
          <cell r="C639">
            <v>2</v>
          </cell>
          <cell r="D639" t="str">
            <v>MZ</v>
          </cell>
          <cell r="E639">
            <v>22</v>
          </cell>
          <cell r="F639">
            <v>1</v>
          </cell>
          <cell r="G639">
            <v>60</v>
          </cell>
        </row>
        <row r="640">
          <cell r="A640" t="str">
            <v>Psco_682</v>
          </cell>
          <cell r="B640">
            <v>639</v>
          </cell>
          <cell r="C640">
            <v>2</v>
          </cell>
          <cell r="D640" t="str">
            <v>MZ</v>
          </cell>
          <cell r="E640">
            <v>34</v>
          </cell>
          <cell r="F640">
            <v>1</v>
          </cell>
          <cell r="G640">
            <v>75</v>
          </cell>
        </row>
        <row r="641">
          <cell r="A641" t="str">
            <v>Psco_690</v>
          </cell>
          <cell r="B641">
            <v>640</v>
          </cell>
          <cell r="C641">
            <v>2</v>
          </cell>
          <cell r="D641" t="str">
            <v>MZ</v>
          </cell>
          <cell r="E641">
            <v>40</v>
          </cell>
          <cell r="F641">
            <v>1</v>
          </cell>
          <cell r="G641">
            <v>65</v>
          </cell>
        </row>
        <row r="642">
          <cell r="A642" t="str">
            <v>Psco_799</v>
          </cell>
          <cell r="B642">
            <v>641</v>
          </cell>
          <cell r="C642">
            <v>3</v>
          </cell>
          <cell r="D642" t="str">
            <v>MZ</v>
          </cell>
          <cell r="E642">
            <v>21</v>
          </cell>
          <cell r="F642">
            <v>0</v>
          </cell>
          <cell r="G642">
            <v>98</v>
          </cell>
        </row>
        <row r="643">
          <cell r="A643" t="str">
            <v>Psco_698</v>
          </cell>
          <cell r="B643">
            <v>642</v>
          </cell>
          <cell r="C643">
            <v>2</v>
          </cell>
          <cell r="D643" t="str">
            <v>MZ</v>
          </cell>
          <cell r="E643">
            <v>29</v>
          </cell>
          <cell r="F643">
            <v>1</v>
          </cell>
          <cell r="G643">
            <v>70</v>
          </cell>
        </row>
        <row r="644">
          <cell r="A644" t="str">
            <v>Psco_706</v>
          </cell>
          <cell r="B644">
            <v>643</v>
          </cell>
          <cell r="C644">
            <v>2</v>
          </cell>
          <cell r="D644" t="str">
            <v>MZ</v>
          </cell>
          <cell r="E644">
            <v>22</v>
          </cell>
          <cell r="F644">
            <v>0</v>
          </cell>
          <cell r="G644">
            <v>98</v>
          </cell>
        </row>
        <row r="645">
          <cell r="A645" t="str">
            <v>Psco_815</v>
          </cell>
          <cell r="B645">
            <v>644</v>
          </cell>
          <cell r="C645">
            <v>3</v>
          </cell>
          <cell r="D645" t="str">
            <v>MZ</v>
          </cell>
          <cell r="E645">
            <v>26</v>
          </cell>
          <cell r="F645">
            <v>0</v>
          </cell>
          <cell r="G645">
            <v>98</v>
          </cell>
        </row>
        <row r="646">
          <cell r="A646" t="str">
            <v>Psco_714</v>
          </cell>
          <cell r="B646">
            <v>645</v>
          </cell>
          <cell r="C646">
            <v>2</v>
          </cell>
          <cell r="D646" t="str">
            <v>TZ</v>
          </cell>
          <cell r="E646">
            <v>52</v>
          </cell>
          <cell r="F646">
            <v>1</v>
          </cell>
          <cell r="G646">
            <v>79</v>
          </cell>
        </row>
        <row r="647">
          <cell r="A647" t="str">
            <v>Psco_823</v>
          </cell>
          <cell r="B647">
            <v>646</v>
          </cell>
          <cell r="C647">
            <v>3</v>
          </cell>
          <cell r="D647" t="str">
            <v>MZ</v>
          </cell>
          <cell r="E647">
            <v>26</v>
          </cell>
          <cell r="F647">
            <v>1</v>
          </cell>
          <cell r="G647">
            <v>88</v>
          </cell>
        </row>
        <row r="648">
          <cell r="A648" t="str">
            <v>Psco_722</v>
          </cell>
          <cell r="B648">
            <v>647</v>
          </cell>
          <cell r="C648">
            <v>2</v>
          </cell>
          <cell r="D648" t="str">
            <v>MZ</v>
          </cell>
          <cell r="E648">
            <v>31</v>
          </cell>
          <cell r="F648">
            <v>1</v>
          </cell>
          <cell r="G648">
            <v>84</v>
          </cell>
        </row>
        <row r="649">
          <cell r="A649" t="str">
            <v>Psco_831</v>
          </cell>
          <cell r="B649">
            <v>648</v>
          </cell>
          <cell r="C649">
            <v>3</v>
          </cell>
          <cell r="D649" t="str">
            <v>MZ</v>
          </cell>
          <cell r="E649">
            <v>30</v>
          </cell>
          <cell r="F649">
            <v>0</v>
          </cell>
          <cell r="G649">
            <v>98</v>
          </cell>
        </row>
        <row r="650">
          <cell r="A650" t="str">
            <v>Psco_839</v>
          </cell>
          <cell r="B650">
            <v>649</v>
          </cell>
          <cell r="C650">
            <v>3</v>
          </cell>
          <cell r="D650" t="str">
            <v>MZ</v>
          </cell>
          <cell r="E650">
            <v>39</v>
          </cell>
          <cell r="F650">
            <v>0</v>
          </cell>
          <cell r="G650">
            <v>98</v>
          </cell>
        </row>
        <row r="651">
          <cell r="A651" t="str">
            <v>Psco_751</v>
          </cell>
          <cell r="B651">
            <v>650</v>
          </cell>
          <cell r="C651">
            <v>3</v>
          </cell>
          <cell r="D651" t="str">
            <v>MZ</v>
          </cell>
          <cell r="E651">
            <v>31</v>
          </cell>
          <cell r="F651">
            <v>0</v>
          </cell>
          <cell r="G651">
            <v>98</v>
          </cell>
        </row>
        <row r="652">
          <cell r="A652" t="str">
            <v>Psco_847</v>
          </cell>
          <cell r="B652">
            <v>651</v>
          </cell>
          <cell r="C652">
            <v>3</v>
          </cell>
          <cell r="D652" t="str">
            <v>MZ</v>
          </cell>
          <cell r="E652">
            <v>27</v>
          </cell>
          <cell r="F652">
            <v>1</v>
          </cell>
          <cell r="G652">
            <v>78</v>
          </cell>
        </row>
        <row r="653">
          <cell r="A653" t="str">
            <v>Psco_759</v>
          </cell>
          <cell r="B653">
            <v>652</v>
          </cell>
          <cell r="C653">
            <v>3</v>
          </cell>
          <cell r="D653" t="str">
            <v>MZ</v>
          </cell>
          <cell r="E653">
            <v>23</v>
          </cell>
          <cell r="F653">
            <v>0</v>
          </cell>
          <cell r="G653">
            <v>98</v>
          </cell>
        </row>
        <row r="654">
          <cell r="A654" t="str">
            <v>Psco_855</v>
          </cell>
          <cell r="B654">
            <v>653</v>
          </cell>
          <cell r="C654">
            <v>3</v>
          </cell>
          <cell r="D654" t="str">
            <v>MZ</v>
          </cell>
          <cell r="E654">
            <v>23</v>
          </cell>
          <cell r="F654">
            <v>0</v>
          </cell>
          <cell r="G654">
            <v>98</v>
          </cell>
        </row>
        <row r="655">
          <cell r="A655" t="str">
            <v>Psco_767</v>
          </cell>
          <cell r="B655">
            <v>654</v>
          </cell>
          <cell r="C655">
            <v>3</v>
          </cell>
          <cell r="D655" t="str">
            <v>MZ</v>
          </cell>
          <cell r="E655">
            <v>39</v>
          </cell>
          <cell r="F655">
            <v>0</v>
          </cell>
          <cell r="G655">
            <v>98</v>
          </cell>
        </row>
        <row r="656">
          <cell r="A656" t="str">
            <v>Psco_775</v>
          </cell>
          <cell r="B656">
            <v>655</v>
          </cell>
          <cell r="C656">
            <v>3</v>
          </cell>
          <cell r="D656" t="str">
            <v>MZ</v>
          </cell>
          <cell r="E656">
            <v>27</v>
          </cell>
          <cell r="F656">
            <v>1</v>
          </cell>
          <cell r="G656">
            <v>73</v>
          </cell>
        </row>
        <row r="657">
          <cell r="A657" t="str">
            <v>Psco_871</v>
          </cell>
          <cell r="B657">
            <v>656</v>
          </cell>
          <cell r="C657">
            <v>3</v>
          </cell>
          <cell r="D657" t="str">
            <v>MZ</v>
          </cell>
          <cell r="E657">
            <v>26</v>
          </cell>
          <cell r="F657">
            <v>0</v>
          </cell>
          <cell r="G657">
            <v>98</v>
          </cell>
        </row>
        <row r="658">
          <cell r="A658" t="str">
            <v>Psco_783</v>
          </cell>
          <cell r="B658">
            <v>657</v>
          </cell>
          <cell r="C658">
            <v>3</v>
          </cell>
          <cell r="D658" t="str">
            <v>MZ</v>
          </cell>
          <cell r="E658">
            <v>36</v>
          </cell>
          <cell r="F658">
            <v>1</v>
          </cell>
          <cell r="G658">
            <v>68</v>
          </cell>
        </row>
        <row r="659">
          <cell r="A659" t="str">
            <v>Psco_879</v>
          </cell>
          <cell r="B659">
            <v>658</v>
          </cell>
          <cell r="C659">
            <v>3</v>
          </cell>
          <cell r="D659" t="str">
            <v>MZ</v>
          </cell>
          <cell r="E659">
            <v>32</v>
          </cell>
          <cell r="F659">
            <v>0</v>
          </cell>
          <cell r="G659">
            <v>98</v>
          </cell>
        </row>
        <row r="660">
          <cell r="A660" t="str">
            <v>Psco_791</v>
          </cell>
          <cell r="B660">
            <v>659</v>
          </cell>
          <cell r="C660">
            <v>3</v>
          </cell>
          <cell r="D660" t="str">
            <v>MZ</v>
          </cell>
          <cell r="E660">
            <v>36</v>
          </cell>
          <cell r="F660">
            <v>0</v>
          </cell>
          <cell r="G660">
            <v>98</v>
          </cell>
        </row>
        <row r="661">
          <cell r="A661" t="str">
            <v>Psco_887</v>
          </cell>
          <cell r="B661">
            <v>660</v>
          </cell>
          <cell r="C661">
            <v>3</v>
          </cell>
          <cell r="D661" t="str">
            <v>MZ</v>
          </cell>
          <cell r="E661">
            <v>34</v>
          </cell>
          <cell r="F661">
            <v>0</v>
          </cell>
          <cell r="G661">
            <v>98</v>
          </cell>
        </row>
        <row r="662">
          <cell r="A662" t="str">
            <v>Psco_499</v>
          </cell>
          <cell r="B662">
            <v>661</v>
          </cell>
          <cell r="C662">
            <v>2</v>
          </cell>
          <cell r="D662" t="str">
            <v>MZ</v>
          </cell>
          <cell r="E662">
            <v>37</v>
          </cell>
          <cell r="F662">
            <v>0</v>
          </cell>
          <cell r="G662">
            <v>98</v>
          </cell>
        </row>
        <row r="663">
          <cell r="A663" t="str">
            <v>Psco_595</v>
          </cell>
          <cell r="B663">
            <v>662</v>
          </cell>
          <cell r="C663">
            <v>2</v>
          </cell>
          <cell r="D663" t="str">
            <v>MZ</v>
          </cell>
          <cell r="E663">
            <v>39</v>
          </cell>
          <cell r="F663">
            <v>0</v>
          </cell>
          <cell r="G663">
            <v>98</v>
          </cell>
        </row>
        <row r="664">
          <cell r="A664" t="str">
            <v>Psco_507</v>
          </cell>
          <cell r="B664">
            <v>663</v>
          </cell>
          <cell r="C664">
            <v>2</v>
          </cell>
          <cell r="D664" t="str">
            <v>TZ</v>
          </cell>
          <cell r="E664">
            <v>42</v>
          </cell>
          <cell r="F664">
            <v>0</v>
          </cell>
          <cell r="G664">
            <v>98</v>
          </cell>
        </row>
        <row r="665">
          <cell r="A665" t="str">
            <v>Psco_603</v>
          </cell>
          <cell r="B665">
            <v>664</v>
          </cell>
          <cell r="C665">
            <v>2</v>
          </cell>
          <cell r="D665" t="str">
            <v>TZ</v>
          </cell>
          <cell r="E665">
            <v>42</v>
          </cell>
          <cell r="F665">
            <v>0</v>
          </cell>
          <cell r="G665">
            <v>98</v>
          </cell>
        </row>
        <row r="666">
          <cell r="A666" t="str">
            <v>Psco_515</v>
          </cell>
          <cell r="B666">
            <v>665</v>
          </cell>
          <cell r="C666">
            <v>2</v>
          </cell>
          <cell r="D666" t="str">
            <v>TZ</v>
          </cell>
          <cell r="E666">
            <v>46</v>
          </cell>
          <cell r="F666">
            <v>1</v>
          </cell>
          <cell r="G666">
            <v>74</v>
          </cell>
        </row>
        <row r="667">
          <cell r="A667" t="str">
            <v>Psco_611</v>
          </cell>
          <cell r="B667">
            <v>666</v>
          </cell>
          <cell r="C667">
            <v>2</v>
          </cell>
          <cell r="D667" t="str">
            <v>TZ</v>
          </cell>
          <cell r="E667">
            <v>54</v>
          </cell>
          <cell r="F667">
            <v>1</v>
          </cell>
          <cell r="G667">
            <v>63</v>
          </cell>
        </row>
        <row r="668">
          <cell r="A668" t="str">
            <v>Psco_523</v>
          </cell>
          <cell r="B668">
            <v>667</v>
          </cell>
          <cell r="C668">
            <v>2</v>
          </cell>
          <cell r="D668" t="str">
            <v>TZ</v>
          </cell>
          <cell r="E668">
            <v>51</v>
          </cell>
          <cell r="F668">
            <v>0</v>
          </cell>
          <cell r="G668">
            <v>98</v>
          </cell>
        </row>
        <row r="669">
          <cell r="A669" t="str">
            <v>Psco_619</v>
          </cell>
          <cell r="B669">
            <v>668</v>
          </cell>
          <cell r="C669">
            <v>2</v>
          </cell>
          <cell r="D669" t="str">
            <v>MZ</v>
          </cell>
          <cell r="E669">
            <v>32</v>
          </cell>
          <cell r="F669">
            <v>1</v>
          </cell>
          <cell r="G669">
            <v>65</v>
          </cell>
        </row>
        <row r="670">
          <cell r="A670" t="str">
            <v>Psco_531</v>
          </cell>
          <cell r="B670">
            <v>669</v>
          </cell>
          <cell r="C670">
            <v>2</v>
          </cell>
          <cell r="D670" t="str">
            <v>TZ</v>
          </cell>
          <cell r="E670">
            <v>50</v>
          </cell>
          <cell r="F670">
            <v>0</v>
          </cell>
          <cell r="G670">
            <v>98</v>
          </cell>
        </row>
        <row r="671">
          <cell r="A671" t="str">
            <v>Psco_627</v>
          </cell>
          <cell r="B671">
            <v>670</v>
          </cell>
          <cell r="C671">
            <v>2</v>
          </cell>
          <cell r="D671" t="str">
            <v>TZ</v>
          </cell>
          <cell r="E671">
            <v>42</v>
          </cell>
          <cell r="F671">
            <v>1</v>
          </cell>
          <cell r="G671">
            <v>65</v>
          </cell>
        </row>
        <row r="672">
          <cell r="A672" t="str">
            <v>Psco_539</v>
          </cell>
          <cell r="B672">
            <v>671</v>
          </cell>
          <cell r="C672">
            <v>2</v>
          </cell>
          <cell r="D672" t="str">
            <v>MZ</v>
          </cell>
          <cell r="E672">
            <v>22</v>
          </cell>
          <cell r="F672">
            <v>0</v>
          </cell>
          <cell r="G672">
            <v>98</v>
          </cell>
        </row>
        <row r="673">
          <cell r="A673" t="str">
            <v>Psco_635</v>
          </cell>
          <cell r="B673">
            <v>672</v>
          </cell>
          <cell r="C673">
            <v>2</v>
          </cell>
          <cell r="D673" t="str">
            <v>TZ</v>
          </cell>
          <cell r="E673">
            <v>49</v>
          </cell>
          <cell r="F673">
            <v>0</v>
          </cell>
          <cell r="G673">
            <v>98</v>
          </cell>
        </row>
        <row r="674">
          <cell r="A674" t="str">
            <v>Psco_547</v>
          </cell>
          <cell r="B674">
            <v>673</v>
          </cell>
          <cell r="C674">
            <v>2</v>
          </cell>
          <cell r="D674" t="str">
            <v>MZ</v>
          </cell>
          <cell r="E674">
            <v>29</v>
          </cell>
          <cell r="F674">
            <v>1</v>
          </cell>
          <cell r="G674">
            <v>63</v>
          </cell>
        </row>
        <row r="675">
          <cell r="A675" t="str">
            <v>Psco_643</v>
          </cell>
          <cell r="B675">
            <v>674</v>
          </cell>
          <cell r="C675">
            <v>2</v>
          </cell>
          <cell r="D675" t="str">
            <v>MZ</v>
          </cell>
          <cell r="E675">
            <v>40</v>
          </cell>
          <cell r="F675">
            <v>1</v>
          </cell>
          <cell r="G675">
            <v>63</v>
          </cell>
        </row>
        <row r="676">
          <cell r="A676" t="str">
            <v>Psco_555</v>
          </cell>
          <cell r="B676">
            <v>675</v>
          </cell>
          <cell r="C676">
            <v>2</v>
          </cell>
          <cell r="D676" t="str">
            <v>MZ</v>
          </cell>
          <cell r="E676">
            <v>25</v>
          </cell>
          <cell r="F676">
            <v>0</v>
          </cell>
          <cell r="G676">
            <v>98</v>
          </cell>
        </row>
        <row r="677">
          <cell r="A677" t="str">
            <v>Psco_651</v>
          </cell>
          <cell r="B677">
            <v>676</v>
          </cell>
          <cell r="C677">
            <v>2</v>
          </cell>
          <cell r="D677" t="str">
            <v>MZ</v>
          </cell>
          <cell r="E677">
            <v>31</v>
          </cell>
          <cell r="F677">
            <v>0</v>
          </cell>
          <cell r="G677">
            <v>98</v>
          </cell>
        </row>
        <row r="678">
          <cell r="A678" t="str">
            <v>Psco_563</v>
          </cell>
          <cell r="B678">
            <v>677</v>
          </cell>
          <cell r="C678">
            <v>2</v>
          </cell>
          <cell r="D678" t="str">
            <v>MZ</v>
          </cell>
          <cell r="E678">
            <v>31</v>
          </cell>
          <cell r="F678">
            <v>1</v>
          </cell>
          <cell r="G678">
            <v>86</v>
          </cell>
        </row>
        <row r="679">
          <cell r="A679" t="str">
            <v>Psco_659</v>
          </cell>
          <cell r="B679">
            <v>678</v>
          </cell>
          <cell r="C679">
            <v>2</v>
          </cell>
          <cell r="D679" t="str">
            <v>TZ</v>
          </cell>
          <cell r="E679">
            <v>52</v>
          </cell>
          <cell r="F679">
            <v>1</v>
          </cell>
          <cell r="G679">
            <v>45</v>
          </cell>
        </row>
        <row r="680">
          <cell r="A680" t="str">
            <v>Psco_571</v>
          </cell>
          <cell r="B680">
            <v>679</v>
          </cell>
          <cell r="C680">
            <v>2</v>
          </cell>
          <cell r="D680" t="str">
            <v>TZ</v>
          </cell>
          <cell r="E680">
            <v>51</v>
          </cell>
          <cell r="F680">
            <v>1</v>
          </cell>
          <cell r="G680">
            <v>54</v>
          </cell>
        </row>
        <row r="681">
          <cell r="A681" t="str">
            <v>Psco_667</v>
          </cell>
          <cell r="B681">
            <v>680</v>
          </cell>
          <cell r="C681">
            <v>2</v>
          </cell>
          <cell r="D681" t="str">
            <v>MZ</v>
          </cell>
          <cell r="E681">
            <v>35</v>
          </cell>
          <cell r="F681">
            <v>0</v>
          </cell>
          <cell r="G681">
            <v>98</v>
          </cell>
        </row>
        <row r="682">
          <cell r="A682" t="str">
            <v>Psco_579</v>
          </cell>
          <cell r="B682">
            <v>681</v>
          </cell>
          <cell r="C682">
            <v>2</v>
          </cell>
          <cell r="D682" t="str">
            <v>MZ</v>
          </cell>
          <cell r="E682">
            <v>38</v>
          </cell>
          <cell r="F682">
            <v>0</v>
          </cell>
          <cell r="G682">
            <v>98</v>
          </cell>
        </row>
        <row r="683">
          <cell r="A683" t="str">
            <v>Psco_675</v>
          </cell>
          <cell r="B683">
            <v>682</v>
          </cell>
          <cell r="C683">
            <v>2</v>
          </cell>
          <cell r="D683" t="str">
            <v>MZ</v>
          </cell>
          <cell r="E683">
            <v>35</v>
          </cell>
          <cell r="F683">
            <v>1</v>
          </cell>
          <cell r="G683">
            <v>75</v>
          </cell>
        </row>
        <row r="684">
          <cell r="A684" t="str">
            <v>Psco_587</v>
          </cell>
          <cell r="B684">
            <v>683</v>
          </cell>
          <cell r="C684">
            <v>2</v>
          </cell>
          <cell r="D684" t="str">
            <v>TZ</v>
          </cell>
          <cell r="E684">
            <v>42</v>
          </cell>
          <cell r="F684">
            <v>1</v>
          </cell>
          <cell r="G684">
            <v>58</v>
          </cell>
        </row>
        <row r="685">
          <cell r="A685" t="str">
            <v>Psco_683</v>
          </cell>
          <cell r="B685">
            <v>684</v>
          </cell>
          <cell r="C685">
            <v>2</v>
          </cell>
          <cell r="D685" t="str">
            <v>MZ</v>
          </cell>
          <cell r="E685">
            <v>24</v>
          </cell>
          <cell r="F685">
            <v>1</v>
          </cell>
          <cell r="G685">
            <v>65</v>
          </cell>
        </row>
        <row r="686">
          <cell r="A686" t="str">
            <v>Psco_691</v>
          </cell>
          <cell r="B686">
            <v>685</v>
          </cell>
          <cell r="C686">
            <v>2</v>
          </cell>
          <cell r="D686" t="str">
            <v>MZ</v>
          </cell>
          <cell r="E686">
            <v>30</v>
          </cell>
          <cell r="F686">
            <v>1</v>
          </cell>
          <cell r="G686">
            <v>51</v>
          </cell>
        </row>
        <row r="687">
          <cell r="A687" t="str">
            <v>Psco_800</v>
          </cell>
          <cell r="B687">
            <v>686</v>
          </cell>
          <cell r="C687">
            <v>3</v>
          </cell>
          <cell r="D687" t="str">
            <v>MZ</v>
          </cell>
          <cell r="E687">
            <v>35</v>
          </cell>
          <cell r="F687">
            <v>1</v>
          </cell>
          <cell r="G687">
            <v>92</v>
          </cell>
        </row>
        <row r="688">
          <cell r="A688" t="str">
            <v>Psco_699</v>
          </cell>
          <cell r="B688">
            <v>687</v>
          </cell>
          <cell r="C688">
            <v>2</v>
          </cell>
          <cell r="D688" t="str">
            <v>TZ</v>
          </cell>
          <cell r="E688">
            <v>44</v>
          </cell>
          <cell r="F688">
            <v>1</v>
          </cell>
          <cell r="G688">
            <v>62</v>
          </cell>
        </row>
        <row r="689">
          <cell r="A689" t="str">
            <v>Psco_808</v>
          </cell>
          <cell r="B689">
            <v>688</v>
          </cell>
          <cell r="C689">
            <v>3</v>
          </cell>
          <cell r="D689" t="str">
            <v>MZ</v>
          </cell>
          <cell r="E689">
            <v>33</v>
          </cell>
          <cell r="F689">
            <v>1</v>
          </cell>
          <cell r="G689">
            <v>74</v>
          </cell>
        </row>
        <row r="690">
          <cell r="A690" t="str">
            <v>Psco_707</v>
          </cell>
          <cell r="B690">
            <v>689</v>
          </cell>
          <cell r="C690">
            <v>2</v>
          </cell>
          <cell r="D690" t="str">
            <v>TZ</v>
          </cell>
          <cell r="E690">
            <v>50</v>
          </cell>
          <cell r="F690">
            <v>1</v>
          </cell>
          <cell r="G690">
            <v>59</v>
          </cell>
        </row>
        <row r="691">
          <cell r="A691" t="str">
            <v>Psco_816</v>
          </cell>
          <cell r="B691">
            <v>690</v>
          </cell>
          <cell r="C691">
            <v>3</v>
          </cell>
          <cell r="D691" t="str">
            <v>MZ</v>
          </cell>
          <cell r="E691">
            <v>37</v>
          </cell>
          <cell r="F691">
            <v>0</v>
          </cell>
          <cell r="G691">
            <v>98</v>
          </cell>
        </row>
        <row r="692">
          <cell r="A692" t="str">
            <v>Psco_715</v>
          </cell>
          <cell r="B692">
            <v>691</v>
          </cell>
          <cell r="C692">
            <v>2</v>
          </cell>
          <cell r="D692" t="str">
            <v>TZ</v>
          </cell>
          <cell r="E692">
            <v>48</v>
          </cell>
          <cell r="F692">
            <v>1</v>
          </cell>
          <cell r="G692">
            <v>48</v>
          </cell>
        </row>
        <row r="693">
          <cell r="A693" t="str">
            <v>Psco_824</v>
          </cell>
          <cell r="B693">
            <v>692</v>
          </cell>
          <cell r="C693">
            <v>3</v>
          </cell>
          <cell r="D693" t="str">
            <v>MZ</v>
          </cell>
          <cell r="E693">
            <v>37</v>
          </cell>
          <cell r="F693">
            <v>0</v>
          </cell>
          <cell r="G693">
            <v>98</v>
          </cell>
        </row>
        <row r="694">
          <cell r="A694" t="str">
            <v>Psco_723</v>
          </cell>
          <cell r="B694">
            <v>693</v>
          </cell>
          <cell r="C694">
            <v>2</v>
          </cell>
          <cell r="D694" t="str">
            <v>TZ</v>
          </cell>
          <cell r="E694">
            <v>47</v>
          </cell>
          <cell r="F694">
            <v>1</v>
          </cell>
          <cell r="G694">
            <v>78</v>
          </cell>
        </row>
        <row r="695">
          <cell r="A695" t="str">
            <v>Psco_832</v>
          </cell>
          <cell r="B695">
            <v>694</v>
          </cell>
          <cell r="C695">
            <v>3</v>
          </cell>
          <cell r="D695" t="str">
            <v>MZ</v>
          </cell>
          <cell r="E695">
            <v>30</v>
          </cell>
          <cell r="F695">
            <v>0</v>
          </cell>
          <cell r="G695">
            <v>98</v>
          </cell>
        </row>
        <row r="696">
          <cell r="A696" t="str">
            <v>Psco_840</v>
          </cell>
          <cell r="B696">
            <v>695</v>
          </cell>
          <cell r="C696">
            <v>3</v>
          </cell>
          <cell r="D696" t="str">
            <v>MZ</v>
          </cell>
          <cell r="E696">
            <v>23</v>
          </cell>
          <cell r="F696">
            <v>1</v>
          </cell>
          <cell r="G696">
            <v>73</v>
          </cell>
        </row>
        <row r="697">
          <cell r="A697" t="str">
            <v>Psco_848</v>
          </cell>
          <cell r="B697">
            <v>696</v>
          </cell>
          <cell r="C697">
            <v>3</v>
          </cell>
          <cell r="D697" t="str">
            <v>MZ</v>
          </cell>
          <cell r="E697">
            <v>23</v>
          </cell>
          <cell r="F697">
            <v>0</v>
          </cell>
          <cell r="G697">
            <v>98</v>
          </cell>
        </row>
        <row r="698">
          <cell r="A698" t="str">
            <v>Psco_760</v>
          </cell>
          <cell r="B698">
            <v>697</v>
          </cell>
          <cell r="C698">
            <v>3</v>
          </cell>
          <cell r="D698" t="str">
            <v>MZ</v>
          </cell>
          <cell r="E698">
            <v>39</v>
          </cell>
          <cell r="F698">
            <v>0</v>
          </cell>
          <cell r="G698">
            <v>98</v>
          </cell>
        </row>
        <row r="699">
          <cell r="A699" t="str">
            <v>Psco_856</v>
          </cell>
          <cell r="B699">
            <v>698</v>
          </cell>
          <cell r="C699">
            <v>3</v>
          </cell>
          <cell r="D699" t="str">
            <v>MZ</v>
          </cell>
          <cell r="E699">
            <v>27</v>
          </cell>
          <cell r="F699">
            <v>0</v>
          </cell>
          <cell r="G699">
            <v>98</v>
          </cell>
        </row>
        <row r="700">
          <cell r="A700" t="str">
            <v>Psco_768</v>
          </cell>
          <cell r="B700">
            <v>699</v>
          </cell>
          <cell r="C700">
            <v>3</v>
          </cell>
          <cell r="D700" t="str">
            <v>MZ</v>
          </cell>
          <cell r="E700">
            <v>25</v>
          </cell>
          <cell r="F700">
            <v>1</v>
          </cell>
          <cell r="G700">
            <v>76</v>
          </cell>
        </row>
        <row r="701">
          <cell r="A701" t="str">
            <v>Psco_864</v>
          </cell>
          <cell r="B701">
            <v>700</v>
          </cell>
          <cell r="C701">
            <v>3</v>
          </cell>
          <cell r="D701" t="str">
            <v>MZ</v>
          </cell>
          <cell r="E701">
            <v>23</v>
          </cell>
          <cell r="F701">
            <v>0</v>
          </cell>
          <cell r="G701">
            <v>98</v>
          </cell>
        </row>
        <row r="702">
          <cell r="A702" t="str">
            <v>Psco_776</v>
          </cell>
          <cell r="B702">
            <v>701</v>
          </cell>
          <cell r="C702">
            <v>3</v>
          </cell>
          <cell r="D702" t="str">
            <v>MZ</v>
          </cell>
          <cell r="E702">
            <v>30</v>
          </cell>
          <cell r="F702">
            <v>1</v>
          </cell>
          <cell r="G702">
            <v>80</v>
          </cell>
        </row>
        <row r="703">
          <cell r="A703" t="str">
            <v>Psco_872</v>
          </cell>
          <cell r="B703">
            <v>702</v>
          </cell>
          <cell r="C703">
            <v>3</v>
          </cell>
          <cell r="D703" t="str">
            <v>MZ</v>
          </cell>
          <cell r="E703">
            <v>24</v>
          </cell>
          <cell r="F703">
            <v>0</v>
          </cell>
          <cell r="G703">
            <v>98</v>
          </cell>
        </row>
        <row r="704">
          <cell r="A704" t="str">
            <v>Psco_784</v>
          </cell>
          <cell r="B704">
            <v>703</v>
          </cell>
          <cell r="C704">
            <v>3</v>
          </cell>
          <cell r="D704" t="str">
            <v>MZ</v>
          </cell>
          <cell r="E704">
            <v>26</v>
          </cell>
          <cell r="F704">
            <v>0</v>
          </cell>
          <cell r="G704">
            <v>98</v>
          </cell>
        </row>
        <row r="705">
          <cell r="A705" t="str">
            <v>Psco_880</v>
          </cell>
          <cell r="B705">
            <v>704</v>
          </cell>
          <cell r="C705">
            <v>3</v>
          </cell>
          <cell r="D705" t="str">
            <v>MZ</v>
          </cell>
          <cell r="E705">
            <v>26</v>
          </cell>
          <cell r="F705">
            <v>1</v>
          </cell>
          <cell r="G705">
            <v>83</v>
          </cell>
        </row>
        <row r="706">
          <cell r="A706" t="str">
            <v>Psco_792</v>
          </cell>
          <cell r="B706">
            <v>705</v>
          </cell>
          <cell r="C706">
            <v>3</v>
          </cell>
          <cell r="D706" t="str">
            <v>MZ</v>
          </cell>
          <cell r="E706">
            <v>25</v>
          </cell>
          <cell r="F706">
            <v>1</v>
          </cell>
          <cell r="G706">
            <v>63</v>
          </cell>
        </row>
        <row r="707">
          <cell r="A707" t="str">
            <v>Psco_888</v>
          </cell>
          <cell r="B707">
            <v>706</v>
          </cell>
          <cell r="C707">
            <v>3</v>
          </cell>
          <cell r="D707" t="str">
            <v>MZ</v>
          </cell>
          <cell r="E707">
            <v>31</v>
          </cell>
          <cell r="F707">
            <v>1</v>
          </cell>
          <cell r="G707">
            <v>74</v>
          </cell>
        </row>
        <row r="708">
          <cell r="A708" t="str">
            <v>Psco_500</v>
          </cell>
          <cell r="B708">
            <v>707</v>
          </cell>
          <cell r="C708">
            <v>2</v>
          </cell>
          <cell r="D708" t="str">
            <v>TZ</v>
          </cell>
          <cell r="E708">
            <v>50</v>
          </cell>
          <cell r="F708">
            <v>0</v>
          </cell>
          <cell r="G708">
            <v>98</v>
          </cell>
        </row>
        <row r="709">
          <cell r="A709" t="str">
            <v>Psco_596</v>
          </cell>
          <cell r="B709">
            <v>708</v>
          </cell>
          <cell r="C709">
            <v>2</v>
          </cell>
          <cell r="D709" t="str">
            <v>TZ</v>
          </cell>
          <cell r="E709">
            <v>44</v>
          </cell>
          <cell r="F709">
            <v>0</v>
          </cell>
          <cell r="G709">
            <v>98</v>
          </cell>
        </row>
        <row r="710">
          <cell r="A710" t="str">
            <v>Psco_508</v>
          </cell>
          <cell r="B710">
            <v>709</v>
          </cell>
          <cell r="C710">
            <v>2</v>
          </cell>
          <cell r="D710" t="str">
            <v>MZ</v>
          </cell>
          <cell r="E710">
            <v>36</v>
          </cell>
          <cell r="F710">
            <v>0</v>
          </cell>
          <cell r="G710">
            <v>98</v>
          </cell>
        </row>
        <row r="711">
          <cell r="A711" t="str">
            <v>Psco_604</v>
          </cell>
          <cell r="B711">
            <v>710</v>
          </cell>
          <cell r="C711">
            <v>2</v>
          </cell>
          <cell r="D711" t="str">
            <v>MZ</v>
          </cell>
          <cell r="E711">
            <v>22</v>
          </cell>
          <cell r="F711">
            <v>1</v>
          </cell>
          <cell r="G711">
            <v>56</v>
          </cell>
        </row>
        <row r="712">
          <cell r="A712" t="str">
            <v>Psco_516</v>
          </cell>
          <cell r="B712">
            <v>711</v>
          </cell>
          <cell r="C712">
            <v>2</v>
          </cell>
          <cell r="D712" t="str">
            <v>MZ</v>
          </cell>
          <cell r="E712">
            <v>26</v>
          </cell>
          <cell r="F712">
            <v>0</v>
          </cell>
          <cell r="G712">
            <v>98</v>
          </cell>
        </row>
        <row r="713">
          <cell r="A713" t="str">
            <v>Psco_612</v>
          </cell>
          <cell r="B713">
            <v>712</v>
          </cell>
          <cell r="C713">
            <v>2</v>
          </cell>
          <cell r="D713" t="str">
            <v>TZ</v>
          </cell>
          <cell r="E713">
            <v>50</v>
          </cell>
          <cell r="F713">
            <v>0</v>
          </cell>
          <cell r="G713">
            <v>98</v>
          </cell>
        </row>
        <row r="714">
          <cell r="A714" t="str">
            <v>Psco_524</v>
          </cell>
          <cell r="B714">
            <v>713</v>
          </cell>
          <cell r="C714">
            <v>2</v>
          </cell>
          <cell r="D714" t="str">
            <v>MZ</v>
          </cell>
          <cell r="E714">
            <v>35</v>
          </cell>
          <cell r="F714">
            <v>0</v>
          </cell>
          <cell r="G714">
            <v>98</v>
          </cell>
        </row>
        <row r="715">
          <cell r="A715" t="str">
            <v>Psco_620</v>
          </cell>
          <cell r="B715">
            <v>714</v>
          </cell>
          <cell r="C715">
            <v>2</v>
          </cell>
          <cell r="D715" t="str">
            <v>TZ</v>
          </cell>
          <cell r="E715">
            <v>50</v>
          </cell>
          <cell r="F715">
            <v>1</v>
          </cell>
          <cell r="G715">
            <v>59</v>
          </cell>
        </row>
        <row r="716">
          <cell r="A716" t="str">
            <v>Psco_532</v>
          </cell>
          <cell r="B716">
            <v>715</v>
          </cell>
          <cell r="C716">
            <v>2</v>
          </cell>
          <cell r="D716" t="str">
            <v>MZ</v>
          </cell>
          <cell r="E716">
            <v>31</v>
          </cell>
          <cell r="F716">
            <v>0</v>
          </cell>
          <cell r="G716">
            <v>98</v>
          </cell>
        </row>
        <row r="717">
          <cell r="A717" t="str">
            <v>Psco_628</v>
          </cell>
          <cell r="B717">
            <v>716</v>
          </cell>
          <cell r="C717">
            <v>2</v>
          </cell>
          <cell r="D717" t="str">
            <v>TZ</v>
          </cell>
          <cell r="E717">
            <v>50</v>
          </cell>
          <cell r="F717">
            <v>0</v>
          </cell>
          <cell r="G717">
            <v>98</v>
          </cell>
        </row>
        <row r="718">
          <cell r="A718" t="str">
            <v>Psco_540</v>
          </cell>
          <cell r="B718">
            <v>717</v>
          </cell>
          <cell r="C718">
            <v>2</v>
          </cell>
          <cell r="D718" t="str">
            <v>TZ</v>
          </cell>
          <cell r="E718">
            <v>49</v>
          </cell>
          <cell r="F718">
            <v>1</v>
          </cell>
          <cell r="G718">
            <v>63</v>
          </cell>
        </row>
        <row r="719">
          <cell r="A719" t="str">
            <v>Psco_636</v>
          </cell>
          <cell r="B719">
            <v>718</v>
          </cell>
          <cell r="C719">
            <v>2</v>
          </cell>
          <cell r="D719" t="str">
            <v>TZ</v>
          </cell>
          <cell r="E719">
            <v>50</v>
          </cell>
          <cell r="F719">
            <v>1</v>
          </cell>
          <cell r="G719">
            <v>59</v>
          </cell>
        </row>
        <row r="720">
          <cell r="A720" t="str">
            <v>Psco_548</v>
          </cell>
          <cell r="B720">
            <v>719</v>
          </cell>
          <cell r="C720">
            <v>2</v>
          </cell>
          <cell r="D720" t="str">
            <v>TZ</v>
          </cell>
          <cell r="E720">
            <v>50</v>
          </cell>
          <cell r="F720">
            <v>1</v>
          </cell>
          <cell r="G720">
            <v>65</v>
          </cell>
        </row>
        <row r="721">
          <cell r="A721" t="str">
            <v>Psco_644</v>
          </cell>
          <cell r="B721">
            <v>720</v>
          </cell>
          <cell r="C721">
            <v>2</v>
          </cell>
          <cell r="D721" t="str">
            <v>MZ</v>
          </cell>
          <cell r="E721">
            <v>39</v>
          </cell>
          <cell r="F721">
            <v>1</v>
          </cell>
          <cell r="G721">
            <v>51</v>
          </cell>
        </row>
        <row r="722">
          <cell r="A722" t="str">
            <v>Psco_556</v>
          </cell>
          <cell r="B722">
            <v>721</v>
          </cell>
          <cell r="C722">
            <v>2</v>
          </cell>
          <cell r="D722" t="str">
            <v>TZ</v>
          </cell>
          <cell r="E722">
            <v>46</v>
          </cell>
          <cell r="F722">
            <v>1</v>
          </cell>
          <cell r="G722">
            <v>74</v>
          </cell>
        </row>
        <row r="723">
          <cell r="A723" t="str">
            <v>Psco_652</v>
          </cell>
          <cell r="B723">
            <v>722</v>
          </cell>
          <cell r="C723">
            <v>2</v>
          </cell>
          <cell r="D723" t="str">
            <v>MZ</v>
          </cell>
          <cell r="E723">
            <v>35</v>
          </cell>
          <cell r="F723">
            <v>1</v>
          </cell>
          <cell r="G723">
            <v>77</v>
          </cell>
        </row>
        <row r="724">
          <cell r="A724" t="str">
            <v>Psco_564</v>
          </cell>
          <cell r="B724">
            <v>723</v>
          </cell>
          <cell r="C724">
            <v>2</v>
          </cell>
          <cell r="D724" t="str">
            <v>TZ</v>
          </cell>
          <cell r="E724">
            <v>53</v>
          </cell>
          <cell r="F724">
            <v>0</v>
          </cell>
          <cell r="G724">
            <v>98</v>
          </cell>
        </row>
        <row r="725">
          <cell r="A725" t="str">
            <v>Psco_660</v>
          </cell>
          <cell r="B725">
            <v>724</v>
          </cell>
          <cell r="C725">
            <v>2</v>
          </cell>
          <cell r="D725" t="str">
            <v>TZ</v>
          </cell>
          <cell r="E725">
            <v>50</v>
          </cell>
          <cell r="F725">
            <v>1</v>
          </cell>
          <cell r="G725">
            <v>63</v>
          </cell>
        </row>
        <row r="726">
          <cell r="A726" t="str">
            <v>Psco_572</v>
          </cell>
          <cell r="B726">
            <v>725</v>
          </cell>
          <cell r="C726">
            <v>2</v>
          </cell>
          <cell r="D726" t="str">
            <v>TZ</v>
          </cell>
          <cell r="E726">
            <v>50</v>
          </cell>
          <cell r="F726">
            <v>1</v>
          </cell>
          <cell r="G726">
            <v>80</v>
          </cell>
        </row>
        <row r="727">
          <cell r="A727" t="str">
            <v>Psco_668</v>
          </cell>
          <cell r="B727">
            <v>726</v>
          </cell>
          <cell r="C727">
            <v>2</v>
          </cell>
          <cell r="D727" t="str">
            <v>MZ</v>
          </cell>
          <cell r="E727">
            <v>26</v>
          </cell>
          <cell r="F727">
            <v>0</v>
          </cell>
          <cell r="G727">
            <v>98</v>
          </cell>
        </row>
        <row r="728">
          <cell r="A728" t="str">
            <v>Psco_580</v>
          </cell>
          <cell r="B728">
            <v>727</v>
          </cell>
          <cell r="C728">
            <v>2</v>
          </cell>
          <cell r="D728" t="str">
            <v>MZ</v>
          </cell>
          <cell r="E728">
            <v>37</v>
          </cell>
          <cell r="F728">
            <v>1</v>
          </cell>
          <cell r="G728">
            <v>92</v>
          </cell>
        </row>
        <row r="729">
          <cell r="A729" t="str">
            <v>Psco_676</v>
          </cell>
          <cell r="B729">
            <v>728</v>
          </cell>
          <cell r="C729">
            <v>2</v>
          </cell>
          <cell r="D729" t="str">
            <v>MZ</v>
          </cell>
          <cell r="E729">
            <v>23</v>
          </cell>
          <cell r="F729">
            <v>1</v>
          </cell>
          <cell r="G729">
            <v>91</v>
          </cell>
        </row>
        <row r="730">
          <cell r="A730" t="str">
            <v>Psco_588</v>
          </cell>
          <cell r="B730">
            <v>729</v>
          </cell>
          <cell r="C730">
            <v>2</v>
          </cell>
          <cell r="D730" t="str">
            <v>MZ</v>
          </cell>
          <cell r="E730">
            <v>21</v>
          </cell>
          <cell r="F730">
            <v>1</v>
          </cell>
          <cell r="G730">
            <v>95</v>
          </cell>
        </row>
        <row r="731">
          <cell r="A731" t="str">
            <v>Psco_684</v>
          </cell>
          <cell r="B731">
            <v>730</v>
          </cell>
          <cell r="C731">
            <v>2</v>
          </cell>
          <cell r="D731" t="str">
            <v>MZ</v>
          </cell>
          <cell r="E731">
            <v>25</v>
          </cell>
          <cell r="F731">
            <v>1</v>
          </cell>
          <cell r="G731">
            <v>77</v>
          </cell>
        </row>
        <row r="732">
          <cell r="A732" t="str">
            <v>Psco_692</v>
          </cell>
          <cell r="B732">
            <v>731</v>
          </cell>
          <cell r="C732">
            <v>2</v>
          </cell>
          <cell r="D732" t="str">
            <v>TZ</v>
          </cell>
          <cell r="E732">
            <v>46</v>
          </cell>
          <cell r="F732">
            <v>1</v>
          </cell>
          <cell r="G732">
            <v>51</v>
          </cell>
        </row>
        <row r="733">
          <cell r="A733" t="str">
            <v>Psco_801</v>
          </cell>
          <cell r="B733">
            <v>732</v>
          </cell>
          <cell r="C733">
            <v>3</v>
          </cell>
          <cell r="D733" t="str">
            <v>MZ</v>
          </cell>
          <cell r="E733">
            <v>30</v>
          </cell>
          <cell r="F733">
            <v>1</v>
          </cell>
          <cell r="G733">
            <v>85</v>
          </cell>
        </row>
        <row r="734">
          <cell r="A734" t="str">
            <v>Psco_700</v>
          </cell>
          <cell r="B734">
            <v>733</v>
          </cell>
          <cell r="C734">
            <v>2</v>
          </cell>
          <cell r="D734" t="str">
            <v>MZ</v>
          </cell>
          <cell r="E734">
            <v>39</v>
          </cell>
          <cell r="F734">
            <v>0</v>
          </cell>
          <cell r="G734">
            <v>98</v>
          </cell>
        </row>
        <row r="735">
          <cell r="A735" t="str">
            <v>Psco_809</v>
          </cell>
          <cell r="B735">
            <v>734</v>
          </cell>
          <cell r="C735">
            <v>3</v>
          </cell>
          <cell r="D735" t="str">
            <v>MZ</v>
          </cell>
          <cell r="E735">
            <v>24</v>
          </cell>
          <cell r="F735">
            <v>0</v>
          </cell>
          <cell r="G735">
            <v>98</v>
          </cell>
        </row>
        <row r="736">
          <cell r="A736" t="str">
            <v>Psco_708</v>
          </cell>
          <cell r="B736">
            <v>735</v>
          </cell>
          <cell r="C736">
            <v>2</v>
          </cell>
          <cell r="D736" t="str">
            <v>MZ</v>
          </cell>
          <cell r="E736">
            <v>32</v>
          </cell>
          <cell r="F736">
            <v>1</v>
          </cell>
          <cell r="G736">
            <v>64</v>
          </cell>
        </row>
        <row r="737">
          <cell r="A737" t="str">
            <v>Psco_817</v>
          </cell>
          <cell r="B737">
            <v>736</v>
          </cell>
          <cell r="C737">
            <v>3</v>
          </cell>
          <cell r="D737" t="str">
            <v>MZ</v>
          </cell>
          <cell r="E737">
            <v>29</v>
          </cell>
          <cell r="F737">
            <v>0</v>
          </cell>
          <cell r="G737">
            <v>98</v>
          </cell>
        </row>
        <row r="738">
          <cell r="A738" t="str">
            <v>Psco_716</v>
          </cell>
          <cell r="B738">
            <v>737</v>
          </cell>
          <cell r="C738">
            <v>2</v>
          </cell>
          <cell r="D738" t="str">
            <v>TZ</v>
          </cell>
          <cell r="E738">
            <v>52</v>
          </cell>
          <cell r="F738">
            <v>1</v>
          </cell>
          <cell r="G738">
            <v>52</v>
          </cell>
        </row>
        <row r="739">
          <cell r="A739" t="str">
            <v>Psco_825</v>
          </cell>
          <cell r="B739">
            <v>738</v>
          </cell>
          <cell r="C739">
            <v>3</v>
          </cell>
          <cell r="D739" t="str">
            <v>MZ</v>
          </cell>
          <cell r="E739">
            <v>22</v>
          </cell>
          <cell r="F739">
            <v>1</v>
          </cell>
          <cell r="G739">
            <v>57</v>
          </cell>
        </row>
        <row r="740">
          <cell r="A740" t="str">
            <v>Psco_724</v>
          </cell>
          <cell r="B740">
            <v>739</v>
          </cell>
          <cell r="C740">
            <v>2</v>
          </cell>
          <cell r="D740" t="str">
            <v>TZ</v>
          </cell>
          <cell r="E740">
            <v>49</v>
          </cell>
          <cell r="F740">
            <v>1</v>
          </cell>
          <cell r="G740">
            <v>62</v>
          </cell>
        </row>
        <row r="741">
          <cell r="A741" t="str">
            <v>Psco_833</v>
          </cell>
          <cell r="B741">
            <v>740</v>
          </cell>
          <cell r="C741">
            <v>3</v>
          </cell>
          <cell r="D741" t="str">
            <v>MZ</v>
          </cell>
          <cell r="E741">
            <v>38</v>
          </cell>
          <cell r="F741">
            <v>0</v>
          </cell>
          <cell r="G741">
            <v>98</v>
          </cell>
        </row>
        <row r="742">
          <cell r="A742" t="str">
            <v>Psco_745</v>
          </cell>
          <cell r="B742">
            <v>741</v>
          </cell>
          <cell r="C742">
            <v>3</v>
          </cell>
          <cell r="D742" t="str">
            <v>MZ</v>
          </cell>
          <cell r="E742">
            <v>33</v>
          </cell>
          <cell r="F742">
            <v>0</v>
          </cell>
          <cell r="G742">
            <v>98</v>
          </cell>
        </row>
        <row r="743">
          <cell r="A743" t="str">
            <v>Psco_841</v>
          </cell>
          <cell r="B743">
            <v>742</v>
          </cell>
          <cell r="C743">
            <v>3</v>
          </cell>
          <cell r="D743" t="str">
            <v>MZ</v>
          </cell>
          <cell r="E743">
            <v>35</v>
          </cell>
          <cell r="F743">
            <v>0</v>
          </cell>
          <cell r="G743">
            <v>98</v>
          </cell>
        </row>
        <row r="744">
          <cell r="A744" t="str">
            <v>Psco_753</v>
          </cell>
          <cell r="B744">
            <v>743</v>
          </cell>
          <cell r="C744">
            <v>3</v>
          </cell>
          <cell r="D744" t="str">
            <v>MZ</v>
          </cell>
          <cell r="E744">
            <v>25</v>
          </cell>
          <cell r="F744">
            <v>0</v>
          </cell>
          <cell r="G744">
            <v>98</v>
          </cell>
        </row>
        <row r="745">
          <cell r="A745" t="str">
            <v>Psco_849</v>
          </cell>
          <cell r="B745">
            <v>744</v>
          </cell>
          <cell r="C745">
            <v>3</v>
          </cell>
          <cell r="D745" t="str">
            <v>MZ</v>
          </cell>
          <cell r="E745">
            <v>24</v>
          </cell>
          <cell r="F745">
            <v>1</v>
          </cell>
          <cell r="G745">
            <v>69</v>
          </cell>
        </row>
        <row r="746">
          <cell r="A746" t="str">
            <v>Psco_761</v>
          </cell>
          <cell r="B746">
            <v>745</v>
          </cell>
          <cell r="C746">
            <v>3</v>
          </cell>
          <cell r="D746" t="str">
            <v>MZ</v>
          </cell>
          <cell r="E746">
            <v>23</v>
          </cell>
          <cell r="F746">
            <v>0</v>
          </cell>
          <cell r="G746">
            <v>98</v>
          </cell>
        </row>
        <row r="747">
          <cell r="A747" t="str">
            <v>Psco_857</v>
          </cell>
          <cell r="B747">
            <v>746</v>
          </cell>
          <cell r="C747">
            <v>3</v>
          </cell>
          <cell r="D747" t="str">
            <v>MZ</v>
          </cell>
          <cell r="E747">
            <v>21</v>
          </cell>
          <cell r="F747">
            <v>0</v>
          </cell>
          <cell r="G747">
            <v>98</v>
          </cell>
        </row>
        <row r="748">
          <cell r="A748" t="str">
            <v>Psco_769</v>
          </cell>
          <cell r="B748">
            <v>747</v>
          </cell>
          <cell r="C748">
            <v>3</v>
          </cell>
          <cell r="D748" t="str">
            <v>MZ</v>
          </cell>
          <cell r="E748">
            <v>22</v>
          </cell>
          <cell r="F748">
            <v>0</v>
          </cell>
          <cell r="G748">
            <v>98</v>
          </cell>
        </row>
        <row r="749">
          <cell r="A749" t="str">
            <v>Psco_865</v>
          </cell>
          <cell r="B749">
            <v>748</v>
          </cell>
          <cell r="C749">
            <v>3</v>
          </cell>
          <cell r="D749" t="str">
            <v>MZ</v>
          </cell>
          <cell r="E749">
            <v>33</v>
          </cell>
          <cell r="F749">
            <v>0</v>
          </cell>
          <cell r="G749">
            <v>98</v>
          </cell>
        </row>
        <row r="750">
          <cell r="A750" t="str">
            <v>Psco_777</v>
          </cell>
          <cell r="B750">
            <v>749</v>
          </cell>
          <cell r="C750">
            <v>3</v>
          </cell>
          <cell r="D750" t="str">
            <v>MZ</v>
          </cell>
          <cell r="E750">
            <v>30</v>
          </cell>
          <cell r="F750">
            <v>0</v>
          </cell>
          <cell r="G750">
            <v>98</v>
          </cell>
        </row>
        <row r="751">
          <cell r="A751" t="str">
            <v>Psco_873</v>
          </cell>
          <cell r="B751">
            <v>750</v>
          </cell>
          <cell r="C751">
            <v>3</v>
          </cell>
          <cell r="D751" t="str">
            <v>MZ</v>
          </cell>
          <cell r="E751">
            <v>22</v>
          </cell>
          <cell r="F751">
            <v>0</v>
          </cell>
          <cell r="G751">
            <v>98</v>
          </cell>
        </row>
        <row r="752">
          <cell r="A752" t="str">
            <v>Psco_785</v>
          </cell>
          <cell r="B752">
            <v>751</v>
          </cell>
          <cell r="C752">
            <v>3</v>
          </cell>
          <cell r="D752" t="str">
            <v>MZ</v>
          </cell>
          <cell r="E752">
            <v>25</v>
          </cell>
          <cell r="F752">
            <v>0</v>
          </cell>
          <cell r="G752">
            <v>98</v>
          </cell>
        </row>
        <row r="753">
          <cell r="A753" t="str">
            <v>Psco_881</v>
          </cell>
          <cell r="B753">
            <v>752</v>
          </cell>
          <cell r="C753">
            <v>3</v>
          </cell>
          <cell r="D753" t="str">
            <v>MZ</v>
          </cell>
          <cell r="E753">
            <v>32</v>
          </cell>
          <cell r="F753">
            <v>1</v>
          </cell>
          <cell r="G753">
            <v>63</v>
          </cell>
        </row>
        <row r="754">
          <cell r="A754" t="str">
            <v>Psco_793</v>
          </cell>
          <cell r="B754">
            <v>753</v>
          </cell>
          <cell r="C754">
            <v>3</v>
          </cell>
          <cell r="D754" t="str">
            <v>MZ</v>
          </cell>
          <cell r="E754">
            <v>30</v>
          </cell>
          <cell r="F754">
            <v>1</v>
          </cell>
          <cell r="G754">
            <v>70</v>
          </cell>
        </row>
        <row r="755">
          <cell r="A755" t="str">
            <v>Psco_889</v>
          </cell>
          <cell r="B755">
            <v>754</v>
          </cell>
          <cell r="C755">
            <v>3</v>
          </cell>
          <cell r="D755" t="str">
            <v>MZ</v>
          </cell>
          <cell r="E755">
            <v>29</v>
          </cell>
          <cell r="F755">
            <v>0</v>
          </cell>
          <cell r="G755">
            <v>98</v>
          </cell>
        </row>
        <row r="756">
          <cell r="A756" t="str">
            <v>Psco_501</v>
          </cell>
          <cell r="B756">
            <v>755</v>
          </cell>
          <cell r="C756">
            <v>2</v>
          </cell>
          <cell r="D756" t="str">
            <v>TZ</v>
          </cell>
          <cell r="E756">
            <v>50</v>
          </cell>
          <cell r="F756">
            <v>0</v>
          </cell>
          <cell r="G756">
            <v>98</v>
          </cell>
        </row>
        <row r="757">
          <cell r="A757" t="str">
            <v>Psco_597</v>
          </cell>
          <cell r="B757">
            <v>756</v>
          </cell>
          <cell r="C757">
            <v>2</v>
          </cell>
          <cell r="D757" t="str">
            <v>MZ</v>
          </cell>
          <cell r="E757">
            <v>37</v>
          </cell>
          <cell r="F757">
            <v>0</v>
          </cell>
          <cell r="G757">
            <v>98</v>
          </cell>
        </row>
        <row r="758">
          <cell r="A758" t="str">
            <v>Psco_509</v>
          </cell>
          <cell r="B758">
            <v>757</v>
          </cell>
          <cell r="C758">
            <v>2</v>
          </cell>
          <cell r="D758" t="str">
            <v>MZ</v>
          </cell>
          <cell r="E758">
            <v>35</v>
          </cell>
          <cell r="F758">
            <v>0</v>
          </cell>
          <cell r="G758">
            <v>98</v>
          </cell>
        </row>
        <row r="759">
          <cell r="A759" t="str">
            <v>Psco_605</v>
          </cell>
          <cell r="B759">
            <v>758</v>
          </cell>
          <cell r="C759">
            <v>2</v>
          </cell>
          <cell r="D759" t="str">
            <v>TZ</v>
          </cell>
          <cell r="E759">
            <v>51</v>
          </cell>
          <cell r="F759">
            <v>0</v>
          </cell>
          <cell r="G759">
            <v>98</v>
          </cell>
        </row>
        <row r="760">
          <cell r="A760" t="str">
            <v>Psco_517</v>
          </cell>
          <cell r="B760">
            <v>759</v>
          </cell>
          <cell r="C760">
            <v>2</v>
          </cell>
          <cell r="D760" t="str">
            <v>MZ</v>
          </cell>
          <cell r="E760">
            <v>24</v>
          </cell>
          <cell r="F760">
            <v>0</v>
          </cell>
          <cell r="G760">
            <v>98</v>
          </cell>
        </row>
        <row r="761">
          <cell r="A761" t="str">
            <v>Psco_613</v>
          </cell>
          <cell r="B761">
            <v>760</v>
          </cell>
          <cell r="C761">
            <v>2</v>
          </cell>
          <cell r="D761" t="str">
            <v>MZ</v>
          </cell>
          <cell r="E761">
            <v>22</v>
          </cell>
          <cell r="F761">
            <v>1</v>
          </cell>
          <cell r="G761">
            <v>67</v>
          </cell>
        </row>
        <row r="762">
          <cell r="A762" t="str">
            <v>Psco_525</v>
          </cell>
          <cell r="B762">
            <v>761</v>
          </cell>
          <cell r="C762">
            <v>2</v>
          </cell>
          <cell r="D762" t="str">
            <v>MZ</v>
          </cell>
          <cell r="E762">
            <v>30</v>
          </cell>
          <cell r="F762">
            <v>0</v>
          </cell>
          <cell r="G762">
            <v>98</v>
          </cell>
        </row>
        <row r="763">
          <cell r="A763" t="str">
            <v>Psco_621</v>
          </cell>
          <cell r="B763">
            <v>762</v>
          </cell>
          <cell r="C763">
            <v>2</v>
          </cell>
          <cell r="D763" t="str">
            <v>TZ</v>
          </cell>
          <cell r="E763">
            <v>44</v>
          </cell>
          <cell r="F763">
            <v>1</v>
          </cell>
          <cell r="G763">
            <v>68</v>
          </cell>
        </row>
        <row r="764">
          <cell r="A764" t="str">
            <v>Psco_533</v>
          </cell>
          <cell r="B764">
            <v>763</v>
          </cell>
          <cell r="C764">
            <v>2</v>
          </cell>
          <cell r="D764" t="str">
            <v>TZ</v>
          </cell>
          <cell r="E764">
            <v>49</v>
          </cell>
          <cell r="F764">
            <v>1</v>
          </cell>
          <cell r="G764">
            <v>71</v>
          </cell>
        </row>
        <row r="765">
          <cell r="A765" t="str">
            <v>Psco_629</v>
          </cell>
          <cell r="B765">
            <v>764</v>
          </cell>
          <cell r="C765">
            <v>2</v>
          </cell>
          <cell r="D765" t="str">
            <v>MZ</v>
          </cell>
          <cell r="E765">
            <v>40</v>
          </cell>
          <cell r="F765">
            <v>1</v>
          </cell>
          <cell r="G765">
            <v>64</v>
          </cell>
        </row>
        <row r="766">
          <cell r="A766" t="str">
            <v>Psco_541</v>
          </cell>
          <cell r="B766">
            <v>765</v>
          </cell>
          <cell r="C766">
            <v>2</v>
          </cell>
          <cell r="D766" t="str">
            <v>MZ</v>
          </cell>
          <cell r="E766">
            <v>26</v>
          </cell>
          <cell r="F766">
            <v>1</v>
          </cell>
          <cell r="G766">
            <v>71</v>
          </cell>
        </row>
        <row r="767">
          <cell r="A767" t="str">
            <v>Psco_637</v>
          </cell>
          <cell r="B767">
            <v>766</v>
          </cell>
          <cell r="C767">
            <v>2</v>
          </cell>
          <cell r="D767" t="str">
            <v>TZ</v>
          </cell>
          <cell r="E767">
            <v>42</v>
          </cell>
          <cell r="F767">
            <v>0</v>
          </cell>
          <cell r="G767">
            <v>98</v>
          </cell>
        </row>
        <row r="768">
          <cell r="A768" t="str">
            <v>Psco_549</v>
          </cell>
          <cell r="B768">
            <v>767</v>
          </cell>
          <cell r="C768">
            <v>2</v>
          </cell>
          <cell r="D768" t="str">
            <v>MZ</v>
          </cell>
          <cell r="E768">
            <v>33</v>
          </cell>
          <cell r="F768">
            <v>1</v>
          </cell>
          <cell r="G768">
            <v>51</v>
          </cell>
        </row>
        <row r="769">
          <cell r="A769" t="str">
            <v>Psco_645</v>
          </cell>
          <cell r="B769">
            <v>768</v>
          </cell>
          <cell r="C769">
            <v>2</v>
          </cell>
          <cell r="D769" t="str">
            <v>TZ</v>
          </cell>
          <cell r="E769">
            <v>50</v>
          </cell>
          <cell r="F769">
            <v>1</v>
          </cell>
          <cell r="G769">
            <v>59</v>
          </cell>
        </row>
        <row r="770">
          <cell r="A770" t="str">
            <v>Psco_557</v>
          </cell>
          <cell r="B770">
            <v>769</v>
          </cell>
          <cell r="C770">
            <v>2</v>
          </cell>
          <cell r="D770" t="str">
            <v>TZ</v>
          </cell>
          <cell r="E770">
            <v>45</v>
          </cell>
          <cell r="F770">
            <v>1</v>
          </cell>
          <cell r="G770">
            <v>47</v>
          </cell>
        </row>
        <row r="771">
          <cell r="A771" t="str">
            <v>Psco_653</v>
          </cell>
          <cell r="B771">
            <v>770</v>
          </cell>
          <cell r="C771">
            <v>2</v>
          </cell>
          <cell r="D771" t="str">
            <v>TZ</v>
          </cell>
          <cell r="E771">
            <v>50</v>
          </cell>
          <cell r="F771">
            <v>1</v>
          </cell>
          <cell r="G771">
            <v>45</v>
          </cell>
        </row>
        <row r="772">
          <cell r="A772" t="str">
            <v>Psco_565_2</v>
          </cell>
          <cell r="B772">
            <v>771</v>
          </cell>
          <cell r="C772">
            <v>2</v>
          </cell>
          <cell r="D772" t="str">
            <v>MZ</v>
          </cell>
          <cell r="E772">
            <v>21</v>
          </cell>
          <cell r="F772">
            <v>0</v>
          </cell>
          <cell r="G772">
            <v>98</v>
          </cell>
        </row>
        <row r="773">
          <cell r="A773" t="str">
            <v>Psco_661</v>
          </cell>
          <cell r="B773">
            <v>772</v>
          </cell>
          <cell r="C773">
            <v>2</v>
          </cell>
          <cell r="D773" t="str">
            <v>MZ</v>
          </cell>
          <cell r="E773">
            <v>29</v>
          </cell>
          <cell r="F773">
            <v>1</v>
          </cell>
          <cell r="G773">
            <v>60</v>
          </cell>
        </row>
        <row r="774">
          <cell r="A774" t="str">
            <v>Psco_573</v>
          </cell>
          <cell r="B774">
            <v>773</v>
          </cell>
          <cell r="C774">
            <v>2</v>
          </cell>
          <cell r="D774" t="str">
            <v>MZ</v>
          </cell>
          <cell r="E774">
            <v>30</v>
          </cell>
          <cell r="F774">
            <v>1</v>
          </cell>
          <cell r="G774">
            <v>70</v>
          </cell>
        </row>
        <row r="775">
          <cell r="A775" t="str">
            <v>Psco_669</v>
          </cell>
          <cell r="B775">
            <v>774</v>
          </cell>
          <cell r="C775">
            <v>2</v>
          </cell>
          <cell r="D775" t="str">
            <v>MZ</v>
          </cell>
          <cell r="E775">
            <v>26</v>
          </cell>
          <cell r="F775">
            <v>0</v>
          </cell>
          <cell r="G775">
            <v>98</v>
          </cell>
        </row>
        <row r="776">
          <cell r="A776" t="str">
            <v>Psco_581</v>
          </cell>
          <cell r="B776">
            <v>775</v>
          </cell>
          <cell r="C776">
            <v>2</v>
          </cell>
          <cell r="D776" t="str">
            <v>MZ</v>
          </cell>
          <cell r="E776">
            <v>21</v>
          </cell>
          <cell r="F776">
            <v>0</v>
          </cell>
          <cell r="G776">
            <v>98</v>
          </cell>
        </row>
        <row r="777">
          <cell r="A777" t="str">
            <v>Psco_677</v>
          </cell>
          <cell r="B777">
            <v>776</v>
          </cell>
          <cell r="C777">
            <v>2</v>
          </cell>
          <cell r="D777" t="str">
            <v>MZ</v>
          </cell>
          <cell r="E777">
            <v>23</v>
          </cell>
          <cell r="F777">
            <v>1</v>
          </cell>
          <cell r="G777">
            <v>77</v>
          </cell>
        </row>
        <row r="778">
          <cell r="A778" t="str">
            <v>Psco_589</v>
          </cell>
          <cell r="B778">
            <v>777</v>
          </cell>
          <cell r="C778">
            <v>2</v>
          </cell>
          <cell r="D778" t="str">
            <v>MZ</v>
          </cell>
          <cell r="E778">
            <v>39</v>
          </cell>
          <cell r="F778">
            <v>0</v>
          </cell>
          <cell r="G778">
            <v>98</v>
          </cell>
        </row>
        <row r="779">
          <cell r="A779" t="str">
            <v>Psco_685</v>
          </cell>
          <cell r="B779">
            <v>778</v>
          </cell>
          <cell r="C779">
            <v>2</v>
          </cell>
          <cell r="D779" t="str">
            <v>MZ</v>
          </cell>
          <cell r="E779">
            <v>39</v>
          </cell>
          <cell r="F779">
            <v>1</v>
          </cell>
          <cell r="G779">
            <v>81</v>
          </cell>
        </row>
        <row r="780">
          <cell r="A780" t="str">
            <v>Psco_693</v>
          </cell>
          <cell r="B780">
            <v>779</v>
          </cell>
          <cell r="C780">
            <v>2</v>
          </cell>
          <cell r="D780" t="str">
            <v>MZ</v>
          </cell>
          <cell r="E780">
            <v>28</v>
          </cell>
          <cell r="F780">
            <v>1</v>
          </cell>
          <cell r="G780">
            <v>63</v>
          </cell>
        </row>
        <row r="781">
          <cell r="A781" t="str">
            <v>Psco_802</v>
          </cell>
          <cell r="B781">
            <v>780</v>
          </cell>
          <cell r="C781">
            <v>3</v>
          </cell>
          <cell r="D781" t="str">
            <v>MZ</v>
          </cell>
          <cell r="E781">
            <v>35</v>
          </cell>
          <cell r="F781">
            <v>0</v>
          </cell>
          <cell r="G781">
            <v>98</v>
          </cell>
        </row>
        <row r="782">
          <cell r="A782" t="str">
            <v>Psco_701</v>
          </cell>
          <cell r="B782">
            <v>781</v>
          </cell>
          <cell r="C782">
            <v>2</v>
          </cell>
          <cell r="D782" t="str">
            <v>TZ</v>
          </cell>
          <cell r="E782">
            <v>44</v>
          </cell>
          <cell r="F782">
            <v>1</v>
          </cell>
          <cell r="G782">
            <v>44</v>
          </cell>
        </row>
        <row r="783">
          <cell r="A783" t="str">
            <v>Psco_810</v>
          </cell>
          <cell r="B783">
            <v>782</v>
          </cell>
          <cell r="C783">
            <v>3</v>
          </cell>
          <cell r="D783" t="str">
            <v>MZ</v>
          </cell>
          <cell r="E783">
            <v>24</v>
          </cell>
          <cell r="F783">
            <v>1</v>
          </cell>
          <cell r="G783">
            <v>72</v>
          </cell>
        </row>
        <row r="784">
          <cell r="A784" t="str">
            <v>Psco_709</v>
          </cell>
          <cell r="B784">
            <v>783</v>
          </cell>
          <cell r="C784">
            <v>2</v>
          </cell>
          <cell r="D784" t="str">
            <v>TZ</v>
          </cell>
          <cell r="E784">
            <v>46</v>
          </cell>
          <cell r="F784">
            <v>1</v>
          </cell>
          <cell r="G784">
            <v>59</v>
          </cell>
        </row>
        <row r="785">
          <cell r="A785" t="str">
            <v>Psco_818</v>
          </cell>
          <cell r="B785">
            <v>784</v>
          </cell>
          <cell r="C785">
            <v>3</v>
          </cell>
          <cell r="D785" t="str">
            <v>MZ</v>
          </cell>
          <cell r="E785">
            <v>37</v>
          </cell>
          <cell r="F785">
            <v>0</v>
          </cell>
          <cell r="G785">
            <v>98</v>
          </cell>
        </row>
        <row r="786">
          <cell r="A786" t="str">
            <v>Psco_717</v>
          </cell>
          <cell r="B786">
            <v>785</v>
          </cell>
          <cell r="C786">
            <v>2</v>
          </cell>
          <cell r="D786" t="str">
            <v>TZ</v>
          </cell>
          <cell r="E786">
            <v>54</v>
          </cell>
          <cell r="F786">
            <v>1</v>
          </cell>
          <cell r="G786">
            <v>51</v>
          </cell>
        </row>
        <row r="787">
          <cell r="A787" t="str">
            <v>Psco_826</v>
          </cell>
          <cell r="B787">
            <v>786</v>
          </cell>
          <cell r="C787">
            <v>3</v>
          </cell>
          <cell r="D787" t="str">
            <v>MZ</v>
          </cell>
          <cell r="E787">
            <v>31</v>
          </cell>
          <cell r="F787">
            <v>0</v>
          </cell>
          <cell r="G787">
            <v>98</v>
          </cell>
        </row>
        <row r="788">
          <cell r="A788" t="str">
            <v>Psco_725_2</v>
          </cell>
          <cell r="B788">
            <v>787</v>
          </cell>
          <cell r="C788">
            <v>2</v>
          </cell>
          <cell r="D788" t="str">
            <v>TZ</v>
          </cell>
          <cell r="E788">
            <v>42</v>
          </cell>
          <cell r="F788">
            <v>1</v>
          </cell>
          <cell r="G788">
            <v>82</v>
          </cell>
        </row>
        <row r="789">
          <cell r="A789" t="str">
            <v>Psco_834</v>
          </cell>
          <cell r="B789">
            <v>788</v>
          </cell>
          <cell r="C789">
            <v>3</v>
          </cell>
          <cell r="D789" t="str">
            <v>MZ</v>
          </cell>
          <cell r="E789">
            <v>33</v>
          </cell>
          <cell r="F789">
            <v>0</v>
          </cell>
          <cell r="G789">
            <v>98</v>
          </cell>
        </row>
        <row r="790">
          <cell r="A790" t="str">
            <v>Psco_746</v>
          </cell>
          <cell r="B790">
            <v>789</v>
          </cell>
          <cell r="C790">
            <v>3</v>
          </cell>
          <cell r="D790" t="str">
            <v>MZ</v>
          </cell>
          <cell r="E790">
            <v>37</v>
          </cell>
          <cell r="F790">
            <v>0</v>
          </cell>
          <cell r="G790">
            <v>98</v>
          </cell>
        </row>
        <row r="791">
          <cell r="A791" t="str">
            <v>Psco_842</v>
          </cell>
          <cell r="B791">
            <v>790</v>
          </cell>
          <cell r="C791">
            <v>3</v>
          </cell>
          <cell r="D791" t="str">
            <v>MZ</v>
          </cell>
          <cell r="E791">
            <v>39</v>
          </cell>
          <cell r="F791">
            <v>0</v>
          </cell>
          <cell r="G791">
            <v>98</v>
          </cell>
        </row>
        <row r="792">
          <cell r="A792" t="str">
            <v>Psco_754</v>
          </cell>
          <cell r="B792">
            <v>791</v>
          </cell>
          <cell r="C792">
            <v>3</v>
          </cell>
          <cell r="D792" t="str">
            <v>MZ</v>
          </cell>
          <cell r="E792">
            <v>25</v>
          </cell>
          <cell r="F792">
            <v>0</v>
          </cell>
          <cell r="G792">
            <v>98</v>
          </cell>
        </row>
        <row r="793">
          <cell r="A793" t="str">
            <v>Psco_850</v>
          </cell>
          <cell r="B793">
            <v>792</v>
          </cell>
          <cell r="C793">
            <v>3</v>
          </cell>
          <cell r="D793" t="str">
            <v>MZ</v>
          </cell>
          <cell r="E793">
            <v>34</v>
          </cell>
          <cell r="F793">
            <v>0</v>
          </cell>
          <cell r="G793">
            <v>98</v>
          </cell>
        </row>
        <row r="794">
          <cell r="A794" t="str">
            <v>Psco_858</v>
          </cell>
          <cell r="B794">
            <v>793</v>
          </cell>
          <cell r="C794">
            <v>3</v>
          </cell>
          <cell r="D794" t="str">
            <v>MZ</v>
          </cell>
          <cell r="E794">
            <v>30</v>
          </cell>
          <cell r="F794">
            <v>0</v>
          </cell>
          <cell r="G794">
            <v>98</v>
          </cell>
        </row>
        <row r="795">
          <cell r="A795" t="str">
            <v>Psco_770</v>
          </cell>
          <cell r="B795">
            <v>794</v>
          </cell>
          <cell r="C795">
            <v>3</v>
          </cell>
          <cell r="D795" t="str">
            <v>MZ</v>
          </cell>
          <cell r="E795">
            <v>35</v>
          </cell>
          <cell r="F795">
            <v>0</v>
          </cell>
          <cell r="G795">
            <v>98</v>
          </cell>
        </row>
        <row r="796">
          <cell r="A796" t="str">
            <v>Psco_866</v>
          </cell>
          <cell r="B796">
            <v>795</v>
          </cell>
          <cell r="C796">
            <v>3</v>
          </cell>
          <cell r="D796" t="str">
            <v>MZ</v>
          </cell>
          <cell r="E796">
            <v>28</v>
          </cell>
          <cell r="F796">
            <v>0</v>
          </cell>
          <cell r="G796">
            <v>98</v>
          </cell>
        </row>
        <row r="797">
          <cell r="A797" t="str">
            <v>Psco_778</v>
          </cell>
          <cell r="B797">
            <v>796</v>
          </cell>
          <cell r="C797">
            <v>3</v>
          </cell>
          <cell r="D797" t="str">
            <v>MZ</v>
          </cell>
          <cell r="E797">
            <v>31</v>
          </cell>
          <cell r="F797">
            <v>0</v>
          </cell>
          <cell r="G797">
            <v>98</v>
          </cell>
        </row>
        <row r="798">
          <cell r="A798" t="str">
            <v>Psco_874</v>
          </cell>
          <cell r="B798">
            <v>797</v>
          </cell>
          <cell r="C798">
            <v>3</v>
          </cell>
          <cell r="D798" t="str">
            <v>MZ</v>
          </cell>
          <cell r="E798">
            <v>21</v>
          </cell>
          <cell r="F798">
            <v>0</v>
          </cell>
          <cell r="G798">
            <v>98</v>
          </cell>
        </row>
        <row r="799">
          <cell r="A799" t="str">
            <v>Psco_786</v>
          </cell>
          <cell r="B799">
            <v>798</v>
          </cell>
          <cell r="C799">
            <v>3</v>
          </cell>
          <cell r="D799" t="str">
            <v>MZ</v>
          </cell>
          <cell r="E799">
            <v>40</v>
          </cell>
          <cell r="F799">
            <v>1</v>
          </cell>
          <cell r="G799">
            <v>51</v>
          </cell>
        </row>
        <row r="800">
          <cell r="A800" t="str">
            <v>Psco_882</v>
          </cell>
          <cell r="B800">
            <v>799</v>
          </cell>
          <cell r="C800">
            <v>3</v>
          </cell>
          <cell r="D800" t="str">
            <v>MZ</v>
          </cell>
          <cell r="E800">
            <v>32</v>
          </cell>
          <cell r="F800">
            <v>0</v>
          </cell>
          <cell r="G800">
            <v>98</v>
          </cell>
        </row>
        <row r="801">
          <cell r="A801" t="str">
            <v>Psco_794</v>
          </cell>
          <cell r="B801">
            <v>800</v>
          </cell>
          <cell r="C801">
            <v>3</v>
          </cell>
          <cell r="D801" t="str">
            <v>MZ</v>
          </cell>
          <cell r="E801">
            <v>39</v>
          </cell>
          <cell r="F801">
            <v>0</v>
          </cell>
          <cell r="G801">
            <v>98</v>
          </cell>
        </row>
        <row r="802">
          <cell r="A802" t="str">
            <v>Psco_890</v>
          </cell>
          <cell r="B802">
            <v>801</v>
          </cell>
          <cell r="C802">
            <v>3</v>
          </cell>
          <cell r="D802" t="str">
            <v>MZ</v>
          </cell>
          <cell r="E802">
            <v>24</v>
          </cell>
          <cell r="F802">
            <v>1</v>
          </cell>
          <cell r="G802">
            <v>60</v>
          </cell>
        </row>
        <row r="803">
          <cell r="A803" t="str">
            <v>Psco_502</v>
          </cell>
          <cell r="B803">
            <v>802</v>
          </cell>
          <cell r="C803">
            <v>2</v>
          </cell>
          <cell r="D803" t="str">
            <v>MZ</v>
          </cell>
          <cell r="E803">
            <v>34</v>
          </cell>
          <cell r="F803">
            <v>0</v>
          </cell>
          <cell r="G803">
            <v>98</v>
          </cell>
        </row>
        <row r="804">
          <cell r="A804" t="str">
            <v>Psco_598</v>
          </cell>
          <cell r="B804">
            <v>803</v>
          </cell>
          <cell r="C804">
            <v>2</v>
          </cell>
          <cell r="D804" t="str">
            <v>TZ</v>
          </cell>
          <cell r="E804">
            <v>48</v>
          </cell>
          <cell r="F804">
            <v>0</v>
          </cell>
          <cell r="G804">
            <v>98</v>
          </cell>
        </row>
        <row r="805">
          <cell r="A805" t="str">
            <v>Psco_510</v>
          </cell>
          <cell r="B805">
            <v>804</v>
          </cell>
          <cell r="C805">
            <v>2</v>
          </cell>
          <cell r="D805" t="str">
            <v>TZ</v>
          </cell>
          <cell r="E805">
            <v>53</v>
          </cell>
          <cell r="F805">
            <v>0</v>
          </cell>
          <cell r="G805">
            <v>98</v>
          </cell>
        </row>
        <row r="806">
          <cell r="A806" t="str">
            <v>Psco_606</v>
          </cell>
          <cell r="B806">
            <v>805</v>
          </cell>
          <cell r="C806">
            <v>2</v>
          </cell>
          <cell r="D806" t="str">
            <v>TZ</v>
          </cell>
          <cell r="E806">
            <v>48</v>
          </cell>
          <cell r="F806">
            <v>0</v>
          </cell>
          <cell r="G806">
            <v>98</v>
          </cell>
        </row>
        <row r="807">
          <cell r="A807" t="str">
            <v>Psco_518</v>
          </cell>
          <cell r="B807">
            <v>806</v>
          </cell>
          <cell r="C807">
            <v>2</v>
          </cell>
          <cell r="D807" t="str">
            <v>MZ</v>
          </cell>
          <cell r="E807">
            <v>27</v>
          </cell>
          <cell r="F807">
            <v>1</v>
          </cell>
          <cell r="G807">
            <v>94</v>
          </cell>
        </row>
        <row r="808">
          <cell r="A808" t="str">
            <v>Psco_614</v>
          </cell>
          <cell r="B808">
            <v>807</v>
          </cell>
          <cell r="C808">
            <v>2</v>
          </cell>
          <cell r="D808" t="str">
            <v>TZ</v>
          </cell>
          <cell r="E808">
            <v>54</v>
          </cell>
          <cell r="F808">
            <v>1</v>
          </cell>
          <cell r="G808">
            <v>51</v>
          </cell>
        </row>
        <row r="809">
          <cell r="A809" t="str">
            <v>Psco_526</v>
          </cell>
          <cell r="B809">
            <v>808</v>
          </cell>
          <cell r="C809">
            <v>2</v>
          </cell>
          <cell r="D809" t="str">
            <v>TZ</v>
          </cell>
          <cell r="E809">
            <v>49</v>
          </cell>
          <cell r="F809">
            <v>0</v>
          </cell>
          <cell r="G809">
            <v>98</v>
          </cell>
        </row>
        <row r="810">
          <cell r="A810" t="str">
            <v>Psco_622</v>
          </cell>
          <cell r="B810">
            <v>809</v>
          </cell>
          <cell r="C810">
            <v>2</v>
          </cell>
          <cell r="D810" t="str">
            <v>MZ</v>
          </cell>
          <cell r="E810">
            <v>24</v>
          </cell>
          <cell r="F810">
            <v>1</v>
          </cell>
          <cell r="G810">
            <v>52</v>
          </cell>
        </row>
        <row r="811">
          <cell r="A811" t="str">
            <v>Psco_534</v>
          </cell>
          <cell r="B811">
            <v>810</v>
          </cell>
          <cell r="C811">
            <v>2</v>
          </cell>
          <cell r="D811" t="str">
            <v>MZ</v>
          </cell>
          <cell r="E811">
            <v>24</v>
          </cell>
          <cell r="F811">
            <v>0</v>
          </cell>
          <cell r="G811">
            <v>98</v>
          </cell>
        </row>
        <row r="812">
          <cell r="A812" t="str">
            <v>Psco_630</v>
          </cell>
          <cell r="B812">
            <v>811</v>
          </cell>
          <cell r="C812">
            <v>2</v>
          </cell>
          <cell r="D812" t="str">
            <v>TZ</v>
          </cell>
          <cell r="E812">
            <v>41</v>
          </cell>
          <cell r="F812">
            <v>1</v>
          </cell>
          <cell r="G812">
            <v>58</v>
          </cell>
        </row>
        <row r="813">
          <cell r="A813" t="str">
            <v>Psco_542</v>
          </cell>
          <cell r="B813">
            <v>812</v>
          </cell>
          <cell r="C813">
            <v>2</v>
          </cell>
          <cell r="D813" t="str">
            <v>MZ</v>
          </cell>
          <cell r="E813">
            <v>29</v>
          </cell>
          <cell r="F813">
            <v>1</v>
          </cell>
          <cell r="G813">
            <v>65</v>
          </cell>
        </row>
        <row r="814">
          <cell r="A814" t="str">
            <v>Psco_638</v>
          </cell>
          <cell r="B814">
            <v>813</v>
          </cell>
          <cell r="C814">
            <v>2</v>
          </cell>
          <cell r="D814" t="str">
            <v>MZ</v>
          </cell>
          <cell r="E814">
            <v>23</v>
          </cell>
          <cell r="F814">
            <v>1</v>
          </cell>
          <cell r="G814">
            <v>89</v>
          </cell>
        </row>
        <row r="815">
          <cell r="A815" t="str">
            <v>Psco_550</v>
          </cell>
          <cell r="B815">
            <v>814</v>
          </cell>
          <cell r="C815">
            <v>2</v>
          </cell>
          <cell r="D815" t="str">
            <v>TZ</v>
          </cell>
          <cell r="E815">
            <v>50</v>
          </cell>
          <cell r="F815">
            <v>1</v>
          </cell>
          <cell r="G815">
            <v>79</v>
          </cell>
        </row>
        <row r="816">
          <cell r="A816" t="str">
            <v>Psco_646</v>
          </cell>
          <cell r="B816">
            <v>815</v>
          </cell>
          <cell r="C816">
            <v>2</v>
          </cell>
          <cell r="D816" t="str">
            <v>MZ</v>
          </cell>
          <cell r="E816">
            <v>33</v>
          </cell>
          <cell r="F816">
            <v>1</v>
          </cell>
          <cell r="G816">
            <v>44</v>
          </cell>
        </row>
        <row r="817">
          <cell r="A817" t="str">
            <v>Psco_558</v>
          </cell>
          <cell r="B817">
            <v>816</v>
          </cell>
          <cell r="C817">
            <v>2</v>
          </cell>
          <cell r="D817" t="str">
            <v>MZ</v>
          </cell>
          <cell r="E817">
            <v>33</v>
          </cell>
          <cell r="F817">
            <v>1</v>
          </cell>
          <cell r="G817">
            <v>73</v>
          </cell>
        </row>
        <row r="818">
          <cell r="A818" t="str">
            <v>Psco_654</v>
          </cell>
          <cell r="B818">
            <v>817</v>
          </cell>
          <cell r="C818">
            <v>2</v>
          </cell>
          <cell r="D818" t="str">
            <v>MZ</v>
          </cell>
          <cell r="E818">
            <v>40</v>
          </cell>
          <cell r="F818">
            <v>1</v>
          </cell>
          <cell r="G818">
            <v>71</v>
          </cell>
        </row>
        <row r="819">
          <cell r="A819" t="str">
            <v>Psco_566</v>
          </cell>
          <cell r="B819">
            <v>818</v>
          </cell>
          <cell r="C819">
            <v>2</v>
          </cell>
          <cell r="D819" t="str">
            <v>TZ</v>
          </cell>
          <cell r="E819">
            <v>48</v>
          </cell>
          <cell r="F819">
            <v>1</v>
          </cell>
          <cell r="G819">
            <v>63</v>
          </cell>
        </row>
        <row r="820">
          <cell r="A820" t="str">
            <v>Psco_662</v>
          </cell>
          <cell r="B820">
            <v>819</v>
          </cell>
          <cell r="C820">
            <v>2</v>
          </cell>
          <cell r="D820" t="str">
            <v>TZ</v>
          </cell>
          <cell r="E820">
            <v>42</v>
          </cell>
          <cell r="F820">
            <v>1</v>
          </cell>
          <cell r="G820">
            <v>76</v>
          </cell>
        </row>
        <row r="821">
          <cell r="A821" t="str">
            <v>Psco_574</v>
          </cell>
          <cell r="B821">
            <v>820</v>
          </cell>
          <cell r="C821">
            <v>2</v>
          </cell>
          <cell r="D821" t="str">
            <v>TZ</v>
          </cell>
          <cell r="E821">
            <v>49</v>
          </cell>
          <cell r="F821">
            <v>1</v>
          </cell>
          <cell r="G821">
            <v>65</v>
          </cell>
        </row>
        <row r="822">
          <cell r="A822" t="str">
            <v>Psco_670</v>
          </cell>
          <cell r="B822">
            <v>821</v>
          </cell>
          <cell r="C822">
            <v>2</v>
          </cell>
          <cell r="D822" t="str">
            <v>TZ</v>
          </cell>
          <cell r="E822">
            <v>46</v>
          </cell>
          <cell r="F822">
            <v>1</v>
          </cell>
          <cell r="G822">
            <v>62</v>
          </cell>
        </row>
        <row r="823">
          <cell r="A823" t="str">
            <v>Psco_582</v>
          </cell>
          <cell r="B823">
            <v>822</v>
          </cell>
          <cell r="C823">
            <v>2</v>
          </cell>
          <cell r="D823" t="str">
            <v>TZ</v>
          </cell>
          <cell r="E823">
            <v>50</v>
          </cell>
          <cell r="F823">
            <v>1</v>
          </cell>
          <cell r="G823">
            <v>81</v>
          </cell>
        </row>
        <row r="824">
          <cell r="A824" t="str">
            <v>Psco_678</v>
          </cell>
          <cell r="B824">
            <v>823</v>
          </cell>
          <cell r="C824">
            <v>2</v>
          </cell>
          <cell r="D824" t="str">
            <v>MZ</v>
          </cell>
          <cell r="E824">
            <v>29</v>
          </cell>
          <cell r="F824">
            <v>1</v>
          </cell>
          <cell r="G824">
            <v>64</v>
          </cell>
        </row>
        <row r="825">
          <cell r="A825" t="str">
            <v>Psco_590</v>
          </cell>
          <cell r="B825">
            <v>824</v>
          </cell>
          <cell r="C825">
            <v>2</v>
          </cell>
          <cell r="D825" t="str">
            <v>TZ</v>
          </cell>
          <cell r="E825">
            <v>49</v>
          </cell>
          <cell r="F825">
            <v>1</v>
          </cell>
          <cell r="G825">
            <v>67</v>
          </cell>
        </row>
        <row r="826">
          <cell r="A826" t="str">
            <v>Psco_686</v>
          </cell>
          <cell r="B826">
            <v>825</v>
          </cell>
          <cell r="C826">
            <v>2</v>
          </cell>
          <cell r="D826" t="str">
            <v>MZ</v>
          </cell>
          <cell r="E826">
            <v>35</v>
          </cell>
          <cell r="F826">
            <v>1</v>
          </cell>
          <cell r="G826">
            <v>63</v>
          </cell>
        </row>
        <row r="827">
          <cell r="A827" t="str">
            <v>Psco_694</v>
          </cell>
          <cell r="B827">
            <v>826</v>
          </cell>
          <cell r="C827">
            <v>2</v>
          </cell>
          <cell r="D827" t="str">
            <v>TZ</v>
          </cell>
          <cell r="E827">
            <v>49</v>
          </cell>
          <cell r="F827">
            <v>0</v>
          </cell>
          <cell r="G827">
            <v>98</v>
          </cell>
        </row>
        <row r="828">
          <cell r="A828" t="str">
            <v>Psco_803</v>
          </cell>
          <cell r="B828">
            <v>827</v>
          </cell>
          <cell r="C828">
            <v>3</v>
          </cell>
          <cell r="D828" t="str">
            <v>MZ</v>
          </cell>
          <cell r="E828">
            <v>28</v>
          </cell>
          <cell r="F828">
            <v>0</v>
          </cell>
          <cell r="G828">
            <v>98</v>
          </cell>
        </row>
        <row r="829">
          <cell r="A829" t="str">
            <v>Psco_702</v>
          </cell>
          <cell r="B829">
            <v>828</v>
          </cell>
          <cell r="C829">
            <v>2</v>
          </cell>
          <cell r="D829" t="str">
            <v>TZ</v>
          </cell>
          <cell r="E829">
            <v>42</v>
          </cell>
          <cell r="F829">
            <v>0</v>
          </cell>
          <cell r="G829">
            <v>98</v>
          </cell>
        </row>
        <row r="830">
          <cell r="A830" t="str">
            <v>Psco_811</v>
          </cell>
          <cell r="B830">
            <v>829</v>
          </cell>
          <cell r="C830">
            <v>3</v>
          </cell>
          <cell r="D830" t="str">
            <v>MZ</v>
          </cell>
          <cell r="E830">
            <v>31</v>
          </cell>
          <cell r="F830">
            <v>0</v>
          </cell>
          <cell r="G830">
            <v>98</v>
          </cell>
        </row>
        <row r="831">
          <cell r="A831" t="str">
            <v>Psco_710</v>
          </cell>
          <cell r="B831">
            <v>830</v>
          </cell>
          <cell r="C831">
            <v>2</v>
          </cell>
          <cell r="D831" t="str">
            <v>MZ</v>
          </cell>
          <cell r="E831">
            <v>35</v>
          </cell>
          <cell r="F831">
            <v>1</v>
          </cell>
          <cell r="G831">
            <v>35</v>
          </cell>
        </row>
        <row r="832">
          <cell r="A832" t="str">
            <v>Psco_819</v>
          </cell>
          <cell r="B832">
            <v>831</v>
          </cell>
          <cell r="C832">
            <v>3</v>
          </cell>
          <cell r="D832" t="str">
            <v>MZ</v>
          </cell>
          <cell r="E832">
            <v>40</v>
          </cell>
          <cell r="F832">
            <v>0</v>
          </cell>
          <cell r="G832">
            <v>98</v>
          </cell>
        </row>
        <row r="833">
          <cell r="A833" t="str">
            <v>Psco_718</v>
          </cell>
          <cell r="B833">
            <v>832</v>
          </cell>
          <cell r="C833">
            <v>2</v>
          </cell>
          <cell r="D833" t="str">
            <v>TZ</v>
          </cell>
          <cell r="E833">
            <v>53</v>
          </cell>
          <cell r="F833">
            <v>1</v>
          </cell>
          <cell r="G833">
            <v>82</v>
          </cell>
        </row>
        <row r="834">
          <cell r="A834" t="str">
            <v>Psco_827</v>
          </cell>
          <cell r="B834">
            <v>833</v>
          </cell>
          <cell r="C834">
            <v>3</v>
          </cell>
          <cell r="D834" t="str">
            <v>MZ</v>
          </cell>
          <cell r="E834">
            <v>25</v>
          </cell>
          <cell r="F834">
            <v>0</v>
          </cell>
          <cell r="G834">
            <v>98</v>
          </cell>
        </row>
        <row r="835">
          <cell r="A835" t="str">
            <v>Psco_726</v>
          </cell>
          <cell r="B835">
            <v>834</v>
          </cell>
          <cell r="C835">
            <v>2</v>
          </cell>
          <cell r="D835" t="str">
            <v>TZ</v>
          </cell>
          <cell r="E835">
            <v>42</v>
          </cell>
          <cell r="F835">
            <v>1</v>
          </cell>
          <cell r="G835">
            <v>63</v>
          </cell>
        </row>
        <row r="836">
          <cell r="A836" t="str">
            <v>Psco_835</v>
          </cell>
          <cell r="B836">
            <v>835</v>
          </cell>
          <cell r="C836">
            <v>3</v>
          </cell>
          <cell r="D836" t="str">
            <v>MZ</v>
          </cell>
          <cell r="E836">
            <v>27</v>
          </cell>
          <cell r="F836">
            <v>1</v>
          </cell>
          <cell r="G836">
            <v>58</v>
          </cell>
        </row>
        <row r="837">
          <cell r="A837" t="str">
            <v>Psco_747</v>
          </cell>
          <cell r="B837">
            <v>836</v>
          </cell>
          <cell r="C837">
            <v>3</v>
          </cell>
          <cell r="D837" t="str">
            <v>MZ</v>
          </cell>
          <cell r="E837">
            <v>29</v>
          </cell>
          <cell r="F837">
            <v>0</v>
          </cell>
          <cell r="G837">
            <v>98</v>
          </cell>
        </row>
        <row r="838">
          <cell r="A838" t="str">
            <v>Psco_843</v>
          </cell>
          <cell r="B838">
            <v>837</v>
          </cell>
          <cell r="C838">
            <v>3</v>
          </cell>
          <cell r="D838" t="str">
            <v>MZ</v>
          </cell>
          <cell r="E838">
            <v>28</v>
          </cell>
          <cell r="F838">
            <v>1</v>
          </cell>
          <cell r="G838">
            <v>65</v>
          </cell>
        </row>
        <row r="839">
          <cell r="A839" t="str">
            <v>Psco_755</v>
          </cell>
          <cell r="B839">
            <v>838</v>
          </cell>
          <cell r="C839">
            <v>3</v>
          </cell>
          <cell r="D839" t="str">
            <v>MZ</v>
          </cell>
          <cell r="E839">
            <v>33</v>
          </cell>
          <cell r="F839">
            <v>1</v>
          </cell>
          <cell r="G839">
            <v>95</v>
          </cell>
        </row>
        <row r="840">
          <cell r="A840" t="str">
            <v>Psco_851</v>
          </cell>
          <cell r="B840">
            <v>839</v>
          </cell>
          <cell r="C840">
            <v>3</v>
          </cell>
          <cell r="D840" t="str">
            <v>MZ</v>
          </cell>
          <cell r="E840">
            <v>37</v>
          </cell>
          <cell r="F840">
            <v>0</v>
          </cell>
          <cell r="G840">
            <v>98</v>
          </cell>
        </row>
        <row r="841">
          <cell r="A841" t="str">
            <v>Psco_763</v>
          </cell>
          <cell r="B841">
            <v>840</v>
          </cell>
          <cell r="C841">
            <v>3</v>
          </cell>
          <cell r="D841" t="str">
            <v>MZ</v>
          </cell>
          <cell r="E841">
            <v>39</v>
          </cell>
          <cell r="F841">
            <v>0</v>
          </cell>
          <cell r="G841">
            <v>98</v>
          </cell>
        </row>
        <row r="842">
          <cell r="A842" t="str">
            <v>Psco_859</v>
          </cell>
          <cell r="B842">
            <v>841</v>
          </cell>
          <cell r="C842">
            <v>3</v>
          </cell>
          <cell r="D842" t="str">
            <v>MZ</v>
          </cell>
          <cell r="E842">
            <v>34</v>
          </cell>
          <cell r="F842">
            <v>0</v>
          </cell>
          <cell r="G842">
            <v>98</v>
          </cell>
        </row>
        <row r="843">
          <cell r="A843" t="str">
            <v>Psco_771</v>
          </cell>
          <cell r="B843">
            <v>842</v>
          </cell>
          <cell r="C843">
            <v>3</v>
          </cell>
          <cell r="D843" t="str">
            <v>MZ</v>
          </cell>
          <cell r="E843">
            <v>37</v>
          </cell>
          <cell r="F843">
            <v>0</v>
          </cell>
          <cell r="G843">
            <v>98</v>
          </cell>
        </row>
        <row r="844">
          <cell r="A844" t="str">
            <v>Psco_867</v>
          </cell>
          <cell r="B844">
            <v>843</v>
          </cell>
          <cell r="C844">
            <v>3</v>
          </cell>
          <cell r="D844" t="str">
            <v>MZ</v>
          </cell>
          <cell r="E844">
            <v>35</v>
          </cell>
          <cell r="F844">
            <v>0</v>
          </cell>
          <cell r="G844">
            <v>98</v>
          </cell>
        </row>
        <row r="845">
          <cell r="A845" t="str">
            <v>Psco_779</v>
          </cell>
          <cell r="B845">
            <v>844</v>
          </cell>
          <cell r="C845">
            <v>3</v>
          </cell>
          <cell r="D845" t="str">
            <v>MZ</v>
          </cell>
          <cell r="E845">
            <v>27</v>
          </cell>
          <cell r="F845">
            <v>1</v>
          </cell>
          <cell r="G845">
            <v>84</v>
          </cell>
        </row>
        <row r="846">
          <cell r="A846" t="str">
            <v>Psco_875</v>
          </cell>
          <cell r="B846">
            <v>845</v>
          </cell>
          <cell r="C846">
            <v>3</v>
          </cell>
          <cell r="D846" t="str">
            <v>MZ</v>
          </cell>
          <cell r="E846">
            <v>29</v>
          </cell>
          <cell r="F846">
            <v>1</v>
          </cell>
          <cell r="G846">
            <v>91</v>
          </cell>
        </row>
        <row r="847">
          <cell r="A847" t="str">
            <v>Psco_787</v>
          </cell>
          <cell r="B847">
            <v>846</v>
          </cell>
          <cell r="C847">
            <v>3</v>
          </cell>
          <cell r="D847" t="str">
            <v>MZ</v>
          </cell>
          <cell r="E847">
            <v>33</v>
          </cell>
          <cell r="F847">
            <v>0</v>
          </cell>
          <cell r="G847">
            <v>98</v>
          </cell>
        </row>
        <row r="848">
          <cell r="A848" t="str">
            <v>Psco_883</v>
          </cell>
          <cell r="B848">
            <v>847</v>
          </cell>
          <cell r="C848">
            <v>3</v>
          </cell>
          <cell r="D848" t="str">
            <v>MZ</v>
          </cell>
          <cell r="E848">
            <v>40</v>
          </cell>
          <cell r="F848">
            <v>1</v>
          </cell>
          <cell r="G848">
            <v>74</v>
          </cell>
        </row>
        <row r="849">
          <cell r="A849" t="str">
            <v>Psco_795</v>
          </cell>
          <cell r="B849">
            <v>848</v>
          </cell>
          <cell r="C849">
            <v>3</v>
          </cell>
          <cell r="D849" t="str">
            <v>MZ</v>
          </cell>
          <cell r="E849">
            <v>22</v>
          </cell>
          <cell r="F849">
            <v>0</v>
          </cell>
          <cell r="G849">
            <v>98</v>
          </cell>
        </row>
        <row r="850">
          <cell r="A850" t="str">
            <v>Psco_891</v>
          </cell>
          <cell r="B850">
            <v>849</v>
          </cell>
          <cell r="C850">
            <v>3</v>
          </cell>
          <cell r="D850" t="str">
            <v>MZ</v>
          </cell>
          <cell r="E850">
            <v>35</v>
          </cell>
          <cell r="F850">
            <v>0</v>
          </cell>
          <cell r="G850">
            <v>98</v>
          </cell>
        </row>
        <row r="851">
          <cell r="A851" t="str">
            <v>Psco_503</v>
          </cell>
          <cell r="B851">
            <v>850</v>
          </cell>
          <cell r="C851">
            <v>2</v>
          </cell>
          <cell r="D851" t="str">
            <v>MZ</v>
          </cell>
          <cell r="E851">
            <v>22</v>
          </cell>
          <cell r="F851">
            <v>0</v>
          </cell>
          <cell r="G851">
            <v>98</v>
          </cell>
        </row>
        <row r="852">
          <cell r="A852" t="str">
            <v>Psco_599</v>
          </cell>
          <cell r="B852">
            <v>851</v>
          </cell>
          <cell r="C852">
            <v>2</v>
          </cell>
          <cell r="D852" t="str">
            <v>TZ</v>
          </cell>
          <cell r="E852">
            <v>52</v>
          </cell>
          <cell r="F852">
            <v>0</v>
          </cell>
          <cell r="G852">
            <v>98</v>
          </cell>
        </row>
        <row r="853">
          <cell r="A853" t="str">
            <v>Psco_511</v>
          </cell>
          <cell r="B853">
            <v>852</v>
          </cell>
          <cell r="C853">
            <v>2</v>
          </cell>
          <cell r="D853" t="str">
            <v>TZ</v>
          </cell>
          <cell r="E853">
            <v>49</v>
          </cell>
          <cell r="F853">
            <v>1</v>
          </cell>
          <cell r="G853">
            <v>67</v>
          </cell>
        </row>
        <row r="854">
          <cell r="A854" t="str">
            <v>Psco_607</v>
          </cell>
          <cell r="B854">
            <v>853</v>
          </cell>
          <cell r="C854">
            <v>2</v>
          </cell>
          <cell r="D854" t="str">
            <v>MZ</v>
          </cell>
          <cell r="E854">
            <v>30</v>
          </cell>
          <cell r="F854">
            <v>0</v>
          </cell>
          <cell r="G854">
            <v>98</v>
          </cell>
        </row>
        <row r="855">
          <cell r="A855" t="str">
            <v>Psco_519</v>
          </cell>
          <cell r="B855">
            <v>854</v>
          </cell>
          <cell r="C855">
            <v>2</v>
          </cell>
          <cell r="D855" t="str">
            <v>MZ</v>
          </cell>
          <cell r="E855">
            <v>35</v>
          </cell>
          <cell r="F855">
            <v>1</v>
          </cell>
          <cell r="G855">
            <v>76</v>
          </cell>
        </row>
        <row r="856">
          <cell r="A856" t="str">
            <v>Psco_615</v>
          </cell>
          <cell r="B856">
            <v>855</v>
          </cell>
          <cell r="C856">
            <v>2</v>
          </cell>
          <cell r="D856" t="str">
            <v>TZ</v>
          </cell>
          <cell r="E856">
            <v>46</v>
          </cell>
          <cell r="F856">
            <v>1</v>
          </cell>
          <cell r="G856">
            <v>70</v>
          </cell>
        </row>
        <row r="857">
          <cell r="A857" t="str">
            <v>Psco_527</v>
          </cell>
          <cell r="B857">
            <v>856</v>
          </cell>
          <cell r="C857">
            <v>2</v>
          </cell>
          <cell r="D857" t="str">
            <v>MZ</v>
          </cell>
          <cell r="E857">
            <v>38</v>
          </cell>
          <cell r="F857">
            <v>0</v>
          </cell>
          <cell r="G857">
            <v>98</v>
          </cell>
        </row>
        <row r="858">
          <cell r="A858" t="str">
            <v>Psco_623</v>
          </cell>
          <cell r="B858">
            <v>857</v>
          </cell>
          <cell r="C858">
            <v>2</v>
          </cell>
          <cell r="D858" t="str">
            <v>MZ</v>
          </cell>
          <cell r="E858">
            <v>35</v>
          </cell>
          <cell r="F858">
            <v>1</v>
          </cell>
          <cell r="G858">
            <v>71</v>
          </cell>
        </row>
        <row r="859">
          <cell r="A859" t="str">
            <v>Psco_535</v>
          </cell>
          <cell r="B859">
            <v>858</v>
          </cell>
          <cell r="C859">
            <v>2</v>
          </cell>
          <cell r="D859" t="str">
            <v>MZ</v>
          </cell>
          <cell r="E859">
            <v>32</v>
          </cell>
          <cell r="F859">
            <v>1</v>
          </cell>
          <cell r="G859">
            <v>49</v>
          </cell>
        </row>
        <row r="860">
          <cell r="A860" t="str">
            <v>Psco_631</v>
          </cell>
          <cell r="B860">
            <v>859</v>
          </cell>
          <cell r="C860">
            <v>2</v>
          </cell>
          <cell r="D860" t="str">
            <v>TZ</v>
          </cell>
          <cell r="E860">
            <v>54</v>
          </cell>
          <cell r="F860">
            <v>1</v>
          </cell>
          <cell r="G860">
            <v>67</v>
          </cell>
        </row>
        <row r="861">
          <cell r="A861" t="str">
            <v>Psco_543</v>
          </cell>
          <cell r="B861">
            <v>860</v>
          </cell>
          <cell r="C861">
            <v>2</v>
          </cell>
          <cell r="D861" t="str">
            <v>MZ</v>
          </cell>
          <cell r="E861">
            <v>36</v>
          </cell>
          <cell r="F861">
            <v>1</v>
          </cell>
          <cell r="G861">
            <v>63</v>
          </cell>
        </row>
        <row r="862">
          <cell r="A862" t="str">
            <v>Psco_639</v>
          </cell>
          <cell r="B862">
            <v>861</v>
          </cell>
          <cell r="C862">
            <v>2</v>
          </cell>
          <cell r="D862" t="str">
            <v>TZ</v>
          </cell>
          <cell r="E862">
            <v>51</v>
          </cell>
          <cell r="F862">
            <v>0</v>
          </cell>
          <cell r="G862">
            <v>98</v>
          </cell>
        </row>
        <row r="863">
          <cell r="A863" t="str">
            <v>Psco_551</v>
          </cell>
          <cell r="B863">
            <v>862</v>
          </cell>
          <cell r="C863">
            <v>2</v>
          </cell>
          <cell r="D863" t="str">
            <v>MZ</v>
          </cell>
          <cell r="E863">
            <v>40</v>
          </cell>
          <cell r="F863">
            <v>1</v>
          </cell>
          <cell r="G863">
            <v>63</v>
          </cell>
        </row>
        <row r="864">
          <cell r="A864" t="str">
            <v>Psco_647</v>
          </cell>
          <cell r="B864">
            <v>863</v>
          </cell>
          <cell r="C864">
            <v>2</v>
          </cell>
          <cell r="D864" t="str">
            <v>MZ</v>
          </cell>
          <cell r="E864">
            <v>31</v>
          </cell>
          <cell r="F864">
            <v>1</v>
          </cell>
          <cell r="G864">
            <v>68</v>
          </cell>
        </row>
        <row r="865">
          <cell r="A865" t="str">
            <v>Psco_559</v>
          </cell>
          <cell r="B865">
            <v>864</v>
          </cell>
          <cell r="C865">
            <v>2</v>
          </cell>
          <cell r="D865" t="str">
            <v>TZ</v>
          </cell>
          <cell r="E865">
            <v>50</v>
          </cell>
          <cell r="F865">
            <v>1</v>
          </cell>
          <cell r="G865">
            <v>77</v>
          </cell>
        </row>
        <row r="866">
          <cell r="A866" t="str">
            <v>Psco_655</v>
          </cell>
          <cell r="B866">
            <v>865</v>
          </cell>
          <cell r="C866">
            <v>2</v>
          </cell>
          <cell r="D866" t="str">
            <v>MZ</v>
          </cell>
          <cell r="E866">
            <v>32</v>
          </cell>
          <cell r="F866">
            <v>1</v>
          </cell>
          <cell r="G866">
            <v>71</v>
          </cell>
        </row>
        <row r="867">
          <cell r="A867" t="str">
            <v>Psco_567</v>
          </cell>
          <cell r="B867">
            <v>866</v>
          </cell>
          <cell r="C867">
            <v>2</v>
          </cell>
          <cell r="D867" t="str">
            <v>TZ</v>
          </cell>
          <cell r="E867">
            <v>42</v>
          </cell>
          <cell r="F867">
            <v>1</v>
          </cell>
          <cell r="G867">
            <v>48</v>
          </cell>
        </row>
        <row r="868">
          <cell r="A868" t="str">
            <v>Psco_663</v>
          </cell>
          <cell r="B868">
            <v>867</v>
          </cell>
          <cell r="C868">
            <v>2</v>
          </cell>
          <cell r="D868" t="str">
            <v>TZ</v>
          </cell>
          <cell r="E868">
            <v>50</v>
          </cell>
          <cell r="F868">
            <v>1</v>
          </cell>
          <cell r="G868">
            <v>65</v>
          </cell>
        </row>
        <row r="869">
          <cell r="A869" t="str">
            <v>Psco_575</v>
          </cell>
          <cell r="B869">
            <v>868</v>
          </cell>
          <cell r="C869">
            <v>2</v>
          </cell>
          <cell r="D869" t="str">
            <v>MZ</v>
          </cell>
          <cell r="E869">
            <v>38</v>
          </cell>
          <cell r="F869">
            <v>0</v>
          </cell>
          <cell r="G869">
            <v>98</v>
          </cell>
        </row>
        <row r="870">
          <cell r="A870" t="str">
            <v>Psco_671</v>
          </cell>
          <cell r="B870">
            <v>869</v>
          </cell>
          <cell r="C870">
            <v>2</v>
          </cell>
          <cell r="D870" t="str">
            <v>TZ</v>
          </cell>
          <cell r="E870">
            <v>52</v>
          </cell>
          <cell r="F870">
            <v>1</v>
          </cell>
          <cell r="G870">
            <v>74</v>
          </cell>
        </row>
        <row r="871">
          <cell r="A871" t="str">
            <v>Psco_583</v>
          </cell>
          <cell r="B871">
            <v>870</v>
          </cell>
          <cell r="C871">
            <v>2</v>
          </cell>
          <cell r="D871" t="str">
            <v>TZ</v>
          </cell>
          <cell r="E871">
            <v>48</v>
          </cell>
          <cell r="F871">
            <v>0</v>
          </cell>
          <cell r="G871">
            <v>98</v>
          </cell>
        </row>
        <row r="872">
          <cell r="A872" t="str">
            <v>Psco_679</v>
          </cell>
          <cell r="B872">
            <v>871</v>
          </cell>
          <cell r="C872">
            <v>2</v>
          </cell>
          <cell r="D872" t="str">
            <v>MZ</v>
          </cell>
          <cell r="E872">
            <v>21</v>
          </cell>
          <cell r="F872">
            <v>0</v>
          </cell>
          <cell r="G872">
            <v>98</v>
          </cell>
        </row>
        <row r="873">
          <cell r="A873" t="str">
            <v>Psco_591</v>
          </cell>
          <cell r="B873">
            <v>872</v>
          </cell>
          <cell r="C873">
            <v>2</v>
          </cell>
          <cell r="D873" t="str">
            <v>MZ</v>
          </cell>
          <cell r="E873">
            <v>21</v>
          </cell>
          <cell r="F873">
            <v>1</v>
          </cell>
          <cell r="G873">
            <v>67</v>
          </cell>
        </row>
        <row r="874">
          <cell r="A874" t="str">
            <v>Psco_687</v>
          </cell>
          <cell r="B874">
            <v>873</v>
          </cell>
          <cell r="C874">
            <v>2</v>
          </cell>
          <cell r="D874" t="str">
            <v>MZ</v>
          </cell>
          <cell r="E874">
            <v>31</v>
          </cell>
          <cell r="F874">
            <v>0</v>
          </cell>
          <cell r="G874">
            <v>98</v>
          </cell>
        </row>
        <row r="875">
          <cell r="A875" t="str">
            <v>Psco_695</v>
          </cell>
          <cell r="B875">
            <v>874</v>
          </cell>
          <cell r="C875">
            <v>2</v>
          </cell>
          <cell r="D875" t="str">
            <v>TZ</v>
          </cell>
          <cell r="E875">
            <v>50</v>
          </cell>
          <cell r="F875">
            <v>1</v>
          </cell>
          <cell r="G875">
            <v>80</v>
          </cell>
        </row>
        <row r="876">
          <cell r="A876" t="str">
            <v>Psco_804</v>
          </cell>
          <cell r="B876">
            <v>875</v>
          </cell>
          <cell r="C876">
            <v>3</v>
          </cell>
          <cell r="D876" t="str">
            <v>MZ</v>
          </cell>
          <cell r="E876">
            <v>35</v>
          </cell>
          <cell r="F876">
            <v>0</v>
          </cell>
          <cell r="G876">
            <v>98</v>
          </cell>
        </row>
        <row r="877">
          <cell r="A877" t="str">
            <v>Psco_703</v>
          </cell>
          <cell r="B877">
            <v>876</v>
          </cell>
          <cell r="C877">
            <v>2</v>
          </cell>
          <cell r="D877" t="str">
            <v>MZ</v>
          </cell>
          <cell r="E877">
            <v>38</v>
          </cell>
          <cell r="F877">
            <v>1</v>
          </cell>
          <cell r="G877">
            <v>65</v>
          </cell>
        </row>
        <row r="878">
          <cell r="A878" t="str">
            <v>Psco_812</v>
          </cell>
          <cell r="B878">
            <v>877</v>
          </cell>
          <cell r="C878">
            <v>3</v>
          </cell>
          <cell r="D878" t="str">
            <v>MZ</v>
          </cell>
          <cell r="E878">
            <v>37</v>
          </cell>
          <cell r="F878">
            <v>1</v>
          </cell>
          <cell r="G878">
            <v>64</v>
          </cell>
        </row>
        <row r="879">
          <cell r="A879" t="str">
            <v>Psco_711</v>
          </cell>
          <cell r="B879">
            <v>878</v>
          </cell>
          <cell r="C879">
            <v>2</v>
          </cell>
          <cell r="D879" t="str">
            <v>TZ</v>
          </cell>
          <cell r="E879">
            <v>44</v>
          </cell>
          <cell r="F879">
            <v>1</v>
          </cell>
          <cell r="G879">
            <v>63</v>
          </cell>
        </row>
        <row r="880">
          <cell r="A880" t="str">
            <v>Psco_820</v>
          </cell>
          <cell r="B880">
            <v>879</v>
          </cell>
          <cell r="C880">
            <v>3</v>
          </cell>
          <cell r="D880" t="str">
            <v>MZ</v>
          </cell>
          <cell r="E880">
            <v>35</v>
          </cell>
          <cell r="F880">
            <v>1</v>
          </cell>
          <cell r="G880">
            <v>65</v>
          </cell>
        </row>
        <row r="881">
          <cell r="A881" t="str">
            <v>Psco_719</v>
          </cell>
          <cell r="B881">
            <v>880</v>
          </cell>
          <cell r="C881">
            <v>2</v>
          </cell>
          <cell r="D881" t="str">
            <v>MZ</v>
          </cell>
          <cell r="E881">
            <v>23</v>
          </cell>
          <cell r="F881">
            <v>1</v>
          </cell>
          <cell r="G881">
            <v>49</v>
          </cell>
        </row>
        <row r="882">
          <cell r="A882" t="str">
            <v>Psco_828</v>
          </cell>
          <cell r="B882">
            <v>881</v>
          </cell>
          <cell r="C882">
            <v>3</v>
          </cell>
          <cell r="D882" t="str">
            <v>MZ</v>
          </cell>
          <cell r="E882">
            <v>31</v>
          </cell>
          <cell r="F882">
            <v>1</v>
          </cell>
          <cell r="G882">
            <v>63</v>
          </cell>
        </row>
        <row r="883">
          <cell r="A883" t="str">
            <v>Psco_727</v>
          </cell>
          <cell r="B883">
            <v>882</v>
          </cell>
          <cell r="C883">
            <v>2</v>
          </cell>
          <cell r="D883" t="str">
            <v>TZ</v>
          </cell>
          <cell r="E883">
            <v>54</v>
          </cell>
          <cell r="F883">
            <v>0</v>
          </cell>
          <cell r="G883">
            <v>98</v>
          </cell>
        </row>
        <row r="884">
          <cell r="A884" t="str">
            <v>Psco_836</v>
          </cell>
          <cell r="B884">
            <v>883</v>
          </cell>
          <cell r="C884">
            <v>3</v>
          </cell>
          <cell r="D884" t="str">
            <v>MZ</v>
          </cell>
          <cell r="E884">
            <v>22</v>
          </cell>
          <cell r="F884">
            <v>0</v>
          </cell>
          <cell r="G884">
            <v>98</v>
          </cell>
        </row>
        <row r="885">
          <cell r="A885" t="str">
            <v>Psco_748</v>
          </cell>
          <cell r="B885">
            <v>884</v>
          </cell>
          <cell r="C885">
            <v>3</v>
          </cell>
          <cell r="D885" t="str">
            <v>MZ</v>
          </cell>
          <cell r="E885">
            <v>31</v>
          </cell>
          <cell r="F885">
            <v>1</v>
          </cell>
          <cell r="G885">
            <v>63</v>
          </cell>
        </row>
        <row r="886">
          <cell r="A886" t="str">
            <v>Psco_756</v>
          </cell>
          <cell r="B886">
            <v>885</v>
          </cell>
          <cell r="C886">
            <v>3</v>
          </cell>
          <cell r="D886" t="str">
            <v>MZ</v>
          </cell>
          <cell r="E886">
            <v>22</v>
          </cell>
          <cell r="F886">
            <v>0</v>
          </cell>
          <cell r="G886">
            <v>98</v>
          </cell>
        </row>
        <row r="887">
          <cell r="A887" t="str">
            <v>Psco_852</v>
          </cell>
          <cell r="B887">
            <v>886</v>
          </cell>
          <cell r="C887">
            <v>3</v>
          </cell>
          <cell r="D887" t="str">
            <v>MZ</v>
          </cell>
          <cell r="E887">
            <v>36</v>
          </cell>
          <cell r="F887">
            <v>1</v>
          </cell>
          <cell r="G887">
            <v>63</v>
          </cell>
        </row>
        <row r="888">
          <cell r="A888" t="str">
            <v>Psco_860</v>
          </cell>
          <cell r="B888">
            <v>887</v>
          </cell>
          <cell r="C888">
            <v>3</v>
          </cell>
          <cell r="D888" t="str">
            <v>MZ</v>
          </cell>
          <cell r="E888">
            <v>24</v>
          </cell>
          <cell r="F888">
            <v>0</v>
          </cell>
          <cell r="G888">
            <v>98</v>
          </cell>
        </row>
        <row r="889">
          <cell r="A889" t="str">
            <v>Psco_772</v>
          </cell>
          <cell r="B889">
            <v>888</v>
          </cell>
          <cell r="C889">
            <v>3</v>
          </cell>
          <cell r="D889" t="str">
            <v>MZ</v>
          </cell>
          <cell r="E889">
            <v>29</v>
          </cell>
          <cell r="F889">
            <v>1</v>
          </cell>
          <cell r="G889">
            <v>69</v>
          </cell>
        </row>
        <row r="890">
          <cell r="A890" t="str">
            <v>Psco_868</v>
          </cell>
          <cell r="B890">
            <v>889</v>
          </cell>
          <cell r="C890">
            <v>3</v>
          </cell>
          <cell r="D890" t="str">
            <v>MZ</v>
          </cell>
          <cell r="E890">
            <v>24</v>
          </cell>
          <cell r="F890">
            <v>1</v>
          </cell>
          <cell r="G890">
            <v>80</v>
          </cell>
        </row>
        <row r="891">
          <cell r="A891" t="str">
            <v>Psco_780</v>
          </cell>
          <cell r="B891">
            <v>890</v>
          </cell>
          <cell r="C891">
            <v>3</v>
          </cell>
          <cell r="D891" t="str">
            <v>MZ</v>
          </cell>
          <cell r="E891">
            <v>38</v>
          </cell>
          <cell r="F891">
            <v>0</v>
          </cell>
          <cell r="G891">
            <v>98</v>
          </cell>
        </row>
        <row r="892">
          <cell r="A892" t="str">
            <v>Psco_876</v>
          </cell>
          <cell r="B892">
            <v>891</v>
          </cell>
          <cell r="C892">
            <v>3</v>
          </cell>
          <cell r="D892" t="str">
            <v>MZ</v>
          </cell>
          <cell r="E892">
            <v>27</v>
          </cell>
          <cell r="F892">
            <v>0</v>
          </cell>
          <cell r="G892">
            <v>98</v>
          </cell>
        </row>
        <row r="893">
          <cell r="A893" t="str">
            <v>Psco_788</v>
          </cell>
          <cell r="B893">
            <v>892</v>
          </cell>
          <cell r="C893">
            <v>3</v>
          </cell>
          <cell r="D893" t="str">
            <v>MZ</v>
          </cell>
          <cell r="E893">
            <v>28</v>
          </cell>
          <cell r="F893">
            <v>1</v>
          </cell>
          <cell r="G893">
            <v>57</v>
          </cell>
        </row>
        <row r="894">
          <cell r="A894" t="str">
            <v>Psco_884</v>
          </cell>
          <cell r="B894">
            <v>893</v>
          </cell>
          <cell r="C894">
            <v>3</v>
          </cell>
          <cell r="D894" t="str">
            <v>MZ</v>
          </cell>
          <cell r="E894">
            <v>38</v>
          </cell>
          <cell r="F894">
            <v>0</v>
          </cell>
          <cell r="G894">
            <v>98</v>
          </cell>
        </row>
        <row r="895">
          <cell r="A895" t="str">
            <v>Psco_796</v>
          </cell>
          <cell r="B895">
            <v>894</v>
          </cell>
          <cell r="C895">
            <v>3</v>
          </cell>
          <cell r="D895" t="str">
            <v>MZ</v>
          </cell>
          <cell r="E895">
            <v>33</v>
          </cell>
          <cell r="F895">
            <v>0</v>
          </cell>
          <cell r="G895">
            <v>98</v>
          </cell>
        </row>
        <row r="896">
          <cell r="A896" t="str">
            <v>Psco_892</v>
          </cell>
          <cell r="B896">
            <v>895</v>
          </cell>
          <cell r="C896">
            <v>3</v>
          </cell>
          <cell r="D896" t="str">
            <v>MZ</v>
          </cell>
          <cell r="E896">
            <v>31</v>
          </cell>
          <cell r="F896">
            <v>0</v>
          </cell>
          <cell r="G896">
            <v>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9E39-5120-9147-A2A5-BE739C0C8DCE}">
  <dimension ref="A1:N896"/>
  <sheetViews>
    <sheetView tabSelected="1" workbookViewId="0">
      <selection activeCell="L19" sqref="L19"/>
    </sheetView>
  </sheetViews>
  <sheetFormatPr baseColWidth="10" defaultRowHeight="16" x14ac:dyDescent="0.2"/>
  <cols>
    <col min="1" max="1" width="10.33203125" bestFit="1" customWidth="1"/>
    <col min="2" max="2" width="4.83203125" bestFit="1" customWidth="1"/>
    <col min="3" max="3" width="10.6640625" bestFit="1" customWidth="1"/>
    <col min="5" max="5" width="17.6640625" customWidth="1"/>
    <col min="6" max="6" width="12.6640625" bestFit="1" customWidth="1"/>
    <col min="7" max="9" width="11"/>
  </cols>
  <sheetData>
    <row r="1" spans="1:14" x14ac:dyDescent="0.2">
      <c r="A1" s="3" t="s">
        <v>896</v>
      </c>
      <c r="B1" s="3" t="s">
        <v>901</v>
      </c>
      <c r="C1" s="3" t="s">
        <v>895</v>
      </c>
      <c r="D1" s="2" t="s">
        <v>898</v>
      </c>
      <c r="E1" s="3" t="s">
        <v>902</v>
      </c>
      <c r="F1" s="3" t="s">
        <v>897</v>
      </c>
      <c r="G1" s="3" t="s">
        <v>903</v>
      </c>
      <c r="H1" s="3"/>
      <c r="I1" s="3"/>
      <c r="J1" s="2" t="s">
        <v>904</v>
      </c>
      <c r="K1" s="2" t="s">
        <v>906</v>
      </c>
      <c r="L1" s="2" t="s">
        <v>905</v>
      </c>
      <c r="M1" s="3" t="s">
        <v>907</v>
      </c>
      <c r="N1" s="3" t="s">
        <v>908</v>
      </c>
    </row>
    <row r="2" spans="1:14" x14ac:dyDescent="0.2">
      <c r="A2">
        <v>1</v>
      </c>
      <c r="B2">
        <v>13</v>
      </c>
      <c r="C2" t="s">
        <v>0</v>
      </c>
      <c r="D2" t="s">
        <v>899</v>
      </c>
      <c r="E2">
        <v>-6.9760255016600903</v>
      </c>
      <c r="F2">
        <f>VLOOKUP(C2,'[1]phenotypes-895'!$A$2:$G$896,7,FALSE)</f>
        <v>56</v>
      </c>
      <c r="J2" s="2">
        <v>1</v>
      </c>
      <c r="K2" s="1">
        <f>AVERAGE(E2:E10)</f>
        <v>-4.6996138735251876</v>
      </c>
      <c r="L2" cm="1">
        <f t="array" ref="L2">SUM(1/ COUNTIF(B2:B10,B2:B10))</f>
        <v>7</v>
      </c>
      <c r="M2" s="7">
        <f>COUNTIFS($G$2:$G$896,"&lt;="&amp;J2,$D$2:$D$896,"MZ")/(COUNTIF($G$2:$G$896,1)*J2)*100</f>
        <v>11.111111111111111</v>
      </c>
      <c r="N2" s="7">
        <f>COUNTIFS($G$2:$G$896,"&lt;="&amp;J2,$D$2:$D$896,"TZ")/(COUNTIF($G$2:$G$896,1)*J2)*100</f>
        <v>88.888888888888886</v>
      </c>
    </row>
    <row r="3" spans="1:14" x14ac:dyDescent="0.2">
      <c r="A3">
        <v>2</v>
      </c>
      <c r="B3">
        <v>8</v>
      </c>
      <c r="C3" t="s">
        <v>1</v>
      </c>
      <c r="D3" t="s">
        <v>900</v>
      </c>
      <c r="E3">
        <v>1.5119529438189601</v>
      </c>
      <c r="F3">
        <f>VLOOKUP(C3,'[1]phenotypes-895'!$A$2:$G$896,7,FALSE)</f>
        <v>98</v>
      </c>
      <c r="G3" s="6">
        <v>50</v>
      </c>
      <c r="J3" s="2">
        <v>2</v>
      </c>
      <c r="K3" s="1">
        <f>AVERAGE(E2:E19)</f>
        <v>-4.0156305866828061</v>
      </c>
      <c r="L3" cm="1">
        <f t="array" ref="L3">SUM(1/ COUNTIF(B2:B19,B2:B19))</f>
        <v>10</v>
      </c>
      <c r="M3" s="7">
        <f t="shared" ref="M3:M14" si="0">COUNTIFS($G$2:$G$896,"&lt;="&amp;J3,$D$2:$D$896,"MZ")/(COUNTIF($G$2:$G$896,1)*J3)*100</f>
        <v>5.5555555555555554</v>
      </c>
      <c r="N3" s="7">
        <f t="shared" ref="N3:N15" si="1">COUNTIFS($G$2:$G$896,"&lt;="&amp;J3,$D$2:$D$896,"TZ")/(COUNTIF($G$2:$G$896,1)*J3)*100</f>
        <v>94.444444444444443</v>
      </c>
    </row>
    <row r="4" spans="1:14" x14ac:dyDescent="0.2">
      <c r="A4">
        <v>3</v>
      </c>
      <c r="B4">
        <v>8</v>
      </c>
      <c r="C4" t="s">
        <v>2</v>
      </c>
      <c r="D4" t="s">
        <v>900</v>
      </c>
      <c r="E4">
        <v>0.113219627675817</v>
      </c>
      <c r="F4">
        <f>VLOOKUP(C4,'[1]phenotypes-895'!$A$2:$G$896,7,FALSE)</f>
        <v>76</v>
      </c>
      <c r="G4" s="5"/>
      <c r="J4" s="2">
        <v>3</v>
      </c>
      <c r="K4" s="1">
        <f>AVERAGE(E2:E28)</f>
        <v>-4.4751570002835521</v>
      </c>
      <c r="L4" cm="1">
        <f t="array" ref="L4">SUM(1/ COUNTIF(B2:B28,B2:B28))</f>
        <v>13</v>
      </c>
      <c r="M4" s="7">
        <f t="shared" si="0"/>
        <v>14.814814814814813</v>
      </c>
      <c r="N4" s="7">
        <f t="shared" si="1"/>
        <v>85.18518518518519</v>
      </c>
    </row>
    <row r="5" spans="1:14" x14ac:dyDescent="0.2">
      <c r="A5">
        <v>4</v>
      </c>
      <c r="B5">
        <v>15</v>
      </c>
      <c r="C5" t="s">
        <v>3</v>
      </c>
      <c r="D5" t="s">
        <v>899</v>
      </c>
      <c r="E5">
        <v>-11.897624653016599</v>
      </c>
      <c r="F5">
        <f>VLOOKUP(C5,'[1]phenotypes-895'!$A$2:$G$896,7,FALSE)</f>
        <v>63</v>
      </c>
      <c r="J5" s="2">
        <v>4</v>
      </c>
      <c r="K5" s="1">
        <f>AVERAGE(E2:E37)</f>
        <v>-4.2770274387596858</v>
      </c>
      <c r="L5" cm="1">
        <f t="array" ref="L5">SUM(1/ COUNTIF(B2:B37,B2:B37))</f>
        <v>20</v>
      </c>
      <c r="M5" s="7">
        <f t="shared" si="0"/>
        <v>16.666666666666664</v>
      </c>
      <c r="N5" s="7">
        <f t="shared" si="1"/>
        <v>83.333333333333343</v>
      </c>
    </row>
    <row r="6" spans="1:14" x14ac:dyDescent="0.2">
      <c r="A6">
        <v>5</v>
      </c>
      <c r="B6">
        <v>13</v>
      </c>
      <c r="C6" t="s">
        <v>4</v>
      </c>
      <c r="D6" t="s">
        <v>899</v>
      </c>
      <c r="E6">
        <v>-5.03727880514354</v>
      </c>
      <c r="F6">
        <f>VLOOKUP(C6,'[1]phenotypes-895'!$A$2:$G$896,7,FALSE)</f>
        <v>62</v>
      </c>
      <c r="J6" s="2">
        <v>5</v>
      </c>
      <c r="K6" s="1">
        <f>AVERAGE(E2:E46)</f>
        <v>-3.8337535971700718</v>
      </c>
      <c r="L6" cm="1">
        <f t="array" ref="L6">SUM(1/ COUNTIF(B2:B46,B2:B46))</f>
        <v>26</v>
      </c>
      <c r="M6" s="7">
        <f t="shared" si="0"/>
        <v>17.777777777777779</v>
      </c>
      <c r="N6" s="7">
        <f t="shared" si="1"/>
        <v>82.222222222222214</v>
      </c>
    </row>
    <row r="7" spans="1:14" x14ac:dyDescent="0.2">
      <c r="A7">
        <v>6</v>
      </c>
      <c r="B7">
        <v>3</v>
      </c>
      <c r="C7" t="s">
        <v>5</v>
      </c>
      <c r="D7" t="s">
        <v>900</v>
      </c>
      <c r="E7">
        <v>-8.3484795390057904</v>
      </c>
      <c r="F7">
        <f>VLOOKUP(C7,'[1]phenotypes-895'!$A$2:$G$896,7,FALSE)</f>
        <v>64</v>
      </c>
      <c r="J7" s="2">
        <v>6</v>
      </c>
      <c r="K7" s="1">
        <f>AVERAGE(E2:E55)</f>
        <v>-3.5591231427616012</v>
      </c>
      <c r="L7" cm="1">
        <f t="array" ref="L7">SUM(1/ COUNTIF(B2:B55,B2:B55))</f>
        <v>28.000000000000004</v>
      </c>
      <c r="M7" s="7">
        <f t="shared" si="0"/>
        <v>18.518518518518519</v>
      </c>
      <c r="N7" s="7">
        <f t="shared" si="1"/>
        <v>81.481481481481481</v>
      </c>
    </row>
    <row r="8" spans="1:14" x14ac:dyDescent="0.2">
      <c r="A8">
        <v>7</v>
      </c>
      <c r="B8">
        <v>16</v>
      </c>
      <c r="C8" t="s">
        <v>6</v>
      </c>
      <c r="D8" t="s">
        <v>899</v>
      </c>
      <c r="E8">
        <v>-10.050700191660299</v>
      </c>
      <c r="F8">
        <f>VLOOKUP(C8,'[1]phenotypes-895'!$A$2:$G$896,7,FALSE)</f>
        <v>53</v>
      </c>
      <c r="J8" s="2">
        <v>7</v>
      </c>
      <c r="K8" s="1">
        <f>AVERAGE(E2:E64)</f>
        <v>-3.9039208753919068</v>
      </c>
      <c r="L8" cm="1">
        <f t="array" ref="L8">SUM(1/ COUNTIF(B2:B64,B2:B64))</f>
        <v>28.999999999999993</v>
      </c>
      <c r="M8" s="7">
        <f t="shared" si="0"/>
        <v>17.460317460317459</v>
      </c>
      <c r="N8" s="7">
        <f t="shared" si="1"/>
        <v>82.539682539682531</v>
      </c>
    </row>
    <row r="9" spans="1:14" x14ac:dyDescent="0.2">
      <c r="A9">
        <v>8</v>
      </c>
      <c r="B9">
        <v>6</v>
      </c>
      <c r="C9" t="s">
        <v>7</v>
      </c>
      <c r="D9" t="s">
        <v>900</v>
      </c>
      <c r="E9">
        <v>-1.22386592544711</v>
      </c>
      <c r="F9">
        <f>VLOOKUP(C9,'[1]phenotypes-895'!$A$2:$G$896,7,FALSE)</f>
        <v>98</v>
      </c>
      <c r="G9" s="5"/>
      <c r="J9" s="2">
        <v>8</v>
      </c>
      <c r="K9" s="1">
        <f>AVERAGE(E2:E73)</f>
        <v>-4.1698308236754427</v>
      </c>
      <c r="L9" cm="1">
        <f t="array" ref="L9">SUM(1/ COUNTIF(B2:B73,B2:B73))</f>
        <v>30.999999999999989</v>
      </c>
      <c r="M9" s="7">
        <f t="shared" si="0"/>
        <v>16.666666666666664</v>
      </c>
      <c r="N9" s="7">
        <f t="shared" si="1"/>
        <v>83.333333333333343</v>
      </c>
    </row>
    <row r="10" spans="1:14" x14ac:dyDescent="0.2">
      <c r="A10">
        <v>9</v>
      </c>
      <c r="B10">
        <v>12</v>
      </c>
      <c r="C10" t="s">
        <v>8</v>
      </c>
      <c r="D10" t="s">
        <v>899</v>
      </c>
      <c r="E10">
        <v>-0.38772281728803598</v>
      </c>
      <c r="F10">
        <f>VLOOKUP(C10,'[1]phenotypes-895'!$A$2:$G$896,7,FALSE)</f>
        <v>98</v>
      </c>
      <c r="J10" s="2">
        <v>9</v>
      </c>
      <c r="K10" s="1">
        <f>AVERAGE(E2:E82)</f>
        <v>-3.9844594835687324</v>
      </c>
      <c r="L10" cm="1">
        <f t="array" ref="L10">SUM(1/ COUNTIF(B2:B82,B2:B82))</f>
        <v>32.999999999999993</v>
      </c>
      <c r="M10" s="7">
        <f t="shared" si="0"/>
        <v>18.518518518518519</v>
      </c>
      <c r="N10" s="7">
        <f t="shared" si="1"/>
        <v>81.481481481481481</v>
      </c>
    </row>
    <row r="11" spans="1:14" x14ac:dyDescent="0.2">
      <c r="A11">
        <v>10</v>
      </c>
      <c r="B11">
        <v>12</v>
      </c>
      <c r="C11" t="s">
        <v>9</v>
      </c>
      <c r="D11" t="s">
        <v>899</v>
      </c>
      <c r="E11">
        <v>1.38865884748737</v>
      </c>
      <c r="F11">
        <f>VLOOKUP(C11,'[1]phenotypes-895'!$A$2:$G$896,7,FALSE)</f>
        <v>62</v>
      </c>
      <c r="G11" s="6">
        <v>50</v>
      </c>
      <c r="J11" s="2">
        <v>10</v>
      </c>
      <c r="K11" s="1">
        <f>AVERAGE(E2:E91)</f>
        <v>-3.4386521218402959</v>
      </c>
      <c r="L11" cm="1">
        <f t="array" ref="L11">SUM(1/ COUNTIF(B2:B91,B2:B91))</f>
        <v>36</v>
      </c>
      <c r="M11" s="7">
        <f t="shared" si="0"/>
        <v>18.888888888888889</v>
      </c>
      <c r="N11" s="7">
        <f t="shared" si="1"/>
        <v>81.111111111111114</v>
      </c>
    </row>
    <row r="12" spans="1:14" x14ac:dyDescent="0.2">
      <c r="A12">
        <v>11</v>
      </c>
      <c r="B12">
        <v>1</v>
      </c>
      <c r="C12" t="s">
        <v>10</v>
      </c>
      <c r="D12" t="s">
        <v>900</v>
      </c>
      <c r="E12">
        <v>-6.6075733647071804</v>
      </c>
      <c r="F12">
        <f>VLOOKUP(C12,'[1]phenotypes-895'!$A$2:$G$896,7,FALSE)</f>
        <v>50</v>
      </c>
      <c r="J12" s="2">
        <v>20</v>
      </c>
      <c r="K12" s="1">
        <f>AVERAGE(E2:E181)</f>
        <v>-2.9630864186212742</v>
      </c>
      <c r="L12" cm="1">
        <f t="array" ref="L12">SUM(1/ COUNTIF(B2:B181,B2:B181))</f>
        <v>42.000000000000036</v>
      </c>
      <c r="M12" s="7">
        <f t="shared" si="0"/>
        <v>19.444444444444446</v>
      </c>
      <c r="N12" s="7">
        <f t="shared" si="1"/>
        <v>80.555555555555557</v>
      </c>
    </row>
    <row r="13" spans="1:14" x14ac:dyDescent="0.2">
      <c r="A13">
        <v>12</v>
      </c>
      <c r="B13">
        <v>5</v>
      </c>
      <c r="C13" t="s">
        <v>11</v>
      </c>
      <c r="D13" t="s">
        <v>900</v>
      </c>
      <c r="E13">
        <v>-8.8819100825672095</v>
      </c>
      <c r="F13">
        <f>VLOOKUP(C13,'[1]phenotypes-895'!$A$2:$G$896,7,FALSE)</f>
        <v>60</v>
      </c>
      <c r="J13" s="2">
        <v>30</v>
      </c>
      <c r="K13" s="1">
        <f>AVERAGE(E2:E271)</f>
        <v>-2.9441948017175972</v>
      </c>
      <c r="L13" cm="1">
        <f t="array" ref="L13">SUM(1/ COUNTIF(B2:B271,B2:B271))</f>
        <v>48.000000000000156</v>
      </c>
      <c r="M13" s="7">
        <f t="shared" si="0"/>
        <v>27.037037037037038</v>
      </c>
      <c r="N13" s="7">
        <f t="shared" si="1"/>
        <v>72.962962962962962</v>
      </c>
    </row>
    <row r="14" spans="1:14" x14ac:dyDescent="0.2">
      <c r="A14">
        <v>13</v>
      </c>
      <c r="B14">
        <v>5</v>
      </c>
      <c r="C14" t="s">
        <v>12</v>
      </c>
      <c r="D14" t="s">
        <v>900</v>
      </c>
      <c r="E14">
        <v>-8.5268987475894207</v>
      </c>
      <c r="F14">
        <f>VLOOKUP(C14,'[1]phenotypes-895'!$A$2:$G$896,7,FALSE)</f>
        <v>98</v>
      </c>
      <c r="J14" s="2">
        <v>40</v>
      </c>
      <c r="K14" s="1">
        <f>AVERAGE(E2:E361)</f>
        <v>-2.9805242865050312</v>
      </c>
      <c r="L14" cm="1">
        <f t="array" ref="L14">SUM(1/ COUNTIF(B2:B361,B2:B361))</f>
        <v>51.000000000000242</v>
      </c>
      <c r="M14" s="7">
        <f t="shared" si="0"/>
        <v>32.222222222222221</v>
      </c>
      <c r="N14" s="7">
        <f t="shared" si="1"/>
        <v>67.777777777777786</v>
      </c>
    </row>
    <row r="15" spans="1:14" x14ac:dyDescent="0.2">
      <c r="A15">
        <v>14</v>
      </c>
      <c r="B15">
        <v>8</v>
      </c>
      <c r="C15" t="s">
        <v>13</v>
      </c>
      <c r="D15" t="s">
        <v>900</v>
      </c>
      <c r="E15">
        <v>2.0740633023269801</v>
      </c>
      <c r="F15">
        <f>VLOOKUP(C15,'[1]phenotypes-895'!$A$2:$G$896,7,FALSE)</f>
        <v>72</v>
      </c>
      <c r="G15" s="6">
        <v>50</v>
      </c>
      <c r="J15" s="2">
        <v>50</v>
      </c>
      <c r="K15" s="1">
        <f>AVERAGE(E2:E451)</f>
        <v>-2.05958159036703</v>
      </c>
      <c r="L15" cm="1">
        <f t="array" ref="L15">SUM(1/ COUNTIF(B2:B451,B2:B451))</f>
        <v>53.000000000000185</v>
      </c>
      <c r="M15" s="7">
        <f>COUNTIFS($G$2:$G$896,"&lt;="&amp;J15,$D$2:$D$896,"MZ")/(COUNTIF($G$2:$G$896,1)*J15)*100</f>
        <v>36.666666666666664</v>
      </c>
      <c r="N15" s="7">
        <f t="shared" si="1"/>
        <v>63.333333333333329</v>
      </c>
    </row>
    <row r="16" spans="1:14" x14ac:dyDescent="0.2">
      <c r="A16">
        <v>15</v>
      </c>
      <c r="B16">
        <v>9</v>
      </c>
      <c r="C16" t="s">
        <v>14</v>
      </c>
      <c r="D16" t="s">
        <v>899</v>
      </c>
      <c r="E16">
        <v>-4.22406558893426</v>
      </c>
      <c r="F16">
        <f>VLOOKUP(C16,'[1]phenotypes-895'!$A$2:$G$896,7,FALSE)</f>
        <v>53</v>
      </c>
      <c r="J16" s="2"/>
    </row>
    <row r="17" spans="1:12" x14ac:dyDescent="0.2">
      <c r="A17">
        <v>16</v>
      </c>
      <c r="B17">
        <v>3</v>
      </c>
      <c r="C17" t="s">
        <v>15</v>
      </c>
      <c r="D17" t="s">
        <v>900</v>
      </c>
      <c r="E17">
        <v>-3.40108397327745</v>
      </c>
      <c r="F17">
        <f>VLOOKUP(C17,'[1]phenotypes-895'!$A$2:$G$896,7,FALSE)</f>
        <v>98</v>
      </c>
    </row>
    <row r="18" spans="1:12" x14ac:dyDescent="0.2">
      <c r="A18">
        <v>17</v>
      </c>
      <c r="B18">
        <v>6</v>
      </c>
      <c r="C18" t="s">
        <v>16</v>
      </c>
      <c r="D18" t="s">
        <v>900</v>
      </c>
      <c r="E18">
        <v>-0.117481170696696</v>
      </c>
      <c r="F18">
        <f>VLOOKUP(C18,'[1]phenotypes-895'!$A$2:$G$896,7,FALSE)</f>
        <v>91</v>
      </c>
      <c r="G18" s="5"/>
      <c r="J18" s="2"/>
    </row>
    <row r="19" spans="1:12" x14ac:dyDescent="0.2">
      <c r="A19">
        <v>18</v>
      </c>
      <c r="B19">
        <v>9</v>
      </c>
      <c r="C19" t="s">
        <v>17</v>
      </c>
      <c r="D19" t="s">
        <v>899</v>
      </c>
      <c r="E19">
        <v>-1.6885349206059499</v>
      </c>
      <c r="F19">
        <f>VLOOKUP(C19,'[1]phenotypes-895'!$A$2:$G$896,7,FALSE)</f>
        <v>46</v>
      </c>
    </row>
    <row r="20" spans="1:12" x14ac:dyDescent="0.2">
      <c r="A20">
        <v>19</v>
      </c>
      <c r="B20">
        <v>19</v>
      </c>
      <c r="C20" t="s">
        <v>18</v>
      </c>
      <c r="D20" t="s">
        <v>899</v>
      </c>
      <c r="E20">
        <v>-11.456927216396201</v>
      </c>
      <c r="F20">
        <f>VLOOKUP(C20,'[1]phenotypes-895'!$A$2:$G$896,7,FALSE)</f>
        <v>61</v>
      </c>
    </row>
    <row r="21" spans="1:12" x14ac:dyDescent="0.2">
      <c r="A21">
        <v>20</v>
      </c>
      <c r="B21">
        <v>15</v>
      </c>
      <c r="C21" t="s">
        <v>19</v>
      </c>
      <c r="D21" t="s">
        <v>899</v>
      </c>
      <c r="E21">
        <v>-9.0174256970969893</v>
      </c>
      <c r="F21">
        <f>VLOOKUP(C21,'[1]phenotypes-895'!$A$2:$G$896,7,FALSE)</f>
        <v>61</v>
      </c>
    </row>
    <row r="22" spans="1:12" x14ac:dyDescent="0.2">
      <c r="A22">
        <v>21</v>
      </c>
      <c r="B22">
        <v>9</v>
      </c>
      <c r="C22" t="s">
        <v>20</v>
      </c>
      <c r="D22" t="s">
        <v>899</v>
      </c>
      <c r="E22">
        <v>2.4216722883349302</v>
      </c>
      <c r="F22">
        <f>VLOOKUP(C22,'[1]phenotypes-895'!$A$2:$G$896,7,FALSE)</f>
        <v>98</v>
      </c>
      <c r="G22" s="6">
        <v>40</v>
      </c>
      <c r="J22" s="4"/>
      <c r="K22" s="4"/>
      <c r="L22" s="4"/>
    </row>
    <row r="23" spans="1:12" x14ac:dyDescent="0.2">
      <c r="A23">
        <v>22</v>
      </c>
      <c r="B23">
        <v>4</v>
      </c>
      <c r="C23" t="s">
        <v>21</v>
      </c>
      <c r="D23" t="s">
        <v>900</v>
      </c>
      <c r="E23">
        <v>-2.1036407780535402</v>
      </c>
      <c r="F23">
        <f>VLOOKUP(C23,'[1]phenotypes-895'!$A$2:$G$896,7,FALSE)</f>
        <v>74</v>
      </c>
      <c r="G23" s="5"/>
      <c r="J23" s="6"/>
      <c r="K23" s="6"/>
      <c r="L23" s="6"/>
    </row>
    <row r="24" spans="1:12" x14ac:dyDescent="0.2">
      <c r="A24">
        <v>23</v>
      </c>
      <c r="B24">
        <v>19</v>
      </c>
      <c r="C24" t="s">
        <v>22</v>
      </c>
      <c r="D24" t="s">
        <v>899</v>
      </c>
      <c r="E24">
        <v>-13.9499588178476</v>
      </c>
      <c r="F24">
        <f>VLOOKUP(C24,'[1]phenotypes-895'!$A$2:$G$896,7,FALSE)</f>
        <v>51</v>
      </c>
      <c r="J24" s="6"/>
      <c r="K24" s="6"/>
      <c r="L24" s="6"/>
    </row>
    <row r="25" spans="1:12" x14ac:dyDescent="0.2">
      <c r="A25">
        <v>24</v>
      </c>
      <c r="B25">
        <v>1</v>
      </c>
      <c r="C25" t="s">
        <v>23</v>
      </c>
      <c r="D25" t="s">
        <v>900</v>
      </c>
      <c r="E25">
        <v>-9.9941665603444392</v>
      </c>
      <c r="F25">
        <f>VLOOKUP(C25,'[1]phenotypes-895'!$A$2:$G$896,7,FALSE)</f>
        <v>50</v>
      </c>
      <c r="J25" s="6"/>
      <c r="K25" s="6"/>
      <c r="L25" s="6"/>
    </row>
    <row r="26" spans="1:12" x14ac:dyDescent="0.2">
      <c r="A26">
        <v>25</v>
      </c>
      <c r="B26">
        <v>10</v>
      </c>
      <c r="C26" t="s">
        <v>24</v>
      </c>
      <c r="D26" t="s">
        <v>899</v>
      </c>
      <c r="E26">
        <v>-0.376979904581493</v>
      </c>
      <c r="F26">
        <f>VLOOKUP(C26,'[1]phenotypes-895'!$A$2:$G$896,7,FALSE)</f>
        <v>81</v>
      </c>
      <c r="J26" s="6"/>
      <c r="K26" s="6"/>
      <c r="L26" s="6"/>
    </row>
    <row r="27" spans="1:12" x14ac:dyDescent="0.2">
      <c r="A27">
        <v>26</v>
      </c>
      <c r="B27">
        <v>6</v>
      </c>
      <c r="C27" t="s">
        <v>25</v>
      </c>
      <c r="D27" t="s">
        <v>900</v>
      </c>
      <c r="E27">
        <v>-9.2899188904391305</v>
      </c>
      <c r="F27">
        <f>VLOOKUP(C27,'[1]phenotypes-895'!$A$2:$G$896,7,FALSE)</f>
        <v>58</v>
      </c>
      <c r="J27" s="6"/>
      <c r="K27" s="6"/>
      <c r="L27" s="6"/>
    </row>
    <row r="28" spans="1:12" x14ac:dyDescent="0.2">
      <c r="A28">
        <v>27</v>
      </c>
      <c r="B28">
        <v>12</v>
      </c>
      <c r="C28" t="s">
        <v>26</v>
      </c>
      <c r="D28" t="s">
        <v>899</v>
      </c>
      <c r="E28">
        <v>5.2194571290590401</v>
      </c>
      <c r="F28">
        <f>VLOOKUP(C28,'[1]phenotypes-895'!$A$2:$G$896,7,FALSE)</f>
        <v>98</v>
      </c>
      <c r="G28" s="6">
        <v>20</v>
      </c>
      <c r="J28" s="6"/>
      <c r="K28" s="6"/>
      <c r="L28" s="6"/>
    </row>
    <row r="29" spans="1:12" x14ac:dyDescent="0.2">
      <c r="A29">
        <v>28</v>
      </c>
      <c r="B29">
        <v>30</v>
      </c>
      <c r="C29" t="s">
        <v>27</v>
      </c>
      <c r="D29" t="s">
        <v>900</v>
      </c>
      <c r="E29">
        <v>-2.0457888502627402</v>
      </c>
      <c r="F29">
        <f>VLOOKUP(C29,'[1]phenotypes-895'!$A$2:$G$896,7,FALSE)</f>
        <v>98</v>
      </c>
      <c r="G29" s="5"/>
      <c r="J29" s="6"/>
      <c r="K29" s="6"/>
      <c r="L29" s="6"/>
    </row>
    <row r="30" spans="1:12" x14ac:dyDescent="0.2">
      <c r="A30">
        <v>29</v>
      </c>
      <c r="B30">
        <v>4</v>
      </c>
      <c r="C30" t="s">
        <v>28</v>
      </c>
      <c r="D30" t="s">
        <v>900</v>
      </c>
      <c r="E30">
        <v>-7.8499402886351302</v>
      </c>
      <c r="F30">
        <f>VLOOKUP(C30,'[1]phenotypes-895'!$A$2:$G$896,7,FALSE)</f>
        <v>49</v>
      </c>
      <c r="J30" s="6"/>
      <c r="K30" s="6"/>
      <c r="L30" s="6"/>
    </row>
    <row r="31" spans="1:12" x14ac:dyDescent="0.2">
      <c r="A31">
        <v>30</v>
      </c>
      <c r="B31">
        <v>24</v>
      </c>
      <c r="C31" t="s">
        <v>29</v>
      </c>
      <c r="D31" t="s">
        <v>900</v>
      </c>
      <c r="E31">
        <v>-4.4445817245457002</v>
      </c>
      <c r="F31">
        <f>VLOOKUP(C31,'[1]phenotypes-895'!$A$2:$G$896,7,FALSE)</f>
        <v>76</v>
      </c>
      <c r="J31" s="6"/>
      <c r="K31" s="6"/>
      <c r="L31" s="6"/>
    </row>
    <row r="32" spans="1:12" x14ac:dyDescent="0.2">
      <c r="A32">
        <v>31</v>
      </c>
      <c r="B32">
        <v>17</v>
      </c>
      <c r="C32" t="s">
        <v>30</v>
      </c>
      <c r="D32" t="s">
        <v>899</v>
      </c>
      <c r="E32">
        <v>-8.3089479108353892</v>
      </c>
      <c r="F32">
        <f>VLOOKUP(C32,'[1]phenotypes-895'!$A$2:$G$896,7,FALSE)</f>
        <v>52</v>
      </c>
      <c r="J32" s="6"/>
      <c r="K32" s="6"/>
      <c r="L32" s="6"/>
    </row>
    <row r="33" spans="1:12" x14ac:dyDescent="0.2">
      <c r="A33">
        <v>32</v>
      </c>
      <c r="B33">
        <v>21</v>
      </c>
      <c r="C33" t="s">
        <v>31</v>
      </c>
      <c r="D33" t="s">
        <v>900</v>
      </c>
      <c r="E33">
        <v>-2.6004089336612402</v>
      </c>
      <c r="F33">
        <f>VLOOKUP(C33,'[1]phenotypes-895'!$A$2:$G$896,7,FALSE)</f>
        <v>70</v>
      </c>
      <c r="J33" s="6"/>
      <c r="K33" s="6"/>
      <c r="L33" s="6"/>
    </row>
    <row r="34" spans="1:12" x14ac:dyDescent="0.2">
      <c r="A34">
        <v>33</v>
      </c>
      <c r="B34">
        <v>15</v>
      </c>
      <c r="C34" t="s">
        <v>32</v>
      </c>
      <c r="D34" t="s">
        <v>899</v>
      </c>
      <c r="E34">
        <v>-13.452315673504099</v>
      </c>
      <c r="F34">
        <f>VLOOKUP(C34,'[1]phenotypes-895'!$A$2:$G$896,7,FALSE)</f>
        <v>46</v>
      </c>
      <c r="J34" s="6"/>
      <c r="K34" s="6"/>
      <c r="L34" s="6"/>
    </row>
    <row r="35" spans="1:12" x14ac:dyDescent="0.2">
      <c r="A35">
        <v>34</v>
      </c>
      <c r="B35">
        <v>50</v>
      </c>
      <c r="C35" t="s">
        <v>33</v>
      </c>
      <c r="D35" t="s">
        <v>899</v>
      </c>
      <c r="E35">
        <v>0.39109706884918899</v>
      </c>
      <c r="F35">
        <f>VLOOKUP(C35,'[1]phenotypes-895'!$A$2:$G$896,7,FALSE)</f>
        <v>62</v>
      </c>
      <c r="J35" s="6"/>
      <c r="K35" s="6"/>
      <c r="L35" s="6"/>
    </row>
    <row r="36" spans="1:12" x14ac:dyDescent="0.2">
      <c r="A36">
        <v>35</v>
      </c>
      <c r="B36">
        <v>14</v>
      </c>
      <c r="C36" t="s">
        <v>34</v>
      </c>
      <c r="D36" t="s">
        <v>899</v>
      </c>
      <c r="E36">
        <v>-2.6872280105455202</v>
      </c>
      <c r="F36">
        <f>VLOOKUP(C36,'[1]phenotypes-895'!$A$2:$G$896,7,FALSE)</f>
        <v>65</v>
      </c>
      <c r="J36" s="6"/>
      <c r="K36" s="6"/>
      <c r="L36" s="6"/>
    </row>
    <row r="37" spans="1:12" x14ac:dyDescent="0.2">
      <c r="A37">
        <v>36</v>
      </c>
      <c r="B37">
        <v>44</v>
      </c>
      <c r="C37" t="s">
        <v>35</v>
      </c>
      <c r="D37" t="s">
        <v>899</v>
      </c>
      <c r="E37">
        <v>7.8543655354478696</v>
      </c>
      <c r="F37">
        <f>VLOOKUP(C37,'[1]phenotypes-895'!$A$2:$G$896,7,FALSE)</f>
        <v>98</v>
      </c>
      <c r="G37" s="6">
        <v>5</v>
      </c>
    </row>
    <row r="38" spans="1:12" x14ac:dyDescent="0.2">
      <c r="A38">
        <v>37</v>
      </c>
      <c r="B38">
        <v>11</v>
      </c>
      <c r="C38" t="s">
        <v>36</v>
      </c>
      <c r="D38" t="s">
        <v>899</v>
      </c>
      <c r="E38">
        <v>-6.2048795095697598</v>
      </c>
      <c r="F38">
        <f>VLOOKUP(C38,'[1]phenotypes-895'!$A$2:$G$896,7,FALSE)</f>
        <v>63</v>
      </c>
    </row>
    <row r="39" spans="1:12" x14ac:dyDescent="0.2">
      <c r="A39">
        <v>38</v>
      </c>
      <c r="B39">
        <v>43</v>
      </c>
      <c r="C39" t="s">
        <v>37</v>
      </c>
      <c r="D39" t="s">
        <v>899</v>
      </c>
      <c r="E39">
        <v>-0.92060167259913905</v>
      </c>
      <c r="F39">
        <f>VLOOKUP(C39,'[1]phenotypes-895'!$A$2:$G$896,7,FALSE)</f>
        <v>70</v>
      </c>
    </row>
    <row r="40" spans="1:12" x14ac:dyDescent="0.2">
      <c r="A40">
        <v>39</v>
      </c>
      <c r="B40">
        <v>17</v>
      </c>
      <c r="C40" t="s">
        <v>38</v>
      </c>
      <c r="D40" t="s">
        <v>899</v>
      </c>
      <c r="E40">
        <v>-3.1531610800083798</v>
      </c>
      <c r="F40">
        <f>VLOOKUP(C40,'[1]phenotypes-895'!$A$2:$G$896,7,FALSE)</f>
        <v>76</v>
      </c>
    </row>
    <row r="41" spans="1:12" x14ac:dyDescent="0.2">
      <c r="A41">
        <v>40</v>
      </c>
      <c r="B41">
        <v>37</v>
      </c>
      <c r="C41" t="s">
        <v>39</v>
      </c>
      <c r="D41" t="s">
        <v>900</v>
      </c>
      <c r="E41">
        <v>-3.33179427546062</v>
      </c>
      <c r="F41">
        <f>VLOOKUP(C41,'[1]phenotypes-895'!$A$2:$G$896,7,FALSE)</f>
        <v>49</v>
      </c>
    </row>
    <row r="42" spans="1:12" x14ac:dyDescent="0.2">
      <c r="A42">
        <v>41</v>
      </c>
      <c r="B42">
        <v>6</v>
      </c>
      <c r="C42" t="s">
        <v>40</v>
      </c>
      <c r="D42" t="s">
        <v>900</v>
      </c>
      <c r="E42">
        <v>-5.0077554735234999</v>
      </c>
      <c r="F42">
        <f>VLOOKUP(C42,'[1]phenotypes-895'!$A$2:$G$896,7,FALSE)</f>
        <v>60</v>
      </c>
    </row>
    <row r="43" spans="1:12" x14ac:dyDescent="0.2">
      <c r="A43">
        <v>42</v>
      </c>
      <c r="B43">
        <v>23</v>
      </c>
      <c r="C43" t="s">
        <v>41</v>
      </c>
      <c r="D43" t="s">
        <v>900</v>
      </c>
      <c r="E43">
        <v>-0.29384996603876801</v>
      </c>
      <c r="F43">
        <f>VLOOKUP(C43,'[1]phenotypes-895'!$A$2:$G$896,7,FALSE)</f>
        <v>56</v>
      </c>
      <c r="G43" s="5"/>
    </row>
    <row r="44" spans="1:12" x14ac:dyDescent="0.2">
      <c r="A44">
        <v>43</v>
      </c>
      <c r="B44">
        <v>15</v>
      </c>
      <c r="C44" t="s">
        <v>42</v>
      </c>
      <c r="D44" t="s">
        <v>899</v>
      </c>
      <c r="E44">
        <v>-3.3172746380165901</v>
      </c>
      <c r="F44">
        <f>VLOOKUP(C44,'[1]phenotypes-895'!$A$2:$G$896,7,FALSE)</f>
        <v>78</v>
      </c>
    </row>
    <row r="45" spans="1:12" x14ac:dyDescent="0.2">
      <c r="A45">
        <v>44</v>
      </c>
      <c r="B45">
        <v>32</v>
      </c>
      <c r="C45" t="s">
        <v>43</v>
      </c>
      <c r="D45" t="s">
        <v>900</v>
      </c>
      <c r="E45">
        <v>-2.2223610446144701</v>
      </c>
      <c r="F45">
        <f>VLOOKUP(C45,'[1]phenotypes-895'!$A$2:$G$896,7,FALSE)</f>
        <v>67</v>
      </c>
    </row>
    <row r="46" spans="1:12" x14ac:dyDescent="0.2">
      <c r="A46">
        <v>45</v>
      </c>
      <c r="B46">
        <v>20</v>
      </c>
      <c r="C46" t="s">
        <v>44</v>
      </c>
      <c r="D46" t="s">
        <v>899</v>
      </c>
      <c r="E46">
        <v>5.9057535825266898</v>
      </c>
      <c r="F46">
        <f>VLOOKUP(C46,'[1]phenotypes-895'!$A$2:$G$896,7,FALSE)</f>
        <v>98</v>
      </c>
      <c r="G46" s="6">
        <v>20</v>
      </c>
    </row>
    <row r="47" spans="1:12" x14ac:dyDescent="0.2">
      <c r="A47">
        <v>46</v>
      </c>
      <c r="B47">
        <v>48</v>
      </c>
      <c r="C47" t="s">
        <v>45</v>
      </c>
      <c r="D47" t="s">
        <v>899</v>
      </c>
      <c r="E47">
        <v>4.7212479940073102</v>
      </c>
      <c r="F47">
        <f>VLOOKUP(C47,'[1]phenotypes-895'!$A$2:$G$896,7,FALSE)</f>
        <v>67</v>
      </c>
      <c r="G47" s="6">
        <v>20</v>
      </c>
    </row>
    <row r="48" spans="1:12" x14ac:dyDescent="0.2">
      <c r="A48">
        <v>47</v>
      </c>
      <c r="B48">
        <v>6</v>
      </c>
      <c r="C48" t="s">
        <v>46</v>
      </c>
      <c r="D48" t="s">
        <v>900</v>
      </c>
      <c r="E48">
        <v>-3.2968319825498398</v>
      </c>
      <c r="F48">
        <f>VLOOKUP(C48,'[1]phenotypes-895'!$A$2:$G$896,7,FALSE)</f>
        <v>56</v>
      </c>
    </row>
    <row r="49" spans="1:7" x14ac:dyDescent="0.2">
      <c r="A49">
        <v>48</v>
      </c>
      <c r="B49">
        <v>16</v>
      </c>
      <c r="C49" t="s">
        <v>47</v>
      </c>
      <c r="D49" t="s">
        <v>899</v>
      </c>
      <c r="E49">
        <v>-4.6099054832778901</v>
      </c>
      <c r="F49">
        <f>VLOOKUP(C49,'[1]phenotypes-895'!$A$2:$G$896,7,FALSE)</f>
        <v>61</v>
      </c>
    </row>
    <row r="50" spans="1:7" x14ac:dyDescent="0.2">
      <c r="A50">
        <v>49</v>
      </c>
      <c r="B50">
        <v>17</v>
      </c>
      <c r="C50" t="s">
        <v>48</v>
      </c>
      <c r="D50" t="s">
        <v>899</v>
      </c>
      <c r="E50">
        <v>-8.7770760262050604</v>
      </c>
      <c r="F50">
        <f>VLOOKUP(C50,'[1]phenotypes-895'!$A$2:$G$896,7,FALSE)</f>
        <v>64</v>
      </c>
    </row>
    <row r="51" spans="1:7" x14ac:dyDescent="0.2">
      <c r="A51">
        <v>50</v>
      </c>
      <c r="B51">
        <v>6</v>
      </c>
      <c r="C51" t="s">
        <v>49</v>
      </c>
      <c r="D51" t="s">
        <v>900</v>
      </c>
      <c r="E51">
        <v>-3.0833913665387001</v>
      </c>
      <c r="F51">
        <f>VLOOKUP(C51,'[1]phenotypes-895'!$A$2:$G$896,7,FALSE)</f>
        <v>98</v>
      </c>
    </row>
    <row r="52" spans="1:7" x14ac:dyDescent="0.2">
      <c r="A52">
        <v>51</v>
      </c>
      <c r="B52">
        <v>11</v>
      </c>
      <c r="C52" t="s">
        <v>50</v>
      </c>
      <c r="D52" t="s">
        <v>899</v>
      </c>
      <c r="E52">
        <v>0.64228723487787898</v>
      </c>
      <c r="F52">
        <f>VLOOKUP(C52,'[1]phenotypes-895'!$A$2:$G$896,7,FALSE)</f>
        <v>98</v>
      </c>
    </row>
    <row r="53" spans="1:7" x14ac:dyDescent="0.2">
      <c r="A53">
        <v>52</v>
      </c>
      <c r="B53">
        <v>14</v>
      </c>
      <c r="C53" t="s">
        <v>51</v>
      </c>
      <c r="D53" t="s">
        <v>899</v>
      </c>
      <c r="E53">
        <v>-2.9519536941540401</v>
      </c>
      <c r="F53">
        <f>VLOOKUP(C53,'[1]phenotypes-895'!$A$2:$G$896,7,FALSE)</f>
        <v>53</v>
      </c>
    </row>
    <row r="54" spans="1:7" x14ac:dyDescent="0.2">
      <c r="A54">
        <v>53</v>
      </c>
      <c r="B54">
        <v>10</v>
      </c>
      <c r="C54" t="s">
        <v>52</v>
      </c>
      <c r="D54" t="s">
        <v>899</v>
      </c>
      <c r="E54">
        <v>3.3732787513911999</v>
      </c>
      <c r="F54">
        <f>VLOOKUP(C54,'[1]phenotypes-895'!$A$2:$G$896,7,FALSE)</f>
        <v>98</v>
      </c>
      <c r="G54" s="6">
        <v>30</v>
      </c>
    </row>
    <row r="55" spans="1:7" x14ac:dyDescent="0.2">
      <c r="A55">
        <v>54</v>
      </c>
      <c r="B55">
        <v>7</v>
      </c>
      <c r="C55" t="s">
        <v>53</v>
      </c>
      <c r="D55" t="s">
        <v>900</v>
      </c>
      <c r="E55">
        <v>-5.6913932640241098</v>
      </c>
      <c r="F55">
        <f>VLOOKUP(C55,'[1]phenotypes-895'!$A$2:$G$896,7,FALSE)</f>
        <v>61</v>
      </c>
    </row>
    <row r="56" spans="1:7" x14ac:dyDescent="0.2">
      <c r="A56">
        <v>55</v>
      </c>
      <c r="B56">
        <v>3</v>
      </c>
      <c r="C56" t="s">
        <v>54</v>
      </c>
      <c r="D56" t="s">
        <v>900</v>
      </c>
      <c r="E56">
        <v>-9.2253137716250908</v>
      </c>
      <c r="F56">
        <f>VLOOKUP(C56,'[1]phenotypes-895'!$A$2:$G$896,7,FALSE)</f>
        <v>55</v>
      </c>
    </row>
    <row r="57" spans="1:7" x14ac:dyDescent="0.2">
      <c r="A57">
        <v>56</v>
      </c>
      <c r="B57">
        <v>12</v>
      </c>
      <c r="C57" t="s">
        <v>55</v>
      </c>
      <c r="D57" t="s">
        <v>899</v>
      </c>
      <c r="E57">
        <v>-2.10815706969586</v>
      </c>
      <c r="F57">
        <f>VLOOKUP(C57,'[1]phenotypes-895'!$A$2:$G$896,7,FALSE)</f>
        <v>48</v>
      </c>
    </row>
    <row r="58" spans="1:7" x14ac:dyDescent="0.2">
      <c r="A58">
        <v>57</v>
      </c>
      <c r="B58">
        <v>15</v>
      </c>
      <c r="C58" t="s">
        <v>56</v>
      </c>
      <c r="D58" t="s">
        <v>899</v>
      </c>
      <c r="E58">
        <v>-11.1420107436336</v>
      </c>
      <c r="F58">
        <f>VLOOKUP(C58,'[1]phenotypes-895'!$A$2:$G$896,7,FALSE)</f>
        <v>45</v>
      </c>
    </row>
    <row r="59" spans="1:7" x14ac:dyDescent="0.2">
      <c r="A59">
        <v>58</v>
      </c>
      <c r="B59">
        <v>4</v>
      </c>
      <c r="C59" t="s">
        <v>57</v>
      </c>
      <c r="D59" t="s">
        <v>900</v>
      </c>
      <c r="E59">
        <v>-4.2928692375352604</v>
      </c>
      <c r="F59">
        <f>VLOOKUP(C59,'[1]phenotypes-895'!$A$2:$G$896,7,FALSE)</f>
        <v>56</v>
      </c>
    </row>
    <row r="60" spans="1:7" x14ac:dyDescent="0.2">
      <c r="A60">
        <v>59</v>
      </c>
      <c r="B60">
        <v>17</v>
      </c>
      <c r="C60" t="s">
        <v>58</v>
      </c>
      <c r="D60" t="s">
        <v>899</v>
      </c>
      <c r="E60">
        <v>-9.1029061421676101</v>
      </c>
      <c r="F60">
        <f>VLOOKUP(C60,'[1]phenotypes-895'!$A$2:$G$896,7,FALSE)</f>
        <v>51</v>
      </c>
    </row>
    <row r="61" spans="1:7" x14ac:dyDescent="0.2">
      <c r="A61">
        <v>60</v>
      </c>
      <c r="B61">
        <v>18</v>
      </c>
      <c r="C61" t="s">
        <v>59</v>
      </c>
      <c r="D61" t="s">
        <v>899</v>
      </c>
      <c r="E61">
        <v>2.1761305325828402</v>
      </c>
      <c r="F61">
        <f>VLOOKUP(C61,'[1]phenotypes-895'!$A$2:$G$896,7,FALSE)</f>
        <v>88</v>
      </c>
      <c r="G61" s="6">
        <v>40</v>
      </c>
    </row>
    <row r="62" spans="1:7" x14ac:dyDescent="0.2">
      <c r="A62">
        <v>61</v>
      </c>
      <c r="B62">
        <v>19</v>
      </c>
      <c r="C62" t="s">
        <v>60</v>
      </c>
      <c r="D62" t="s">
        <v>899</v>
      </c>
      <c r="E62">
        <v>-9.8764354244766608</v>
      </c>
      <c r="F62">
        <f>VLOOKUP(C62,'[1]phenotypes-895'!$A$2:$G$896,7,FALSE)</f>
        <v>74</v>
      </c>
    </row>
    <row r="63" spans="1:7" x14ac:dyDescent="0.2">
      <c r="A63">
        <v>62</v>
      </c>
      <c r="B63">
        <v>14</v>
      </c>
      <c r="C63" t="s">
        <v>61</v>
      </c>
      <c r="D63" t="s">
        <v>899</v>
      </c>
      <c r="E63">
        <v>-6.5046936130740702</v>
      </c>
      <c r="F63">
        <f>VLOOKUP(C63,'[1]phenotypes-895'!$A$2:$G$896,7,FALSE)</f>
        <v>68</v>
      </c>
    </row>
    <row r="64" spans="1:7" x14ac:dyDescent="0.2">
      <c r="A64">
        <v>63</v>
      </c>
      <c r="B64">
        <v>11</v>
      </c>
      <c r="C64" t="s">
        <v>62</v>
      </c>
      <c r="D64" t="s">
        <v>899</v>
      </c>
      <c r="E64">
        <v>-3.6781099709383902</v>
      </c>
      <c r="F64">
        <f>VLOOKUP(C64,'[1]phenotypes-895'!$A$2:$G$896,7,FALSE)</f>
        <v>53</v>
      </c>
    </row>
    <row r="65" spans="1:7" x14ac:dyDescent="0.2">
      <c r="A65">
        <v>64</v>
      </c>
      <c r="B65">
        <v>5</v>
      </c>
      <c r="C65" t="s">
        <v>63</v>
      </c>
      <c r="D65" t="s">
        <v>900</v>
      </c>
      <c r="E65">
        <v>-11.6117974707493</v>
      </c>
      <c r="F65">
        <f>VLOOKUP(C65,'[1]phenotypes-895'!$A$2:$G$896,7,FALSE)</f>
        <v>98</v>
      </c>
    </row>
    <row r="66" spans="1:7" x14ac:dyDescent="0.2">
      <c r="A66">
        <v>65</v>
      </c>
      <c r="B66">
        <v>12</v>
      </c>
      <c r="C66" t="s">
        <v>64</v>
      </c>
      <c r="D66" t="s">
        <v>899</v>
      </c>
      <c r="E66">
        <v>1.5358649576779999</v>
      </c>
      <c r="F66">
        <f>VLOOKUP(C66,'[1]phenotypes-895'!$A$2:$G$896,7,FALSE)</f>
        <v>98</v>
      </c>
      <c r="G66" s="6">
        <v>50</v>
      </c>
    </row>
    <row r="67" spans="1:7" x14ac:dyDescent="0.2">
      <c r="A67">
        <v>66</v>
      </c>
      <c r="B67">
        <v>19</v>
      </c>
      <c r="C67" t="s">
        <v>65</v>
      </c>
      <c r="D67" t="s">
        <v>899</v>
      </c>
      <c r="E67">
        <v>-9.8332971263629592</v>
      </c>
      <c r="F67">
        <f>VLOOKUP(C67,'[1]phenotypes-895'!$A$2:$G$896,7,FALSE)</f>
        <v>72</v>
      </c>
    </row>
    <row r="68" spans="1:7" x14ac:dyDescent="0.2">
      <c r="A68">
        <v>67</v>
      </c>
      <c r="B68">
        <v>13</v>
      </c>
      <c r="C68" t="s">
        <v>66</v>
      </c>
      <c r="D68" t="s">
        <v>899</v>
      </c>
      <c r="E68">
        <v>-6.3384440825963999</v>
      </c>
      <c r="F68">
        <f>VLOOKUP(C68,'[1]phenotypes-895'!$A$2:$G$896,7,FALSE)</f>
        <v>46</v>
      </c>
    </row>
    <row r="69" spans="1:7" x14ac:dyDescent="0.2">
      <c r="A69">
        <v>68</v>
      </c>
      <c r="B69">
        <v>2</v>
      </c>
      <c r="C69" t="s">
        <v>67</v>
      </c>
      <c r="D69" t="s">
        <v>900</v>
      </c>
      <c r="E69">
        <v>-8.0886694498519809</v>
      </c>
      <c r="F69">
        <f>VLOOKUP(C69,'[1]phenotypes-895'!$A$2:$G$896,7,FALSE)</f>
        <v>74</v>
      </c>
    </row>
    <row r="70" spans="1:7" x14ac:dyDescent="0.2">
      <c r="A70">
        <v>69</v>
      </c>
      <c r="B70">
        <v>19</v>
      </c>
      <c r="C70" t="s">
        <v>68</v>
      </c>
      <c r="D70" t="s">
        <v>899</v>
      </c>
      <c r="E70">
        <v>-12.0875854523704</v>
      </c>
      <c r="F70">
        <f>VLOOKUP(C70,'[1]phenotypes-895'!$A$2:$G$896,7,FALSE)</f>
        <v>48</v>
      </c>
    </row>
    <row r="71" spans="1:7" x14ac:dyDescent="0.2">
      <c r="A71">
        <v>70</v>
      </c>
      <c r="B71">
        <v>13</v>
      </c>
      <c r="C71" t="s">
        <v>69</v>
      </c>
      <c r="D71" t="s">
        <v>899</v>
      </c>
      <c r="E71">
        <v>-3.4667599861319398</v>
      </c>
      <c r="F71">
        <f>VLOOKUP(C71,'[1]phenotypes-895'!$A$2:$G$896,7,FALSE)</f>
        <v>54</v>
      </c>
    </row>
    <row r="72" spans="1:7" x14ac:dyDescent="0.2">
      <c r="A72">
        <v>71</v>
      </c>
      <c r="B72">
        <v>16</v>
      </c>
      <c r="C72" t="s">
        <v>70</v>
      </c>
      <c r="D72" t="s">
        <v>899</v>
      </c>
      <c r="E72">
        <v>-4.1237583127986204</v>
      </c>
      <c r="F72">
        <f>VLOOKUP(C72,'[1]phenotypes-895'!$A$2:$G$896,7,FALSE)</f>
        <v>98</v>
      </c>
    </row>
    <row r="73" spans="1:7" x14ac:dyDescent="0.2">
      <c r="A73">
        <v>72</v>
      </c>
      <c r="B73">
        <v>33</v>
      </c>
      <c r="C73" t="s">
        <v>71</v>
      </c>
      <c r="D73" t="s">
        <v>900</v>
      </c>
      <c r="E73">
        <v>-0.26635723175812198</v>
      </c>
      <c r="F73">
        <f>VLOOKUP(C73,'[1]phenotypes-895'!$A$2:$G$896,7,FALSE)</f>
        <v>86</v>
      </c>
      <c r="G73" s="5"/>
    </row>
    <row r="74" spans="1:7" x14ac:dyDescent="0.2">
      <c r="A74">
        <v>73</v>
      </c>
      <c r="B74">
        <v>19</v>
      </c>
      <c r="C74" t="s">
        <v>72</v>
      </c>
      <c r="D74" t="s">
        <v>899</v>
      </c>
      <c r="E74">
        <v>-10.955794679158499</v>
      </c>
      <c r="F74">
        <f>VLOOKUP(C74,'[1]phenotypes-895'!$A$2:$G$896,7,FALSE)</f>
        <v>48</v>
      </c>
    </row>
    <row r="75" spans="1:7" x14ac:dyDescent="0.2">
      <c r="A75">
        <v>74</v>
      </c>
      <c r="B75">
        <v>21</v>
      </c>
      <c r="C75" t="s">
        <v>73</v>
      </c>
      <c r="D75" t="s">
        <v>900</v>
      </c>
      <c r="E75">
        <v>-3.3127482787870699</v>
      </c>
      <c r="F75">
        <f>VLOOKUP(C75,'[1]phenotypes-895'!$A$2:$G$896,7,FALSE)</f>
        <v>59</v>
      </c>
    </row>
    <row r="76" spans="1:7" x14ac:dyDescent="0.2">
      <c r="A76">
        <v>75</v>
      </c>
      <c r="B76">
        <v>3</v>
      </c>
      <c r="C76" t="s">
        <v>74</v>
      </c>
      <c r="D76" t="s">
        <v>900</v>
      </c>
      <c r="E76">
        <v>-3.3012829635391898</v>
      </c>
      <c r="F76">
        <f>VLOOKUP(C76,'[1]phenotypes-895'!$A$2:$G$896,7,FALSE)</f>
        <v>63</v>
      </c>
    </row>
    <row r="77" spans="1:7" x14ac:dyDescent="0.2">
      <c r="A77">
        <v>76</v>
      </c>
      <c r="B77">
        <v>25</v>
      </c>
      <c r="C77" t="s">
        <v>75</v>
      </c>
      <c r="D77" t="s">
        <v>900</v>
      </c>
      <c r="E77">
        <v>1.1119105295691301</v>
      </c>
      <c r="F77">
        <f>VLOOKUP(C77,'[1]phenotypes-895'!$A$2:$G$896,7,FALSE)</f>
        <v>80</v>
      </c>
      <c r="G77" s="6">
        <v>50</v>
      </c>
    </row>
    <row r="78" spans="1:7" x14ac:dyDescent="0.2">
      <c r="A78">
        <v>77</v>
      </c>
      <c r="B78">
        <v>9</v>
      </c>
      <c r="C78" t="s">
        <v>76</v>
      </c>
      <c r="D78" t="s">
        <v>899</v>
      </c>
      <c r="E78">
        <v>3.6251092000799101</v>
      </c>
      <c r="F78">
        <f>VLOOKUP(C78,'[1]phenotypes-895'!$A$2:$G$896,7,FALSE)</f>
        <v>98</v>
      </c>
      <c r="G78" s="6">
        <v>30</v>
      </c>
    </row>
    <row r="79" spans="1:7" x14ac:dyDescent="0.2">
      <c r="A79">
        <v>78</v>
      </c>
      <c r="B79">
        <v>28</v>
      </c>
      <c r="C79" t="s">
        <v>77</v>
      </c>
      <c r="D79" t="s">
        <v>900</v>
      </c>
      <c r="E79">
        <v>-11.763502183400499</v>
      </c>
      <c r="F79">
        <f>VLOOKUP(C79,'[1]phenotypes-895'!$A$2:$G$896,7,FALSE)</f>
        <v>67</v>
      </c>
    </row>
    <row r="80" spans="1:7" x14ac:dyDescent="0.2">
      <c r="A80">
        <v>79</v>
      </c>
      <c r="B80">
        <v>18</v>
      </c>
      <c r="C80" t="s">
        <v>78</v>
      </c>
      <c r="D80" t="s">
        <v>899</v>
      </c>
      <c r="E80">
        <v>3.43303056128532</v>
      </c>
      <c r="F80">
        <f>VLOOKUP(C80,'[1]phenotypes-895'!$A$2:$G$896,7,FALSE)</f>
        <v>81</v>
      </c>
      <c r="G80" s="6">
        <v>30</v>
      </c>
    </row>
    <row r="81" spans="1:7" x14ac:dyDescent="0.2">
      <c r="A81">
        <v>80</v>
      </c>
      <c r="B81">
        <v>44</v>
      </c>
      <c r="C81" t="s">
        <v>79</v>
      </c>
      <c r="D81" t="s">
        <v>899</v>
      </c>
      <c r="E81">
        <v>-3.27202299187242</v>
      </c>
      <c r="F81">
        <f>VLOOKUP(C81,'[1]phenotypes-895'!$A$2:$G$896,7,FALSE)</f>
        <v>58</v>
      </c>
    </row>
    <row r="82" spans="1:7" x14ac:dyDescent="0.2">
      <c r="A82">
        <v>81</v>
      </c>
      <c r="B82">
        <v>12</v>
      </c>
      <c r="C82" t="s">
        <v>80</v>
      </c>
      <c r="D82" t="s">
        <v>899</v>
      </c>
      <c r="E82">
        <v>1.92190194138776</v>
      </c>
      <c r="F82">
        <f>VLOOKUP(C82,'[1]phenotypes-895'!$A$2:$G$896,7,FALSE)</f>
        <v>72</v>
      </c>
      <c r="G82" s="6">
        <v>50</v>
      </c>
    </row>
    <row r="83" spans="1:7" x14ac:dyDescent="0.2">
      <c r="A83">
        <v>82</v>
      </c>
      <c r="B83">
        <v>33</v>
      </c>
      <c r="C83" t="s">
        <v>81</v>
      </c>
      <c r="D83" t="s">
        <v>900</v>
      </c>
      <c r="E83">
        <v>-2.7968495303869099</v>
      </c>
      <c r="F83">
        <f>VLOOKUP(C83,'[1]phenotypes-895'!$A$2:$G$896,7,FALSE)</f>
        <v>76</v>
      </c>
    </row>
    <row r="84" spans="1:7" x14ac:dyDescent="0.2">
      <c r="A84">
        <v>83</v>
      </c>
      <c r="B84">
        <v>10</v>
      </c>
      <c r="C84" t="s">
        <v>82</v>
      </c>
      <c r="D84" t="s">
        <v>899</v>
      </c>
      <c r="E84">
        <v>-3.2891017504728</v>
      </c>
      <c r="F84">
        <f>VLOOKUP(C84,'[1]phenotypes-895'!$A$2:$G$896,7,FALSE)</f>
        <v>54</v>
      </c>
    </row>
    <row r="85" spans="1:7" x14ac:dyDescent="0.2">
      <c r="A85">
        <v>84</v>
      </c>
      <c r="B85">
        <v>39</v>
      </c>
      <c r="C85" t="s">
        <v>83</v>
      </c>
      <c r="D85" t="s">
        <v>900</v>
      </c>
      <c r="E85">
        <v>1.36651702159276</v>
      </c>
      <c r="F85">
        <f>VLOOKUP(C85,'[1]phenotypes-895'!$A$2:$G$896,7,FALSE)</f>
        <v>63</v>
      </c>
      <c r="G85" s="6">
        <v>50</v>
      </c>
    </row>
    <row r="86" spans="1:7" x14ac:dyDescent="0.2">
      <c r="A86">
        <v>85</v>
      </c>
      <c r="B86">
        <v>8</v>
      </c>
      <c r="C86" t="s">
        <v>84</v>
      </c>
      <c r="D86" t="s">
        <v>900</v>
      </c>
      <c r="E86">
        <v>2.3543986525273102</v>
      </c>
      <c r="F86">
        <f>VLOOKUP(C86,'[1]phenotypes-895'!$A$2:$G$896,7,FALSE)</f>
        <v>98</v>
      </c>
      <c r="G86" s="6">
        <v>40</v>
      </c>
    </row>
    <row r="87" spans="1:7" x14ac:dyDescent="0.2">
      <c r="A87">
        <v>86</v>
      </c>
      <c r="B87">
        <v>36</v>
      </c>
      <c r="C87" t="s">
        <v>85</v>
      </c>
      <c r="D87" t="s">
        <v>900</v>
      </c>
      <c r="E87">
        <v>6.5256599828909003</v>
      </c>
      <c r="F87">
        <f>VLOOKUP(C87,'[1]phenotypes-895'!$A$2:$G$896,7,FALSE)</f>
        <v>73</v>
      </c>
      <c r="G87" s="6">
        <v>9</v>
      </c>
    </row>
    <row r="88" spans="1:7" x14ac:dyDescent="0.2">
      <c r="A88">
        <v>87</v>
      </c>
      <c r="B88">
        <v>7</v>
      </c>
      <c r="C88" t="s">
        <v>86</v>
      </c>
      <c r="D88" t="s">
        <v>900</v>
      </c>
      <c r="E88">
        <v>-0.798673937147658</v>
      </c>
      <c r="F88">
        <f>VLOOKUP(C88,'[1]phenotypes-895'!$A$2:$G$896,7,FALSE)</f>
        <v>53</v>
      </c>
      <c r="G88" s="5"/>
    </row>
    <row r="89" spans="1:7" x14ac:dyDescent="0.2">
      <c r="A89">
        <v>88</v>
      </c>
      <c r="B89">
        <v>27</v>
      </c>
      <c r="C89" t="s">
        <v>87</v>
      </c>
      <c r="D89" t="s">
        <v>900</v>
      </c>
      <c r="E89">
        <v>3.514032478431</v>
      </c>
      <c r="F89">
        <f>VLOOKUP(C89,'[1]phenotypes-895'!$A$2:$G$896,7,FALSE)</f>
        <v>89</v>
      </c>
      <c r="G89" s="6">
        <v>30</v>
      </c>
    </row>
    <row r="90" spans="1:7" x14ac:dyDescent="0.2">
      <c r="A90">
        <v>89</v>
      </c>
      <c r="B90">
        <v>9</v>
      </c>
      <c r="C90" t="s">
        <v>88</v>
      </c>
      <c r="D90" t="s">
        <v>899</v>
      </c>
      <c r="E90">
        <v>1.7396148963396501</v>
      </c>
      <c r="F90">
        <f>VLOOKUP(C90,'[1]phenotypes-895'!$A$2:$G$896,7,FALSE)</f>
        <v>98</v>
      </c>
      <c r="G90" s="6">
        <v>50</v>
      </c>
    </row>
    <row r="91" spans="1:7" x14ac:dyDescent="0.2">
      <c r="A91">
        <v>90</v>
      </c>
      <c r="B91">
        <v>48</v>
      </c>
      <c r="C91" t="s">
        <v>89</v>
      </c>
      <c r="D91" t="s">
        <v>899</v>
      </c>
      <c r="E91">
        <v>4.6469293896664796</v>
      </c>
      <c r="F91">
        <f>VLOOKUP(C91,'[1]phenotypes-895'!$A$2:$G$896,7,FALSE)</f>
        <v>98</v>
      </c>
      <c r="G91" s="6">
        <v>20</v>
      </c>
    </row>
    <row r="92" spans="1:7" x14ac:dyDescent="0.2">
      <c r="A92">
        <v>91</v>
      </c>
      <c r="B92">
        <v>2</v>
      </c>
      <c r="C92" t="s">
        <v>90</v>
      </c>
      <c r="D92" t="s">
        <v>900</v>
      </c>
      <c r="E92">
        <v>-1.6116511428856799</v>
      </c>
      <c r="F92">
        <f>VLOOKUP(C92,'[1]phenotypes-895'!$A$2:$G$896,7,FALSE)</f>
        <v>98</v>
      </c>
    </row>
    <row r="93" spans="1:7" x14ac:dyDescent="0.2">
      <c r="A93">
        <v>92</v>
      </c>
      <c r="B93">
        <v>6</v>
      </c>
      <c r="C93" t="s">
        <v>91</v>
      </c>
      <c r="D93" t="s">
        <v>900</v>
      </c>
      <c r="E93">
        <v>-5.2211226316921202</v>
      </c>
      <c r="F93">
        <f>VLOOKUP(C93,'[1]phenotypes-895'!$A$2:$G$896,7,FALSE)</f>
        <v>81</v>
      </c>
    </row>
    <row r="94" spans="1:7" x14ac:dyDescent="0.2">
      <c r="A94">
        <v>93</v>
      </c>
      <c r="B94">
        <v>6</v>
      </c>
      <c r="C94" t="s">
        <v>92</v>
      </c>
      <c r="D94" t="s">
        <v>900</v>
      </c>
      <c r="E94">
        <v>-3.27402780608513</v>
      </c>
      <c r="F94">
        <f>VLOOKUP(C94,'[1]phenotypes-895'!$A$2:$G$896,7,FALSE)</f>
        <v>82</v>
      </c>
    </row>
    <row r="95" spans="1:7" x14ac:dyDescent="0.2">
      <c r="A95">
        <v>94</v>
      </c>
      <c r="B95">
        <v>9</v>
      </c>
      <c r="C95" t="s">
        <v>93</v>
      </c>
      <c r="D95" t="s">
        <v>899</v>
      </c>
      <c r="E95">
        <v>-3.2413206577786799</v>
      </c>
      <c r="F95">
        <f>VLOOKUP(C95,'[1]phenotypes-895'!$A$2:$G$896,7,FALSE)</f>
        <v>56</v>
      </c>
    </row>
    <row r="96" spans="1:7" x14ac:dyDescent="0.2">
      <c r="A96">
        <v>95</v>
      </c>
      <c r="B96">
        <v>4</v>
      </c>
      <c r="C96" t="s">
        <v>94</v>
      </c>
      <c r="D96" t="s">
        <v>900</v>
      </c>
      <c r="E96">
        <v>-6.30058618719021</v>
      </c>
      <c r="F96">
        <f>VLOOKUP(C96,'[1]phenotypes-895'!$A$2:$G$896,7,FALSE)</f>
        <v>71</v>
      </c>
    </row>
    <row r="97" spans="1:7" x14ac:dyDescent="0.2">
      <c r="A97">
        <v>96</v>
      </c>
      <c r="B97">
        <v>2</v>
      </c>
      <c r="C97" t="s">
        <v>95</v>
      </c>
      <c r="D97" t="s">
        <v>900</v>
      </c>
      <c r="E97">
        <v>8.3884138847348595</v>
      </c>
      <c r="F97">
        <f>VLOOKUP(C97,'[1]phenotypes-895'!$A$2:$G$896,7,FALSE)</f>
        <v>98</v>
      </c>
      <c r="G97" s="6">
        <v>3</v>
      </c>
    </row>
    <row r="98" spans="1:7" x14ac:dyDescent="0.2">
      <c r="A98">
        <v>97</v>
      </c>
      <c r="B98">
        <v>14</v>
      </c>
      <c r="C98" t="s">
        <v>96</v>
      </c>
      <c r="D98" t="s">
        <v>899</v>
      </c>
      <c r="E98">
        <v>-3.59632724009907</v>
      </c>
      <c r="F98">
        <f>VLOOKUP(C98,'[1]phenotypes-895'!$A$2:$G$896,7,FALSE)</f>
        <v>56</v>
      </c>
    </row>
    <row r="99" spans="1:7" x14ac:dyDescent="0.2">
      <c r="A99">
        <v>98</v>
      </c>
      <c r="B99">
        <v>9</v>
      </c>
      <c r="C99" t="s">
        <v>97</v>
      </c>
      <c r="D99" t="s">
        <v>899</v>
      </c>
      <c r="E99">
        <v>-2.3289168555805899</v>
      </c>
      <c r="F99">
        <f>VLOOKUP(C99,'[1]phenotypes-895'!$A$2:$G$896,7,FALSE)</f>
        <v>84</v>
      </c>
    </row>
    <row r="100" spans="1:7" x14ac:dyDescent="0.2">
      <c r="A100">
        <v>99</v>
      </c>
      <c r="B100">
        <v>9</v>
      </c>
      <c r="C100" t="s">
        <v>98</v>
      </c>
      <c r="D100" t="s">
        <v>899</v>
      </c>
      <c r="E100">
        <v>-0.68402680878194699</v>
      </c>
      <c r="F100">
        <f>VLOOKUP(C100,'[1]phenotypes-895'!$A$2:$G$896,7,FALSE)</f>
        <v>72</v>
      </c>
    </row>
    <row r="101" spans="1:7" x14ac:dyDescent="0.2">
      <c r="A101">
        <v>100</v>
      </c>
      <c r="B101">
        <v>13</v>
      </c>
      <c r="C101" t="s">
        <v>99</v>
      </c>
      <c r="D101" t="s">
        <v>899</v>
      </c>
      <c r="E101">
        <v>-6.8070422524482099</v>
      </c>
      <c r="F101">
        <f>VLOOKUP(C101,'[1]phenotypes-895'!$A$2:$G$896,7,FALSE)</f>
        <v>46</v>
      </c>
    </row>
    <row r="102" spans="1:7" x14ac:dyDescent="0.2">
      <c r="A102">
        <v>101</v>
      </c>
      <c r="B102">
        <v>12</v>
      </c>
      <c r="C102" t="s">
        <v>100</v>
      </c>
      <c r="D102" t="s">
        <v>899</v>
      </c>
      <c r="E102">
        <v>3.83750299275794</v>
      </c>
      <c r="F102">
        <f>VLOOKUP(C102,'[1]phenotypes-895'!$A$2:$G$896,7,FALSE)</f>
        <v>98</v>
      </c>
      <c r="G102" s="6">
        <v>30</v>
      </c>
    </row>
    <row r="103" spans="1:7" x14ac:dyDescent="0.2">
      <c r="A103">
        <v>102</v>
      </c>
      <c r="B103">
        <v>14</v>
      </c>
      <c r="C103" t="s">
        <v>101</v>
      </c>
      <c r="D103" t="s">
        <v>899</v>
      </c>
      <c r="E103">
        <v>-1.3053210659630099</v>
      </c>
      <c r="F103">
        <f>VLOOKUP(C103,'[1]phenotypes-895'!$A$2:$G$896,7,FALSE)</f>
        <v>53</v>
      </c>
    </row>
    <row r="104" spans="1:7" x14ac:dyDescent="0.2">
      <c r="A104">
        <v>103</v>
      </c>
      <c r="B104">
        <v>11</v>
      </c>
      <c r="C104" t="s">
        <v>102</v>
      </c>
      <c r="D104" t="s">
        <v>899</v>
      </c>
      <c r="E104">
        <v>-5.7551967525959302</v>
      </c>
      <c r="F104">
        <f>VLOOKUP(C104,'[1]phenotypes-895'!$A$2:$G$896,7,FALSE)</f>
        <v>58</v>
      </c>
    </row>
    <row r="105" spans="1:7" x14ac:dyDescent="0.2">
      <c r="A105">
        <v>104</v>
      </c>
      <c r="B105">
        <v>7</v>
      </c>
      <c r="C105" t="s">
        <v>103</v>
      </c>
      <c r="D105" t="s">
        <v>900</v>
      </c>
      <c r="E105">
        <v>-0.91722843497628703</v>
      </c>
      <c r="F105">
        <f>VLOOKUP(C105,'[1]phenotypes-895'!$A$2:$G$896,7,FALSE)</f>
        <v>56</v>
      </c>
      <c r="G105" s="5"/>
    </row>
    <row r="106" spans="1:7" x14ac:dyDescent="0.2">
      <c r="A106">
        <v>105</v>
      </c>
      <c r="B106">
        <v>19</v>
      </c>
      <c r="C106" t="s">
        <v>104</v>
      </c>
      <c r="D106" t="s">
        <v>899</v>
      </c>
      <c r="E106">
        <v>-10.6449415114168</v>
      </c>
      <c r="F106">
        <f>VLOOKUP(C106,'[1]phenotypes-895'!$A$2:$G$896,7,FALSE)</f>
        <v>56</v>
      </c>
    </row>
    <row r="107" spans="1:7" x14ac:dyDescent="0.2">
      <c r="A107">
        <v>106</v>
      </c>
      <c r="B107">
        <v>9</v>
      </c>
      <c r="C107" t="s">
        <v>105</v>
      </c>
      <c r="D107" t="s">
        <v>899</v>
      </c>
      <c r="E107">
        <v>-1.41731743579533</v>
      </c>
      <c r="F107">
        <f>VLOOKUP(C107,'[1]phenotypes-895'!$A$2:$G$896,7,FALSE)</f>
        <v>79</v>
      </c>
    </row>
    <row r="108" spans="1:7" x14ac:dyDescent="0.2">
      <c r="A108">
        <v>107</v>
      </c>
      <c r="B108">
        <v>17</v>
      </c>
      <c r="C108" t="s">
        <v>106</v>
      </c>
      <c r="D108" t="s">
        <v>899</v>
      </c>
      <c r="E108">
        <v>-6.8636664618546703</v>
      </c>
      <c r="F108">
        <f>VLOOKUP(C108,'[1]phenotypes-895'!$A$2:$G$896,7,FALSE)</f>
        <v>44</v>
      </c>
    </row>
    <row r="109" spans="1:7" x14ac:dyDescent="0.2">
      <c r="A109">
        <v>108</v>
      </c>
      <c r="B109">
        <v>1</v>
      </c>
      <c r="C109" t="s">
        <v>107</v>
      </c>
      <c r="D109" t="s">
        <v>900</v>
      </c>
      <c r="E109">
        <v>0.69500850317514196</v>
      </c>
      <c r="F109">
        <f>VLOOKUP(C109,'[1]phenotypes-895'!$A$2:$G$896,7,FALSE)</f>
        <v>98</v>
      </c>
      <c r="G109" s="5"/>
    </row>
    <row r="110" spans="1:7" x14ac:dyDescent="0.2">
      <c r="A110">
        <v>109</v>
      </c>
      <c r="B110">
        <v>16</v>
      </c>
      <c r="C110" t="s">
        <v>108</v>
      </c>
      <c r="D110" t="s">
        <v>899</v>
      </c>
      <c r="E110">
        <v>-9.3673097206824405</v>
      </c>
      <c r="F110">
        <f>VLOOKUP(C110,'[1]phenotypes-895'!$A$2:$G$896,7,FALSE)</f>
        <v>73</v>
      </c>
    </row>
    <row r="111" spans="1:7" x14ac:dyDescent="0.2">
      <c r="A111">
        <v>110</v>
      </c>
      <c r="B111">
        <v>1</v>
      </c>
      <c r="C111" t="s">
        <v>109</v>
      </c>
      <c r="D111" t="s">
        <v>900</v>
      </c>
      <c r="E111">
        <v>-5.4082132210309997</v>
      </c>
      <c r="F111">
        <f>VLOOKUP(C111,'[1]phenotypes-895'!$A$2:$G$896,7,FALSE)</f>
        <v>76</v>
      </c>
    </row>
    <row r="112" spans="1:7" x14ac:dyDescent="0.2">
      <c r="A112">
        <v>111</v>
      </c>
      <c r="B112">
        <v>1</v>
      </c>
      <c r="C112" t="s">
        <v>110</v>
      </c>
      <c r="D112" t="s">
        <v>900</v>
      </c>
      <c r="E112">
        <v>-0.92756501154413695</v>
      </c>
      <c r="F112">
        <f>VLOOKUP(C112,'[1]phenotypes-895'!$A$2:$G$896,7,FALSE)</f>
        <v>98</v>
      </c>
      <c r="G112" s="5"/>
    </row>
    <row r="113" spans="1:7" x14ac:dyDescent="0.2">
      <c r="A113">
        <v>112</v>
      </c>
      <c r="B113">
        <v>19</v>
      </c>
      <c r="C113" t="s">
        <v>111</v>
      </c>
      <c r="D113" t="s">
        <v>899</v>
      </c>
      <c r="E113">
        <v>-9.0937190575238205</v>
      </c>
      <c r="F113">
        <f>VLOOKUP(C113,'[1]phenotypes-895'!$A$2:$G$896,7,FALSE)</f>
        <v>61</v>
      </c>
    </row>
    <row r="114" spans="1:7" x14ac:dyDescent="0.2">
      <c r="A114">
        <v>113</v>
      </c>
      <c r="B114">
        <v>4</v>
      </c>
      <c r="C114" t="s">
        <v>112</v>
      </c>
      <c r="D114" t="s">
        <v>900</v>
      </c>
      <c r="E114">
        <v>-2.2442267106176201</v>
      </c>
      <c r="F114">
        <f>VLOOKUP(C114,'[1]phenotypes-895'!$A$2:$G$896,7,FALSE)</f>
        <v>98</v>
      </c>
    </row>
    <row r="115" spans="1:7" x14ac:dyDescent="0.2">
      <c r="A115">
        <v>114</v>
      </c>
      <c r="B115">
        <v>5</v>
      </c>
      <c r="C115" t="s">
        <v>113</v>
      </c>
      <c r="D115" t="s">
        <v>900</v>
      </c>
      <c r="E115">
        <v>-14.399032966348701</v>
      </c>
      <c r="F115">
        <f>VLOOKUP(C115,'[1]phenotypes-895'!$A$2:$G$896,7,FALSE)</f>
        <v>56</v>
      </c>
    </row>
    <row r="116" spans="1:7" x14ac:dyDescent="0.2">
      <c r="A116">
        <v>115</v>
      </c>
      <c r="B116">
        <v>1</v>
      </c>
      <c r="C116" t="s">
        <v>114</v>
      </c>
      <c r="D116" t="s">
        <v>900</v>
      </c>
      <c r="E116">
        <v>-5.9260613574599796</v>
      </c>
      <c r="F116">
        <f>VLOOKUP(C116,'[1]phenotypes-895'!$A$2:$G$896,7,FALSE)</f>
        <v>98</v>
      </c>
    </row>
    <row r="117" spans="1:7" x14ac:dyDescent="0.2">
      <c r="A117">
        <v>116</v>
      </c>
      <c r="B117">
        <v>8</v>
      </c>
      <c r="C117" t="s">
        <v>115</v>
      </c>
      <c r="D117" t="s">
        <v>900</v>
      </c>
      <c r="E117">
        <v>1.9898034462360299</v>
      </c>
      <c r="F117">
        <f>VLOOKUP(C117,'[1]phenotypes-895'!$A$2:$G$896,7,FALSE)</f>
        <v>98</v>
      </c>
      <c r="G117" s="6">
        <v>50</v>
      </c>
    </row>
    <row r="118" spans="1:7" x14ac:dyDescent="0.2">
      <c r="A118">
        <v>117</v>
      </c>
      <c r="B118">
        <v>36</v>
      </c>
      <c r="C118" t="s">
        <v>116</v>
      </c>
      <c r="D118" t="s">
        <v>900</v>
      </c>
      <c r="E118">
        <v>4.7428139239900498</v>
      </c>
      <c r="F118">
        <f>VLOOKUP(C118,'[1]phenotypes-895'!$A$2:$G$896,7,FALSE)</f>
        <v>70</v>
      </c>
      <c r="G118" s="6">
        <v>20</v>
      </c>
    </row>
    <row r="119" spans="1:7" x14ac:dyDescent="0.2">
      <c r="A119">
        <v>118</v>
      </c>
      <c r="B119">
        <v>12</v>
      </c>
      <c r="C119" t="s">
        <v>117</v>
      </c>
      <c r="D119" t="s">
        <v>899</v>
      </c>
      <c r="E119">
        <v>5.3647234917666804</v>
      </c>
      <c r="F119">
        <f>VLOOKUP(C119,'[1]phenotypes-895'!$A$2:$G$896,7,FALSE)</f>
        <v>98</v>
      </c>
      <c r="G119" s="6">
        <v>20</v>
      </c>
    </row>
    <row r="120" spans="1:7" x14ac:dyDescent="0.2">
      <c r="A120">
        <v>119</v>
      </c>
      <c r="B120">
        <v>52</v>
      </c>
      <c r="C120" t="s">
        <v>118</v>
      </c>
      <c r="D120" t="s">
        <v>899</v>
      </c>
      <c r="E120">
        <v>3.9642691282124298</v>
      </c>
      <c r="F120">
        <f>VLOOKUP(C120,'[1]phenotypes-895'!$A$2:$G$896,7,FALSE)</f>
        <v>98</v>
      </c>
      <c r="G120" s="6">
        <v>30</v>
      </c>
    </row>
    <row r="121" spans="1:7" x14ac:dyDescent="0.2">
      <c r="A121">
        <v>120</v>
      </c>
      <c r="B121">
        <v>12</v>
      </c>
      <c r="C121" t="s">
        <v>119</v>
      </c>
      <c r="D121" t="s">
        <v>899</v>
      </c>
      <c r="E121">
        <v>0.81123080562230798</v>
      </c>
      <c r="F121">
        <f>VLOOKUP(C121,'[1]phenotypes-895'!$A$2:$G$896,7,FALSE)</f>
        <v>78</v>
      </c>
      <c r="G121" s="6">
        <v>50</v>
      </c>
    </row>
    <row r="122" spans="1:7" x14ac:dyDescent="0.2">
      <c r="A122">
        <v>121</v>
      </c>
      <c r="B122">
        <v>37</v>
      </c>
      <c r="C122" t="s">
        <v>120</v>
      </c>
      <c r="D122" t="s">
        <v>900</v>
      </c>
      <c r="E122">
        <v>7.4681343208778204</v>
      </c>
      <c r="F122">
        <f>VLOOKUP(C122,'[1]phenotypes-895'!$A$2:$G$896,7,FALSE)</f>
        <v>98</v>
      </c>
      <c r="G122" s="6">
        <v>6</v>
      </c>
    </row>
    <row r="123" spans="1:7" x14ac:dyDescent="0.2">
      <c r="A123">
        <v>122</v>
      </c>
      <c r="B123">
        <v>12</v>
      </c>
      <c r="C123" t="s">
        <v>121</v>
      </c>
      <c r="D123" t="s">
        <v>899</v>
      </c>
      <c r="E123">
        <v>-2.6742778319986802</v>
      </c>
      <c r="F123">
        <f>VLOOKUP(C123,'[1]phenotypes-895'!$A$2:$G$896,7,FALSE)</f>
        <v>58</v>
      </c>
    </row>
    <row r="124" spans="1:7" x14ac:dyDescent="0.2">
      <c r="A124">
        <v>123</v>
      </c>
      <c r="B124">
        <v>32</v>
      </c>
      <c r="C124" t="s">
        <v>122</v>
      </c>
      <c r="D124" t="s">
        <v>900</v>
      </c>
      <c r="E124">
        <v>-1.84392734666678</v>
      </c>
      <c r="F124">
        <f>VLOOKUP(C124,'[1]phenotypes-895'!$A$2:$G$896,7,FALSE)</f>
        <v>56</v>
      </c>
      <c r="G124" s="5"/>
    </row>
    <row r="125" spans="1:7" x14ac:dyDescent="0.2">
      <c r="A125">
        <v>124</v>
      </c>
      <c r="B125">
        <v>16</v>
      </c>
      <c r="C125" t="s">
        <v>123</v>
      </c>
      <c r="D125" t="s">
        <v>899</v>
      </c>
      <c r="E125">
        <v>-10.458604130638699</v>
      </c>
      <c r="F125">
        <f>VLOOKUP(C125,'[1]phenotypes-895'!$A$2:$G$896,7,FALSE)</f>
        <v>53</v>
      </c>
    </row>
    <row r="126" spans="1:7" x14ac:dyDescent="0.2">
      <c r="A126">
        <v>125</v>
      </c>
      <c r="B126">
        <v>29</v>
      </c>
      <c r="C126" t="s">
        <v>124</v>
      </c>
      <c r="D126" t="s">
        <v>900</v>
      </c>
      <c r="E126">
        <v>-5.9854890496762803</v>
      </c>
      <c r="F126">
        <f>VLOOKUP(C126,'[1]phenotypes-895'!$A$2:$G$896,7,FALSE)</f>
        <v>66</v>
      </c>
    </row>
    <row r="127" spans="1:7" x14ac:dyDescent="0.2">
      <c r="A127">
        <v>126</v>
      </c>
      <c r="B127">
        <v>13</v>
      </c>
      <c r="C127" t="s">
        <v>125</v>
      </c>
      <c r="D127" t="s">
        <v>899</v>
      </c>
      <c r="E127">
        <v>-5.40500416388433</v>
      </c>
      <c r="F127">
        <f>VLOOKUP(C127,'[1]phenotypes-895'!$A$2:$G$896,7,FALSE)</f>
        <v>51</v>
      </c>
    </row>
    <row r="128" spans="1:7" x14ac:dyDescent="0.2">
      <c r="A128">
        <v>127</v>
      </c>
      <c r="B128">
        <v>49</v>
      </c>
      <c r="C128" t="s">
        <v>126</v>
      </c>
      <c r="D128" t="s">
        <v>899</v>
      </c>
      <c r="E128">
        <v>1.1711668933506301</v>
      </c>
      <c r="F128">
        <f>VLOOKUP(C128,'[1]phenotypes-895'!$A$2:$G$896,7,FALSE)</f>
        <v>59</v>
      </c>
      <c r="G128" s="6">
        <v>50</v>
      </c>
    </row>
    <row r="129" spans="1:7" x14ac:dyDescent="0.2">
      <c r="A129">
        <v>128</v>
      </c>
      <c r="B129">
        <v>50</v>
      </c>
      <c r="C129" t="s">
        <v>127</v>
      </c>
      <c r="D129" t="s">
        <v>899</v>
      </c>
      <c r="E129">
        <v>6.8110161450362199</v>
      </c>
      <c r="F129">
        <f>VLOOKUP(C129,'[1]phenotypes-895'!$A$2:$G$896,7,FALSE)</f>
        <v>98</v>
      </c>
      <c r="G129" s="6">
        <v>8</v>
      </c>
    </row>
    <row r="130" spans="1:7" x14ac:dyDescent="0.2">
      <c r="A130">
        <v>129</v>
      </c>
      <c r="B130">
        <v>16</v>
      </c>
      <c r="C130" t="s">
        <v>128</v>
      </c>
      <c r="D130" t="s">
        <v>899</v>
      </c>
      <c r="E130">
        <v>-6.8176359911754298</v>
      </c>
      <c r="F130">
        <f>VLOOKUP(C130,'[1]phenotypes-895'!$A$2:$G$896,7,FALSE)</f>
        <v>98</v>
      </c>
    </row>
    <row r="131" spans="1:7" x14ac:dyDescent="0.2">
      <c r="A131">
        <v>130</v>
      </c>
      <c r="B131">
        <v>43</v>
      </c>
      <c r="C131" t="s">
        <v>129</v>
      </c>
      <c r="D131" t="s">
        <v>899</v>
      </c>
      <c r="E131">
        <v>1.2824084255033901</v>
      </c>
      <c r="F131">
        <f>VLOOKUP(C131,'[1]phenotypes-895'!$A$2:$G$896,7,FALSE)</f>
        <v>62</v>
      </c>
      <c r="G131" s="6">
        <v>50</v>
      </c>
    </row>
    <row r="132" spans="1:7" x14ac:dyDescent="0.2">
      <c r="A132">
        <v>131</v>
      </c>
      <c r="B132">
        <v>11</v>
      </c>
      <c r="C132" t="s">
        <v>130</v>
      </c>
      <c r="D132" t="s">
        <v>899</v>
      </c>
      <c r="E132">
        <v>-6.9361487971737397</v>
      </c>
      <c r="F132">
        <f>VLOOKUP(C132,'[1]phenotypes-895'!$A$2:$G$896,7,FALSE)</f>
        <v>64</v>
      </c>
    </row>
    <row r="133" spans="1:7" x14ac:dyDescent="0.2">
      <c r="A133">
        <v>132</v>
      </c>
      <c r="B133">
        <v>34</v>
      </c>
      <c r="C133" t="s">
        <v>131</v>
      </c>
      <c r="D133" t="s">
        <v>900</v>
      </c>
      <c r="E133">
        <v>-4.5677290475465204</v>
      </c>
      <c r="F133">
        <f>VLOOKUP(C133,'[1]phenotypes-895'!$A$2:$G$896,7,FALSE)</f>
        <v>70</v>
      </c>
    </row>
    <row r="134" spans="1:7" x14ac:dyDescent="0.2">
      <c r="A134">
        <v>133</v>
      </c>
      <c r="B134">
        <v>10</v>
      </c>
      <c r="C134" t="s">
        <v>132</v>
      </c>
      <c r="D134" t="s">
        <v>899</v>
      </c>
      <c r="E134">
        <v>-4.3992271452600198</v>
      </c>
      <c r="F134">
        <f>VLOOKUP(C134,'[1]phenotypes-895'!$A$2:$G$896,7,FALSE)</f>
        <v>71</v>
      </c>
    </row>
    <row r="135" spans="1:7" x14ac:dyDescent="0.2">
      <c r="A135">
        <v>134</v>
      </c>
      <c r="B135">
        <v>28</v>
      </c>
      <c r="C135" t="s">
        <v>133</v>
      </c>
      <c r="D135" t="s">
        <v>900</v>
      </c>
      <c r="E135">
        <v>2.1971491729475998</v>
      </c>
      <c r="F135">
        <f>VLOOKUP(C135,'[1]phenotypes-895'!$A$2:$G$896,7,FALSE)</f>
        <v>98</v>
      </c>
      <c r="G135" s="6">
        <v>40</v>
      </c>
    </row>
    <row r="136" spans="1:7" x14ac:dyDescent="0.2">
      <c r="A136">
        <v>135</v>
      </c>
      <c r="B136">
        <v>16</v>
      </c>
      <c r="C136" t="s">
        <v>134</v>
      </c>
      <c r="D136" t="s">
        <v>899</v>
      </c>
      <c r="E136">
        <v>-9.0638638441936799</v>
      </c>
      <c r="F136">
        <f>VLOOKUP(C136,'[1]phenotypes-895'!$A$2:$G$896,7,FALSE)</f>
        <v>46</v>
      </c>
    </row>
    <row r="137" spans="1:7" x14ac:dyDescent="0.2">
      <c r="A137">
        <v>136</v>
      </c>
      <c r="B137">
        <v>3</v>
      </c>
      <c r="C137" t="s">
        <v>135</v>
      </c>
      <c r="D137" t="s">
        <v>900</v>
      </c>
      <c r="E137">
        <v>-4.3621209550944204</v>
      </c>
      <c r="F137">
        <f>VLOOKUP(C137,'[1]phenotypes-895'!$A$2:$G$896,7,FALSE)</f>
        <v>98</v>
      </c>
    </row>
    <row r="138" spans="1:7" x14ac:dyDescent="0.2">
      <c r="A138">
        <v>137</v>
      </c>
      <c r="B138">
        <v>13</v>
      </c>
      <c r="C138" t="s">
        <v>136</v>
      </c>
      <c r="D138" t="s">
        <v>899</v>
      </c>
      <c r="E138">
        <v>-2.3039057111501999</v>
      </c>
      <c r="F138">
        <f>VLOOKUP(C138,'[1]phenotypes-895'!$A$2:$G$896,7,FALSE)</f>
        <v>60</v>
      </c>
    </row>
    <row r="139" spans="1:7" x14ac:dyDescent="0.2">
      <c r="A139">
        <v>138</v>
      </c>
      <c r="B139">
        <v>4</v>
      </c>
      <c r="C139" t="s">
        <v>137</v>
      </c>
      <c r="D139" t="s">
        <v>900</v>
      </c>
      <c r="E139">
        <v>-4.78096664200313</v>
      </c>
      <c r="F139">
        <f>VLOOKUP(C139,'[1]phenotypes-895'!$A$2:$G$896,7,FALSE)</f>
        <v>56</v>
      </c>
    </row>
    <row r="140" spans="1:7" x14ac:dyDescent="0.2">
      <c r="A140">
        <v>139</v>
      </c>
      <c r="B140">
        <v>2</v>
      </c>
      <c r="C140" t="s">
        <v>138</v>
      </c>
      <c r="D140" t="s">
        <v>900</v>
      </c>
      <c r="E140">
        <v>7.8029880397967997</v>
      </c>
      <c r="F140">
        <f>VLOOKUP(C140,'[1]phenotypes-895'!$A$2:$G$896,7,FALSE)</f>
        <v>98</v>
      </c>
      <c r="G140" s="6">
        <v>5</v>
      </c>
    </row>
    <row r="141" spans="1:7" x14ac:dyDescent="0.2">
      <c r="A141">
        <v>140</v>
      </c>
      <c r="B141">
        <v>16</v>
      </c>
      <c r="C141" t="s">
        <v>139</v>
      </c>
      <c r="D141" t="s">
        <v>899</v>
      </c>
      <c r="E141">
        <v>-3.5990778545114499</v>
      </c>
      <c r="F141">
        <f>VLOOKUP(C141,'[1]phenotypes-895'!$A$2:$G$896,7,FALSE)</f>
        <v>49</v>
      </c>
    </row>
    <row r="142" spans="1:7" x14ac:dyDescent="0.2">
      <c r="A142">
        <v>141</v>
      </c>
      <c r="B142">
        <v>5</v>
      </c>
      <c r="C142" t="s">
        <v>140</v>
      </c>
      <c r="D142" t="s">
        <v>900</v>
      </c>
      <c r="E142">
        <v>-12.1138658919712</v>
      </c>
      <c r="F142">
        <f>VLOOKUP(C142,'[1]phenotypes-895'!$A$2:$G$896,7,FALSE)</f>
        <v>51</v>
      </c>
    </row>
    <row r="143" spans="1:7" x14ac:dyDescent="0.2">
      <c r="A143">
        <v>142</v>
      </c>
      <c r="B143">
        <v>8</v>
      </c>
      <c r="C143" t="s">
        <v>141</v>
      </c>
      <c r="D143" t="s">
        <v>900</v>
      </c>
      <c r="E143">
        <v>3.0854908307870099</v>
      </c>
      <c r="F143">
        <f>VLOOKUP(C143,'[1]phenotypes-895'!$A$2:$G$896,7,FALSE)</f>
        <v>98</v>
      </c>
      <c r="G143" s="6">
        <v>40</v>
      </c>
    </row>
    <row r="144" spans="1:7" x14ac:dyDescent="0.2">
      <c r="A144">
        <v>143</v>
      </c>
      <c r="B144">
        <v>14</v>
      </c>
      <c r="C144" t="s">
        <v>142</v>
      </c>
      <c r="D144" t="s">
        <v>899</v>
      </c>
      <c r="E144">
        <v>-5.9788462891035197</v>
      </c>
      <c r="F144">
        <f>VLOOKUP(C144,'[1]phenotypes-895'!$A$2:$G$896,7,FALSE)</f>
        <v>56</v>
      </c>
    </row>
    <row r="145" spans="1:7" x14ac:dyDescent="0.2">
      <c r="A145">
        <v>144</v>
      </c>
      <c r="B145">
        <v>9</v>
      </c>
      <c r="C145" t="s">
        <v>143</v>
      </c>
      <c r="D145" t="s">
        <v>899</v>
      </c>
      <c r="E145">
        <v>-2.9974914256396801</v>
      </c>
      <c r="F145">
        <f>VLOOKUP(C145,'[1]phenotypes-895'!$A$2:$G$896,7,FALSE)</f>
        <v>49</v>
      </c>
    </row>
    <row r="146" spans="1:7" x14ac:dyDescent="0.2">
      <c r="A146">
        <v>145</v>
      </c>
      <c r="B146">
        <v>15</v>
      </c>
      <c r="C146" t="s">
        <v>144</v>
      </c>
      <c r="D146" t="s">
        <v>899</v>
      </c>
      <c r="E146">
        <v>-12.2279610255128</v>
      </c>
      <c r="F146">
        <f>VLOOKUP(C146,'[1]phenotypes-895'!$A$2:$G$896,7,FALSE)</f>
        <v>61</v>
      </c>
    </row>
    <row r="147" spans="1:7" x14ac:dyDescent="0.2">
      <c r="A147">
        <v>146</v>
      </c>
      <c r="B147">
        <v>9</v>
      </c>
      <c r="C147" t="s">
        <v>145</v>
      </c>
      <c r="D147" t="s">
        <v>899</v>
      </c>
      <c r="E147">
        <v>-1.5188453263742701</v>
      </c>
      <c r="F147">
        <f>VLOOKUP(C147,'[1]phenotypes-895'!$A$2:$G$896,7,FALSE)</f>
        <v>54</v>
      </c>
    </row>
    <row r="148" spans="1:7" x14ac:dyDescent="0.2">
      <c r="A148">
        <v>147</v>
      </c>
      <c r="B148">
        <v>10</v>
      </c>
      <c r="C148" t="s">
        <v>146</v>
      </c>
      <c r="D148" t="s">
        <v>899</v>
      </c>
      <c r="E148">
        <v>-4.11556063191688</v>
      </c>
      <c r="F148">
        <f>VLOOKUP(C148,'[1]phenotypes-895'!$A$2:$G$896,7,FALSE)</f>
        <v>61</v>
      </c>
    </row>
    <row r="149" spans="1:7" x14ac:dyDescent="0.2">
      <c r="A149">
        <v>148</v>
      </c>
      <c r="B149">
        <v>4</v>
      </c>
      <c r="C149" t="s">
        <v>147</v>
      </c>
      <c r="D149" t="s">
        <v>900</v>
      </c>
      <c r="E149">
        <v>-3.04286007069194</v>
      </c>
      <c r="F149">
        <f>VLOOKUP(C149,'[1]phenotypes-895'!$A$2:$G$896,7,FALSE)</f>
        <v>98</v>
      </c>
    </row>
    <row r="150" spans="1:7" x14ac:dyDescent="0.2">
      <c r="A150">
        <v>149</v>
      </c>
      <c r="B150">
        <v>9</v>
      </c>
      <c r="C150" t="s">
        <v>148</v>
      </c>
      <c r="D150" t="s">
        <v>899</v>
      </c>
      <c r="E150">
        <v>-4.7785432128988603</v>
      </c>
      <c r="F150">
        <f>VLOOKUP(C150,'[1]phenotypes-895'!$A$2:$G$896,7,FALSE)</f>
        <v>62</v>
      </c>
    </row>
    <row r="151" spans="1:7" x14ac:dyDescent="0.2">
      <c r="A151">
        <v>150</v>
      </c>
      <c r="B151">
        <v>15</v>
      </c>
      <c r="C151" t="s">
        <v>149</v>
      </c>
      <c r="D151" t="s">
        <v>899</v>
      </c>
      <c r="E151">
        <v>-9.5126690903012996</v>
      </c>
      <c r="F151">
        <f>VLOOKUP(C151,'[1]phenotypes-895'!$A$2:$G$896,7,FALSE)</f>
        <v>56</v>
      </c>
    </row>
    <row r="152" spans="1:7" x14ac:dyDescent="0.2">
      <c r="A152">
        <v>151</v>
      </c>
      <c r="B152">
        <v>12</v>
      </c>
      <c r="C152" t="s">
        <v>150</v>
      </c>
      <c r="D152" t="s">
        <v>899</v>
      </c>
      <c r="E152">
        <v>5.7121182740434699</v>
      </c>
      <c r="F152">
        <f>VLOOKUP(C152,'[1]phenotypes-895'!$A$2:$G$896,7,FALSE)</f>
        <v>98</v>
      </c>
      <c r="G152" s="6">
        <v>20</v>
      </c>
    </row>
    <row r="153" spans="1:7" x14ac:dyDescent="0.2">
      <c r="A153">
        <v>152</v>
      </c>
      <c r="B153">
        <v>5</v>
      </c>
      <c r="C153" t="s">
        <v>151</v>
      </c>
      <c r="D153" t="s">
        <v>900</v>
      </c>
      <c r="E153">
        <v>-10.987000074376001</v>
      </c>
      <c r="F153">
        <f>VLOOKUP(C153,'[1]phenotypes-895'!$A$2:$G$896,7,FALSE)</f>
        <v>72</v>
      </c>
    </row>
    <row r="154" spans="1:7" x14ac:dyDescent="0.2">
      <c r="A154">
        <v>153</v>
      </c>
      <c r="B154">
        <v>15</v>
      </c>
      <c r="C154" t="s">
        <v>152</v>
      </c>
      <c r="D154" t="s">
        <v>899</v>
      </c>
      <c r="E154">
        <v>-5.8546546504355303</v>
      </c>
      <c r="F154">
        <f>VLOOKUP(C154,'[1]phenotypes-895'!$A$2:$G$896,7,FALSE)</f>
        <v>98</v>
      </c>
    </row>
    <row r="155" spans="1:7" x14ac:dyDescent="0.2">
      <c r="A155">
        <v>154</v>
      </c>
      <c r="B155">
        <v>1</v>
      </c>
      <c r="C155" t="s">
        <v>153</v>
      </c>
      <c r="D155" t="s">
        <v>900</v>
      </c>
      <c r="E155">
        <v>-7.9925953180201201</v>
      </c>
      <c r="F155">
        <f>VLOOKUP(C155,'[1]phenotypes-895'!$A$2:$G$896,7,FALSE)</f>
        <v>57</v>
      </c>
    </row>
    <row r="156" spans="1:7" x14ac:dyDescent="0.2">
      <c r="A156">
        <v>155</v>
      </c>
      <c r="B156">
        <v>5</v>
      </c>
      <c r="C156" t="s">
        <v>154</v>
      </c>
      <c r="D156" t="s">
        <v>900</v>
      </c>
      <c r="E156">
        <v>-12.116767922036001</v>
      </c>
      <c r="F156">
        <f>VLOOKUP(C156,'[1]phenotypes-895'!$A$2:$G$896,7,FALSE)</f>
        <v>56</v>
      </c>
    </row>
    <row r="157" spans="1:7" x14ac:dyDescent="0.2">
      <c r="A157">
        <v>156</v>
      </c>
      <c r="B157">
        <v>6</v>
      </c>
      <c r="C157" t="s">
        <v>155</v>
      </c>
      <c r="D157" t="s">
        <v>900</v>
      </c>
      <c r="E157">
        <v>-3.4737082657700702</v>
      </c>
      <c r="F157">
        <f>VLOOKUP(C157,'[1]phenotypes-895'!$A$2:$G$896,7,FALSE)</f>
        <v>75</v>
      </c>
    </row>
    <row r="158" spans="1:7" x14ac:dyDescent="0.2">
      <c r="A158">
        <v>157</v>
      </c>
      <c r="B158">
        <v>10</v>
      </c>
      <c r="C158" t="s">
        <v>156</v>
      </c>
      <c r="D158" t="s">
        <v>899</v>
      </c>
      <c r="E158">
        <v>-0.30286957233588402</v>
      </c>
      <c r="F158">
        <f>VLOOKUP(C158,'[1]phenotypes-895'!$A$2:$G$896,7,FALSE)</f>
        <v>98</v>
      </c>
    </row>
    <row r="159" spans="1:7" x14ac:dyDescent="0.2">
      <c r="A159">
        <v>158</v>
      </c>
      <c r="B159">
        <v>6</v>
      </c>
      <c r="C159" t="s">
        <v>157</v>
      </c>
      <c r="D159" t="s">
        <v>900</v>
      </c>
      <c r="E159">
        <v>-5.3923155895741104</v>
      </c>
      <c r="F159">
        <f>VLOOKUP(C159,'[1]phenotypes-895'!$A$2:$G$896,7,FALSE)</f>
        <v>53</v>
      </c>
    </row>
    <row r="160" spans="1:7" x14ac:dyDescent="0.2">
      <c r="A160">
        <v>159</v>
      </c>
      <c r="B160">
        <v>12</v>
      </c>
      <c r="C160" t="s">
        <v>158</v>
      </c>
      <c r="D160" t="s">
        <v>899</v>
      </c>
      <c r="E160">
        <v>1.49895531514622</v>
      </c>
      <c r="F160">
        <f>VLOOKUP(C160,'[1]phenotypes-895'!$A$2:$G$896,7,FALSE)</f>
        <v>62</v>
      </c>
      <c r="G160" s="6">
        <v>50</v>
      </c>
    </row>
    <row r="161" spans="1:7" x14ac:dyDescent="0.2">
      <c r="A161">
        <v>160</v>
      </c>
      <c r="B161">
        <v>1</v>
      </c>
      <c r="C161" t="s">
        <v>159</v>
      </c>
      <c r="D161" t="s">
        <v>900</v>
      </c>
      <c r="E161">
        <v>-2.4321042175238601</v>
      </c>
      <c r="F161">
        <f>VLOOKUP(C161,'[1]phenotypes-895'!$A$2:$G$896,7,FALSE)</f>
        <v>98</v>
      </c>
    </row>
    <row r="162" spans="1:7" x14ac:dyDescent="0.2">
      <c r="A162">
        <v>161</v>
      </c>
      <c r="B162">
        <v>27</v>
      </c>
      <c r="C162" t="s">
        <v>160</v>
      </c>
      <c r="D162" t="s">
        <v>900</v>
      </c>
      <c r="E162">
        <v>4.4478239410935103</v>
      </c>
      <c r="F162">
        <f>VLOOKUP(C162,'[1]phenotypes-895'!$A$2:$G$896,7,FALSE)</f>
        <v>70</v>
      </c>
      <c r="G162" s="6">
        <v>30</v>
      </c>
    </row>
    <row r="163" spans="1:7" x14ac:dyDescent="0.2">
      <c r="A163">
        <v>162</v>
      </c>
      <c r="B163">
        <v>3</v>
      </c>
      <c r="C163" t="s">
        <v>161</v>
      </c>
      <c r="D163" t="s">
        <v>900</v>
      </c>
      <c r="E163">
        <v>-6.2629916846126399</v>
      </c>
      <c r="F163">
        <f>VLOOKUP(C163,'[1]phenotypes-895'!$A$2:$G$896,7,FALSE)</f>
        <v>76</v>
      </c>
    </row>
    <row r="164" spans="1:7" x14ac:dyDescent="0.2">
      <c r="A164">
        <v>163</v>
      </c>
      <c r="B164">
        <v>50</v>
      </c>
      <c r="C164" t="s">
        <v>162</v>
      </c>
      <c r="D164" t="s">
        <v>899</v>
      </c>
      <c r="E164">
        <v>2.0253473697981099</v>
      </c>
      <c r="F164">
        <f>VLOOKUP(C164,'[1]phenotypes-895'!$A$2:$G$896,7,FALSE)</f>
        <v>60</v>
      </c>
      <c r="G164" s="6">
        <v>50</v>
      </c>
    </row>
    <row r="165" spans="1:7" x14ac:dyDescent="0.2">
      <c r="A165">
        <v>164</v>
      </c>
      <c r="B165">
        <v>6</v>
      </c>
      <c r="C165" t="s">
        <v>163</v>
      </c>
      <c r="D165" t="s">
        <v>900</v>
      </c>
      <c r="E165">
        <v>-3.59379530503467</v>
      </c>
      <c r="F165">
        <f>VLOOKUP(C165,'[1]phenotypes-895'!$A$2:$G$896,7,FALSE)</f>
        <v>58</v>
      </c>
    </row>
    <row r="166" spans="1:7" x14ac:dyDescent="0.2">
      <c r="A166">
        <v>165</v>
      </c>
      <c r="B166">
        <v>50</v>
      </c>
      <c r="C166" t="s">
        <v>164</v>
      </c>
      <c r="D166" t="s">
        <v>899</v>
      </c>
      <c r="E166">
        <v>5.6290445420777004</v>
      </c>
      <c r="F166">
        <f>VLOOKUP(C166,'[1]phenotypes-895'!$A$2:$G$896,7,FALSE)</f>
        <v>98</v>
      </c>
      <c r="G166" s="6">
        <v>20</v>
      </c>
    </row>
    <row r="167" spans="1:7" x14ac:dyDescent="0.2">
      <c r="A167">
        <v>166</v>
      </c>
      <c r="B167">
        <v>6</v>
      </c>
      <c r="C167" t="s">
        <v>165</v>
      </c>
      <c r="D167" t="s">
        <v>900</v>
      </c>
      <c r="E167">
        <v>-1.50910183866991</v>
      </c>
      <c r="F167">
        <f>VLOOKUP(C167,'[1]phenotypes-895'!$A$2:$G$896,7,FALSE)</f>
        <v>57</v>
      </c>
      <c r="G167" s="5"/>
    </row>
    <row r="168" spans="1:7" x14ac:dyDescent="0.2">
      <c r="A168">
        <v>167</v>
      </c>
      <c r="B168">
        <v>38</v>
      </c>
      <c r="C168" t="s">
        <v>166</v>
      </c>
      <c r="D168" t="s">
        <v>900</v>
      </c>
      <c r="E168">
        <v>0.80624364644607105</v>
      </c>
      <c r="F168">
        <f>VLOOKUP(C168,'[1]phenotypes-895'!$A$2:$G$896,7,FALSE)</f>
        <v>86</v>
      </c>
      <c r="G168" s="6">
        <v>50</v>
      </c>
    </row>
    <row r="169" spans="1:7" x14ac:dyDescent="0.2">
      <c r="A169">
        <v>168</v>
      </c>
      <c r="B169">
        <v>12</v>
      </c>
      <c r="C169" t="s">
        <v>167</v>
      </c>
      <c r="D169" t="s">
        <v>899</v>
      </c>
      <c r="E169">
        <v>1.2899526574157201</v>
      </c>
      <c r="F169">
        <f>VLOOKUP(C169,'[1]phenotypes-895'!$A$2:$G$896,7,FALSE)</f>
        <v>51</v>
      </c>
      <c r="G169" s="6">
        <v>50</v>
      </c>
    </row>
    <row r="170" spans="1:7" x14ac:dyDescent="0.2">
      <c r="A170">
        <v>169</v>
      </c>
      <c r="B170">
        <v>24</v>
      </c>
      <c r="C170" t="s">
        <v>168</v>
      </c>
      <c r="D170" t="s">
        <v>900</v>
      </c>
      <c r="E170">
        <v>-6.0625668763447198</v>
      </c>
      <c r="F170">
        <f>VLOOKUP(C170,'[1]phenotypes-895'!$A$2:$G$896,7,FALSE)</f>
        <v>63</v>
      </c>
    </row>
    <row r="171" spans="1:7" x14ac:dyDescent="0.2">
      <c r="A171">
        <v>170</v>
      </c>
      <c r="B171">
        <v>8</v>
      </c>
      <c r="C171" t="s">
        <v>169</v>
      </c>
      <c r="D171" t="s">
        <v>900</v>
      </c>
      <c r="E171">
        <v>2.54973906708892</v>
      </c>
      <c r="F171">
        <f>VLOOKUP(C171,'[1]phenotypes-895'!$A$2:$G$896,7,FALSE)</f>
        <v>98</v>
      </c>
      <c r="G171" s="6">
        <v>40</v>
      </c>
    </row>
    <row r="172" spans="1:7" x14ac:dyDescent="0.2">
      <c r="A172">
        <v>171</v>
      </c>
      <c r="B172">
        <v>53</v>
      </c>
      <c r="C172" t="s">
        <v>170</v>
      </c>
      <c r="D172" t="s">
        <v>899</v>
      </c>
      <c r="E172">
        <v>5.0305674754037302</v>
      </c>
      <c r="F172">
        <f>VLOOKUP(C172,'[1]phenotypes-895'!$A$2:$G$896,7,FALSE)</f>
        <v>84</v>
      </c>
      <c r="G172" s="6">
        <v>20</v>
      </c>
    </row>
    <row r="173" spans="1:7" x14ac:dyDescent="0.2">
      <c r="A173">
        <v>172</v>
      </c>
      <c r="B173">
        <v>11</v>
      </c>
      <c r="C173" t="s">
        <v>171</v>
      </c>
      <c r="D173" t="s">
        <v>899</v>
      </c>
      <c r="E173">
        <v>5.2942533112462398</v>
      </c>
      <c r="F173">
        <f>VLOOKUP(C173,'[1]phenotypes-895'!$A$2:$G$896,7,FALSE)</f>
        <v>98</v>
      </c>
      <c r="G173" s="6">
        <v>20</v>
      </c>
    </row>
    <row r="174" spans="1:7" x14ac:dyDescent="0.2">
      <c r="A174">
        <v>173</v>
      </c>
      <c r="B174">
        <v>29</v>
      </c>
      <c r="C174" t="s">
        <v>172</v>
      </c>
      <c r="D174" t="s">
        <v>900</v>
      </c>
      <c r="E174">
        <v>5.23059815761307E-2</v>
      </c>
      <c r="F174">
        <f>VLOOKUP(C174,'[1]phenotypes-895'!$A$2:$G$896,7,FALSE)</f>
        <v>98</v>
      </c>
      <c r="G174" s="5"/>
    </row>
    <row r="175" spans="1:7" x14ac:dyDescent="0.2">
      <c r="A175">
        <v>174</v>
      </c>
      <c r="B175">
        <v>9</v>
      </c>
      <c r="C175" t="s">
        <v>173</v>
      </c>
      <c r="D175" t="s">
        <v>899</v>
      </c>
      <c r="E175">
        <v>-2.2162215746691598</v>
      </c>
      <c r="F175">
        <f>VLOOKUP(C175,'[1]phenotypes-895'!$A$2:$G$896,7,FALSE)</f>
        <v>72</v>
      </c>
    </row>
    <row r="176" spans="1:7" x14ac:dyDescent="0.2">
      <c r="A176">
        <v>175</v>
      </c>
      <c r="B176">
        <v>30</v>
      </c>
      <c r="C176" t="s">
        <v>174</v>
      </c>
      <c r="D176" t="s">
        <v>900</v>
      </c>
      <c r="E176">
        <v>-3.8539662930252701</v>
      </c>
      <c r="F176">
        <f>VLOOKUP(C176,'[1]phenotypes-895'!$A$2:$G$896,7,FALSE)</f>
        <v>75</v>
      </c>
    </row>
    <row r="177" spans="1:7" x14ac:dyDescent="0.2">
      <c r="A177">
        <v>176</v>
      </c>
      <c r="B177">
        <v>4</v>
      </c>
      <c r="C177" t="s">
        <v>175</v>
      </c>
      <c r="D177" t="s">
        <v>900</v>
      </c>
      <c r="E177">
        <v>-5.0180751706383004</v>
      </c>
      <c r="F177">
        <f>VLOOKUP(C177,'[1]phenotypes-895'!$A$2:$G$896,7,FALSE)</f>
        <v>98</v>
      </c>
    </row>
    <row r="178" spans="1:7" x14ac:dyDescent="0.2">
      <c r="A178">
        <v>177</v>
      </c>
      <c r="B178">
        <v>49</v>
      </c>
      <c r="C178" t="s">
        <v>176</v>
      </c>
      <c r="D178" t="s">
        <v>899</v>
      </c>
      <c r="E178">
        <v>4.5337894701324597</v>
      </c>
      <c r="F178">
        <f>VLOOKUP(C178,'[1]phenotypes-895'!$A$2:$G$896,7,FALSE)</f>
        <v>98</v>
      </c>
      <c r="G178" s="6">
        <v>30</v>
      </c>
    </row>
    <row r="179" spans="1:7" x14ac:dyDescent="0.2">
      <c r="A179">
        <v>178</v>
      </c>
      <c r="B179">
        <v>18</v>
      </c>
      <c r="C179" t="s">
        <v>177</v>
      </c>
      <c r="D179" t="s">
        <v>899</v>
      </c>
      <c r="E179">
        <v>2.91434988513531</v>
      </c>
      <c r="F179">
        <f>VLOOKUP(C179,'[1]phenotypes-895'!$A$2:$G$896,7,FALSE)</f>
        <v>63</v>
      </c>
      <c r="G179" s="6">
        <v>40</v>
      </c>
    </row>
    <row r="180" spans="1:7" x14ac:dyDescent="0.2">
      <c r="A180">
        <v>179</v>
      </c>
      <c r="B180">
        <v>28</v>
      </c>
      <c r="C180" t="s">
        <v>178</v>
      </c>
      <c r="D180" t="s">
        <v>900</v>
      </c>
      <c r="E180">
        <v>-8.6769565141091505</v>
      </c>
      <c r="F180">
        <f>VLOOKUP(C180,'[1]phenotypes-895'!$A$2:$G$896,7,FALSE)</f>
        <v>98</v>
      </c>
    </row>
    <row r="181" spans="1:7" x14ac:dyDescent="0.2">
      <c r="A181">
        <v>180</v>
      </c>
      <c r="B181">
        <v>11</v>
      </c>
      <c r="C181" t="s">
        <v>179</v>
      </c>
      <c r="D181" t="s">
        <v>899</v>
      </c>
      <c r="E181">
        <v>-2.70834169469068</v>
      </c>
      <c r="F181">
        <f>VLOOKUP(C181,'[1]phenotypes-895'!$A$2:$G$896,7,FALSE)</f>
        <v>66</v>
      </c>
    </row>
    <row r="182" spans="1:7" x14ac:dyDescent="0.2">
      <c r="A182">
        <v>181</v>
      </c>
      <c r="B182">
        <v>3</v>
      </c>
      <c r="C182" t="s">
        <v>180</v>
      </c>
      <c r="D182" t="s">
        <v>900</v>
      </c>
      <c r="E182">
        <v>-6.82040822939714</v>
      </c>
      <c r="F182">
        <f>VLOOKUP(C182,'[1]phenotypes-895'!$A$2:$G$896,7,FALSE)</f>
        <v>66</v>
      </c>
    </row>
    <row r="183" spans="1:7" x14ac:dyDescent="0.2">
      <c r="A183">
        <v>182</v>
      </c>
      <c r="B183">
        <v>10</v>
      </c>
      <c r="C183" t="s">
        <v>181</v>
      </c>
      <c r="D183" t="s">
        <v>899</v>
      </c>
      <c r="E183">
        <v>-4.4686997881531898</v>
      </c>
      <c r="F183">
        <f>VLOOKUP(C183,'[1]phenotypes-895'!$A$2:$G$896,7,FALSE)</f>
        <v>54</v>
      </c>
    </row>
    <row r="184" spans="1:7" x14ac:dyDescent="0.2">
      <c r="A184">
        <v>183</v>
      </c>
      <c r="B184">
        <v>3</v>
      </c>
      <c r="C184" t="s">
        <v>182</v>
      </c>
      <c r="D184" t="s">
        <v>900</v>
      </c>
      <c r="E184">
        <v>-7.3755786971720401</v>
      </c>
      <c r="F184">
        <f>VLOOKUP(C184,'[1]phenotypes-895'!$A$2:$G$896,7,FALSE)</f>
        <v>53</v>
      </c>
    </row>
    <row r="185" spans="1:7" x14ac:dyDescent="0.2">
      <c r="A185">
        <v>184</v>
      </c>
      <c r="B185">
        <v>6</v>
      </c>
      <c r="C185" t="s">
        <v>183</v>
      </c>
      <c r="D185" t="s">
        <v>900</v>
      </c>
      <c r="E185">
        <v>-5.8340410017871704</v>
      </c>
      <c r="F185">
        <f>VLOOKUP(C185,'[1]phenotypes-895'!$A$2:$G$896,7,FALSE)</f>
        <v>62</v>
      </c>
    </row>
    <row r="186" spans="1:7" x14ac:dyDescent="0.2">
      <c r="A186">
        <v>185</v>
      </c>
      <c r="B186">
        <v>11</v>
      </c>
      <c r="C186" t="s">
        <v>184</v>
      </c>
      <c r="D186" t="s">
        <v>899</v>
      </c>
      <c r="E186">
        <v>-6.8621052240331304</v>
      </c>
      <c r="F186">
        <f>VLOOKUP(C186,'[1]phenotypes-895'!$A$2:$G$896,7,FALSE)</f>
        <v>66</v>
      </c>
    </row>
    <row r="187" spans="1:7" x14ac:dyDescent="0.2">
      <c r="A187">
        <v>186</v>
      </c>
      <c r="B187">
        <v>5</v>
      </c>
      <c r="C187" t="s">
        <v>185</v>
      </c>
      <c r="D187" t="s">
        <v>900</v>
      </c>
      <c r="E187">
        <v>-11.1588046079425</v>
      </c>
      <c r="F187">
        <f>VLOOKUP(C187,'[1]phenotypes-895'!$A$2:$G$896,7,FALSE)</f>
        <v>55</v>
      </c>
    </row>
    <row r="188" spans="1:7" x14ac:dyDescent="0.2">
      <c r="A188">
        <v>187</v>
      </c>
      <c r="B188">
        <v>13</v>
      </c>
      <c r="C188" t="s">
        <v>186</v>
      </c>
      <c r="D188" t="s">
        <v>899</v>
      </c>
      <c r="E188">
        <v>-2.7842080287017299</v>
      </c>
      <c r="F188">
        <f>VLOOKUP(C188,'[1]phenotypes-895'!$A$2:$G$896,7,FALSE)</f>
        <v>64</v>
      </c>
    </row>
    <row r="189" spans="1:7" x14ac:dyDescent="0.2">
      <c r="A189">
        <v>188</v>
      </c>
      <c r="B189">
        <v>14</v>
      </c>
      <c r="C189" t="s">
        <v>187</v>
      </c>
      <c r="D189" t="s">
        <v>899</v>
      </c>
      <c r="E189">
        <v>2.2590782948306201</v>
      </c>
      <c r="F189">
        <f>VLOOKUP(C189,'[1]phenotypes-895'!$A$2:$G$896,7,FALSE)</f>
        <v>69</v>
      </c>
      <c r="G189" s="6">
        <v>40</v>
      </c>
    </row>
    <row r="190" spans="1:7" x14ac:dyDescent="0.2">
      <c r="A190">
        <v>189</v>
      </c>
      <c r="B190">
        <v>16</v>
      </c>
      <c r="C190" t="s">
        <v>188</v>
      </c>
      <c r="D190" t="s">
        <v>899</v>
      </c>
      <c r="E190">
        <v>-11.586020038291201</v>
      </c>
      <c r="F190">
        <f>VLOOKUP(C190,'[1]phenotypes-895'!$A$2:$G$896,7,FALSE)</f>
        <v>49</v>
      </c>
    </row>
    <row r="191" spans="1:7" x14ac:dyDescent="0.2">
      <c r="A191">
        <v>190</v>
      </c>
      <c r="B191">
        <v>3</v>
      </c>
      <c r="C191" t="s">
        <v>189</v>
      </c>
      <c r="D191" t="s">
        <v>900</v>
      </c>
      <c r="E191">
        <v>-8.3652576691253699</v>
      </c>
      <c r="F191">
        <f>VLOOKUP(C191,'[1]phenotypes-895'!$A$2:$G$896,7,FALSE)</f>
        <v>62</v>
      </c>
    </row>
    <row r="192" spans="1:7" x14ac:dyDescent="0.2">
      <c r="A192">
        <v>191</v>
      </c>
      <c r="B192">
        <v>6</v>
      </c>
      <c r="C192" t="s">
        <v>190</v>
      </c>
      <c r="D192" t="s">
        <v>900</v>
      </c>
      <c r="E192">
        <v>-8.2331879781614106</v>
      </c>
      <c r="F192">
        <f>VLOOKUP(C192,'[1]phenotypes-895'!$A$2:$G$896,7,FALSE)</f>
        <v>56</v>
      </c>
    </row>
    <row r="193" spans="1:7" x14ac:dyDescent="0.2">
      <c r="A193">
        <v>192</v>
      </c>
      <c r="B193">
        <v>8</v>
      </c>
      <c r="C193" t="s">
        <v>191</v>
      </c>
      <c r="D193" t="s">
        <v>900</v>
      </c>
      <c r="E193">
        <v>2.2848876801104998</v>
      </c>
      <c r="F193">
        <f>VLOOKUP(C193,'[1]phenotypes-895'!$A$2:$G$896,7,FALSE)</f>
        <v>98</v>
      </c>
      <c r="G193" s="6">
        <v>40</v>
      </c>
    </row>
    <row r="194" spans="1:7" x14ac:dyDescent="0.2">
      <c r="A194">
        <v>193</v>
      </c>
      <c r="B194">
        <v>6</v>
      </c>
      <c r="C194" t="s">
        <v>192</v>
      </c>
      <c r="D194" t="s">
        <v>900</v>
      </c>
      <c r="E194">
        <v>-2.4740838189937899</v>
      </c>
      <c r="F194">
        <f>VLOOKUP(C194,'[1]phenotypes-895'!$A$2:$G$896,7,FALSE)</f>
        <v>98</v>
      </c>
      <c r="G194" s="5"/>
    </row>
    <row r="195" spans="1:7" x14ac:dyDescent="0.2">
      <c r="A195">
        <v>194</v>
      </c>
      <c r="B195">
        <v>4</v>
      </c>
      <c r="C195" t="s">
        <v>193</v>
      </c>
      <c r="D195" t="s">
        <v>900</v>
      </c>
      <c r="E195">
        <v>-6.4762256301065797</v>
      </c>
      <c r="F195">
        <f>VLOOKUP(C195,'[1]phenotypes-895'!$A$2:$G$896,7,FALSE)</f>
        <v>61</v>
      </c>
    </row>
    <row r="196" spans="1:7" x14ac:dyDescent="0.2">
      <c r="A196">
        <v>195</v>
      </c>
      <c r="B196">
        <v>16</v>
      </c>
      <c r="C196" t="s">
        <v>194</v>
      </c>
      <c r="D196" t="s">
        <v>899</v>
      </c>
      <c r="E196">
        <v>-6.54737451487056</v>
      </c>
      <c r="F196">
        <f>VLOOKUP(C196,'[1]phenotypes-895'!$A$2:$G$896,7,FALSE)</f>
        <v>76</v>
      </c>
    </row>
    <row r="197" spans="1:7" x14ac:dyDescent="0.2">
      <c r="A197">
        <v>196</v>
      </c>
      <c r="B197">
        <v>5</v>
      </c>
      <c r="C197" t="s">
        <v>195</v>
      </c>
      <c r="D197" t="s">
        <v>900</v>
      </c>
      <c r="E197">
        <v>-14.3118910496714</v>
      </c>
      <c r="F197">
        <f>VLOOKUP(C197,'[1]phenotypes-895'!$A$2:$G$896,7,FALSE)</f>
        <v>55</v>
      </c>
    </row>
    <row r="198" spans="1:7" x14ac:dyDescent="0.2">
      <c r="A198">
        <v>197</v>
      </c>
      <c r="B198">
        <v>6</v>
      </c>
      <c r="C198" t="s">
        <v>196</v>
      </c>
      <c r="D198" t="s">
        <v>900</v>
      </c>
      <c r="E198">
        <v>-3.55764022195596</v>
      </c>
      <c r="F198">
        <f>VLOOKUP(C198,'[1]phenotypes-895'!$A$2:$G$896,7,FALSE)</f>
        <v>98</v>
      </c>
    </row>
    <row r="199" spans="1:7" x14ac:dyDescent="0.2">
      <c r="A199">
        <v>198</v>
      </c>
      <c r="B199">
        <v>19</v>
      </c>
      <c r="C199" t="s">
        <v>197</v>
      </c>
      <c r="D199" t="s">
        <v>899</v>
      </c>
      <c r="E199">
        <v>-10.2328258871974</v>
      </c>
      <c r="F199">
        <f>VLOOKUP(C199,'[1]phenotypes-895'!$A$2:$G$896,7,FALSE)</f>
        <v>51</v>
      </c>
    </row>
    <row r="200" spans="1:7" x14ac:dyDescent="0.2">
      <c r="A200">
        <v>199</v>
      </c>
      <c r="B200">
        <v>3</v>
      </c>
      <c r="C200" t="s">
        <v>198</v>
      </c>
      <c r="D200" t="s">
        <v>900</v>
      </c>
      <c r="E200">
        <v>-2.6567469200864902</v>
      </c>
      <c r="F200">
        <f>VLOOKUP(C200,'[1]phenotypes-895'!$A$2:$G$896,7,FALSE)</f>
        <v>98</v>
      </c>
    </row>
    <row r="201" spans="1:7" x14ac:dyDescent="0.2">
      <c r="A201">
        <v>200</v>
      </c>
      <c r="B201">
        <v>13</v>
      </c>
      <c r="C201" t="s">
        <v>199</v>
      </c>
      <c r="D201" t="s">
        <v>899</v>
      </c>
      <c r="E201">
        <v>-7.0192935657078799</v>
      </c>
      <c r="F201">
        <f>VLOOKUP(C201,'[1]phenotypes-895'!$A$2:$G$896,7,FALSE)</f>
        <v>50</v>
      </c>
    </row>
    <row r="202" spans="1:7" x14ac:dyDescent="0.2">
      <c r="A202">
        <v>201</v>
      </c>
      <c r="B202">
        <v>18</v>
      </c>
      <c r="C202" t="s">
        <v>200</v>
      </c>
      <c r="D202" t="s">
        <v>899</v>
      </c>
      <c r="E202">
        <v>0.12832750279052599</v>
      </c>
      <c r="F202">
        <f>VLOOKUP(C202,'[1]phenotypes-895'!$A$2:$G$896,7,FALSE)</f>
        <v>65</v>
      </c>
    </row>
    <row r="203" spans="1:7" x14ac:dyDescent="0.2">
      <c r="A203">
        <v>202</v>
      </c>
      <c r="B203">
        <v>11</v>
      </c>
      <c r="C203" t="s">
        <v>201</v>
      </c>
      <c r="D203" t="s">
        <v>899</v>
      </c>
      <c r="E203">
        <v>-1.3363407923211601</v>
      </c>
      <c r="F203">
        <f>VLOOKUP(C203,'[1]phenotypes-895'!$A$2:$G$896,7,FALSE)</f>
        <v>65</v>
      </c>
    </row>
    <row r="204" spans="1:7" x14ac:dyDescent="0.2">
      <c r="A204">
        <v>203</v>
      </c>
      <c r="B204">
        <v>8</v>
      </c>
      <c r="C204" t="s">
        <v>202</v>
      </c>
      <c r="D204" t="s">
        <v>900</v>
      </c>
      <c r="E204">
        <v>1.5312892037741199</v>
      </c>
      <c r="F204">
        <f>VLOOKUP(C204,'[1]phenotypes-895'!$A$2:$G$896,7,FALSE)</f>
        <v>76</v>
      </c>
      <c r="G204" s="6">
        <v>50</v>
      </c>
    </row>
    <row r="205" spans="1:7" x14ac:dyDescent="0.2">
      <c r="A205">
        <v>204</v>
      </c>
      <c r="B205">
        <v>17</v>
      </c>
      <c r="C205" t="s">
        <v>203</v>
      </c>
      <c r="D205" t="s">
        <v>899</v>
      </c>
      <c r="E205">
        <v>-7.3613677826628896</v>
      </c>
      <c r="F205">
        <f>VLOOKUP(C205,'[1]phenotypes-895'!$A$2:$G$896,7,FALSE)</f>
        <v>43</v>
      </c>
    </row>
    <row r="206" spans="1:7" x14ac:dyDescent="0.2">
      <c r="A206">
        <v>205</v>
      </c>
      <c r="B206">
        <v>11</v>
      </c>
      <c r="C206" t="s">
        <v>204</v>
      </c>
      <c r="D206" t="s">
        <v>899</v>
      </c>
      <c r="E206">
        <v>-0.96129622490223299</v>
      </c>
      <c r="F206">
        <f>VLOOKUP(C206,'[1]phenotypes-895'!$A$2:$G$896,7,FALSE)</f>
        <v>65</v>
      </c>
    </row>
    <row r="207" spans="1:7" x14ac:dyDescent="0.2">
      <c r="A207">
        <v>206</v>
      </c>
      <c r="B207">
        <v>36</v>
      </c>
      <c r="C207" t="s">
        <v>205</v>
      </c>
      <c r="D207" t="s">
        <v>900</v>
      </c>
      <c r="E207">
        <v>1.4125424410634699</v>
      </c>
      <c r="F207">
        <f>VLOOKUP(C207,'[1]phenotypes-895'!$A$2:$G$896,7,FALSE)</f>
        <v>58</v>
      </c>
      <c r="G207" s="6">
        <v>50</v>
      </c>
    </row>
    <row r="208" spans="1:7" x14ac:dyDescent="0.2">
      <c r="A208">
        <v>207</v>
      </c>
      <c r="B208">
        <v>3</v>
      </c>
      <c r="C208" t="s">
        <v>206</v>
      </c>
      <c r="D208" t="s">
        <v>900</v>
      </c>
      <c r="E208">
        <v>-5.8464617450420002</v>
      </c>
      <c r="F208">
        <f>VLOOKUP(C208,'[1]phenotypes-895'!$A$2:$G$896,7,FALSE)</f>
        <v>65</v>
      </c>
    </row>
    <row r="209" spans="1:7" x14ac:dyDescent="0.2">
      <c r="A209">
        <v>208</v>
      </c>
      <c r="B209">
        <v>52</v>
      </c>
      <c r="C209" t="s">
        <v>207</v>
      </c>
      <c r="D209" t="s">
        <v>899</v>
      </c>
      <c r="E209">
        <v>0.46369166533624101</v>
      </c>
      <c r="F209">
        <f>VLOOKUP(C209,'[1]phenotypes-895'!$A$2:$G$896,7,FALSE)</f>
        <v>57</v>
      </c>
    </row>
    <row r="210" spans="1:7" x14ac:dyDescent="0.2">
      <c r="A210">
        <v>209</v>
      </c>
      <c r="B210">
        <v>2</v>
      </c>
      <c r="C210" t="s">
        <v>208</v>
      </c>
      <c r="D210" t="s">
        <v>900</v>
      </c>
      <c r="E210">
        <v>10.895381724955801</v>
      </c>
      <c r="F210">
        <f>VLOOKUP(C210,'[1]phenotypes-895'!$A$2:$G$896,7,FALSE)</f>
        <v>98</v>
      </c>
      <c r="G210" s="8">
        <v>1</v>
      </c>
    </row>
    <row r="211" spans="1:7" x14ac:dyDescent="0.2">
      <c r="A211">
        <v>210</v>
      </c>
      <c r="B211">
        <v>50</v>
      </c>
      <c r="C211" t="s">
        <v>209</v>
      </c>
      <c r="D211" t="s">
        <v>899</v>
      </c>
      <c r="E211">
        <v>6.5499308647925103</v>
      </c>
      <c r="F211">
        <f>VLOOKUP(C211,'[1]phenotypes-895'!$A$2:$G$896,7,FALSE)</f>
        <v>74</v>
      </c>
      <c r="G211" s="6">
        <v>9</v>
      </c>
    </row>
    <row r="212" spans="1:7" x14ac:dyDescent="0.2">
      <c r="A212">
        <v>211</v>
      </c>
      <c r="B212">
        <v>9</v>
      </c>
      <c r="C212" t="s">
        <v>210</v>
      </c>
      <c r="D212" t="s">
        <v>899</v>
      </c>
      <c r="E212">
        <v>-7.0799381812373197</v>
      </c>
      <c r="F212">
        <f>VLOOKUP(C212,'[1]phenotypes-895'!$A$2:$G$896,7,FALSE)</f>
        <v>56</v>
      </c>
    </row>
    <row r="213" spans="1:7" x14ac:dyDescent="0.2">
      <c r="A213">
        <v>212</v>
      </c>
      <c r="B213">
        <v>50</v>
      </c>
      <c r="C213" t="s">
        <v>211</v>
      </c>
      <c r="D213" t="s">
        <v>899</v>
      </c>
      <c r="E213">
        <v>4.2985312877597597</v>
      </c>
      <c r="F213">
        <f>VLOOKUP(C213,'[1]phenotypes-895'!$A$2:$G$896,7,FALSE)</f>
        <v>59</v>
      </c>
      <c r="G213" s="6">
        <v>30</v>
      </c>
    </row>
    <row r="214" spans="1:7" x14ac:dyDescent="0.2">
      <c r="A214">
        <v>213</v>
      </c>
      <c r="B214">
        <v>5</v>
      </c>
      <c r="C214" t="s">
        <v>212</v>
      </c>
      <c r="D214" t="s">
        <v>900</v>
      </c>
      <c r="E214">
        <v>-11.671359108450901</v>
      </c>
      <c r="F214">
        <f>VLOOKUP(C214,'[1]phenotypes-895'!$A$2:$G$896,7,FALSE)</f>
        <v>65</v>
      </c>
    </row>
    <row r="215" spans="1:7" x14ac:dyDescent="0.2">
      <c r="A215">
        <v>214</v>
      </c>
      <c r="B215">
        <v>54</v>
      </c>
      <c r="C215" t="s">
        <v>213</v>
      </c>
      <c r="D215" t="s">
        <v>899</v>
      </c>
      <c r="E215">
        <v>0.84529435503756101</v>
      </c>
      <c r="F215">
        <f>VLOOKUP(C215,'[1]phenotypes-895'!$A$2:$G$896,7,FALSE)</f>
        <v>70</v>
      </c>
      <c r="G215" s="6">
        <v>50</v>
      </c>
    </row>
    <row r="216" spans="1:7" x14ac:dyDescent="0.2">
      <c r="A216">
        <v>215</v>
      </c>
      <c r="B216">
        <v>7</v>
      </c>
      <c r="C216" t="s">
        <v>214</v>
      </c>
      <c r="D216" t="s">
        <v>900</v>
      </c>
      <c r="E216">
        <v>-0.84781356409113096</v>
      </c>
      <c r="F216">
        <f>VLOOKUP(C216,'[1]phenotypes-895'!$A$2:$G$896,7,FALSE)</f>
        <v>98</v>
      </c>
      <c r="G216" s="5"/>
    </row>
    <row r="217" spans="1:7" x14ac:dyDescent="0.2">
      <c r="A217">
        <v>216</v>
      </c>
      <c r="B217">
        <v>44</v>
      </c>
      <c r="C217" t="s">
        <v>215</v>
      </c>
      <c r="D217" t="s">
        <v>899</v>
      </c>
      <c r="E217">
        <v>5.6533265262009698</v>
      </c>
      <c r="F217">
        <f>VLOOKUP(C217,'[1]phenotypes-895'!$A$2:$G$896,7,FALSE)</f>
        <v>62</v>
      </c>
      <c r="G217" s="6">
        <v>20</v>
      </c>
    </row>
    <row r="218" spans="1:7" x14ac:dyDescent="0.2">
      <c r="A218">
        <v>217</v>
      </c>
      <c r="B218">
        <v>12</v>
      </c>
      <c r="C218" t="s">
        <v>216</v>
      </c>
      <c r="D218" t="s">
        <v>899</v>
      </c>
      <c r="E218">
        <v>1.07394865344947</v>
      </c>
      <c r="F218">
        <f>VLOOKUP(C218,'[1]phenotypes-895'!$A$2:$G$896,7,FALSE)</f>
        <v>63</v>
      </c>
      <c r="G218" s="6">
        <v>50</v>
      </c>
    </row>
    <row r="219" spans="1:7" x14ac:dyDescent="0.2">
      <c r="A219">
        <v>218</v>
      </c>
      <c r="B219">
        <v>49</v>
      </c>
      <c r="C219" t="s">
        <v>217</v>
      </c>
      <c r="D219" t="s">
        <v>899</v>
      </c>
      <c r="E219">
        <v>1.51554768166302</v>
      </c>
      <c r="F219">
        <f>VLOOKUP(C219,'[1]phenotypes-895'!$A$2:$G$896,7,FALSE)</f>
        <v>54</v>
      </c>
      <c r="G219" s="6">
        <v>50</v>
      </c>
    </row>
    <row r="220" spans="1:7" x14ac:dyDescent="0.2">
      <c r="A220">
        <v>219</v>
      </c>
      <c r="B220">
        <v>1</v>
      </c>
      <c r="C220" t="s">
        <v>218</v>
      </c>
      <c r="D220" t="s">
        <v>900</v>
      </c>
      <c r="E220">
        <v>-3.5359403042127102</v>
      </c>
      <c r="F220">
        <f>VLOOKUP(C220,'[1]phenotypes-895'!$A$2:$G$896,7,FALSE)</f>
        <v>98</v>
      </c>
    </row>
    <row r="221" spans="1:7" x14ac:dyDescent="0.2">
      <c r="A221">
        <v>220</v>
      </c>
      <c r="B221">
        <v>50</v>
      </c>
      <c r="C221" t="s">
        <v>219</v>
      </c>
      <c r="D221" t="s">
        <v>899</v>
      </c>
      <c r="E221">
        <v>3.5923023369190501</v>
      </c>
      <c r="F221">
        <f>VLOOKUP(C221,'[1]phenotypes-895'!$A$2:$G$896,7,FALSE)</f>
        <v>98</v>
      </c>
      <c r="G221" s="6">
        <v>30</v>
      </c>
    </row>
    <row r="222" spans="1:7" x14ac:dyDescent="0.2">
      <c r="A222">
        <v>221</v>
      </c>
      <c r="B222">
        <v>11</v>
      </c>
      <c r="C222" t="s">
        <v>220</v>
      </c>
      <c r="D222" t="s">
        <v>899</v>
      </c>
      <c r="E222">
        <v>4.8395682146935197</v>
      </c>
      <c r="F222">
        <f>VLOOKUP(C222,'[1]phenotypes-895'!$A$2:$G$896,7,FALSE)</f>
        <v>98</v>
      </c>
      <c r="G222" s="6">
        <v>20</v>
      </c>
    </row>
    <row r="223" spans="1:7" x14ac:dyDescent="0.2">
      <c r="A223">
        <v>222</v>
      </c>
      <c r="B223">
        <v>46</v>
      </c>
      <c r="C223" t="s">
        <v>221</v>
      </c>
      <c r="D223" t="s">
        <v>899</v>
      </c>
      <c r="E223">
        <v>3.1900356736906401</v>
      </c>
      <c r="F223">
        <f>VLOOKUP(C223,'[1]phenotypes-895'!$A$2:$G$896,7,FALSE)</f>
        <v>70</v>
      </c>
      <c r="G223" s="6">
        <v>40</v>
      </c>
    </row>
    <row r="224" spans="1:7" x14ac:dyDescent="0.2">
      <c r="A224">
        <v>223</v>
      </c>
      <c r="B224">
        <v>1</v>
      </c>
      <c r="C224" t="s">
        <v>222</v>
      </c>
      <c r="D224" t="s">
        <v>900</v>
      </c>
      <c r="E224">
        <v>-1.1004827736988201</v>
      </c>
      <c r="F224">
        <f>VLOOKUP(C224,'[1]phenotypes-895'!$A$2:$G$896,7,FALSE)</f>
        <v>98</v>
      </c>
      <c r="G224" s="5"/>
    </row>
    <row r="225" spans="1:7" x14ac:dyDescent="0.2">
      <c r="A225">
        <v>224</v>
      </c>
      <c r="B225">
        <v>31</v>
      </c>
      <c r="C225" t="s">
        <v>223</v>
      </c>
      <c r="D225" t="s">
        <v>900</v>
      </c>
      <c r="E225">
        <v>3.5139366594794099</v>
      </c>
      <c r="F225">
        <f>VLOOKUP(C225,'[1]phenotypes-895'!$A$2:$G$896,7,FALSE)</f>
        <v>98</v>
      </c>
      <c r="G225" s="6">
        <v>30</v>
      </c>
    </row>
    <row r="226" spans="1:7" x14ac:dyDescent="0.2">
      <c r="A226">
        <v>225</v>
      </c>
      <c r="B226">
        <v>6</v>
      </c>
      <c r="C226" t="s">
        <v>224</v>
      </c>
      <c r="D226" t="s">
        <v>900</v>
      </c>
      <c r="E226">
        <v>-1.9649515180160499</v>
      </c>
      <c r="F226">
        <f>VLOOKUP(C226,'[1]phenotypes-895'!$A$2:$G$896,7,FALSE)</f>
        <v>64</v>
      </c>
      <c r="G226" s="5"/>
    </row>
    <row r="227" spans="1:7" x14ac:dyDescent="0.2">
      <c r="A227">
        <v>226</v>
      </c>
      <c r="B227">
        <v>25</v>
      </c>
      <c r="C227" t="s">
        <v>225</v>
      </c>
      <c r="D227" t="s">
        <v>900</v>
      </c>
      <c r="E227">
        <v>3.1079155629852999</v>
      </c>
      <c r="F227">
        <f>VLOOKUP(C227,'[1]phenotypes-895'!$A$2:$G$896,7,FALSE)</f>
        <v>98</v>
      </c>
      <c r="G227" s="6">
        <v>40</v>
      </c>
    </row>
    <row r="228" spans="1:7" x14ac:dyDescent="0.2">
      <c r="A228">
        <v>227</v>
      </c>
      <c r="B228">
        <v>8</v>
      </c>
      <c r="C228" t="s">
        <v>226</v>
      </c>
      <c r="D228" t="s">
        <v>900</v>
      </c>
      <c r="E228">
        <v>-2.3282707476361502</v>
      </c>
      <c r="F228">
        <f>VLOOKUP(C228,'[1]phenotypes-895'!$A$2:$G$896,7,FALSE)</f>
        <v>98</v>
      </c>
    </row>
    <row r="229" spans="1:7" x14ac:dyDescent="0.2">
      <c r="A229">
        <v>228</v>
      </c>
      <c r="B229">
        <v>4</v>
      </c>
      <c r="C229" t="s">
        <v>227</v>
      </c>
      <c r="D229" t="s">
        <v>900</v>
      </c>
      <c r="E229">
        <v>-3.07535264391209</v>
      </c>
      <c r="F229">
        <f>VLOOKUP(C229,'[1]phenotypes-895'!$A$2:$G$896,7,FALSE)</f>
        <v>80</v>
      </c>
    </row>
    <row r="230" spans="1:7" x14ac:dyDescent="0.2">
      <c r="A230">
        <v>229</v>
      </c>
      <c r="B230">
        <v>15</v>
      </c>
      <c r="C230" t="s">
        <v>228</v>
      </c>
      <c r="D230" t="s">
        <v>899</v>
      </c>
      <c r="E230">
        <v>-11.657213581679001</v>
      </c>
      <c r="F230">
        <f>VLOOKUP(C230,'[1]phenotypes-895'!$A$2:$G$896,7,FALSE)</f>
        <v>58</v>
      </c>
    </row>
    <row r="231" spans="1:7" x14ac:dyDescent="0.2">
      <c r="A231">
        <v>230</v>
      </c>
      <c r="B231">
        <v>13</v>
      </c>
      <c r="C231" t="s">
        <v>229</v>
      </c>
      <c r="D231" t="s">
        <v>899</v>
      </c>
      <c r="E231">
        <v>-4.0598081112018196</v>
      </c>
      <c r="F231">
        <f>VLOOKUP(C231,'[1]phenotypes-895'!$A$2:$G$896,7,FALSE)</f>
        <v>98</v>
      </c>
    </row>
    <row r="232" spans="1:7" x14ac:dyDescent="0.2">
      <c r="A232">
        <v>231</v>
      </c>
      <c r="B232">
        <v>11</v>
      </c>
      <c r="C232" t="s">
        <v>230</v>
      </c>
      <c r="D232" t="s">
        <v>899</v>
      </c>
      <c r="E232">
        <v>1.55127117701536</v>
      </c>
      <c r="F232">
        <f>VLOOKUP(C232,'[1]phenotypes-895'!$A$2:$G$896,7,FALSE)</f>
        <v>98</v>
      </c>
      <c r="G232" s="6">
        <v>50</v>
      </c>
    </row>
    <row r="233" spans="1:7" x14ac:dyDescent="0.2">
      <c r="A233">
        <v>232</v>
      </c>
      <c r="B233">
        <v>2</v>
      </c>
      <c r="C233" t="s">
        <v>231</v>
      </c>
      <c r="D233" t="s">
        <v>900</v>
      </c>
      <c r="E233">
        <v>-6.17135899162363</v>
      </c>
      <c r="F233">
        <f>VLOOKUP(C233,'[1]phenotypes-895'!$A$2:$G$896,7,FALSE)</f>
        <v>63</v>
      </c>
    </row>
    <row r="234" spans="1:7" x14ac:dyDescent="0.2">
      <c r="A234">
        <v>233</v>
      </c>
      <c r="B234">
        <v>14</v>
      </c>
      <c r="C234" t="s">
        <v>232</v>
      </c>
      <c r="D234" t="s">
        <v>899</v>
      </c>
      <c r="E234">
        <v>-1.99874646695483</v>
      </c>
      <c r="F234">
        <f>VLOOKUP(C234,'[1]phenotypes-895'!$A$2:$G$896,7,FALSE)</f>
        <v>84</v>
      </c>
    </row>
    <row r="235" spans="1:7" x14ac:dyDescent="0.2">
      <c r="A235">
        <v>234</v>
      </c>
      <c r="B235">
        <v>17</v>
      </c>
      <c r="C235" t="s">
        <v>233</v>
      </c>
      <c r="D235" t="s">
        <v>899</v>
      </c>
      <c r="E235">
        <v>-3.0910391807217801</v>
      </c>
      <c r="F235">
        <f>VLOOKUP(C235,'[1]phenotypes-895'!$A$2:$G$896,7,FALSE)</f>
        <v>98</v>
      </c>
    </row>
    <row r="236" spans="1:7" x14ac:dyDescent="0.2">
      <c r="A236">
        <v>235</v>
      </c>
      <c r="B236">
        <v>19</v>
      </c>
      <c r="C236" t="s">
        <v>234</v>
      </c>
      <c r="D236" t="s">
        <v>899</v>
      </c>
      <c r="E236">
        <v>-9.3487994934135408</v>
      </c>
      <c r="F236">
        <f>VLOOKUP(C236,'[1]phenotypes-895'!$A$2:$G$896,7,FALSE)</f>
        <v>61</v>
      </c>
    </row>
    <row r="237" spans="1:7" x14ac:dyDescent="0.2">
      <c r="A237">
        <v>236</v>
      </c>
      <c r="B237">
        <v>14</v>
      </c>
      <c r="C237" t="s">
        <v>235</v>
      </c>
      <c r="D237" t="s">
        <v>899</v>
      </c>
      <c r="E237">
        <v>-2.98917181709928</v>
      </c>
      <c r="F237">
        <f>VLOOKUP(C237,'[1]phenotypes-895'!$A$2:$G$896,7,FALSE)</f>
        <v>72</v>
      </c>
    </row>
    <row r="238" spans="1:7" x14ac:dyDescent="0.2">
      <c r="A238">
        <v>237</v>
      </c>
      <c r="B238">
        <v>10</v>
      </c>
      <c r="C238" t="s">
        <v>236</v>
      </c>
      <c r="D238" t="s">
        <v>899</v>
      </c>
      <c r="E238">
        <v>-1.41612409490781</v>
      </c>
      <c r="F238">
        <f>VLOOKUP(C238,'[1]phenotypes-895'!$A$2:$G$896,7,FALSE)</f>
        <v>79</v>
      </c>
    </row>
    <row r="239" spans="1:7" x14ac:dyDescent="0.2">
      <c r="A239">
        <v>238</v>
      </c>
      <c r="B239">
        <v>17</v>
      </c>
      <c r="C239" t="s">
        <v>237</v>
      </c>
      <c r="D239" t="s">
        <v>899</v>
      </c>
      <c r="E239">
        <v>-3.61090259609032</v>
      </c>
      <c r="F239">
        <f>VLOOKUP(C239,'[1]phenotypes-895'!$A$2:$G$896,7,FALSE)</f>
        <v>63</v>
      </c>
    </row>
    <row r="240" spans="1:7" x14ac:dyDescent="0.2">
      <c r="A240">
        <v>239</v>
      </c>
      <c r="B240">
        <v>2</v>
      </c>
      <c r="C240" t="s">
        <v>238</v>
      </c>
      <c r="D240" t="s">
        <v>900</v>
      </c>
      <c r="E240">
        <v>-5.2793054925368699</v>
      </c>
      <c r="F240">
        <f>VLOOKUP(C240,'[1]phenotypes-895'!$A$2:$G$896,7,FALSE)</f>
        <v>53</v>
      </c>
    </row>
    <row r="241" spans="1:7" x14ac:dyDescent="0.2">
      <c r="A241">
        <v>240</v>
      </c>
      <c r="B241">
        <v>6</v>
      </c>
      <c r="C241" t="s">
        <v>239</v>
      </c>
      <c r="D241" t="s">
        <v>900</v>
      </c>
      <c r="E241">
        <v>1.17739223536097</v>
      </c>
      <c r="F241">
        <f>VLOOKUP(C241,'[1]phenotypes-895'!$A$2:$G$896,7,FALSE)</f>
        <v>98</v>
      </c>
      <c r="G241" s="6">
        <v>50</v>
      </c>
    </row>
    <row r="242" spans="1:7" x14ac:dyDescent="0.2">
      <c r="A242">
        <v>241</v>
      </c>
      <c r="B242">
        <v>19</v>
      </c>
      <c r="C242" t="s">
        <v>240</v>
      </c>
      <c r="D242" t="s">
        <v>899</v>
      </c>
      <c r="E242">
        <v>-8.3380995503874296</v>
      </c>
      <c r="F242">
        <f>VLOOKUP(C242,'[1]phenotypes-895'!$A$2:$G$896,7,FALSE)</f>
        <v>71</v>
      </c>
    </row>
    <row r="243" spans="1:7" x14ac:dyDescent="0.2">
      <c r="A243">
        <v>242</v>
      </c>
      <c r="B243">
        <v>12</v>
      </c>
      <c r="C243" t="s">
        <v>241</v>
      </c>
      <c r="D243" t="s">
        <v>899</v>
      </c>
      <c r="E243">
        <v>4.4120138876512298</v>
      </c>
      <c r="F243">
        <f>VLOOKUP(C243,'[1]phenotypes-895'!$A$2:$G$896,7,FALSE)</f>
        <v>69</v>
      </c>
      <c r="G243" s="6">
        <v>30</v>
      </c>
    </row>
    <row r="244" spans="1:7" x14ac:dyDescent="0.2">
      <c r="A244">
        <v>243</v>
      </c>
      <c r="B244">
        <v>2</v>
      </c>
      <c r="C244" t="s">
        <v>242</v>
      </c>
      <c r="D244" t="s">
        <v>900</v>
      </c>
      <c r="E244">
        <v>-4.9938290511946599</v>
      </c>
      <c r="F244">
        <f>VLOOKUP(C244,'[1]phenotypes-895'!$A$2:$G$896,7,FALSE)</f>
        <v>98</v>
      </c>
    </row>
    <row r="245" spans="1:7" x14ac:dyDescent="0.2">
      <c r="A245">
        <v>244</v>
      </c>
      <c r="B245">
        <v>5</v>
      </c>
      <c r="C245" t="s">
        <v>243</v>
      </c>
      <c r="D245" t="s">
        <v>900</v>
      </c>
      <c r="E245">
        <v>-4.9871211804191304</v>
      </c>
      <c r="F245">
        <f>VLOOKUP(C245,'[1]phenotypes-895'!$A$2:$G$896,7,FALSE)</f>
        <v>98</v>
      </c>
    </row>
    <row r="246" spans="1:7" x14ac:dyDescent="0.2">
      <c r="A246">
        <v>245</v>
      </c>
      <c r="B246">
        <v>18</v>
      </c>
      <c r="C246" t="s">
        <v>244</v>
      </c>
      <c r="D246" t="s">
        <v>899</v>
      </c>
      <c r="E246">
        <v>-2.5722303223269498</v>
      </c>
      <c r="F246">
        <f>VLOOKUP(C246,'[1]phenotypes-895'!$A$2:$G$896,7,FALSE)</f>
        <v>63</v>
      </c>
    </row>
    <row r="247" spans="1:7" x14ac:dyDescent="0.2">
      <c r="A247">
        <v>246</v>
      </c>
      <c r="B247">
        <v>6</v>
      </c>
      <c r="C247" t="s">
        <v>245</v>
      </c>
      <c r="D247" t="s">
        <v>900</v>
      </c>
      <c r="E247">
        <v>-7.1519695429199501</v>
      </c>
      <c r="F247">
        <f>VLOOKUP(C247,'[1]phenotypes-895'!$A$2:$G$896,7,FALSE)</f>
        <v>60</v>
      </c>
    </row>
    <row r="248" spans="1:7" x14ac:dyDescent="0.2">
      <c r="A248">
        <v>247</v>
      </c>
      <c r="B248">
        <v>1</v>
      </c>
      <c r="C248" t="s">
        <v>246</v>
      </c>
      <c r="D248" t="s">
        <v>900</v>
      </c>
      <c r="E248">
        <v>-3.8012345342323401</v>
      </c>
      <c r="F248">
        <f>VLOOKUP(C248,'[1]phenotypes-895'!$A$2:$G$896,7,FALSE)</f>
        <v>98</v>
      </c>
    </row>
    <row r="249" spans="1:7" x14ac:dyDescent="0.2">
      <c r="A249">
        <v>248</v>
      </c>
      <c r="B249">
        <v>10</v>
      </c>
      <c r="C249" t="s">
        <v>247</v>
      </c>
      <c r="D249" t="s">
        <v>899</v>
      </c>
      <c r="E249">
        <v>-1.98843004002574</v>
      </c>
      <c r="F249">
        <f>VLOOKUP(C249,'[1]phenotypes-895'!$A$2:$G$896,7,FALSE)</f>
        <v>98</v>
      </c>
    </row>
    <row r="250" spans="1:7" x14ac:dyDescent="0.2">
      <c r="A250">
        <v>249</v>
      </c>
      <c r="B250">
        <v>10</v>
      </c>
      <c r="C250" t="s">
        <v>248</v>
      </c>
      <c r="D250" t="s">
        <v>899</v>
      </c>
      <c r="E250">
        <v>-4.1491662682661197</v>
      </c>
      <c r="F250">
        <f>VLOOKUP(C250,'[1]phenotypes-895'!$A$2:$G$896,7,FALSE)</f>
        <v>56</v>
      </c>
    </row>
    <row r="251" spans="1:7" x14ac:dyDescent="0.2">
      <c r="A251">
        <v>250</v>
      </c>
      <c r="B251">
        <v>16</v>
      </c>
      <c r="C251" t="s">
        <v>249</v>
      </c>
      <c r="D251" t="s">
        <v>899</v>
      </c>
      <c r="E251">
        <v>-6.2831980555121696</v>
      </c>
      <c r="F251">
        <f>VLOOKUP(C251,'[1]phenotypes-895'!$A$2:$G$896,7,FALSE)</f>
        <v>64</v>
      </c>
    </row>
    <row r="252" spans="1:7" x14ac:dyDescent="0.2">
      <c r="A252">
        <v>251</v>
      </c>
      <c r="B252">
        <v>34</v>
      </c>
      <c r="C252" t="s">
        <v>250</v>
      </c>
      <c r="D252" t="s">
        <v>900</v>
      </c>
      <c r="E252">
        <v>-8.0513514737307101</v>
      </c>
      <c r="F252">
        <f>VLOOKUP(C252,'[1]phenotypes-895'!$A$2:$G$896,7,FALSE)</f>
        <v>47</v>
      </c>
    </row>
    <row r="253" spans="1:7" x14ac:dyDescent="0.2">
      <c r="A253">
        <v>252</v>
      </c>
      <c r="B253">
        <v>1</v>
      </c>
      <c r="C253" t="s">
        <v>251</v>
      </c>
      <c r="D253" t="s">
        <v>900</v>
      </c>
      <c r="E253">
        <v>-9.6832505218957401</v>
      </c>
      <c r="F253">
        <f>VLOOKUP(C253,'[1]phenotypes-895'!$A$2:$G$896,7,FALSE)</f>
        <v>63</v>
      </c>
    </row>
    <row r="254" spans="1:7" x14ac:dyDescent="0.2">
      <c r="A254">
        <v>253</v>
      </c>
      <c r="B254">
        <v>22</v>
      </c>
      <c r="C254" t="s">
        <v>252</v>
      </c>
      <c r="D254" t="s">
        <v>900</v>
      </c>
      <c r="E254">
        <v>1.31848610071439</v>
      </c>
      <c r="F254">
        <f>VLOOKUP(C254,'[1]phenotypes-895'!$A$2:$G$896,7,FALSE)</f>
        <v>98</v>
      </c>
      <c r="G254" s="6">
        <v>50</v>
      </c>
    </row>
    <row r="255" spans="1:7" x14ac:dyDescent="0.2">
      <c r="A255">
        <v>254</v>
      </c>
      <c r="B255">
        <v>11</v>
      </c>
      <c r="C255" t="s">
        <v>253</v>
      </c>
      <c r="D255" t="s">
        <v>899</v>
      </c>
      <c r="E255">
        <v>-5.7517288728335902</v>
      </c>
      <c r="F255">
        <f>VLOOKUP(C255,'[1]phenotypes-895'!$A$2:$G$896,7,FALSE)</f>
        <v>51</v>
      </c>
    </row>
    <row r="256" spans="1:7" x14ac:dyDescent="0.2">
      <c r="A256">
        <v>255</v>
      </c>
      <c r="B256">
        <v>50</v>
      </c>
      <c r="C256" t="s">
        <v>254</v>
      </c>
      <c r="D256" t="s">
        <v>899</v>
      </c>
      <c r="E256">
        <v>6.1232999734670104</v>
      </c>
      <c r="F256">
        <f>VLOOKUP(C256,'[1]phenotypes-895'!$A$2:$G$896,7,FALSE)</f>
        <v>79</v>
      </c>
      <c r="G256" s="6">
        <v>20</v>
      </c>
    </row>
    <row r="257" spans="1:7" x14ac:dyDescent="0.2">
      <c r="A257">
        <v>256</v>
      </c>
      <c r="B257">
        <v>2</v>
      </c>
      <c r="C257" t="s">
        <v>255</v>
      </c>
      <c r="D257" t="s">
        <v>900</v>
      </c>
      <c r="E257">
        <v>-10.123489634552</v>
      </c>
      <c r="F257">
        <f>VLOOKUP(C257,'[1]phenotypes-895'!$A$2:$G$896,7,FALSE)</f>
        <v>62</v>
      </c>
    </row>
    <row r="258" spans="1:7" x14ac:dyDescent="0.2">
      <c r="A258">
        <v>257</v>
      </c>
      <c r="B258">
        <v>50</v>
      </c>
      <c r="C258" t="s">
        <v>256</v>
      </c>
      <c r="D258" t="s">
        <v>899</v>
      </c>
      <c r="E258">
        <v>4.1394719220485401</v>
      </c>
      <c r="F258">
        <f>VLOOKUP(C258,'[1]phenotypes-895'!$A$2:$G$896,7,FALSE)</f>
        <v>62</v>
      </c>
      <c r="G258" s="6">
        <v>30</v>
      </c>
    </row>
    <row r="259" spans="1:7" x14ac:dyDescent="0.2">
      <c r="A259">
        <v>258</v>
      </c>
      <c r="B259">
        <v>17</v>
      </c>
      <c r="C259" t="s">
        <v>257</v>
      </c>
      <c r="D259" t="s">
        <v>899</v>
      </c>
      <c r="E259">
        <v>-5.3215496516374801</v>
      </c>
      <c r="F259">
        <f>VLOOKUP(C259,'[1]phenotypes-895'!$A$2:$G$896,7,FALSE)</f>
        <v>67</v>
      </c>
    </row>
    <row r="260" spans="1:7" x14ac:dyDescent="0.2">
      <c r="A260">
        <v>259</v>
      </c>
      <c r="B260">
        <v>24</v>
      </c>
      <c r="C260" t="s">
        <v>258</v>
      </c>
      <c r="D260" t="s">
        <v>900</v>
      </c>
      <c r="E260">
        <v>-5.4428301031096797</v>
      </c>
      <c r="F260">
        <f>VLOOKUP(C260,'[1]phenotypes-895'!$A$2:$G$896,7,FALSE)</f>
        <v>84</v>
      </c>
    </row>
    <row r="261" spans="1:7" x14ac:dyDescent="0.2">
      <c r="A261">
        <v>260</v>
      </c>
      <c r="B261">
        <v>11</v>
      </c>
      <c r="C261" t="s">
        <v>259</v>
      </c>
      <c r="D261" t="s">
        <v>899</v>
      </c>
      <c r="E261">
        <v>-4.9088073412899096</v>
      </c>
      <c r="F261">
        <f>VLOOKUP(C261,'[1]phenotypes-895'!$A$2:$G$896,7,FALSE)</f>
        <v>59</v>
      </c>
    </row>
    <row r="262" spans="1:7" x14ac:dyDescent="0.2">
      <c r="A262">
        <v>261</v>
      </c>
      <c r="B262">
        <v>42</v>
      </c>
      <c r="C262" t="s">
        <v>260</v>
      </c>
      <c r="D262" t="s">
        <v>899</v>
      </c>
      <c r="E262">
        <v>6.0934959558863904</v>
      </c>
      <c r="F262">
        <f>VLOOKUP(C262,'[1]phenotypes-895'!$A$2:$G$896,7,FALSE)</f>
        <v>71</v>
      </c>
      <c r="G262" s="6">
        <v>20</v>
      </c>
    </row>
    <row r="263" spans="1:7" x14ac:dyDescent="0.2">
      <c r="A263">
        <v>262</v>
      </c>
      <c r="B263">
        <v>14</v>
      </c>
      <c r="C263" t="s">
        <v>261</v>
      </c>
      <c r="D263" t="s">
        <v>899</v>
      </c>
      <c r="E263">
        <v>-1.67404658229685</v>
      </c>
      <c r="F263">
        <f>VLOOKUP(C263,'[1]phenotypes-895'!$A$2:$G$896,7,FALSE)</f>
        <v>63</v>
      </c>
    </row>
    <row r="264" spans="1:7" x14ac:dyDescent="0.2">
      <c r="A264">
        <v>263</v>
      </c>
      <c r="B264">
        <v>34</v>
      </c>
      <c r="C264" t="s">
        <v>262</v>
      </c>
      <c r="D264" t="s">
        <v>900</v>
      </c>
      <c r="E264">
        <v>-1.29132726179807</v>
      </c>
      <c r="F264">
        <f>VLOOKUP(C264,'[1]phenotypes-895'!$A$2:$G$896,7,FALSE)</f>
        <v>77</v>
      </c>
    </row>
    <row r="265" spans="1:7" x14ac:dyDescent="0.2">
      <c r="A265">
        <v>264</v>
      </c>
      <c r="B265">
        <v>15</v>
      </c>
      <c r="C265" t="s">
        <v>263</v>
      </c>
      <c r="D265" t="s">
        <v>899</v>
      </c>
      <c r="E265">
        <v>-12.0424741646602</v>
      </c>
      <c r="F265">
        <f>VLOOKUP(C265,'[1]phenotypes-895'!$A$2:$G$896,7,FALSE)</f>
        <v>53</v>
      </c>
    </row>
    <row r="266" spans="1:7" x14ac:dyDescent="0.2">
      <c r="A266">
        <v>265</v>
      </c>
      <c r="B266">
        <v>47</v>
      </c>
      <c r="C266" t="s">
        <v>264</v>
      </c>
      <c r="D266" t="s">
        <v>899</v>
      </c>
      <c r="E266">
        <v>5.5931269453102699</v>
      </c>
      <c r="F266">
        <f>VLOOKUP(C266,'[1]phenotypes-895'!$A$2:$G$896,7,FALSE)</f>
        <v>98</v>
      </c>
      <c r="G266" s="6">
        <v>20</v>
      </c>
    </row>
    <row r="267" spans="1:7" x14ac:dyDescent="0.2">
      <c r="A267">
        <v>266</v>
      </c>
      <c r="B267">
        <v>10</v>
      </c>
      <c r="C267" t="s">
        <v>265</v>
      </c>
      <c r="D267" t="s">
        <v>899</v>
      </c>
      <c r="E267">
        <v>-2.9514481431277</v>
      </c>
      <c r="F267">
        <f>VLOOKUP(C267,'[1]phenotypes-895'!$A$2:$G$896,7,FALSE)</f>
        <v>50</v>
      </c>
    </row>
    <row r="268" spans="1:7" x14ac:dyDescent="0.2">
      <c r="A268">
        <v>267</v>
      </c>
      <c r="B268">
        <v>43</v>
      </c>
      <c r="C268" t="s">
        <v>266</v>
      </c>
      <c r="D268" t="s">
        <v>899</v>
      </c>
      <c r="E268">
        <v>-0.47816199257666803</v>
      </c>
      <c r="F268">
        <f>VLOOKUP(C268,'[1]phenotypes-895'!$A$2:$G$896,7,FALSE)</f>
        <v>54</v>
      </c>
    </row>
    <row r="269" spans="1:7" x14ac:dyDescent="0.2">
      <c r="A269">
        <v>268</v>
      </c>
      <c r="B269">
        <v>19</v>
      </c>
      <c r="C269" t="s">
        <v>267</v>
      </c>
      <c r="D269" t="s">
        <v>899</v>
      </c>
      <c r="E269">
        <v>-10.2977045841084</v>
      </c>
      <c r="F269">
        <f>VLOOKUP(C269,'[1]phenotypes-895'!$A$2:$G$896,7,FALSE)</f>
        <v>50</v>
      </c>
    </row>
    <row r="270" spans="1:7" x14ac:dyDescent="0.2">
      <c r="A270">
        <v>269</v>
      </c>
      <c r="B270">
        <v>50</v>
      </c>
      <c r="C270" t="s">
        <v>268</v>
      </c>
      <c r="D270" t="s">
        <v>899</v>
      </c>
      <c r="E270">
        <v>7.8537169743167201</v>
      </c>
      <c r="F270">
        <f>VLOOKUP(C270,'[1]phenotypes-895'!$A$2:$G$896,7,FALSE)</f>
        <v>76</v>
      </c>
      <c r="G270" s="6">
        <v>5</v>
      </c>
    </row>
    <row r="271" spans="1:7" x14ac:dyDescent="0.2">
      <c r="A271">
        <v>270</v>
      </c>
      <c r="B271">
        <v>19</v>
      </c>
      <c r="C271" t="s">
        <v>269</v>
      </c>
      <c r="D271" t="s">
        <v>899</v>
      </c>
      <c r="E271">
        <v>-11.214965656556901</v>
      </c>
      <c r="F271">
        <f>VLOOKUP(C271,'[1]phenotypes-895'!$A$2:$G$896,7,FALSE)</f>
        <v>56</v>
      </c>
    </row>
    <row r="272" spans="1:7" x14ac:dyDescent="0.2">
      <c r="A272">
        <v>271</v>
      </c>
      <c r="B272">
        <v>32</v>
      </c>
      <c r="C272" t="s">
        <v>270</v>
      </c>
      <c r="D272" t="s">
        <v>900</v>
      </c>
      <c r="E272">
        <v>0.30007593050610198</v>
      </c>
      <c r="F272">
        <f>VLOOKUP(C272,'[1]phenotypes-895'!$A$2:$G$896,7,FALSE)</f>
        <v>98</v>
      </c>
      <c r="G272" s="5"/>
    </row>
    <row r="273" spans="1:7" x14ac:dyDescent="0.2">
      <c r="A273">
        <v>272</v>
      </c>
      <c r="B273">
        <v>19</v>
      </c>
      <c r="C273" t="s">
        <v>271</v>
      </c>
      <c r="D273" t="s">
        <v>899</v>
      </c>
      <c r="E273">
        <v>-10.233112773681</v>
      </c>
      <c r="F273">
        <f>VLOOKUP(C273,'[1]phenotypes-895'!$A$2:$G$896,7,FALSE)</f>
        <v>60</v>
      </c>
    </row>
    <row r="274" spans="1:7" x14ac:dyDescent="0.2">
      <c r="A274">
        <v>273</v>
      </c>
      <c r="B274">
        <v>5</v>
      </c>
      <c r="C274" t="s">
        <v>272</v>
      </c>
      <c r="D274" t="s">
        <v>900</v>
      </c>
      <c r="E274">
        <v>-10.0802905834945</v>
      </c>
      <c r="F274">
        <f>VLOOKUP(C274,'[1]phenotypes-895'!$A$2:$G$896,7,FALSE)</f>
        <v>50</v>
      </c>
    </row>
    <row r="275" spans="1:7" x14ac:dyDescent="0.2">
      <c r="A275">
        <v>274</v>
      </c>
      <c r="B275">
        <v>2</v>
      </c>
      <c r="C275" t="s">
        <v>273</v>
      </c>
      <c r="D275" t="s">
        <v>900</v>
      </c>
      <c r="E275">
        <v>4.7850291050818798</v>
      </c>
      <c r="F275">
        <f>VLOOKUP(C275,'[1]phenotypes-895'!$A$2:$G$896,7,FALSE)</f>
        <v>98</v>
      </c>
      <c r="G275" s="6">
        <v>20</v>
      </c>
    </row>
    <row r="276" spans="1:7" x14ac:dyDescent="0.2">
      <c r="A276">
        <v>275</v>
      </c>
      <c r="B276">
        <v>2</v>
      </c>
      <c r="C276" t="s">
        <v>274</v>
      </c>
      <c r="D276" t="s">
        <v>900</v>
      </c>
      <c r="E276">
        <v>-8.9865784871038308</v>
      </c>
      <c r="F276">
        <f>VLOOKUP(C276,'[1]phenotypes-895'!$A$2:$G$896,7,FALSE)</f>
        <v>56</v>
      </c>
    </row>
    <row r="277" spans="1:7" x14ac:dyDescent="0.2">
      <c r="A277">
        <v>276</v>
      </c>
      <c r="B277">
        <v>6</v>
      </c>
      <c r="C277" t="s">
        <v>275</v>
      </c>
      <c r="D277" t="s">
        <v>900</v>
      </c>
      <c r="E277">
        <v>-2.46444238209759</v>
      </c>
      <c r="F277">
        <f>VLOOKUP(C277,'[1]phenotypes-895'!$A$2:$G$896,7,FALSE)</f>
        <v>98</v>
      </c>
      <c r="G277" s="5"/>
    </row>
    <row r="278" spans="1:7" x14ac:dyDescent="0.2">
      <c r="A278">
        <v>277</v>
      </c>
      <c r="B278">
        <v>10</v>
      </c>
      <c r="C278" t="s">
        <v>276</v>
      </c>
      <c r="D278" t="s">
        <v>899</v>
      </c>
      <c r="E278">
        <v>-2.92685846664572</v>
      </c>
      <c r="F278">
        <f>VLOOKUP(C278,'[1]phenotypes-895'!$A$2:$G$896,7,FALSE)</f>
        <v>56</v>
      </c>
    </row>
    <row r="279" spans="1:7" x14ac:dyDescent="0.2">
      <c r="A279">
        <v>278</v>
      </c>
      <c r="B279">
        <v>5</v>
      </c>
      <c r="C279" t="s">
        <v>277</v>
      </c>
      <c r="D279" t="s">
        <v>900</v>
      </c>
      <c r="E279">
        <v>-5.5675416575316996</v>
      </c>
      <c r="F279">
        <f>VLOOKUP(C279,'[1]phenotypes-895'!$A$2:$G$896,7,FALSE)</f>
        <v>70</v>
      </c>
    </row>
    <row r="280" spans="1:7" x14ac:dyDescent="0.2">
      <c r="A280">
        <v>279</v>
      </c>
      <c r="B280">
        <v>17</v>
      </c>
      <c r="C280" t="s">
        <v>278</v>
      </c>
      <c r="D280" t="s">
        <v>899</v>
      </c>
      <c r="E280">
        <v>-5.6450333050408501</v>
      </c>
      <c r="F280">
        <f>VLOOKUP(C280,'[1]phenotypes-895'!$A$2:$G$896,7,FALSE)</f>
        <v>68</v>
      </c>
    </row>
    <row r="281" spans="1:7" x14ac:dyDescent="0.2">
      <c r="A281">
        <v>280</v>
      </c>
      <c r="B281">
        <v>6</v>
      </c>
      <c r="C281" t="s">
        <v>279</v>
      </c>
      <c r="D281" t="s">
        <v>900</v>
      </c>
      <c r="E281">
        <v>-6.9971815566698501</v>
      </c>
      <c r="F281">
        <f>VLOOKUP(C281,'[1]phenotypes-895'!$A$2:$G$896,7,FALSE)</f>
        <v>57</v>
      </c>
    </row>
    <row r="282" spans="1:7" x14ac:dyDescent="0.2">
      <c r="A282">
        <v>281</v>
      </c>
      <c r="B282">
        <v>2</v>
      </c>
      <c r="C282" t="s">
        <v>280</v>
      </c>
      <c r="D282" t="s">
        <v>900</v>
      </c>
      <c r="E282">
        <v>8.0079656203458693</v>
      </c>
      <c r="F282">
        <f>VLOOKUP(C282,'[1]phenotypes-895'!$A$2:$G$896,7,FALSE)</f>
        <v>98</v>
      </c>
      <c r="G282" s="6">
        <v>4</v>
      </c>
    </row>
    <row r="283" spans="1:7" x14ac:dyDescent="0.2">
      <c r="A283">
        <v>282</v>
      </c>
      <c r="B283">
        <v>7</v>
      </c>
      <c r="C283" t="s">
        <v>281</v>
      </c>
      <c r="D283" t="s">
        <v>900</v>
      </c>
      <c r="E283">
        <v>-3.89283014217912</v>
      </c>
      <c r="F283">
        <f>VLOOKUP(C283,'[1]phenotypes-895'!$A$2:$G$896,7,FALSE)</f>
        <v>62</v>
      </c>
    </row>
    <row r="284" spans="1:7" x14ac:dyDescent="0.2">
      <c r="A284">
        <v>283</v>
      </c>
      <c r="B284">
        <v>17</v>
      </c>
      <c r="C284" t="s">
        <v>282</v>
      </c>
      <c r="D284" t="s">
        <v>899</v>
      </c>
      <c r="E284">
        <v>-7.11121581720524</v>
      </c>
      <c r="F284">
        <f>VLOOKUP(C284,'[1]phenotypes-895'!$A$2:$G$896,7,FALSE)</f>
        <v>53</v>
      </c>
    </row>
    <row r="285" spans="1:7" x14ac:dyDescent="0.2">
      <c r="A285">
        <v>284</v>
      </c>
      <c r="B285">
        <v>16</v>
      </c>
      <c r="C285" t="s">
        <v>283</v>
      </c>
      <c r="D285" t="s">
        <v>899</v>
      </c>
      <c r="E285">
        <v>-3.70988302647645</v>
      </c>
      <c r="F285">
        <f>VLOOKUP(C285,'[1]phenotypes-895'!$A$2:$G$896,7,FALSE)</f>
        <v>66</v>
      </c>
    </row>
    <row r="286" spans="1:7" x14ac:dyDescent="0.2">
      <c r="A286">
        <v>285</v>
      </c>
      <c r="B286">
        <v>6</v>
      </c>
      <c r="C286" t="s">
        <v>284</v>
      </c>
      <c r="D286" t="s">
        <v>900</v>
      </c>
      <c r="E286">
        <v>-3.9178371058660701</v>
      </c>
      <c r="F286">
        <f>VLOOKUP(C286,'[1]phenotypes-895'!$A$2:$G$896,7,FALSE)</f>
        <v>98</v>
      </c>
    </row>
    <row r="287" spans="1:7" x14ac:dyDescent="0.2">
      <c r="A287">
        <v>286</v>
      </c>
      <c r="B287">
        <v>11</v>
      </c>
      <c r="C287" t="s">
        <v>285</v>
      </c>
      <c r="D287" t="s">
        <v>899</v>
      </c>
      <c r="E287">
        <v>4.6182948909053403</v>
      </c>
      <c r="F287">
        <f>VLOOKUP(C287,'[1]phenotypes-895'!$A$2:$G$896,7,FALSE)</f>
        <v>98</v>
      </c>
      <c r="G287" s="6">
        <v>20</v>
      </c>
    </row>
    <row r="288" spans="1:7" x14ac:dyDescent="0.2">
      <c r="A288">
        <v>287</v>
      </c>
      <c r="B288">
        <v>1</v>
      </c>
      <c r="C288" t="s">
        <v>286</v>
      </c>
      <c r="D288" t="s">
        <v>900</v>
      </c>
      <c r="E288">
        <v>-7.2939862899094701</v>
      </c>
      <c r="F288">
        <f>VLOOKUP(C288,'[1]phenotypes-895'!$A$2:$G$896,7,FALSE)</f>
        <v>49</v>
      </c>
    </row>
    <row r="289" spans="1:7" x14ac:dyDescent="0.2">
      <c r="A289">
        <v>288</v>
      </c>
      <c r="B289">
        <v>6</v>
      </c>
      <c r="C289" t="s">
        <v>287</v>
      </c>
      <c r="D289" t="s">
        <v>900</v>
      </c>
      <c r="E289">
        <v>-8.0314360684648101</v>
      </c>
      <c r="F289">
        <f>VLOOKUP(C289,'[1]phenotypes-895'!$A$2:$G$896,7,FALSE)</f>
        <v>57</v>
      </c>
    </row>
    <row r="290" spans="1:7" x14ac:dyDescent="0.2">
      <c r="A290">
        <v>289</v>
      </c>
      <c r="B290">
        <v>2</v>
      </c>
      <c r="C290" t="s">
        <v>288</v>
      </c>
      <c r="D290" t="s">
        <v>900</v>
      </c>
      <c r="E290">
        <v>-10.186917227803299</v>
      </c>
      <c r="F290">
        <f>VLOOKUP(C290,'[1]phenotypes-895'!$A$2:$G$896,7,FALSE)</f>
        <v>53</v>
      </c>
    </row>
    <row r="291" spans="1:7" x14ac:dyDescent="0.2">
      <c r="A291">
        <v>290</v>
      </c>
      <c r="B291">
        <v>5</v>
      </c>
      <c r="C291" t="s">
        <v>289</v>
      </c>
      <c r="D291" t="s">
        <v>900</v>
      </c>
      <c r="E291">
        <v>-9.4915277037809993</v>
      </c>
      <c r="F291">
        <f>VLOOKUP(C291,'[1]phenotypes-895'!$A$2:$G$896,7,FALSE)</f>
        <v>66</v>
      </c>
    </row>
    <row r="292" spans="1:7" x14ac:dyDescent="0.2">
      <c r="A292">
        <v>291</v>
      </c>
      <c r="B292">
        <v>16</v>
      </c>
      <c r="C292" t="s">
        <v>290</v>
      </c>
      <c r="D292" t="s">
        <v>899</v>
      </c>
      <c r="E292">
        <v>-4.1411158071052299</v>
      </c>
      <c r="F292">
        <f>VLOOKUP(C292,'[1]phenotypes-895'!$A$2:$G$896,7,FALSE)</f>
        <v>98</v>
      </c>
    </row>
    <row r="293" spans="1:7" x14ac:dyDescent="0.2">
      <c r="A293">
        <v>292</v>
      </c>
      <c r="B293">
        <v>7</v>
      </c>
      <c r="C293" t="s">
        <v>291</v>
      </c>
      <c r="D293" t="s">
        <v>900</v>
      </c>
      <c r="E293">
        <v>0.23204530596560899</v>
      </c>
      <c r="F293">
        <f>VLOOKUP(C293,'[1]phenotypes-895'!$A$2:$G$896,7,FALSE)</f>
        <v>79</v>
      </c>
      <c r="G293" s="5"/>
    </row>
    <row r="294" spans="1:7" x14ac:dyDescent="0.2">
      <c r="A294">
        <v>293</v>
      </c>
      <c r="B294">
        <v>7</v>
      </c>
      <c r="C294" t="s">
        <v>292</v>
      </c>
      <c r="D294" t="s">
        <v>900</v>
      </c>
      <c r="E294">
        <v>1.6851952636954499</v>
      </c>
      <c r="F294">
        <f>VLOOKUP(C294,'[1]phenotypes-895'!$A$2:$G$896,7,FALSE)</f>
        <v>98</v>
      </c>
      <c r="G294" s="6">
        <v>50</v>
      </c>
    </row>
    <row r="295" spans="1:7" x14ac:dyDescent="0.2">
      <c r="A295">
        <v>294</v>
      </c>
      <c r="B295">
        <v>15</v>
      </c>
      <c r="C295" t="s">
        <v>293</v>
      </c>
      <c r="D295" t="s">
        <v>899</v>
      </c>
      <c r="E295">
        <v>-10.2035800768714</v>
      </c>
      <c r="F295">
        <f>VLOOKUP(C295,'[1]phenotypes-895'!$A$2:$G$896,7,FALSE)</f>
        <v>58</v>
      </c>
    </row>
    <row r="296" spans="1:7" x14ac:dyDescent="0.2">
      <c r="A296">
        <v>295</v>
      </c>
      <c r="B296">
        <v>15</v>
      </c>
      <c r="C296" t="s">
        <v>294</v>
      </c>
      <c r="D296" t="s">
        <v>899</v>
      </c>
      <c r="E296">
        <v>-1.3385766904441601</v>
      </c>
      <c r="F296">
        <f>VLOOKUP(C296,'[1]phenotypes-895'!$A$2:$G$896,7,FALSE)</f>
        <v>98</v>
      </c>
    </row>
    <row r="297" spans="1:7" x14ac:dyDescent="0.2">
      <c r="A297">
        <v>296</v>
      </c>
      <c r="B297">
        <v>14</v>
      </c>
      <c r="C297" t="s">
        <v>295</v>
      </c>
      <c r="D297" t="s">
        <v>899</v>
      </c>
      <c r="E297">
        <v>-5.4987733663018696</v>
      </c>
      <c r="F297">
        <f>VLOOKUP(C297,'[1]phenotypes-895'!$A$2:$G$896,7,FALSE)</f>
        <v>43</v>
      </c>
    </row>
    <row r="298" spans="1:7" x14ac:dyDescent="0.2">
      <c r="A298">
        <v>297</v>
      </c>
      <c r="B298">
        <v>4</v>
      </c>
      <c r="C298" t="s">
        <v>296</v>
      </c>
      <c r="D298" t="s">
        <v>900</v>
      </c>
      <c r="E298">
        <v>-2.6665850941284699</v>
      </c>
      <c r="F298">
        <f>VLOOKUP(C298,'[1]phenotypes-895'!$A$2:$G$896,7,FALSE)</f>
        <v>72</v>
      </c>
    </row>
    <row r="299" spans="1:7" x14ac:dyDescent="0.2">
      <c r="A299">
        <v>298</v>
      </c>
      <c r="B299">
        <v>50</v>
      </c>
      <c r="C299" t="s">
        <v>297</v>
      </c>
      <c r="D299" t="s">
        <v>899</v>
      </c>
      <c r="E299">
        <v>4.2711140332084598</v>
      </c>
      <c r="F299">
        <f>VLOOKUP(C299,'[1]phenotypes-895'!$A$2:$G$896,7,FALSE)</f>
        <v>62</v>
      </c>
      <c r="G299" s="6">
        <v>30</v>
      </c>
    </row>
    <row r="300" spans="1:7" x14ac:dyDescent="0.2">
      <c r="A300">
        <v>299</v>
      </c>
      <c r="B300">
        <v>10</v>
      </c>
      <c r="C300" t="s">
        <v>298</v>
      </c>
      <c r="D300" t="s">
        <v>899</v>
      </c>
      <c r="E300">
        <v>-7.1420327551293603</v>
      </c>
      <c r="F300">
        <f>VLOOKUP(C300,'[1]phenotypes-895'!$A$2:$G$896,7,FALSE)</f>
        <v>45</v>
      </c>
    </row>
    <row r="301" spans="1:7" x14ac:dyDescent="0.2">
      <c r="A301">
        <v>300</v>
      </c>
      <c r="B301">
        <v>50</v>
      </c>
      <c r="C301" t="s">
        <v>299</v>
      </c>
      <c r="D301" t="s">
        <v>899</v>
      </c>
      <c r="E301">
        <v>3.4199606221612102</v>
      </c>
      <c r="F301">
        <f>VLOOKUP(C301,'[1]phenotypes-895'!$A$2:$G$896,7,FALSE)</f>
        <v>59</v>
      </c>
      <c r="G301" s="6">
        <v>30</v>
      </c>
    </row>
    <row r="302" spans="1:7" x14ac:dyDescent="0.2">
      <c r="A302">
        <v>301</v>
      </c>
      <c r="B302">
        <v>24</v>
      </c>
      <c r="C302" t="s">
        <v>300</v>
      </c>
      <c r="D302" t="s">
        <v>900</v>
      </c>
      <c r="E302">
        <v>-4.8319849284790903</v>
      </c>
      <c r="F302">
        <f>VLOOKUP(C302,'[1]phenotypes-895'!$A$2:$G$896,7,FALSE)</f>
        <v>76</v>
      </c>
    </row>
    <row r="303" spans="1:7" x14ac:dyDescent="0.2">
      <c r="A303">
        <v>302</v>
      </c>
      <c r="B303">
        <v>13</v>
      </c>
      <c r="C303" t="s">
        <v>301</v>
      </c>
      <c r="D303" t="s">
        <v>899</v>
      </c>
      <c r="E303">
        <v>-3.8276658479738299</v>
      </c>
      <c r="F303">
        <f>VLOOKUP(C303,'[1]phenotypes-895'!$A$2:$G$896,7,FALSE)</f>
        <v>98</v>
      </c>
    </row>
    <row r="304" spans="1:7" x14ac:dyDescent="0.2">
      <c r="A304">
        <v>303</v>
      </c>
      <c r="B304">
        <v>34</v>
      </c>
      <c r="C304" t="s">
        <v>302</v>
      </c>
      <c r="D304" t="s">
        <v>900</v>
      </c>
      <c r="E304">
        <v>-4.2404508540182402</v>
      </c>
      <c r="F304">
        <f>VLOOKUP(C304,'[1]phenotypes-895'!$A$2:$G$896,7,FALSE)</f>
        <v>68</v>
      </c>
    </row>
    <row r="305" spans="1:7" x14ac:dyDescent="0.2">
      <c r="A305">
        <v>304</v>
      </c>
      <c r="B305">
        <v>13</v>
      </c>
      <c r="C305" t="s">
        <v>303</v>
      </c>
      <c r="D305" t="s">
        <v>899</v>
      </c>
      <c r="E305">
        <v>-8.8903004482535408</v>
      </c>
      <c r="F305">
        <f>VLOOKUP(C305,'[1]phenotypes-895'!$A$2:$G$896,7,FALSE)</f>
        <v>49</v>
      </c>
    </row>
    <row r="306" spans="1:7" x14ac:dyDescent="0.2">
      <c r="A306">
        <v>305</v>
      </c>
      <c r="B306">
        <v>37</v>
      </c>
      <c r="C306" t="s">
        <v>304</v>
      </c>
      <c r="D306" t="s">
        <v>900</v>
      </c>
      <c r="E306">
        <v>8.11090689901296</v>
      </c>
      <c r="F306">
        <f>VLOOKUP(C306,'[1]phenotypes-895'!$A$2:$G$896,7,FALSE)</f>
        <v>98</v>
      </c>
      <c r="G306" s="6">
        <v>4</v>
      </c>
    </row>
    <row r="307" spans="1:7" x14ac:dyDescent="0.2">
      <c r="A307">
        <v>306</v>
      </c>
      <c r="B307">
        <v>8</v>
      </c>
      <c r="C307" t="s">
        <v>305</v>
      </c>
      <c r="D307" t="s">
        <v>900</v>
      </c>
      <c r="E307">
        <v>0.29827199351380701</v>
      </c>
      <c r="F307">
        <f>VLOOKUP(C307,'[1]phenotypes-895'!$A$2:$G$896,7,FALSE)</f>
        <v>76</v>
      </c>
      <c r="G307" s="5"/>
    </row>
    <row r="308" spans="1:7" x14ac:dyDescent="0.2">
      <c r="A308">
        <v>307</v>
      </c>
      <c r="B308">
        <v>49</v>
      </c>
      <c r="C308" t="s">
        <v>306</v>
      </c>
      <c r="D308" t="s">
        <v>899</v>
      </c>
      <c r="E308">
        <v>4.1813726903231601</v>
      </c>
      <c r="F308">
        <f>VLOOKUP(C308,'[1]phenotypes-895'!$A$2:$G$896,7,FALSE)</f>
        <v>67</v>
      </c>
      <c r="G308" s="6">
        <v>30</v>
      </c>
    </row>
    <row r="309" spans="1:7" x14ac:dyDescent="0.2">
      <c r="A309">
        <v>308</v>
      </c>
      <c r="B309">
        <v>7</v>
      </c>
      <c r="C309" t="s">
        <v>307</v>
      </c>
      <c r="D309" t="s">
        <v>900</v>
      </c>
      <c r="E309">
        <v>1.4503442496832499</v>
      </c>
      <c r="F309">
        <f>VLOOKUP(C309,'[1]phenotypes-895'!$A$2:$G$896,7,FALSE)</f>
        <v>98</v>
      </c>
      <c r="G309" s="6">
        <v>50</v>
      </c>
    </row>
    <row r="310" spans="1:7" x14ac:dyDescent="0.2">
      <c r="A310">
        <v>309</v>
      </c>
      <c r="B310">
        <v>51</v>
      </c>
      <c r="C310" t="s">
        <v>308</v>
      </c>
      <c r="D310" t="s">
        <v>899</v>
      </c>
      <c r="E310">
        <v>0.428635639717525</v>
      </c>
      <c r="F310">
        <f>VLOOKUP(C310,'[1]phenotypes-895'!$A$2:$G$896,7,FALSE)</f>
        <v>59</v>
      </c>
    </row>
    <row r="311" spans="1:7" x14ac:dyDescent="0.2">
      <c r="A311">
        <v>310</v>
      </c>
      <c r="B311">
        <v>48</v>
      </c>
      <c r="C311" t="s">
        <v>309</v>
      </c>
      <c r="D311" t="s">
        <v>899</v>
      </c>
      <c r="E311">
        <v>1.3993700994843099</v>
      </c>
      <c r="F311">
        <f>VLOOKUP(C311,'[1]phenotypes-895'!$A$2:$G$896,7,FALSE)</f>
        <v>79</v>
      </c>
      <c r="G311" s="6">
        <v>50</v>
      </c>
    </row>
    <row r="312" spans="1:7" x14ac:dyDescent="0.2">
      <c r="A312">
        <v>311</v>
      </c>
      <c r="B312">
        <v>1</v>
      </c>
      <c r="C312" t="s">
        <v>310</v>
      </c>
      <c r="D312" t="s">
        <v>900</v>
      </c>
      <c r="E312">
        <v>-6.9418395601787797</v>
      </c>
      <c r="F312">
        <f>VLOOKUP(C312,'[1]phenotypes-895'!$A$2:$G$896,7,FALSE)</f>
        <v>37</v>
      </c>
    </row>
    <row r="313" spans="1:7" x14ac:dyDescent="0.2">
      <c r="A313">
        <v>312</v>
      </c>
      <c r="B313">
        <v>22</v>
      </c>
      <c r="C313" t="s">
        <v>311</v>
      </c>
      <c r="D313" t="s">
        <v>900</v>
      </c>
      <c r="E313">
        <v>0.58728950808783298</v>
      </c>
      <c r="F313">
        <f>VLOOKUP(C313,'[1]phenotypes-895'!$A$2:$G$896,7,FALSE)</f>
        <v>61</v>
      </c>
      <c r="G313" s="5"/>
    </row>
    <row r="314" spans="1:7" x14ac:dyDescent="0.2">
      <c r="A314">
        <v>313</v>
      </c>
      <c r="B314">
        <v>3</v>
      </c>
      <c r="C314" t="s">
        <v>312</v>
      </c>
      <c r="D314" t="s">
        <v>900</v>
      </c>
      <c r="E314">
        <v>-6.2309475650424098</v>
      </c>
      <c r="F314">
        <f>VLOOKUP(C314,'[1]phenotypes-895'!$A$2:$G$896,7,FALSE)</f>
        <v>50</v>
      </c>
    </row>
    <row r="315" spans="1:7" x14ac:dyDescent="0.2">
      <c r="A315">
        <v>314</v>
      </c>
      <c r="B315">
        <v>39</v>
      </c>
      <c r="C315" t="s">
        <v>313</v>
      </c>
      <c r="D315" t="s">
        <v>900</v>
      </c>
      <c r="E315">
        <v>2.9332300930667699</v>
      </c>
      <c r="F315">
        <f>VLOOKUP(C315,'[1]phenotypes-895'!$A$2:$G$896,7,FALSE)</f>
        <v>98</v>
      </c>
      <c r="G315" s="6">
        <v>40</v>
      </c>
    </row>
    <row r="316" spans="1:7" x14ac:dyDescent="0.2">
      <c r="A316">
        <v>315</v>
      </c>
      <c r="B316">
        <v>5</v>
      </c>
      <c r="C316" t="s">
        <v>314</v>
      </c>
      <c r="D316" t="s">
        <v>900</v>
      </c>
      <c r="E316">
        <v>-10.806688352507001</v>
      </c>
      <c r="F316">
        <f>VLOOKUP(C316,'[1]phenotypes-895'!$A$2:$G$896,7,FALSE)</f>
        <v>98</v>
      </c>
    </row>
    <row r="317" spans="1:7" x14ac:dyDescent="0.2">
      <c r="A317">
        <v>316</v>
      </c>
      <c r="B317">
        <v>40</v>
      </c>
      <c r="C317" t="s">
        <v>315</v>
      </c>
      <c r="D317" t="s">
        <v>900</v>
      </c>
      <c r="E317">
        <v>-4.0192582324742796</v>
      </c>
      <c r="F317">
        <f>VLOOKUP(C317,'[1]phenotypes-895'!$A$2:$G$896,7,FALSE)</f>
        <v>68</v>
      </c>
    </row>
    <row r="318" spans="1:7" x14ac:dyDescent="0.2">
      <c r="A318">
        <v>317</v>
      </c>
      <c r="B318">
        <v>16</v>
      </c>
      <c r="C318" t="s">
        <v>316</v>
      </c>
      <c r="D318" t="s">
        <v>899</v>
      </c>
      <c r="E318">
        <v>-6.5571245751076104</v>
      </c>
      <c r="F318">
        <f>VLOOKUP(C318,'[1]phenotypes-895'!$A$2:$G$896,7,FALSE)</f>
        <v>49</v>
      </c>
    </row>
    <row r="319" spans="1:7" x14ac:dyDescent="0.2">
      <c r="A319">
        <v>318</v>
      </c>
      <c r="B319">
        <v>9</v>
      </c>
      <c r="C319" t="s">
        <v>317</v>
      </c>
      <c r="D319" t="s">
        <v>899</v>
      </c>
      <c r="E319">
        <v>0.24494797116091999</v>
      </c>
      <c r="F319">
        <f>VLOOKUP(C319,'[1]phenotypes-895'!$A$2:$G$896,7,FALSE)</f>
        <v>98</v>
      </c>
    </row>
    <row r="320" spans="1:7" x14ac:dyDescent="0.2">
      <c r="A320">
        <v>319</v>
      </c>
      <c r="B320">
        <v>3</v>
      </c>
      <c r="C320" t="s">
        <v>318</v>
      </c>
      <c r="D320" t="s">
        <v>900</v>
      </c>
      <c r="E320">
        <v>-3.95861067926556</v>
      </c>
      <c r="F320">
        <f>VLOOKUP(C320,'[1]phenotypes-895'!$A$2:$G$896,7,FALSE)</f>
        <v>64</v>
      </c>
    </row>
    <row r="321" spans="1:7" x14ac:dyDescent="0.2">
      <c r="A321">
        <v>320</v>
      </c>
      <c r="B321">
        <v>8</v>
      </c>
      <c r="C321" t="s">
        <v>319</v>
      </c>
      <c r="D321" t="s">
        <v>900</v>
      </c>
      <c r="E321">
        <v>2.7391499173192999</v>
      </c>
      <c r="F321">
        <f>VLOOKUP(C321,'[1]phenotypes-895'!$A$2:$G$896,7,FALSE)</f>
        <v>98</v>
      </c>
      <c r="G321" s="6">
        <v>40</v>
      </c>
    </row>
    <row r="322" spans="1:7" x14ac:dyDescent="0.2">
      <c r="A322">
        <v>321</v>
      </c>
      <c r="B322">
        <v>20</v>
      </c>
      <c r="C322" t="s">
        <v>320</v>
      </c>
      <c r="D322" t="s">
        <v>899</v>
      </c>
      <c r="E322">
        <v>-0.195761765905415</v>
      </c>
      <c r="F322">
        <f>VLOOKUP(C322,'[1]phenotypes-895'!$A$2:$G$896,7,FALSE)</f>
        <v>72</v>
      </c>
    </row>
    <row r="323" spans="1:7" x14ac:dyDescent="0.2">
      <c r="A323">
        <v>322</v>
      </c>
      <c r="B323">
        <v>11</v>
      </c>
      <c r="C323" t="s">
        <v>321</v>
      </c>
      <c r="D323" t="s">
        <v>899</v>
      </c>
      <c r="E323">
        <v>-7.3085934564957302</v>
      </c>
      <c r="F323">
        <f>VLOOKUP(C323,'[1]phenotypes-895'!$A$2:$G$896,7,FALSE)</f>
        <v>53</v>
      </c>
    </row>
    <row r="324" spans="1:7" x14ac:dyDescent="0.2">
      <c r="A324">
        <v>323</v>
      </c>
      <c r="B324">
        <v>4</v>
      </c>
      <c r="C324" t="s">
        <v>322</v>
      </c>
      <c r="D324" t="s">
        <v>900</v>
      </c>
      <c r="E324">
        <v>-4.2360266207814501</v>
      </c>
      <c r="F324">
        <f>VLOOKUP(C324,'[1]phenotypes-895'!$A$2:$G$896,7,FALSE)</f>
        <v>98</v>
      </c>
    </row>
    <row r="325" spans="1:7" x14ac:dyDescent="0.2">
      <c r="A325">
        <v>324</v>
      </c>
      <c r="B325">
        <v>8</v>
      </c>
      <c r="C325" t="s">
        <v>323</v>
      </c>
      <c r="D325" t="s">
        <v>900</v>
      </c>
      <c r="E325">
        <v>-5.3181431926670699</v>
      </c>
      <c r="F325">
        <f>VLOOKUP(C325,'[1]phenotypes-895'!$A$2:$G$896,7,FALSE)</f>
        <v>53</v>
      </c>
    </row>
    <row r="326" spans="1:7" x14ac:dyDescent="0.2">
      <c r="A326">
        <v>325</v>
      </c>
      <c r="B326">
        <v>5</v>
      </c>
      <c r="C326" t="s">
        <v>324</v>
      </c>
      <c r="D326" t="s">
        <v>900</v>
      </c>
      <c r="E326">
        <v>-10.5569609279134</v>
      </c>
      <c r="F326">
        <f>VLOOKUP(C326,'[1]phenotypes-895'!$A$2:$G$896,7,FALSE)</f>
        <v>57</v>
      </c>
    </row>
    <row r="327" spans="1:7" x14ac:dyDescent="0.2">
      <c r="A327">
        <v>326</v>
      </c>
      <c r="B327">
        <v>16</v>
      </c>
      <c r="C327" t="s">
        <v>325</v>
      </c>
      <c r="D327" t="s">
        <v>899</v>
      </c>
      <c r="E327">
        <v>-8.1478884663129296</v>
      </c>
      <c r="F327">
        <f>VLOOKUP(C327,'[1]phenotypes-895'!$A$2:$G$896,7,FALSE)</f>
        <v>61</v>
      </c>
    </row>
    <row r="328" spans="1:7" x14ac:dyDescent="0.2">
      <c r="A328">
        <v>327</v>
      </c>
      <c r="B328">
        <v>17</v>
      </c>
      <c r="C328" t="s">
        <v>326</v>
      </c>
      <c r="D328" t="s">
        <v>899</v>
      </c>
      <c r="E328">
        <v>-6.9666295526897901</v>
      </c>
      <c r="F328">
        <f>VLOOKUP(C328,'[1]phenotypes-895'!$A$2:$G$896,7,FALSE)</f>
        <v>53</v>
      </c>
    </row>
    <row r="329" spans="1:7" x14ac:dyDescent="0.2">
      <c r="A329">
        <v>328</v>
      </c>
      <c r="B329">
        <v>5</v>
      </c>
      <c r="C329" t="s">
        <v>327</v>
      </c>
      <c r="D329" t="s">
        <v>900</v>
      </c>
      <c r="E329">
        <v>-12.1159949111887</v>
      </c>
      <c r="F329">
        <f>VLOOKUP(C329,'[1]phenotypes-895'!$A$2:$G$896,7,FALSE)</f>
        <v>62</v>
      </c>
    </row>
    <row r="330" spans="1:7" x14ac:dyDescent="0.2">
      <c r="A330">
        <v>329</v>
      </c>
      <c r="B330">
        <v>13</v>
      </c>
      <c r="C330" t="s">
        <v>328</v>
      </c>
      <c r="D330" t="s">
        <v>899</v>
      </c>
      <c r="E330">
        <v>-1.78427150821532</v>
      </c>
      <c r="F330">
        <f>VLOOKUP(C330,'[1]phenotypes-895'!$A$2:$G$896,7,FALSE)</f>
        <v>98</v>
      </c>
    </row>
    <row r="331" spans="1:7" x14ac:dyDescent="0.2">
      <c r="A331">
        <v>330</v>
      </c>
      <c r="B331">
        <v>1</v>
      </c>
      <c r="C331" t="s">
        <v>329</v>
      </c>
      <c r="D331" t="s">
        <v>900</v>
      </c>
      <c r="E331">
        <v>-5.97456861794321</v>
      </c>
      <c r="F331">
        <f>VLOOKUP(C331,'[1]phenotypes-895'!$A$2:$G$896,7,FALSE)</f>
        <v>48</v>
      </c>
    </row>
    <row r="332" spans="1:7" x14ac:dyDescent="0.2">
      <c r="A332">
        <v>331</v>
      </c>
      <c r="B332">
        <v>9</v>
      </c>
      <c r="C332" t="s">
        <v>330</v>
      </c>
      <c r="D332" t="s">
        <v>899</v>
      </c>
      <c r="E332">
        <v>1.3670352111188999</v>
      </c>
      <c r="F332">
        <f>VLOOKUP(C332,'[1]phenotypes-895'!$A$2:$G$896,7,FALSE)</f>
        <v>98</v>
      </c>
      <c r="G332" s="6">
        <v>50</v>
      </c>
    </row>
    <row r="333" spans="1:7" x14ac:dyDescent="0.2">
      <c r="A333">
        <v>332</v>
      </c>
      <c r="B333">
        <v>5</v>
      </c>
      <c r="C333" t="s">
        <v>331</v>
      </c>
      <c r="D333" t="s">
        <v>900</v>
      </c>
      <c r="E333">
        <v>-14.6423800447483</v>
      </c>
      <c r="F333">
        <f>VLOOKUP(C333,'[1]phenotypes-895'!$A$2:$G$896,7,FALSE)</f>
        <v>51</v>
      </c>
    </row>
    <row r="334" spans="1:7" x14ac:dyDescent="0.2">
      <c r="A334">
        <v>333</v>
      </c>
      <c r="B334">
        <v>4</v>
      </c>
      <c r="C334" t="s">
        <v>332</v>
      </c>
      <c r="D334" t="s">
        <v>900</v>
      </c>
      <c r="E334">
        <v>-8.3411906268711409</v>
      </c>
      <c r="F334">
        <f>VLOOKUP(C334,'[1]phenotypes-895'!$A$2:$G$896,7,FALSE)</f>
        <v>62</v>
      </c>
    </row>
    <row r="335" spans="1:7" x14ac:dyDescent="0.2">
      <c r="A335">
        <v>334</v>
      </c>
      <c r="B335">
        <v>4</v>
      </c>
      <c r="C335" t="s">
        <v>333</v>
      </c>
      <c r="D335" t="s">
        <v>900</v>
      </c>
      <c r="E335">
        <v>-5.2787646542240196</v>
      </c>
      <c r="F335">
        <f>VLOOKUP(C335,'[1]phenotypes-895'!$A$2:$G$896,7,FALSE)</f>
        <v>80</v>
      </c>
    </row>
    <row r="336" spans="1:7" x14ac:dyDescent="0.2">
      <c r="A336">
        <v>335</v>
      </c>
      <c r="B336">
        <v>4</v>
      </c>
      <c r="C336" t="s">
        <v>334</v>
      </c>
      <c r="D336" t="s">
        <v>900</v>
      </c>
      <c r="E336">
        <v>-7.7674976222775296</v>
      </c>
      <c r="F336">
        <f>VLOOKUP(C336,'[1]phenotypes-895'!$A$2:$G$896,7,FALSE)</f>
        <v>63</v>
      </c>
    </row>
    <row r="337" spans="1:7" x14ac:dyDescent="0.2">
      <c r="A337">
        <v>336</v>
      </c>
      <c r="B337">
        <v>4</v>
      </c>
      <c r="C337" t="s">
        <v>335</v>
      </c>
      <c r="D337" t="s">
        <v>900</v>
      </c>
      <c r="E337">
        <v>-2.4291962792415398</v>
      </c>
      <c r="F337">
        <f>VLOOKUP(C337,'[1]phenotypes-895'!$A$2:$G$896,7,FALSE)</f>
        <v>98</v>
      </c>
      <c r="G337" s="5"/>
    </row>
    <row r="338" spans="1:7" x14ac:dyDescent="0.2">
      <c r="A338">
        <v>337</v>
      </c>
      <c r="B338">
        <v>6</v>
      </c>
      <c r="C338" t="s">
        <v>336</v>
      </c>
      <c r="D338" t="s">
        <v>900</v>
      </c>
      <c r="E338">
        <v>-2.3097586354428099</v>
      </c>
      <c r="F338">
        <f>VLOOKUP(C338,'[1]phenotypes-895'!$A$2:$G$896,7,FALSE)</f>
        <v>98</v>
      </c>
      <c r="G338" s="5"/>
    </row>
    <row r="339" spans="1:7" x14ac:dyDescent="0.2">
      <c r="A339">
        <v>338</v>
      </c>
      <c r="B339">
        <v>8</v>
      </c>
      <c r="C339" t="s">
        <v>337</v>
      </c>
      <c r="D339" t="s">
        <v>900</v>
      </c>
      <c r="E339">
        <v>0.37537877862109797</v>
      </c>
      <c r="F339">
        <f>VLOOKUP(C339,'[1]phenotypes-895'!$A$2:$G$896,7,FALSE)</f>
        <v>76</v>
      </c>
      <c r="G339" s="5"/>
    </row>
    <row r="340" spans="1:7" x14ac:dyDescent="0.2">
      <c r="A340">
        <v>339</v>
      </c>
      <c r="B340">
        <v>4</v>
      </c>
      <c r="C340" t="s">
        <v>338</v>
      </c>
      <c r="D340" t="s">
        <v>900</v>
      </c>
      <c r="E340">
        <v>-6.5395502890455903</v>
      </c>
      <c r="F340">
        <f>VLOOKUP(C340,'[1]phenotypes-895'!$A$2:$G$896,7,FALSE)</f>
        <v>62</v>
      </c>
    </row>
    <row r="341" spans="1:7" x14ac:dyDescent="0.2">
      <c r="A341">
        <v>340</v>
      </c>
      <c r="B341">
        <v>14</v>
      </c>
      <c r="C341" t="s">
        <v>339</v>
      </c>
      <c r="D341" t="s">
        <v>899</v>
      </c>
      <c r="E341">
        <v>-0.219193740688371</v>
      </c>
      <c r="F341">
        <f>VLOOKUP(C341,'[1]phenotypes-895'!$A$2:$G$896,7,FALSE)</f>
        <v>74</v>
      </c>
    </row>
    <row r="342" spans="1:7" x14ac:dyDescent="0.2">
      <c r="A342">
        <v>341</v>
      </c>
      <c r="B342">
        <v>3</v>
      </c>
      <c r="C342" t="s">
        <v>340</v>
      </c>
      <c r="D342" t="s">
        <v>900</v>
      </c>
      <c r="E342">
        <v>-5.6810986526544598</v>
      </c>
      <c r="F342">
        <f>VLOOKUP(C342,'[1]phenotypes-895'!$A$2:$G$896,7,FALSE)</f>
        <v>57</v>
      </c>
    </row>
    <row r="343" spans="1:7" x14ac:dyDescent="0.2">
      <c r="A343">
        <v>342</v>
      </c>
      <c r="B343">
        <v>11</v>
      </c>
      <c r="C343" t="s">
        <v>341</v>
      </c>
      <c r="D343" t="s">
        <v>899</v>
      </c>
      <c r="E343">
        <v>0.742456812376038</v>
      </c>
      <c r="F343">
        <f>VLOOKUP(C343,'[1]phenotypes-895'!$A$2:$G$896,7,FALSE)</f>
        <v>98</v>
      </c>
    </row>
    <row r="344" spans="1:7" x14ac:dyDescent="0.2">
      <c r="A344">
        <v>343</v>
      </c>
      <c r="B344">
        <v>2</v>
      </c>
      <c r="C344" t="s">
        <v>342</v>
      </c>
      <c r="D344" t="s">
        <v>900</v>
      </c>
      <c r="E344">
        <v>-6.9533570896631698</v>
      </c>
      <c r="F344">
        <f>VLOOKUP(C344,'[1]phenotypes-895'!$A$2:$G$896,7,FALSE)</f>
        <v>98</v>
      </c>
    </row>
    <row r="345" spans="1:7" x14ac:dyDescent="0.2">
      <c r="A345">
        <v>344</v>
      </c>
      <c r="B345">
        <v>50</v>
      </c>
      <c r="C345" t="s">
        <v>343</v>
      </c>
      <c r="D345" t="s">
        <v>899</v>
      </c>
      <c r="E345">
        <v>5.9709665373854097</v>
      </c>
      <c r="F345">
        <f>VLOOKUP(C345,'[1]phenotypes-895'!$A$2:$G$896,7,FALSE)</f>
        <v>98</v>
      </c>
      <c r="G345" s="6">
        <v>20</v>
      </c>
    </row>
    <row r="346" spans="1:7" x14ac:dyDescent="0.2">
      <c r="A346">
        <v>345</v>
      </c>
      <c r="B346">
        <v>27</v>
      </c>
      <c r="C346" t="s">
        <v>344</v>
      </c>
      <c r="D346" t="s">
        <v>900</v>
      </c>
      <c r="E346">
        <v>2.9342101256526898</v>
      </c>
      <c r="F346">
        <f>VLOOKUP(C346,'[1]phenotypes-895'!$A$2:$G$896,7,FALSE)</f>
        <v>86</v>
      </c>
      <c r="G346" s="6">
        <v>40</v>
      </c>
    </row>
    <row r="347" spans="1:7" x14ac:dyDescent="0.2">
      <c r="A347">
        <v>346</v>
      </c>
      <c r="B347">
        <v>13</v>
      </c>
      <c r="C347" t="s">
        <v>345</v>
      </c>
      <c r="D347" t="s">
        <v>899</v>
      </c>
      <c r="E347">
        <v>-5.3571108233754403</v>
      </c>
      <c r="F347">
        <f>VLOOKUP(C347,'[1]phenotypes-895'!$A$2:$G$896,7,FALSE)</f>
        <v>91</v>
      </c>
    </row>
    <row r="348" spans="1:7" x14ac:dyDescent="0.2">
      <c r="A348">
        <v>347</v>
      </c>
      <c r="B348">
        <v>53</v>
      </c>
      <c r="C348" t="s">
        <v>346</v>
      </c>
      <c r="D348" t="s">
        <v>899</v>
      </c>
      <c r="E348">
        <v>4.6946139707189403</v>
      </c>
      <c r="F348">
        <f>VLOOKUP(C348,'[1]phenotypes-895'!$A$2:$G$896,7,FALSE)</f>
        <v>60</v>
      </c>
      <c r="G348" s="6">
        <v>20</v>
      </c>
    </row>
    <row r="349" spans="1:7" x14ac:dyDescent="0.2">
      <c r="A349">
        <v>348</v>
      </c>
      <c r="B349">
        <v>36</v>
      </c>
      <c r="C349" t="s">
        <v>347</v>
      </c>
      <c r="D349" t="s">
        <v>900</v>
      </c>
      <c r="E349">
        <v>5.0801476261905201</v>
      </c>
      <c r="F349">
        <f>VLOOKUP(C349,'[1]phenotypes-895'!$A$2:$G$896,7,FALSE)</f>
        <v>84</v>
      </c>
      <c r="G349" s="6">
        <v>20</v>
      </c>
    </row>
    <row r="350" spans="1:7" x14ac:dyDescent="0.2">
      <c r="A350">
        <v>349</v>
      </c>
      <c r="B350">
        <v>15</v>
      </c>
      <c r="C350" t="s">
        <v>348</v>
      </c>
      <c r="D350" t="s">
        <v>899</v>
      </c>
      <c r="E350">
        <v>-4.8213190286596603</v>
      </c>
      <c r="F350">
        <f>VLOOKUP(C350,'[1]phenotypes-895'!$A$2:$G$896,7,FALSE)</f>
        <v>64</v>
      </c>
    </row>
    <row r="351" spans="1:7" x14ac:dyDescent="0.2">
      <c r="A351">
        <v>350</v>
      </c>
      <c r="B351">
        <v>39</v>
      </c>
      <c r="C351" t="s">
        <v>349</v>
      </c>
      <c r="D351" t="s">
        <v>900</v>
      </c>
      <c r="E351">
        <v>-1.46683833335276E-2</v>
      </c>
      <c r="F351">
        <f>VLOOKUP(C351,'[1]phenotypes-895'!$A$2:$G$896,7,FALSE)</f>
        <v>67</v>
      </c>
      <c r="G351" s="5"/>
    </row>
    <row r="352" spans="1:7" x14ac:dyDescent="0.2">
      <c r="A352">
        <v>351</v>
      </c>
      <c r="B352">
        <v>13</v>
      </c>
      <c r="C352" t="s">
        <v>350</v>
      </c>
      <c r="D352" t="s">
        <v>899</v>
      </c>
      <c r="E352">
        <v>-5.0340539696966404</v>
      </c>
      <c r="F352">
        <f>VLOOKUP(C352,'[1]phenotypes-895'!$A$2:$G$896,7,FALSE)</f>
        <v>71</v>
      </c>
    </row>
    <row r="353" spans="1:7" x14ac:dyDescent="0.2">
      <c r="A353">
        <v>352</v>
      </c>
      <c r="B353">
        <v>44</v>
      </c>
      <c r="C353" t="s">
        <v>351</v>
      </c>
      <c r="D353" t="s">
        <v>899</v>
      </c>
      <c r="E353">
        <v>9.5347120835756005</v>
      </c>
      <c r="F353">
        <f>VLOOKUP(C353,'[1]phenotypes-895'!$A$2:$G$896,7,FALSE)</f>
        <v>98</v>
      </c>
      <c r="G353" s="6">
        <v>2</v>
      </c>
    </row>
    <row r="354" spans="1:7" x14ac:dyDescent="0.2">
      <c r="A354">
        <v>353</v>
      </c>
      <c r="B354">
        <v>6</v>
      </c>
      <c r="C354" t="s">
        <v>352</v>
      </c>
      <c r="D354" t="s">
        <v>900</v>
      </c>
      <c r="E354">
        <v>-7.5903095601444104</v>
      </c>
      <c r="F354">
        <f>VLOOKUP(C354,'[1]phenotypes-895'!$A$2:$G$896,7,FALSE)</f>
        <v>53</v>
      </c>
    </row>
    <row r="355" spans="1:7" x14ac:dyDescent="0.2">
      <c r="A355">
        <v>354</v>
      </c>
      <c r="B355">
        <v>53</v>
      </c>
      <c r="C355" t="s">
        <v>353</v>
      </c>
      <c r="D355" t="s">
        <v>899</v>
      </c>
      <c r="E355">
        <v>5.99767440350755</v>
      </c>
      <c r="F355">
        <f>VLOOKUP(C355,'[1]phenotypes-895'!$A$2:$G$896,7,FALSE)</f>
        <v>62</v>
      </c>
      <c r="G355" s="6">
        <v>20</v>
      </c>
    </row>
    <row r="356" spans="1:7" x14ac:dyDescent="0.2">
      <c r="A356">
        <v>355</v>
      </c>
      <c r="B356">
        <v>6</v>
      </c>
      <c r="C356" t="s">
        <v>354</v>
      </c>
      <c r="D356" t="s">
        <v>900</v>
      </c>
      <c r="E356">
        <v>-2.49259942977418</v>
      </c>
      <c r="F356">
        <f>VLOOKUP(C356,'[1]phenotypes-895'!$A$2:$G$896,7,FALSE)</f>
        <v>98</v>
      </c>
      <c r="G356" s="5"/>
    </row>
    <row r="357" spans="1:7" x14ac:dyDescent="0.2">
      <c r="A357">
        <v>356</v>
      </c>
      <c r="B357">
        <v>35</v>
      </c>
      <c r="C357" t="s">
        <v>355</v>
      </c>
      <c r="D357" t="s">
        <v>900</v>
      </c>
      <c r="E357">
        <v>-2.22055895918652</v>
      </c>
      <c r="F357">
        <f>VLOOKUP(C357,'[1]phenotypes-895'!$A$2:$G$896,7,FALSE)</f>
        <v>42</v>
      </c>
    </row>
    <row r="358" spans="1:7" x14ac:dyDescent="0.2">
      <c r="A358">
        <v>357</v>
      </c>
      <c r="B358">
        <v>6</v>
      </c>
      <c r="C358" t="s">
        <v>356</v>
      </c>
      <c r="D358" t="s">
        <v>900</v>
      </c>
      <c r="E358">
        <v>-4.5047631322569499</v>
      </c>
      <c r="F358">
        <f>VLOOKUP(C358,'[1]phenotypes-895'!$A$2:$G$896,7,FALSE)</f>
        <v>69</v>
      </c>
    </row>
    <row r="359" spans="1:7" x14ac:dyDescent="0.2">
      <c r="A359">
        <v>358</v>
      </c>
      <c r="B359">
        <v>40</v>
      </c>
      <c r="C359" t="s">
        <v>357</v>
      </c>
      <c r="D359" t="s">
        <v>900</v>
      </c>
      <c r="E359">
        <v>-3.52303849654067</v>
      </c>
      <c r="F359">
        <f>VLOOKUP(C359,'[1]phenotypes-895'!$A$2:$G$896,7,FALSE)</f>
        <v>49</v>
      </c>
    </row>
    <row r="360" spans="1:7" x14ac:dyDescent="0.2">
      <c r="A360">
        <v>359</v>
      </c>
      <c r="B360">
        <v>2</v>
      </c>
      <c r="C360" t="s">
        <v>358</v>
      </c>
      <c r="D360" t="s">
        <v>900</v>
      </c>
      <c r="E360">
        <v>-11.084703312361301</v>
      </c>
      <c r="F360">
        <f>VLOOKUP(C360,'[1]phenotypes-895'!$A$2:$G$896,7,FALSE)</f>
        <v>42</v>
      </c>
    </row>
    <row r="361" spans="1:7" x14ac:dyDescent="0.2">
      <c r="A361">
        <v>360</v>
      </c>
      <c r="B361">
        <v>27</v>
      </c>
      <c r="C361" t="s">
        <v>359</v>
      </c>
      <c r="D361" t="s">
        <v>900</v>
      </c>
      <c r="E361">
        <v>2.7956171170843498</v>
      </c>
      <c r="F361">
        <f>VLOOKUP(C361,'[1]phenotypes-895'!$A$2:$G$896,7,FALSE)</f>
        <v>98</v>
      </c>
      <c r="G361" s="6">
        <v>40</v>
      </c>
    </row>
    <row r="362" spans="1:7" x14ac:dyDescent="0.2">
      <c r="A362">
        <v>361</v>
      </c>
      <c r="B362">
        <v>50</v>
      </c>
      <c r="C362" t="s">
        <v>360</v>
      </c>
      <c r="D362" t="s">
        <v>899</v>
      </c>
      <c r="E362">
        <v>10.194770530224</v>
      </c>
      <c r="F362">
        <f>VLOOKUP(C362,'[1]phenotypes-895'!$A$2:$G$896,7,FALSE)</f>
        <v>94</v>
      </c>
      <c r="G362" s="6">
        <v>1</v>
      </c>
    </row>
    <row r="363" spans="1:7" x14ac:dyDescent="0.2">
      <c r="A363">
        <v>362</v>
      </c>
      <c r="B363">
        <v>37</v>
      </c>
      <c r="C363" t="s">
        <v>361</v>
      </c>
      <c r="D363" t="s">
        <v>900</v>
      </c>
      <c r="E363">
        <v>2.9947900888910901</v>
      </c>
      <c r="F363">
        <f>VLOOKUP(C363,'[1]phenotypes-895'!$A$2:$G$896,7,FALSE)</f>
        <v>98</v>
      </c>
      <c r="G363" s="6">
        <v>40</v>
      </c>
    </row>
    <row r="364" spans="1:7" x14ac:dyDescent="0.2">
      <c r="A364">
        <v>363</v>
      </c>
      <c r="B364">
        <v>21</v>
      </c>
      <c r="C364" t="s">
        <v>362</v>
      </c>
      <c r="D364" t="s">
        <v>900</v>
      </c>
      <c r="E364">
        <v>-0.91426278712087605</v>
      </c>
      <c r="F364">
        <f>VLOOKUP(C364,'[1]phenotypes-895'!$A$2:$G$896,7,FALSE)</f>
        <v>76</v>
      </c>
      <c r="G364" s="5"/>
    </row>
    <row r="365" spans="1:7" x14ac:dyDescent="0.2">
      <c r="A365">
        <v>364</v>
      </c>
      <c r="B365">
        <v>40</v>
      </c>
      <c r="C365" t="s">
        <v>363</v>
      </c>
      <c r="D365" t="s">
        <v>900</v>
      </c>
      <c r="E365">
        <v>-2.3399924049958498</v>
      </c>
      <c r="F365">
        <f>VLOOKUP(C365,'[1]phenotypes-895'!$A$2:$G$896,7,FALSE)</f>
        <v>98</v>
      </c>
      <c r="G365" s="5"/>
    </row>
    <row r="366" spans="1:7" x14ac:dyDescent="0.2">
      <c r="A366">
        <v>365</v>
      </c>
      <c r="B366">
        <v>26</v>
      </c>
      <c r="C366" t="s">
        <v>364</v>
      </c>
      <c r="D366" t="s">
        <v>900</v>
      </c>
      <c r="E366">
        <v>4.6098831337234101</v>
      </c>
      <c r="F366">
        <f>VLOOKUP(C366,'[1]phenotypes-895'!$A$2:$G$896,7,FALSE)</f>
        <v>98</v>
      </c>
      <c r="G366" s="6">
        <v>30</v>
      </c>
    </row>
    <row r="367" spans="1:7" x14ac:dyDescent="0.2">
      <c r="A367">
        <v>366</v>
      </c>
      <c r="B367">
        <v>31</v>
      </c>
      <c r="C367" t="s">
        <v>365</v>
      </c>
      <c r="D367" t="s">
        <v>900</v>
      </c>
      <c r="E367">
        <v>0.72601344055884598</v>
      </c>
      <c r="F367">
        <f>VLOOKUP(C367,'[1]phenotypes-895'!$A$2:$G$896,7,FALSE)</f>
        <v>98</v>
      </c>
      <c r="G367" s="5"/>
    </row>
    <row r="368" spans="1:7" x14ac:dyDescent="0.2">
      <c r="A368">
        <v>367</v>
      </c>
      <c r="B368">
        <v>40</v>
      </c>
      <c r="C368" t="s">
        <v>366</v>
      </c>
      <c r="D368" t="s">
        <v>900</v>
      </c>
      <c r="E368">
        <v>-1.4060597560139401</v>
      </c>
      <c r="F368">
        <f>VLOOKUP(C368,'[1]phenotypes-895'!$A$2:$G$896,7,FALSE)</f>
        <v>69</v>
      </c>
      <c r="G368" s="5"/>
    </row>
    <row r="369" spans="1:7" x14ac:dyDescent="0.2">
      <c r="A369">
        <v>368</v>
      </c>
      <c r="B369">
        <v>30</v>
      </c>
      <c r="C369" t="s">
        <v>367</v>
      </c>
      <c r="D369" t="s">
        <v>900</v>
      </c>
      <c r="E369">
        <v>-2.8727000348891099</v>
      </c>
      <c r="F369">
        <f>VLOOKUP(C369,'[1]phenotypes-895'!$A$2:$G$896,7,FALSE)</f>
        <v>66</v>
      </c>
    </row>
    <row r="370" spans="1:7" x14ac:dyDescent="0.2">
      <c r="A370">
        <v>369</v>
      </c>
      <c r="B370">
        <v>34</v>
      </c>
      <c r="C370" t="s">
        <v>368</v>
      </c>
      <c r="D370" t="s">
        <v>900</v>
      </c>
      <c r="E370">
        <v>-0.88920788166804099</v>
      </c>
      <c r="F370">
        <f>VLOOKUP(C370,'[1]phenotypes-895'!$A$2:$G$896,7,FALSE)</f>
        <v>70</v>
      </c>
      <c r="G370" s="5"/>
    </row>
    <row r="371" spans="1:7" x14ac:dyDescent="0.2">
      <c r="A371">
        <v>370</v>
      </c>
      <c r="B371">
        <v>21</v>
      </c>
      <c r="C371" t="s">
        <v>369</v>
      </c>
      <c r="D371" t="s">
        <v>900</v>
      </c>
      <c r="E371">
        <v>-4.8540484810170801</v>
      </c>
      <c r="F371">
        <f>VLOOKUP(C371,'[1]phenotypes-895'!$A$2:$G$896,7,FALSE)</f>
        <v>62</v>
      </c>
    </row>
    <row r="372" spans="1:7" x14ac:dyDescent="0.2">
      <c r="A372">
        <v>371</v>
      </c>
      <c r="B372">
        <v>42</v>
      </c>
      <c r="C372" t="s">
        <v>370</v>
      </c>
      <c r="D372" t="s">
        <v>899</v>
      </c>
      <c r="E372">
        <v>-0.386244662760512</v>
      </c>
      <c r="F372">
        <f>VLOOKUP(C372,'[1]phenotypes-895'!$A$2:$G$896,7,FALSE)</f>
        <v>48</v>
      </c>
    </row>
    <row r="373" spans="1:7" x14ac:dyDescent="0.2">
      <c r="A373">
        <v>372</v>
      </c>
      <c r="B373">
        <v>49</v>
      </c>
      <c r="C373" t="s">
        <v>371</v>
      </c>
      <c r="D373" t="s">
        <v>899</v>
      </c>
      <c r="E373">
        <v>3.58095738182146</v>
      </c>
      <c r="F373">
        <f>VLOOKUP(C373,'[1]phenotypes-895'!$A$2:$G$896,7,FALSE)</f>
        <v>74</v>
      </c>
      <c r="G373" s="6">
        <v>30</v>
      </c>
    </row>
    <row r="374" spans="1:7" x14ac:dyDescent="0.2">
      <c r="A374">
        <v>373</v>
      </c>
      <c r="B374">
        <v>44</v>
      </c>
      <c r="C374" t="s">
        <v>372</v>
      </c>
      <c r="D374" t="s">
        <v>899</v>
      </c>
      <c r="E374">
        <v>8.1763368995213295</v>
      </c>
      <c r="F374">
        <f>VLOOKUP(C374,'[1]phenotypes-895'!$A$2:$G$896,7,FALSE)</f>
        <v>98</v>
      </c>
      <c r="G374" s="6">
        <v>4</v>
      </c>
    </row>
    <row r="375" spans="1:7" x14ac:dyDescent="0.2">
      <c r="A375">
        <v>374</v>
      </c>
      <c r="B375">
        <v>40</v>
      </c>
      <c r="C375" t="s">
        <v>373</v>
      </c>
      <c r="D375" t="s">
        <v>900</v>
      </c>
      <c r="E375">
        <v>-1.82726568402015</v>
      </c>
      <c r="F375">
        <f>VLOOKUP(C375,'[1]phenotypes-895'!$A$2:$G$896,7,FALSE)</f>
        <v>98</v>
      </c>
      <c r="G375" s="5"/>
    </row>
    <row r="376" spans="1:7" x14ac:dyDescent="0.2">
      <c r="A376">
        <v>375</v>
      </c>
      <c r="B376">
        <v>42</v>
      </c>
      <c r="C376" t="s">
        <v>374</v>
      </c>
      <c r="D376" t="s">
        <v>899</v>
      </c>
      <c r="E376">
        <v>3.3578383036666102</v>
      </c>
      <c r="F376">
        <f>VLOOKUP(C376,'[1]phenotypes-895'!$A$2:$G$896,7,FALSE)</f>
        <v>62</v>
      </c>
      <c r="G376" s="6">
        <v>30</v>
      </c>
    </row>
    <row r="377" spans="1:7" x14ac:dyDescent="0.2">
      <c r="A377">
        <v>376</v>
      </c>
      <c r="B377">
        <v>34</v>
      </c>
      <c r="C377" t="s">
        <v>375</v>
      </c>
      <c r="D377" t="s">
        <v>900</v>
      </c>
      <c r="E377">
        <v>-1.5142254659066701</v>
      </c>
      <c r="F377">
        <f>VLOOKUP(C377,'[1]phenotypes-895'!$A$2:$G$896,7,FALSE)</f>
        <v>88</v>
      </c>
    </row>
    <row r="378" spans="1:7" x14ac:dyDescent="0.2">
      <c r="A378">
        <v>377</v>
      </c>
      <c r="B378">
        <v>36</v>
      </c>
      <c r="C378" t="s">
        <v>376</v>
      </c>
      <c r="D378" t="s">
        <v>900</v>
      </c>
      <c r="E378">
        <v>4.0327339738405099</v>
      </c>
      <c r="F378">
        <f>VLOOKUP(C378,'[1]phenotypes-895'!$A$2:$G$896,7,FALSE)</f>
        <v>98</v>
      </c>
      <c r="G378" s="6">
        <v>30</v>
      </c>
    </row>
    <row r="379" spans="1:7" x14ac:dyDescent="0.2">
      <c r="A379">
        <v>378</v>
      </c>
      <c r="B379">
        <v>50</v>
      </c>
      <c r="C379" t="s">
        <v>377</v>
      </c>
      <c r="D379" t="s">
        <v>899</v>
      </c>
      <c r="E379">
        <v>8.5819205439079393</v>
      </c>
      <c r="F379">
        <f>VLOOKUP(C379,'[1]phenotypes-895'!$A$2:$G$896,7,FALSE)</f>
        <v>98</v>
      </c>
      <c r="G379" s="6">
        <v>3</v>
      </c>
    </row>
    <row r="380" spans="1:7" x14ac:dyDescent="0.2">
      <c r="A380">
        <v>379</v>
      </c>
      <c r="B380">
        <v>40</v>
      </c>
      <c r="C380" t="s">
        <v>378</v>
      </c>
      <c r="D380" t="s">
        <v>900</v>
      </c>
      <c r="E380">
        <v>-2.5617593675913701</v>
      </c>
      <c r="F380">
        <f>VLOOKUP(C380,'[1]phenotypes-895'!$A$2:$G$896,7,FALSE)</f>
        <v>98</v>
      </c>
      <c r="G380" s="5"/>
    </row>
    <row r="381" spans="1:7" x14ac:dyDescent="0.2">
      <c r="A381">
        <v>380</v>
      </c>
      <c r="B381">
        <v>44</v>
      </c>
      <c r="C381" t="s">
        <v>379</v>
      </c>
      <c r="D381" t="s">
        <v>899</v>
      </c>
      <c r="E381">
        <v>8.3895592126921397</v>
      </c>
      <c r="F381">
        <f>VLOOKUP(C381,'[1]phenotypes-895'!$A$2:$G$896,7,FALSE)</f>
        <v>98</v>
      </c>
      <c r="G381" s="6">
        <v>3</v>
      </c>
    </row>
    <row r="382" spans="1:7" x14ac:dyDescent="0.2">
      <c r="A382">
        <v>381</v>
      </c>
      <c r="B382">
        <v>21</v>
      </c>
      <c r="C382" t="s">
        <v>380</v>
      </c>
      <c r="D382" t="s">
        <v>900</v>
      </c>
      <c r="E382">
        <v>-1.11224192518853</v>
      </c>
      <c r="F382">
        <f>VLOOKUP(C382,'[1]phenotypes-895'!$A$2:$G$896,7,FALSE)</f>
        <v>98</v>
      </c>
      <c r="G382" s="5"/>
    </row>
    <row r="383" spans="1:7" x14ac:dyDescent="0.2">
      <c r="A383">
        <v>382</v>
      </c>
      <c r="B383">
        <v>25</v>
      </c>
      <c r="C383" t="s">
        <v>381</v>
      </c>
      <c r="D383" t="s">
        <v>900</v>
      </c>
      <c r="E383">
        <v>1.77622076794404</v>
      </c>
      <c r="F383">
        <f>VLOOKUP(C383,'[1]phenotypes-895'!$A$2:$G$896,7,FALSE)</f>
        <v>61</v>
      </c>
      <c r="G383" s="6">
        <v>50</v>
      </c>
    </row>
    <row r="384" spans="1:7" x14ac:dyDescent="0.2">
      <c r="A384">
        <v>383</v>
      </c>
      <c r="B384">
        <v>53</v>
      </c>
      <c r="C384" t="s">
        <v>382</v>
      </c>
      <c r="D384" t="s">
        <v>899</v>
      </c>
      <c r="E384">
        <v>2.88785902604269</v>
      </c>
      <c r="F384">
        <f>VLOOKUP(C384,'[1]phenotypes-895'!$A$2:$G$896,7,FALSE)</f>
        <v>57</v>
      </c>
      <c r="G384" s="6">
        <v>40</v>
      </c>
    </row>
    <row r="385" spans="1:7" x14ac:dyDescent="0.2">
      <c r="A385">
        <v>384</v>
      </c>
      <c r="B385">
        <v>35</v>
      </c>
      <c r="C385" t="s">
        <v>383</v>
      </c>
      <c r="D385" t="s">
        <v>900</v>
      </c>
      <c r="E385">
        <v>1.12399658468527</v>
      </c>
      <c r="F385">
        <f>VLOOKUP(C385,'[1]phenotypes-895'!$A$2:$G$896,7,FALSE)</f>
        <v>89</v>
      </c>
      <c r="G385" s="6">
        <v>50</v>
      </c>
    </row>
    <row r="386" spans="1:7" x14ac:dyDescent="0.2">
      <c r="A386">
        <v>385</v>
      </c>
      <c r="B386">
        <v>42</v>
      </c>
      <c r="C386" t="s">
        <v>384</v>
      </c>
      <c r="D386" t="s">
        <v>899</v>
      </c>
      <c r="E386">
        <v>-2.4139918962341298</v>
      </c>
      <c r="F386">
        <f>VLOOKUP(C386,'[1]phenotypes-895'!$A$2:$G$896,7,FALSE)</f>
        <v>51</v>
      </c>
    </row>
    <row r="387" spans="1:7" x14ac:dyDescent="0.2">
      <c r="A387">
        <v>386</v>
      </c>
      <c r="B387">
        <v>25</v>
      </c>
      <c r="C387" t="s">
        <v>385</v>
      </c>
      <c r="D387" t="s">
        <v>900</v>
      </c>
      <c r="E387">
        <v>1.0234079817861701</v>
      </c>
      <c r="F387">
        <f>VLOOKUP(C387,'[1]phenotypes-895'!$A$2:$G$896,7,FALSE)</f>
        <v>75</v>
      </c>
      <c r="G387" s="6">
        <v>50</v>
      </c>
    </row>
    <row r="388" spans="1:7" x14ac:dyDescent="0.2">
      <c r="A388">
        <v>387</v>
      </c>
      <c r="B388">
        <v>54</v>
      </c>
      <c r="C388" t="s">
        <v>386</v>
      </c>
      <c r="D388" t="s">
        <v>899</v>
      </c>
      <c r="E388">
        <v>2.2814093413834402</v>
      </c>
      <c r="F388">
        <f>VLOOKUP(C388,'[1]phenotypes-895'!$A$2:$G$896,7,FALSE)</f>
        <v>98</v>
      </c>
      <c r="G388" s="6">
        <v>40</v>
      </c>
    </row>
    <row r="389" spans="1:7" x14ac:dyDescent="0.2">
      <c r="A389">
        <v>388</v>
      </c>
      <c r="B389">
        <v>38</v>
      </c>
      <c r="C389" t="s">
        <v>387</v>
      </c>
      <c r="D389" t="s">
        <v>900</v>
      </c>
      <c r="E389">
        <v>3.42636379676247</v>
      </c>
      <c r="F389">
        <f>VLOOKUP(C389,'[1]phenotypes-895'!$A$2:$G$896,7,FALSE)</f>
        <v>98</v>
      </c>
      <c r="G389" s="6">
        <v>30</v>
      </c>
    </row>
    <row r="390" spans="1:7" x14ac:dyDescent="0.2">
      <c r="A390">
        <v>389</v>
      </c>
      <c r="B390">
        <v>44</v>
      </c>
      <c r="C390" t="s">
        <v>388</v>
      </c>
      <c r="D390" t="s">
        <v>899</v>
      </c>
      <c r="E390">
        <v>2.1280384084908901</v>
      </c>
      <c r="F390">
        <f>VLOOKUP(C390,'[1]phenotypes-895'!$A$2:$G$896,7,FALSE)</f>
        <v>98</v>
      </c>
      <c r="G390" s="6">
        <v>40</v>
      </c>
    </row>
    <row r="391" spans="1:7" x14ac:dyDescent="0.2">
      <c r="A391">
        <v>390</v>
      </c>
      <c r="B391">
        <v>22</v>
      </c>
      <c r="C391" t="s">
        <v>389</v>
      </c>
      <c r="D391" t="s">
        <v>900</v>
      </c>
      <c r="E391">
        <v>3.2511309603307899</v>
      </c>
      <c r="F391">
        <f>VLOOKUP(C391,'[1]phenotypes-895'!$A$2:$G$896,7,FALSE)</f>
        <v>98</v>
      </c>
      <c r="G391" s="6">
        <v>30</v>
      </c>
    </row>
    <row r="392" spans="1:7" x14ac:dyDescent="0.2">
      <c r="A392">
        <v>391</v>
      </c>
      <c r="B392">
        <v>36</v>
      </c>
      <c r="C392" t="s">
        <v>390</v>
      </c>
      <c r="D392" t="s">
        <v>900</v>
      </c>
      <c r="E392">
        <v>6.3591262658983503</v>
      </c>
      <c r="F392">
        <f>VLOOKUP(C392,'[1]phenotypes-895'!$A$2:$G$896,7,FALSE)</f>
        <v>98</v>
      </c>
      <c r="G392" s="6">
        <v>10</v>
      </c>
    </row>
    <row r="393" spans="1:7" x14ac:dyDescent="0.2">
      <c r="A393">
        <v>392</v>
      </c>
      <c r="B393">
        <v>39</v>
      </c>
      <c r="C393" t="s">
        <v>391</v>
      </c>
      <c r="D393" t="s">
        <v>900</v>
      </c>
      <c r="E393">
        <v>5.1716264608633997</v>
      </c>
      <c r="F393">
        <f>VLOOKUP(C393,'[1]phenotypes-895'!$A$2:$G$896,7,FALSE)</f>
        <v>98</v>
      </c>
      <c r="G393" s="6">
        <v>20</v>
      </c>
    </row>
    <row r="394" spans="1:7" x14ac:dyDescent="0.2">
      <c r="A394">
        <v>393</v>
      </c>
      <c r="B394">
        <v>53</v>
      </c>
      <c r="C394" t="s">
        <v>392</v>
      </c>
      <c r="D394" t="s">
        <v>899</v>
      </c>
      <c r="E394">
        <v>2.69029517166623</v>
      </c>
      <c r="F394">
        <f>VLOOKUP(C394,'[1]phenotypes-895'!$A$2:$G$896,7,FALSE)</f>
        <v>76</v>
      </c>
      <c r="G394" s="6">
        <v>40</v>
      </c>
    </row>
    <row r="395" spans="1:7" x14ac:dyDescent="0.2">
      <c r="A395">
        <v>394</v>
      </c>
      <c r="B395">
        <v>44</v>
      </c>
      <c r="C395" t="s">
        <v>393</v>
      </c>
      <c r="D395" t="s">
        <v>899</v>
      </c>
      <c r="E395">
        <v>5.8405453029272598</v>
      </c>
      <c r="F395">
        <f>VLOOKUP(C395,'[1]phenotypes-895'!$A$2:$G$896,7,FALSE)</f>
        <v>98</v>
      </c>
      <c r="G395" s="6">
        <v>20</v>
      </c>
    </row>
    <row r="396" spans="1:7" x14ac:dyDescent="0.2">
      <c r="A396">
        <v>395</v>
      </c>
      <c r="B396">
        <v>32</v>
      </c>
      <c r="C396" t="s">
        <v>394</v>
      </c>
      <c r="D396" t="s">
        <v>900</v>
      </c>
      <c r="E396">
        <v>2.9953378057272499</v>
      </c>
      <c r="F396">
        <f>VLOOKUP(C396,'[1]phenotypes-895'!$A$2:$G$896,7,FALSE)</f>
        <v>98</v>
      </c>
      <c r="G396" s="6">
        <v>40</v>
      </c>
    </row>
    <row r="397" spans="1:7" x14ac:dyDescent="0.2">
      <c r="A397">
        <v>396</v>
      </c>
      <c r="B397">
        <v>47</v>
      </c>
      <c r="C397" t="s">
        <v>395</v>
      </c>
      <c r="D397" t="s">
        <v>899</v>
      </c>
      <c r="E397">
        <v>4.1321327507884202</v>
      </c>
      <c r="F397">
        <f>VLOOKUP(C397,'[1]phenotypes-895'!$A$2:$G$896,7,FALSE)</f>
        <v>60</v>
      </c>
      <c r="G397" s="6">
        <v>30</v>
      </c>
    </row>
    <row r="398" spans="1:7" x14ac:dyDescent="0.2">
      <c r="A398">
        <v>397</v>
      </c>
      <c r="B398">
        <v>29</v>
      </c>
      <c r="C398" t="s">
        <v>396</v>
      </c>
      <c r="D398" t="s">
        <v>900</v>
      </c>
      <c r="E398">
        <v>-6.9985839796200597</v>
      </c>
      <c r="F398">
        <f>VLOOKUP(C398,'[1]phenotypes-895'!$A$2:$G$896,7,FALSE)</f>
        <v>61</v>
      </c>
    </row>
    <row r="399" spans="1:7" x14ac:dyDescent="0.2">
      <c r="A399">
        <v>398</v>
      </c>
      <c r="B399">
        <v>42</v>
      </c>
      <c r="C399" t="s">
        <v>397</v>
      </c>
      <c r="D399" t="s">
        <v>899</v>
      </c>
      <c r="E399">
        <v>-1.5278896578974499</v>
      </c>
      <c r="F399">
        <f>VLOOKUP(C399,'[1]phenotypes-895'!$A$2:$G$896,7,FALSE)</f>
        <v>69</v>
      </c>
    </row>
    <row r="400" spans="1:7" x14ac:dyDescent="0.2">
      <c r="A400">
        <v>399</v>
      </c>
      <c r="B400">
        <v>42</v>
      </c>
      <c r="C400" t="s">
        <v>398</v>
      </c>
      <c r="D400" t="s">
        <v>899</v>
      </c>
      <c r="E400">
        <v>0.37379663079186698</v>
      </c>
      <c r="F400">
        <f>VLOOKUP(C400,'[1]phenotypes-895'!$A$2:$G$896,7,FALSE)</f>
        <v>92</v>
      </c>
    </row>
    <row r="401" spans="1:7" x14ac:dyDescent="0.2">
      <c r="A401">
        <v>400</v>
      </c>
      <c r="B401">
        <v>23</v>
      </c>
      <c r="C401" t="s">
        <v>399</v>
      </c>
      <c r="D401" t="s">
        <v>900</v>
      </c>
      <c r="E401">
        <v>-0.60237250761746897</v>
      </c>
      <c r="F401">
        <f>VLOOKUP(C401,'[1]phenotypes-895'!$A$2:$G$896,7,FALSE)</f>
        <v>98</v>
      </c>
      <c r="G401" s="5"/>
    </row>
    <row r="402" spans="1:7" x14ac:dyDescent="0.2">
      <c r="A402">
        <v>401</v>
      </c>
      <c r="B402">
        <v>24</v>
      </c>
      <c r="C402" t="s">
        <v>400</v>
      </c>
      <c r="D402" t="s">
        <v>900</v>
      </c>
      <c r="E402">
        <v>-2.5919329034674798</v>
      </c>
      <c r="F402">
        <f>VLOOKUP(C402,'[1]phenotypes-895'!$A$2:$G$896,7,FALSE)</f>
        <v>98</v>
      </c>
      <c r="G402" s="5"/>
    </row>
    <row r="403" spans="1:7" x14ac:dyDescent="0.2">
      <c r="A403">
        <v>402</v>
      </c>
      <c r="B403">
        <v>46</v>
      </c>
      <c r="C403" t="s">
        <v>401</v>
      </c>
      <c r="D403" t="s">
        <v>899</v>
      </c>
      <c r="E403">
        <v>3.7644066513343799</v>
      </c>
      <c r="F403">
        <f>VLOOKUP(C403,'[1]phenotypes-895'!$A$2:$G$896,7,FALSE)</f>
        <v>75</v>
      </c>
      <c r="G403" s="6">
        <v>30</v>
      </c>
    </row>
    <row r="404" spans="1:7" x14ac:dyDescent="0.2">
      <c r="A404">
        <v>403</v>
      </c>
      <c r="B404">
        <v>49</v>
      </c>
      <c r="C404" t="s">
        <v>402</v>
      </c>
      <c r="D404" t="s">
        <v>899</v>
      </c>
      <c r="E404">
        <v>2.2603769703963401</v>
      </c>
      <c r="F404">
        <f>VLOOKUP(C404,'[1]phenotypes-895'!$A$2:$G$896,7,FALSE)</f>
        <v>69</v>
      </c>
      <c r="G404" s="6">
        <v>40</v>
      </c>
    </row>
    <row r="405" spans="1:7" x14ac:dyDescent="0.2">
      <c r="A405">
        <v>404</v>
      </c>
      <c r="B405">
        <v>29</v>
      </c>
      <c r="C405" t="s">
        <v>403</v>
      </c>
      <c r="D405" t="s">
        <v>900</v>
      </c>
      <c r="E405">
        <v>-5.8260467198503001</v>
      </c>
      <c r="F405">
        <f>VLOOKUP(C405,'[1]phenotypes-895'!$A$2:$G$896,7,FALSE)</f>
        <v>66</v>
      </c>
    </row>
    <row r="406" spans="1:7" x14ac:dyDescent="0.2">
      <c r="A406">
        <v>405</v>
      </c>
      <c r="B406">
        <v>39</v>
      </c>
      <c r="C406" t="s">
        <v>404</v>
      </c>
      <c r="D406" t="s">
        <v>900</v>
      </c>
      <c r="E406">
        <v>1.8248009329410999</v>
      </c>
      <c r="F406">
        <f>VLOOKUP(C406,'[1]phenotypes-895'!$A$2:$G$896,7,FALSE)</f>
        <v>98</v>
      </c>
      <c r="G406" s="6">
        <v>50</v>
      </c>
    </row>
    <row r="407" spans="1:7" x14ac:dyDescent="0.2">
      <c r="A407">
        <v>406</v>
      </c>
      <c r="B407">
        <v>51</v>
      </c>
      <c r="C407" t="s">
        <v>405</v>
      </c>
      <c r="D407" t="s">
        <v>899</v>
      </c>
      <c r="E407">
        <v>2.0142813695333799</v>
      </c>
      <c r="F407">
        <f>VLOOKUP(C407,'[1]phenotypes-895'!$A$2:$G$896,7,FALSE)</f>
        <v>56</v>
      </c>
      <c r="G407" s="6">
        <v>50</v>
      </c>
    </row>
    <row r="408" spans="1:7" x14ac:dyDescent="0.2">
      <c r="A408">
        <v>407</v>
      </c>
      <c r="B408">
        <v>31</v>
      </c>
      <c r="C408" t="s">
        <v>406</v>
      </c>
      <c r="D408" t="s">
        <v>900</v>
      </c>
      <c r="E408">
        <v>-2.3394089540754699</v>
      </c>
      <c r="F408">
        <f>VLOOKUP(C408,'[1]phenotypes-895'!$A$2:$G$896,7,FALSE)</f>
        <v>65</v>
      </c>
    </row>
    <row r="409" spans="1:7" x14ac:dyDescent="0.2">
      <c r="A409">
        <v>408</v>
      </c>
      <c r="B409">
        <v>38</v>
      </c>
      <c r="C409" t="s">
        <v>407</v>
      </c>
      <c r="D409" t="s">
        <v>900</v>
      </c>
      <c r="E409">
        <v>0.97484523391199795</v>
      </c>
      <c r="F409">
        <f>VLOOKUP(C409,'[1]phenotypes-895'!$A$2:$G$896,7,FALSE)</f>
        <v>60</v>
      </c>
      <c r="G409" s="6">
        <v>50</v>
      </c>
    </row>
    <row r="410" spans="1:7" x14ac:dyDescent="0.2">
      <c r="A410">
        <v>409</v>
      </c>
      <c r="B410">
        <v>52</v>
      </c>
      <c r="C410" t="s">
        <v>408</v>
      </c>
      <c r="D410" t="s">
        <v>899</v>
      </c>
      <c r="E410">
        <v>8.2017244410079702</v>
      </c>
      <c r="F410">
        <f>VLOOKUP(C410,'[1]phenotypes-895'!$A$2:$G$896,7,FALSE)</f>
        <v>98</v>
      </c>
      <c r="G410" s="6">
        <v>4</v>
      </c>
    </row>
    <row r="411" spans="1:7" x14ac:dyDescent="0.2">
      <c r="A411">
        <v>410</v>
      </c>
      <c r="B411">
        <v>31</v>
      </c>
      <c r="C411" t="s">
        <v>409</v>
      </c>
      <c r="D411" t="s">
        <v>900</v>
      </c>
      <c r="E411">
        <v>-1.2787651606200601</v>
      </c>
      <c r="F411">
        <f>VLOOKUP(C411,'[1]phenotypes-895'!$A$2:$G$896,7,FALSE)</f>
        <v>54</v>
      </c>
      <c r="G411" s="5"/>
    </row>
    <row r="412" spans="1:7" x14ac:dyDescent="0.2">
      <c r="A412">
        <v>411</v>
      </c>
      <c r="B412">
        <v>39</v>
      </c>
      <c r="C412" t="s">
        <v>410</v>
      </c>
      <c r="D412" t="s">
        <v>900</v>
      </c>
      <c r="E412">
        <v>5.5972580342453204</v>
      </c>
      <c r="F412">
        <f>VLOOKUP(C412,'[1]phenotypes-895'!$A$2:$G$896,7,FALSE)</f>
        <v>98</v>
      </c>
      <c r="G412" s="6">
        <v>20</v>
      </c>
    </row>
    <row r="413" spans="1:7" x14ac:dyDescent="0.2">
      <c r="A413">
        <v>412</v>
      </c>
      <c r="B413">
        <v>35</v>
      </c>
      <c r="C413" t="s">
        <v>411</v>
      </c>
      <c r="D413" t="s">
        <v>900</v>
      </c>
      <c r="E413">
        <v>4.4497502679069196</v>
      </c>
      <c r="F413">
        <f>VLOOKUP(C413,'[1]phenotypes-895'!$A$2:$G$896,7,FALSE)</f>
        <v>98</v>
      </c>
      <c r="G413" s="6">
        <v>30</v>
      </c>
    </row>
    <row r="414" spans="1:7" x14ac:dyDescent="0.2">
      <c r="A414">
        <v>413</v>
      </c>
      <c r="B414">
        <v>50</v>
      </c>
      <c r="C414" t="s">
        <v>412</v>
      </c>
      <c r="D414" t="s">
        <v>899</v>
      </c>
      <c r="E414">
        <v>3.1603509373013301</v>
      </c>
      <c r="F414">
        <f>VLOOKUP(C414,'[1]phenotypes-895'!$A$2:$G$896,7,FALSE)</f>
        <v>98</v>
      </c>
      <c r="G414" s="6">
        <v>40</v>
      </c>
    </row>
    <row r="415" spans="1:7" x14ac:dyDescent="0.2">
      <c r="A415">
        <v>414</v>
      </c>
      <c r="B415">
        <v>45</v>
      </c>
      <c r="C415" t="s">
        <v>413</v>
      </c>
      <c r="D415" t="s">
        <v>899</v>
      </c>
      <c r="E415">
        <v>9.5295507075834909</v>
      </c>
      <c r="F415">
        <f>VLOOKUP(C415,'[1]phenotypes-895'!$A$2:$G$896,7,FALSE)</f>
        <v>89</v>
      </c>
      <c r="G415" s="6">
        <v>2</v>
      </c>
    </row>
    <row r="416" spans="1:7" x14ac:dyDescent="0.2">
      <c r="A416">
        <v>415</v>
      </c>
      <c r="B416">
        <v>49</v>
      </c>
      <c r="C416" t="s">
        <v>414</v>
      </c>
      <c r="D416" t="s">
        <v>899</v>
      </c>
      <c r="E416">
        <v>6.5327333419676403</v>
      </c>
      <c r="F416">
        <f>VLOOKUP(C416,'[1]phenotypes-895'!$A$2:$G$896,7,FALSE)</f>
        <v>91</v>
      </c>
      <c r="G416" s="6">
        <v>9</v>
      </c>
    </row>
    <row r="417" spans="1:7" x14ac:dyDescent="0.2">
      <c r="A417">
        <v>416</v>
      </c>
      <c r="B417">
        <v>34</v>
      </c>
      <c r="C417" t="s">
        <v>415</v>
      </c>
      <c r="D417" t="s">
        <v>900</v>
      </c>
      <c r="E417">
        <v>-3.6982465852892399</v>
      </c>
      <c r="F417">
        <f>VLOOKUP(C417,'[1]phenotypes-895'!$A$2:$G$896,7,FALSE)</f>
        <v>98</v>
      </c>
    </row>
    <row r="418" spans="1:7" x14ac:dyDescent="0.2">
      <c r="A418">
        <v>417</v>
      </c>
      <c r="B418">
        <v>46</v>
      </c>
      <c r="C418" t="s">
        <v>416</v>
      </c>
      <c r="D418" t="s">
        <v>899</v>
      </c>
      <c r="E418">
        <v>4.1194804422030904</v>
      </c>
      <c r="F418">
        <f>VLOOKUP(C418,'[1]phenotypes-895'!$A$2:$G$896,7,FALSE)</f>
        <v>88</v>
      </c>
      <c r="G418" s="6">
        <v>30</v>
      </c>
    </row>
    <row r="419" spans="1:7" x14ac:dyDescent="0.2">
      <c r="A419">
        <v>418</v>
      </c>
      <c r="B419">
        <v>51</v>
      </c>
      <c r="C419" t="s">
        <v>417</v>
      </c>
      <c r="D419" t="s">
        <v>899</v>
      </c>
      <c r="E419">
        <v>2.3082318356640901</v>
      </c>
      <c r="F419">
        <f>VLOOKUP(C419,'[1]phenotypes-895'!$A$2:$G$896,7,FALSE)</f>
        <v>98</v>
      </c>
      <c r="G419" s="6">
        <v>40</v>
      </c>
    </row>
    <row r="420" spans="1:7" x14ac:dyDescent="0.2">
      <c r="A420">
        <v>419</v>
      </c>
      <c r="B420">
        <v>39</v>
      </c>
      <c r="C420" t="s">
        <v>418</v>
      </c>
      <c r="D420" t="s">
        <v>900</v>
      </c>
      <c r="E420">
        <v>5.7549642489336801</v>
      </c>
      <c r="F420">
        <f>VLOOKUP(C420,'[1]phenotypes-895'!$A$2:$G$896,7,FALSE)</f>
        <v>98</v>
      </c>
      <c r="G420" s="6">
        <v>20</v>
      </c>
    </row>
    <row r="421" spans="1:7" x14ac:dyDescent="0.2">
      <c r="A421">
        <v>420</v>
      </c>
      <c r="B421">
        <v>30</v>
      </c>
      <c r="C421" t="s">
        <v>419</v>
      </c>
      <c r="D421" t="s">
        <v>900</v>
      </c>
      <c r="E421">
        <v>-2.51363353712172</v>
      </c>
      <c r="F421">
        <f>VLOOKUP(C421,'[1]phenotypes-895'!$A$2:$G$896,7,FALSE)</f>
        <v>98</v>
      </c>
      <c r="G421" s="5"/>
    </row>
    <row r="422" spans="1:7" x14ac:dyDescent="0.2">
      <c r="A422">
        <v>421</v>
      </c>
      <c r="B422">
        <v>54</v>
      </c>
      <c r="C422" t="s">
        <v>420</v>
      </c>
      <c r="D422" t="s">
        <v>899</v>
      </c>
      <c r="E422">
        <v>4.1906030631981004</v>
      </c>
      <c r="F422">
        <f>VLOOKUP(C422,'[1]phenotypes-895'!$A$2:$G$896,7,FALSE)</f>
        <v>98</v>
      </c>
      <c r="G422" s="6">
        <v>30</v>
      </c>
    </row>
    <row r="423" spans="1:7" x14ac:dyDescent="0.2">
      <c r="A423">
        <v>422</v>
      </c>
      <c r="B423">
        <v>24</v>
      </c>
      <c r="C423" t="s">
        <v>421</v>
      </c>
      <c r="D423" t="s">
        <v>900</v>
      </c>
      <c r="E423">
        <v>-5.9089881367501702</v>
      </c>
      <c r="F423">
        <f>VLOOKUP(C423,'[1]phenotypes-895'!$A$2:$G$896,7,FALSE)</f>
        <v>64</v>
      </c>
    </row>
    <row r="424" spans="1:7" x14ac:dyDescent="0.2">
      <c r="A424">
        <v>423</v>
      </c>
      <c r="B424">
        <v>44</v>
      </c>
      <c r="C424" t="s">
        <v>422</v>
      </c>
      <c r="D424" t="s">
        <v>899</v>
      </c>
      <c r="E424">
        <v>-2.0287674549437802</v>
      </c>
      <c r="F424">
        <f>VLOOKUP(C424,'[1]phenotypes-895'!$A$2:$G$896,7,FALSE)</f>
        <v>58</v>
      </c>
    </row>
    <row r="425" spans="1:7" x14ac:dyDescent="0.2">
      <c r="A425">
        <v>424</v>
      </c>
      <c r="B425">
        <v>33</v>
      </c>
      <c r="C425" t="s">
        <v>423</v>
      </c>
      <c r="D425" t="s">
        <v>900</v>
      </c>
      <c r="E425">
        <v>-0.59328554592958105</v>
      </c>
      <c r="F425">
        <f>VLOOKUP(C425,'[1]phenotypes-895'!$A$2:$G$896,7,FALSE)</f>
        <v>98</v>
      </c>
      <c r="G425" s="5"/>
    </row>
    <row r="426" spans="1:7" x14ac:dyDescent="0.2">
      <c r="A426">
        <v>425</v>
      </c>
      <c r="B426">
        <v>45</v>
      </c>
      <c r="C426" t="s">
        <v>424</v>
      </c>
      <c r="D426" t="s">
        <v>899</v>
      </c>
      <c r="E426">
        <v>6.2369736944829999</v>
      </c>
      <c r="F426">
        <f>VLOOKUP(C426,'[1]phenotypes-895'!$A$2:$G$896,7,FALSE)</f>
        <v>57</v>
      </c>
      <c r="G426" s="6">
        <v>10</v>
      </c>
    </row>
    <row r="427" spans="1:7" x14ac:dyDescent="0.2">
      <c r="A427">
        <v>426</v>
      </c>
      <c r="B427">
        <v>38</v>
      </c>
      <c r="C427" t="s">
        <v>425</v>
      </c>
      <c r="D427" t="s">
        <v>900</v>
      </c>
      <c r="E427">
        <v>4.3331218029487397</v>
      </c>
      <c r="F427">
        <f>VLOOKUP(C427,'[1]phenotypes-895'!$A$2:$G$896,7,FALSE)</f>
        <v>98</v>
      </c>
      <c r="G427" s="6">
        <v>30</v>
      </c>
    </row>
    <row r="428" spans="1:7" x14ac:dyDescent="0.2">
      <c r="A428">
        <v>427</v>
      </c>
      <c r="B428">
        <v>48</v>
      </c>
      <c r="C428" t="s">
        <v>426</v>
      </c>
      <c r="D428" t="s">
        <v>899</v>
      </c>
      <c r="E428">
        <v>6.6615507863005101</v>
      </c>
      <c r="F428">
        <f>VLOOKUP(C428,'[1]phenotypes-895'!$A$2:$G$896,7,FALSE)</f>
        <v>63</v>
      </c>
      <c r="G428" s="6">
        <v>8</v>
      </c>
    </row>
    <row r="429" spans="1:7" x14ac:dyDescent="0.2">
      <c r="A429">
        <v>428</v>
      </c>
      <c r="B429">
        <v>33</v>
      </c>
      <c r="C429" t="s">
        <v>427</v>
      </c>
      <c r="D429" t="s">
        <v>900</v>
      </c>
      <c r="E429">
        <v>-4.2233773006757902</v>
      </c>
      <c r="F429">
        <f>VLOOKUP(C429,'[1]phenotypes-895'!$A$2:$G$896,7,FALSE)</f>
        <v>62</v>
      </c>
    </row>
    <row r="430" spans="1:7" x14ac:dyDescent="0.2">
      <c r="A430">
        <v>429</v>
      </c>
      <c r="B430">
        <v>50</v>
      </c>
      <c r="C430" t="s">
        <v>428</v>
      </c>
      <c r="D430" t="s">
        <v>899</v>
      </c>
      <c r="E430">
        <v>8.1525559560045799</v>
      </c>
      <c r="F430">
        <f>VLOOKUP(C430,'[1]phenotypes-895'!$A$2:$G$896,7,FALSE)</f>
        <v>98</v>
      </c>
      <c r="G430" s="6">
        <v>4</v>
      </c>
    </row>
    <row r="431" spans="1:7" x14ac:dyDescent="0.2">
      <c r="A431">
        <v>430</v>
      </c>
      <c r="B431">
        <v>33</v>
      </c>
      <c r="C431" t="s">
        <v>429</v>
      </c>
      <c r="D431" t="s">
        <v>900</v>
      </c>
      <c r="E431">
        <v>-4.2513899700833502</v>
      </c>
      <c r="F431">
        <f>VLOOKUP(C431,'[1]phenotypes-895'!$A$2:$G$896,7,FALSE)</f>
        <v>68</v>
      </c>
    </row>
    <row r="432" spans="1:7" x14ac:dyDescent="0.2">
      <c r="A432">
        <v>431</v>
      </c>
      <c r="B432">
        <v>29</v>
      </c>
      <c r="C432" t="s">
        <v>430</v>
      </c>
      <c r="D432" t="s">
        <v>900</v>
      </c>
      <c r="E432">
        <v>-6.8489852730026097</v>
      </c>
      <c r="F432">
        <f>VLOOKUP(C432,'[1]phenotypes-895'!$A$2:$G$896,7,FALSE)</f>
        <v>65</v>
      </c>
    </row>
    <row r="433" spans="1:7" x14ac:dyDescent="0.2">
      <c r="A433">
        <v>432</v>
      </c>
      <c r="B433">
        <v>49</v>
      </c>
      <c r="C433" t="s">
        <v>431</v>
      </c>
      <c r="D433" t="s">
        <v>899</v>
      </c>
      <c r="E433">
        <v>6.8253911777477096</v>
      </c>
      <c r="F433">
        <f>VLOOKUP(C433,'[1]phenotypes-895'!$A$2:$G$896,7,FALSE)</f>
        <v>98</v>
      </c>
      <c r="G433" s="6">
        <v>7</v>
      </c>
    </row>
    <row r="434" spans="1:7" x14ac:dyDescent="0.2">
      <c r="A434">
        <v>433</v>
      </c>
      <c r="B434">
        <v>50</v>
      </c>
      <c r="C434" t="s">
        <v>432</v>
      </c>
      <c r="D434" t="s">
        <v>899</v>
      </c>
      <c r="E434">
        <v>9.6997921837896701</v>
      </c>
      <c r="F434">
        <f>VLOOKUP(C434,'[1]phenotypes-895'!$A$2:$G$896,7,FALSE)</f>
        <v>98</v>
      </c>
      <c r="G434" s="6">
        <v>1</v>
      </c>
    </row>
    <row r="435" spans="1:7" x14ac:dyDescent="0.2">
      <c r="A435">
        <v>434</v>
      </c>
      <c r="B435">
        <v>23</v>
      </c>
      <c r="C435" t="s">
        <v>433</v>
      </c>
      <c r="D435" t="s">
        <v>900</v>
      </c>
      <c r="E435">
        <v>0.75874737375141199</v>
      </c>
      <c r="F435">
        <f>VLOOKUP(C435,'[1]phenotypes-895'!$A$2:$G$896,7,FALSE)</f>
        <v>98</v>
      </c>
      <c r="G435" s="6">
        <v>50</v>
      </c>
    </row>
    <row r="436" spans="1:7" x14ac:dyDescent="0.2">
      <c r="A436">
        <v>435</v>
      </c>
      <c r="B436">
        <v>49</v>
      </c>
      <c r="C436" t="s">
        <v>434</v>
      </c>
      <c r="D436" t="s">
        <v>899</v>
      </c>
      <c r="E436">
        <v>5.6347613826294696</v>
      </c>
      <c r="F436">
        <f>VLOOKUP(C436,'[1]phenotypes-895'!$A$2:$G$896,7,FALSE)</f>
        <v>98</v>
      </c>
      <c r="G436" s="6">
        <v>20</v>
      </c>
    </row>
    <row r="437" spans="1:7" x14ac:dyDescent="0.2">
      <c r="A437">
        <v>436</v>
      </c>
      <c r="B437">
        <v>22</v>
      </c>
      <c r="C437" t="s">
        <v>435</v>
      </c>
      <c r="D437" t="s">
        <v>900</v>
      </c>
      <c r="E437">
        <v>-0.121077043078073</v>
      </c>
      <c r="F437">
        <f>VLOOKUP(C437,'[1]phenotypes-895'!$A$2:$G$896,7,FALSE)</f>
        <v>98</v>
      </c>
      <c r="G437" s="5"/>
    </row>
    <row r="438" spans="1:7" x14ac:dyDescent="0.2">
      <c r="A438">
        <v>437</v>
      </c>
      <c r="B438">
        <v>54</v>
      </c>
      <c r="C438" t="s">
        <v>436</v>
      </c>
      <c r="D438" t="s">
        <v>899</v>
      </c>
      <c r="E438">
        <v>1.5075915080275299</v>
      </c>
      <c r="F438">
        <f>VLOOKUP(C438,'[1]phenotypes-895'!$A$2:$G$896,7,FALSE)</f>
        <v>98</v>
      </c>
      <c r="G438" s="6">
        <v>50</v>
      </c>
    </row>
    <row r="439" spans="1:7" x14ac:dyDescent="0.2">
      <c r="A439">
        <v>438</v>
      </c>
      <c r="B439">
        <v>42</v>
      </c>
      <c r="C439" t="s">
        <v>437</v>
      </c>
      <c r="D439" t="s">
        <v>899</v>
      </c>
      <c r="E439">
        <v>0.28180993598235898</v>
      </c>
      <c r="F439">
        <f>VLOOKUP(C439,'[1]phenotypes-895'!$A$2:$G$896,7,FALSE)</f>
        <v>88</v>
      </c>
    </row>
    <row r="440" spans="1:7" x14ac:dyDescent="0.2">
      <c r="A440">
        <v>439</v>
      </c>
      <c r="B440">
        <v>29</v>
      </c>
      <c r="C440" t="s">
        <v>438</v>
      </c>
      <c r="D440" t="s">
        <v>900</v>
      </c>
      <c r="E440">
        <v>-2.1738293043006198</v>
      </c>
      <c r="F440">
        <f>VLOOKUP(C440,'[1]phenotypes-895'!$A$2:$G$896,7,FALSE)</f>
        <v>98</v>
      </c>
      <c r="G440" s="5"/>
    </row>
    <row r="441" spans="1:7" x14ac:dyDescent="0.2">
      <c r="A441">
        <v>440</v>
      </c>
      <c r="B441">
        <v>33</v>
      </c>
      <c r="C441" t="s">
        <v>439</v>
      </c>
      <c r="D441" t="s">
        <v>900</v>
      </c>
      <c r="E441">
        <v>-3.0073574828414502</v>
      </c>
      <c r="F441">
        <f>VLOOKUP(C441,'[1]phenotypes-895'!$A$2:$G$896,7,FALSE)</f>
        <v>98</v>
      </c>
    </row>
    <row r="442" spans="1:7" x14ac:dyDescent="0.2">
      <c r="A442">
        <v>441</v>
      </c>
      <c r="B442">
        <v>50</v>
      </c>
      <c r="C442" t="s">
        <v>440</v>
      </c>
      <c r="D442" t="s">
        <v>899</v>
      </c>
      <c r="E442">
        <v>3.1030671706817001</v>
      </c>
      <c r="F442">
        <f>VLOOKUP(C442,'[1]phenotypes-895'!$A$2:$G$896,7,FALSE)</f>
        <v>98</v>
      </c>
      <c r="G442" s="6">
        <v>40</v>
      </c>
    </row>
    <row r="443" spans="1:7" x14ac:dyDescent="0.2">
      <c r="A443">
        <v>442</v>
      </c>
      <c r="B443">
        <v>29</v>
      </c>
      <c r="C443" t="s">
        <v>441</v>
      </c>
      <c r="D443" t="s">
        <v>900</v>
      </c>
      <c r="E443">
        <v>0.13769738884869101</v>
      </c>
      <c r="F443">
        <f>VLOOKUP(C443,'[1]phenotypes-895'!$A$2:$G$896,7,FALSE)</f>
        <v>98</v>
      </c>
      <c r="G443" s="5"/>
    </row>
    <row r="444" spans="1:7" x14ac:dyDescent="0.2">
      <c r="A444">
        <v>443</v>
      </c>
      <c r="B444">
        <v>26</v>
      </c>
      <c r="C444" t="s">
        <v>442</v>
      </c>
      <c r="D444" t="s">
        <v>900</v>
      </c>
      <c r="E444">
        <v>2.9366056815868302</v>
      </c>
      <c r="F444">
        <f>VLOOKUP(C444,'[1]phenotypes-895'!$A$2:$G$896,7,FALSE)</f>
        <v>98</v>
      </c>
      <c r="G444" s="6">
        <v>40</v>
      </c>
    </row>
    <row r="445" spans="1:7" x14ac:dyDescent="0.2">
      <c r="A445">
        <v>444</v>
      </c>
      <c r="B445">
        <v>27</v>
      </c>
      <c r="C445" t="s">
        <v>443</v>
      </c>
      <c r="D445" t="s">
        <v>900</v>
      </c>
      <c r="E445">
        <v>0.205537998105363</v>
      </c>
      <c r="F445">
        <f>VLOOKUP(C445,'[1]phenotypes-895'!$A$2:$G$896,7,FALSE)</f>
        <v>60</v>
      </c>
      <c r="G445" s="5"/>
    </row>
    <row r="446" spans="1:7" x14ac:dyDescent="0.2">
      <c r="A446">
        <v>445</v>
      </c>
      <c r="B446">
        <v>49</v>
      </c>
      <c r="C446" t="s">
        <v>444</v>
      </c>
      <c r="D446" t="s">
        <v>899</v>
      </c>
      <c r="E446">
        <v>5.83793025589679</v>
      </c>
      <c r="F446">
        <f>VLOOKUP(C446,'[1]phenotypes-895'!$A$2:$G$896,7,FALSE)</f>
        <v>85</v>
      </c>
      <c r="G446" s="6">
        <v>20</v>
      </c>
    </row>
    <row r="447" spans="1:7" x14ac:dyDescent="0.2">
      <c r="A447">
        <v>446</v>
      </c>
      <c r="B447">
        <v>49</v>
      </c>
      <c r="C447" t="s">
        <v>445</v>
      </c>
      <c r="D447" t="s">
        <v>899</v>
      </c>
      <c r="E447">
        <v>4.0291384451821504</v>
      </c>
      <c r="F447">
        <f>VLOOKUP(C447,'[1]phenotypes-895'!$A$2:$G$896,7,FALSE)</f>
        <v>98</v>
      </c>
      <c r="G447" s="6">
        <v>30</v>
      </c>
    </row>
    <row r="448" spans="1:7" x14ac:dyDescent="0.2">
      <c r="A448">
        <v>447</v>
      </c>
      <c r="B448">
        <v>52</v>
      </c>
      <c r="C448" t="s">
        <v>446</v>
      </c>
      <c r="D448" t="s">
        <v>899</v>
      </c>
      <c r="E448">
        <v>-2.77613027629415</v>
      </c>
      <c r="F448">
        <f>VLOOKUP(C448,'[1]phenotypes-895'!$A$2:$G$896,7,FALSE)</f>
        <v>60</v>
      </c>
    </row>
    <row r="449" spans="1:7" x14ac:dyDescent="0.2">
      <c r="A449">
        <v>448</v>
      </c>
      <c r="B449">
        <v>33</v>
      </c>
      <c r="C449" t="s">
        <v>447</v>
      </c>
      <c r="D449" t="s">
        <v>900</v>
      </c>
      <c r="E449">
        <v>-6.0606757915514802</v>
      </c>
      <c r="F449">
        <f>VLOOKUP(C449,'[1]phenotypes-895'!$A$2:$G$896,7,FALSE)</f>
        <v>55</v>
      </c>
    </row>
    <row r="450" spans="1:7" x14ac:dyDescent="0.2">
      <c r="A450">
        <v>449</v>
      </c>
      <c r="B450">
        <v>50</v>
      </c>
      <c r="C450" t="s">
        <v>448</v>
      </c>
      <c r="D450" t="s">
        <v>899</v>
      </c>
      <c r="E450">
        <v>6.5883611809696401</v>
      </c>
      <c r="F450">
        <f>VLOOKUP(C450,'[1]phenotypes-895'!$A$2:$G$896,7,FALSE)</f>
        <v>98</v>
      </c>
      <c r="G450" s="6">
        <v>8</v>
      </c>
    </row>
    <row r="451" spans="1:7" x14ac:dyDescent="0.2">
      <c r="A451">
        <v>450</v>
      </c>
      <c r="B451">
        <v>24</v>
      </c>
      <c r="C451" t="s">
        <v>449</v>
      </c>
      <c r="D451" t="s">
        <v>900</v>
      </c>
      <c r="E451">
        <v>-3.0803117569362102</v>
      </c>
      <c r="F451">
        <f>VLOOKUP(C451,'[1]phenotypes-895'!$A$2:$G$896,7,FALSE)</f>
        <v>98</v>
      </c>
      <c r="G451" s="5"/>
    </row>
    <row r="452" spans="1:7" x14ac:dyDescent="0.2">
      <c r="A452">
        <v>451</v>
      </c>
      <c r="B452">
        <v>50</v>
      </c>
      <c r="C452" t="s">
        <v>450</v>
      </c>
      <c r="D452" t="s">
        <v>899</v>
      </c>
      <c r="E452">
        <v>3.2178416913894901</v>
      </c>
      <c r="F452">
        <f>VLOOKUP(C452,'[1]phenotypes-895'!$A$2:$G$896,7,FALSE)</f>
        <v>67</v>
      </c>
      <c r="G452" s="6">
        <v>40</v>
      </c>
    </row>
    <row r="453" spans="1:7" x14ac:dyDescent="0.2">
      <c r="A453">
        <v>452</v>
      </c>
      <c r="B453">
        <v>31</v>
      </c>
      <c r="C453" t="s">
        <v>451</v>
      </c>
      <c r="D453" t="s">
        <v>900</v>
      </c>
      <c r="E453">
        <v>-1.6537351656613299</v>
      </c>
      <c r="F453">
        <f>VLOOKUP(C453,'[1]phenotypes-895'!$A$2:$G$896,7,FALSE)</f>
        <v>88</v>
      </c>
      <c r="G453" s="5"/>
    </row>
    <row r="454" spans="1:7" x14ac:dyDescent="0.2">
      <c r="A454">
        <v>453</v>
      </c>
      <c r="B454">
        <v>35</v>
      </c>
      <c r="C454" t="s">
        <v>452</v>
      </c>
      <c r="D454" t="s">
        <v>900</v>
      </c>
      <c r="E454">
        <v>4.6064225266932599</v>
      </c>
      <c r="F454">
        <f>VLOOKUP(C454,'[1]phenotypes-895'!$A$2:$G$896,7,FALSE)</f>
        <v>98</v>
      </c>
      <c r="G454" s="6">
        <v>30</v>
      </c>
    </row>
    <row r="455" spans="1:7" x14ac:dyDescent="0.2">
      <c r="A455">
        <v>454</v>
      </c>
      <c r="B455">
        <v>50</v>
      </c>
      <c r="C455" t="s">
        <v>453</v>
      </c>
      <c r="D455" t="s">
        <v>899</v>
      </c>
      <c r="E455">
        <v>2.1229150150921998</v>
      </c>
      <c r="F455">
        <f>VLOOKUP(C455,'[1]phenotypes-895'!$A$2:$G$896,7,FALSE)</f>
        <v>74</v>
      </c>
      <c r="G455" s="6">
        <v>40</v>
      </c>
    </row>
    <row r="456" spans="1:7" x14ac:dyDescent="0.2">
      <c r="A456">
        <v>455</v>
      </c>
      <c r="B456">
        <v>32</v>
      </c>
      <c r="C456" t="s">
        <v>454</v>
      </c>
      <c r="D456" t="s">
        <v>900</v>
      </c>
      <c r="E456">
        <v>2.5583008281111002</v>
      </c>
      <c r="F456">
        <f>VLOOKUP(C456,'[1]phenotypes-895'!$A$2:$G$896,7,FALSE)</f>
        <v>81</v>
      </c>
      <c r="G456" s="6">
        <v>40</v>
      </c>
    </row>
    <row r="457" spans="1:7" x14ac:dyDescent="0.2">
      <c r="A457">
        <v>456</v>
      </c>
      <c r="B457">
        <v>50</v>
      </c>
      <c r="C457" t="s">
        <v>455</v>
      </c>
      <c r="D457" t="s">
        <v>899</v>
      </c>
      <c r="E457">
        <v>6.1748769609084597</v>
      </c>
      <c r="F457">
        <f>VLOOKUP(C457,'[1]phenotypes-895'!$A$2:$G$896,7,FALSE)</f>
        <v>98</v>
      </c>
      <c r="G457" s="6">
        <v>20</v>
      </c>
    </row>
    <row r="458" spans="1:7" x14ac:dyDescent="0.2">
      <c r="A458">
        <v>457</v>
      </c>
      <c r="B458">
        <v>23</v>
      </c>
      <c r="C458" t="s">
        <v>456</v>
      </c>
      <c r="D458" t="s">
        <v>900</v>
      </c>
      <c r="E458">
        <v>4.1148272880796899</v>
      </c>
      <c r="F458">
        <f>VLOOKUP(C458,'[1]phenotypes-895'!$A$2:$G$896,7,FALSE)</f>
        <v>98</v>
      </c>
      <c r="G458" s="6">
        <v>30</v>
      </c>
    </row>
    <row r="459" spans="1:7" x14ac:dyDescent="0.2">
      <c r="A459">
        <v>458</v>
      </c>
      <c r="B459">
        <v>21</v>
      </c>
      <c r="C459" t="s">
        <v>457</v>
      </c>
      <c r="D459" t="s">
        <v>900</v>
      </c>
      <c r="E459">
        <v>-4.3815389193342096</v>
      </c>
      <c r="F459">
        <f>VLOOKUP(C459,'[1]phenotypes-895'!$A$2:$G$896,7,FALSE)</f>
        <v>57</v>
      </c>
    </row>
    <row r="460" spans="1:7" x14ac:dyDescent="0.2">
      <c r="A460">
        <v>459</v>
      </c>
      <c r="B460">
        <v>50</v>
      </c>
      <c r="C460" t="s">
        <v>458</v>
      </c>
      <c r="D460" t="s">
        <v>899</v>
      </c>
      <c r="E460">
        <v>1.81108532961307</v>
      </c>
      <c r="F460">
        <f>VLOOKUP(C460,'[1]phenotypes-895'!$A$2:$G$896,7,FALSE)</f>
        <v>66</v>
      </c>
      <c r="G460" s="6">
        <v>50</v>
      </c>
    </row>
    <row r="461" spans="1:7" x14ac:dyDescent="0.2">
      <c r="A461">
        <v>460</v>
      </c>
      <c r="B461">
        <v>49</v>
      </c>
      <c r="C461" t="s">
        <v>459</v>
      </c>
      <c r="D461" t="s">
        <v>899</v>
      </c>
      <c r="E461">
        <v>4.0801850167926501</v>
      </c>
      <c r="F461">
        <f>VLOOKUP(C461,'[1]phenotypes-895'!$A$2:$G$896,7,FALSE)</f>
        <v>63</v>
      </c>
      <c r="G461" s="6">
        <v>30</v>
      </c>
    </row>
    <row r="462" spans="1:7" x14ac:dyDescent="0.2">
      <c r="A462">
        <v>461</v>
      </c>
      <c r="B462">
        <v>28</v>
      </c>
      <c r="C462" t="s">
        <v>460</v>
      </c>
      <c r="D462" t="s">
        <v>900</v>
      </c>
      <c r="E462">
        <v>-9.6805526255084597</v>
      </c>
      <c r="F462">
        <f>VLOOKUP(C462,'[1]phenotypes-895'!$A$2:$G$896,7,FALSE)</f>
        <v>86</v>
      </c>
    </row>
    <row r="463" spans="1:7" x14ac:dyDescent="0.2">
      <c r="A463">
        <v>462</v>
      </c>
      <c r="B463">
        <v>49</v>
      </c>
      <c r="C463" t="s">
        <v>461</v>
      </c>
      <c r="D463" t="s">
        <v>899</v>
      </c>
      <c r="E463">
        <v>7.0309198284830297</v>
      </c>
      <c r="F463">
        <f>VLOOKUP(C463,'[1]phenotypes-895'!$A$2:$G$896,7,FALSE)</f>
        <v>89</v>
      </c>
      <c r="G463" s="6">
        <v>7</v>
      </c>
    </row>
    <row r="464" spans="1:7" x14ac:dyDescent="0.2">
      <c r="A464">
        <v>463</v>
      </c>
      <c r="B464">
        <v>26</v>
      </c>
      <c r="C464" t="s">
        <v>462</v>
      </c>
      <c r="D464" t="s">
        <v>900</v>
      </c>
      <c r="E464">
        <v>-1.4577810664013999</v>
      </c>
      <c r="F464">
        <f>VLOOKUP(C464,'[1]phenotypes-895'!$A$2:$G$896,7,FALSE)</f>
        <v>52</v>
      </c>
      <c r="G464" s="5"/>
    </row>
    <row r="465" spans="1:7" x14ac:dyDescent="0.2">
      <c r="A465">
        <v>464</v>
      </c>
      <c r="B465">
        <v>37</v>
      </c>
      <c r="C465" t="s">
        <v>463</v>
      </c>
      <c r="D465" t="s">
        <v>900</v>
      </c>
      <c r="E465">
        <v>6.5796583708984597</v>
      </c>
      <c r="F465">
        <f>VLOOKUP(C465,'[1]phenotypes-895'!$A$2:$G$896,7,FALSE)</f>
        <v>98</v>
      </c>
      <c r="G465" s="6">
        <v>9</v>
      </c>
    </row>
    <row r="466" spans="1:7" x14ac:dyDescent="0.2">
      <c r="A466">
        <v>465</v>
      </c>
      <c r="B466">
        <v>40</v>
      </c>
      <c r="C466" t="s">
        <v>464</v>
      </c>
      <c r="D466" t="s">
        <v>900</v>
      </c>
      <c r="E466">
        <v>-3.1031265088548201</v>
      </c>
      <c r="F466">
        <f>VLOOKUP(C466,'[1]phenotypes-895'!$A$2:$G$896,7,FALSE)</f>
        <v>98</v>
      </c>
    </row>
    <row r="467" spans="1:7" x14ac:dyDescent="0.2">
      <c r="A467">
        <v>466</v>
      </c>
      <c r="B467">
        <v>26</v>
      </c>
      <c r="C467" t="s">
        <v>465</v>
      </c>
      <c r="D467" t="s">
        <v>900</v>
      </c>
      <c r="E467">
        <v>3.6307484067621698</v>
      </c>
      <c r="F467">
        <f>VLOOKUP(C467,'[1]phenotypes-895'!$A$2:$G$896,7,FALSE)</f>
        <v>98</v>
      </c>
      <c r="G467" s="6">
        <v>30</v>
      </c>
    </row>
    <row r="468" spans="1:7" x14ac:dyDescent="0.2">
      <c r="A468">
        <v>467</v>
      </c>
      <c r="B468">
        <v>32</v>
      </c>
      <c r="C468" t="s">
        <v>466</v>
      </c>
      <c r="D468" t="s">
        <v>900</v>
      </c>
      <c r="E468">
        <v>0.39157965939787598</v>
      </c>
      <c r="F468">
        <f>VLOOKUP(C468,'[1]phenotypes-895'!$A$2:$G$896,7,FALSE)</f>
        <v>98</v>
      </c>
      <c r="G468" s="5"/>
    </row>
    <row r="469" spans="1:7" x14ac:dyDescent="0.2">
      <c r="A469">
        <v>468</v>
      </c>
      <c r="B469">
        <v>46</v>
      </c>
      <c r="C469" t="s">
        <v>467</v>
      </c>
      <c r="D469" t="s">
        <v>899</v>
      </c>
      <c r="E469">
        <v>4.9309111079901502</v>
      </c>
      <c r="F469">
        <f>VLOOKUP(C469,'[1]phenotypes-895'!$A$2:$G$896,7,FALSE)</f>
        <v>98</v>
      </c>
      <c r="G469" s="6">
        <v>20</v>
      </c>
    </row>
    <row r="470" spans="1:7" x14ac:dyDescent="0.2">
      <c r="A470">
        <v>469</v>
      </c>
      <c r="B470">
        <v>42</v>
      </c>
      <c r="C470" t="s">
        <v>468</v>
      </c>
      <c r="D470" t="s">
        <v>899</v>
      </c>
      <c r="E470">
        <v>-1.8188259044389301</v>
      </c>
      <c r="F470">
        <f>VLOOKUP(C470,'[1]phenotypes-895'!$A$2:$G$896,7,FALSE)</f>
        <v>60</v>
      </c>
    </row>
    <row r="471" spans="1:7" x14ac:dyDescent="0.2">
      <c r="A471">
        <v>470</v>
      </c>
      <c r="B471">
        <v>27</v>
      </c>
      <c r="C471" t="s">
        <v>469</v>
      </c>
      <c r="D471" t="s">
        <v>900</v>
      </c>
      <c r="E471">
        <v>2.6530900935408099</v>
      </c>
      <c r="F471">
        <f>VLOOKUP(C471,'[1]phenotypes-895'!$A$2:$G$896,7,FALSE)</f>
        <v>98</v>
      </c>
      <c r="G471" s="6">
        <v>40</v>
      </c>
    </row>
    <row r="472" spans="1:7" x14ac:dyDescent="0.2">
      <c r="A472">
        <v>471</v>
      </c>
      <c r="B472">
        <v>47</v>
      </c>
      <c r="C472" t="s">
        <v>470</v>
      </c>
      <c r="D472" t="s">
        <v>899</v>
      </c>
      <c r="E472">
        <v>6.4940587850859997</v>
      </c>
      <c r="F472">
        <f>VLOOKUP(C472,'[1]phenotypes-895'!$A$2:$G$896,7,FALSE)</f>
        <v>98</v>
      </c>
      <c r="G472" s="6">
        <v>9</v>
      </c>
    </row>
    <row r="473" spans="1:7" x14ac:dyDescent="0.2">
      <c r="A473">
        <v>472</v>
      </c>
      <c r="B473">
        <v>49</v>
      </c>
      <c r="C473" t="s">
        <v>471</v>
      </c>
      <c r="D473" t="s">
        <v>899</v>
      </c>
      <c r="E473">
        <v>2.9589044769902699</v>
      </c>
      <c r="F473">
        <f>VLOOKUP(C473,'[1]phenotypes-895'!$A$2:$G$896,7,FALSE)</f>
        <v>98</v>
      </c>
      <c r="G473" s="6">
        <v>40</v>
      </c>
    </row>
    <row r="474" spans="1:7" x14ac:dyDescent="0.2">
      <c r="A474">
        <v>473</v>
      </c>
      <c r="B474">
        <v>48</v>
      </c>
      <c r="C474" t="s">
        <v>472</v>
      </c>
      <c r="D474" t="s">
        <v>899</v>
      </c>
      <c r="E474">
        <v>6.2232002999336196</v>
      </c>
      <c r="F474">
        <f>VLOOKUP(C474,'[1]phenotypes-895'!$A$2:$G$896,7,FALSE)</f>
        <v>98</v>
      </c>
      <c r="G474" s="6">
        <v>10</v>
      </c>
    </row>
    <row r="475" spans="1:7" x14ac:dyDescent="0.2">
      <c r="A475">
        <v>474</v>
      </c>
      <c r="B475">
        <v>50</v>
      </c>
      <c r="C475" t="s">
        <v>473</v>
      </c>
      <c r="D475" t="s">
        <v>899</v>
      </c>
      <c r="E475">
        <v>7.2869828326809003</v>
      </c>
      <c r="F475">
        <f>VLOOKUP(C475,'[1]phenotypes-895'!$A$2:$G$896,7,FALSE)</f>
        <v>98</v>
      </c>
      <c r="G475" s="6">
        <v>6</v>
      </c>
    </row>
    <row r="476" spans="1:7" x14ac:dyDescent="0.2">
      <c r="A476">
        <v>475</v>
      </c>
      <c r="B476">
        <v>49</v>
      </c>
      <c r="C476" t="s">
        <v>474</v>
      </c>
      <c r="D476" t="s">
        <v>899</v>
      </c>
      <c r="E476">
        <v>1.42116124862279</v>
      </c>
      <c r="F476">
        <f>VLOOKUP(C476,'[1]phenotypes-895'!$A$2:$G$896,7,FALSE)</f>
        <v>58</v>
      </c>
      <c r="G476" s="6">
        <v>50</v>
      </c>
    </row>
    <row r="477" spans="1:7" x14ac:dyDescent="0.2">
      <c r="A477">
        <v>476</v>
      </c>
      <c r="B477">
        <v>21</v>
      </c>
      <c r="C477" t="s">
        <v>475</v>
      </c>
      <c r="D477" t="s">
        <v>900</v>
      </c>
      <c r="E477">
        <v>-2.1169468849616702</v>
      </c>
      <c r="F477">
        <f>VLOOKUP(C477,'[1]phenotypes-895'!$A$2:$G$896,7,FALSE)</f>
        <v>86</v>
      </c>
      <c r="G477" s="5"/>
    </row>
    <row r="478" spans="1:7" x14ac:dyDescent="0.2">
      <c r="A478">
        <v>477</v>
      </c>
      <c r="B478">
        <v>24</v>
      </c>
      <c r="C478" t="s">
        <v>476</v>
      </c>
      <c r="D478" t="s">
        <v>900</v>
      </c>
      <c r="E478">
        <v>-2.3758715580666099</v>
      </c>
      <c r="F478">
        <f>VLOOKUP(C478,'[1]phenotypes-895'!$A$2:$G$896,7,FALSE)</f>
        <v>98</v>
      </c>
      <c r="G478" s="5"/>
    </row>
    <row r="479" spans="1:7" x14ac:dyDescent="0.2">
      <c r="A479">
        <v>478</v>
      </c>
      <c r="B479">
        <v>23</v>
      </c>
      <c r="C479" t="s">
        <v>477</v>
      </c>
      <c r="D479" t="s">
        <v>900</v>
      </c>
      <c r="E479">
        <v>-0.232067050101257</v>
      </c>
      <c r="F479">
        <f>VLOOKUP(C479,'[1]phenotypes-895'!$A$2:$G$896,7,FALSE)</f>
        <v>66</v>
      </c>
      <c r="G479" s="5"/>
    </row>
    <row r="480" spans="1:7" x14ac:dyDescent="0.2">
      <c r="A480">
        <v>479</v>
      </c>
      <c r="B480">
        <v>24</v>
      </c>
      <c r="C480" t="s">
        <v>478</v>
      </c>
      <c r="D480" t="s">
        <v>900</v>
      </c>
      <c r="E480">
        <v>-6.6315748916444202</v>
      </c>
      <c r="F480">
        <f>VLOOKUP(C480,'[1]phenotypes-895'!$A$2:$G$896,7,FALSE)</f>
        <v>62</v>
      </c>
    </row>
    <row r="481" spans="1:7" x14ac:dyDescent="0.2">
      <c r="A481">
        <v>480</v>
      </c>
      <c r="B481">
        <v>35</v>
      </c>
      <c r="C481" t="s">
        <v>479</v>
      </c>
      <c r="D481" t="s">
        <v>900</v>
      </c>
      <c r="E481">
        <v>4.3193860098706098</v>
      </c>
      <c r="F481">
        <f>VLOOKUP(C481,'[1]phenotypes-895'!$A$2:$G$896,7,FALSE)</f>
        <v>98</v>
      </c>
      <c r="G481" s="6">
        <v>30</v>
      </c>
    </row>
    <row r="482" spans="1:7" x14ac:dyDescent="0.2">
      <c r="A482">
        <v>481</v>
      </c>
      <c r="B482">
        <v>31</v>
      </c>
      <c r="C482" t="s">
        <v>480</v>
      </c>
      <c r="D482" t="s">
        <v>900</v>
      </c>
      <c r="E482">
        <v>3.2347609716553398</v>
      </c>
      <c r="F482">
        <f>VLOOKUP(C482,'[1]phenotypes-895'!$A$2:$G$896,7,FALSE)</f>
        <v>98</v>
      </c>
      <c r="G482" s="6">
        <v>30</v>
      </c>
    </row>
    <row r="483" spans="1:7" x14ac:dyDescent="0.2">
      <c r="A483">
        <v>482</v>
      </c>
      <c r="B483">
        <v>24</v>
      </c>
      <c r="C483" t="s">
        <v>481</v>
      </c>
      <c r="D483" t="s">
        <v>900</v>
      </c>
      <c r="E483">
        <v>-4.1569407310298203</v>
      </c>
      <c r="F483">
        <f>VLOOKUP(C483,'[1]phenotypes-895'!$A$2:$G$896,7,FALSE)</f>
        <v>82</v>
      </c>
    </row>
    <row r="484" spans="1:7" x14ac:dyDescent="0.2">
      <c r="A484">
        <v>483</v>
      </c>
      <c r="B484">
        <v>29</v>
      </c>
      <c r="C484" t="s">
        <v>482</v>
      </c>
      <c r="D484" t="s">
        <v>900</v>
      </c>
      <c r="E484">
        <v>-10.1898767307306</v>
      </c>
      <c r="F484">
        <f>VLOOKUP(C484,'[1]phenotypes-895'!$A$2:$G$896,7,FALSE)</f>
        <v>57</v>
      </c>
    </row>
    <row r="485" spans="1:7" x14ac:dyDescent="0.2">
      <c r="A485">
        <v>484</v>
      </c>
      <c r="B485">
        <v>23</v>
      </c>
      <c r="C485" t="s">
        <v>483</v>
      </c>
      <c r="D485" t="s">
        <v>900</v>
      </c>
      <c r="E485">
        <v>0.66953697909250898</v>
      </c>
      <c r="F485">
        <f>VLOOKUP(C485,'[1]phenotypes-895'!$A$2:$G$896,7,FALSE)</f>
        <v>69</v>
      </c>
      <c r="G485" s="5"/>
    </row>
    <row r="486" spans="1:7" x14ac:dyDescent="0.2">
      <c r="A486">
        <v>485</v>
      </c>
      <c r="B486">
        <v>37</v>
      </c>
      <c r="C486" t="s">
        <v>484</v>
      </c>
      <c r="D486" t="s">
        <v>900</v>
      </c>
      <c r="E486">
        <v>3.5666508716202401</v>
      </c>
      <c r="F486">
        <f>VLOOKUP(C486,'[1]phenotypes-895'!$A$2:$G$896,7,FALSE)</f>
        <v>92</v>
      </c>
      <c r="G486" s="6">
        <v>30</v>
      </c>
    </row>
    <row r="487" spans="1:7" x14ac:dyDescent="0.2">
      <c r="A487">
        <v>486</v>
      </c>
      <c r="B487">
        <v>48</v>
      </c>
      <c r="C487" t="s">
        <v>485</v>
      </c>
      <c r="D487" t="s">
        <v>899</v>
      </c>
      <c r="E487">
        <v>0.49104640865139498</v>
      </c>
      <c r="F487">
        <f>VLOOKUP(C487,'[1]phenotypes-895'!$A$2:$G$896,7,FALSE)</f>
        <v>64</v>
      </c>
    </row>
    <row r="488" spans="1:7" x14ac:dyDescent="0.2">
      <c r="A488">
        <v>487</v>
      </c>
      <c r="B488">
        <v>34</v>
      </c>
      <c r="C488" t="s">
        <v>486</v>
      </c>
      <c r="D488" t="s">
        <v>900</v>
      </c>
      <c r="E488">
        <v>-1.3271270640838699</v>
      </c>
      <c r="F488">
        <f>VLOOKUP(C488,'[1]phenotypes-895'!$A$2:$G$896,7,FALSE)</f>
        <v>98</v>
      </c>
      <c r="G488" s="5"/>
    </row>
    <row r="489" spans="1:7" x14ac:dyDescent="0.2">
      <c r="A489">
        <v>488</v>
      </c>
      <c r="B489">
        <v>40</v>
      </c>
      <c r="C489" t="s">
        <v>487</v>
      </c>
      <c r="D489" t="s">
        <v>900</v>
      </c>
      <c r="E489">
        <v>-5.0026485037775101</v>
      </c>
      <c r="F489">
        <f>VLOOKUP(C489,'[1]phenotypes-895'!$A$2:$G$896,7,FALSE)</f>
        <v>69</v>
      </c>
    </row>
    <row r="490" spans="1:7" x14ac:dyDescent="0.2">
      <c r="A490">
        <v>489</v>
      </c>
      <c r="B490">
        <v>42</v>
      </c>
      <c r="C490" t="s">
        <v>488</v>
      </c>
      <c r="D490" t="s">
        <v>899</v>
      </c>
      <c r="E490">
        <v>5.6478659102454003</v>
      </c>
      <c r="F490">
        <f>VLOOKUP(C490,'[1]phenotypes-895'!$A$2:$G$896,7,FALSE)</f>
        <v>69</v>
      </c>
      <c r="G490" s="6">
        <v>20</v>
      </c>
    </row>
    <row r="491" spans="1:7" x14ac:dyDescent="0.2">
      <c r="A491">
        <v>490</v>
      </c>
      <c r="B491">
        <v>35</v>
      </c>
      <c r="C491" t="s">
        <v>489</v>
      </c>
      <c r="D491" t="s">
        <v>900</v>
      </c>
      <c r="E491">
        <v>4.9484184955137103</v>
      </c>
      <c r="F491">
        <f>VLOOKUP(C491,'[1]phenotypes-895'!$A$2:$G$896,7,FALSE)</f>
        <v>98</v>
      </c>
      <c r="G491" s="6">
        <v>20</v>
      </c>
    </row>
    <row r="492" spans="1:7" x14ac:dyDescent="0.2">
      <c r="A492">
        <v>491</v>
      </c>
      <c r="B492">
        <v>46</v>
      </c>
      <c r="C492" t="s">
        <v>490</v>
      </c>
      <c r="D492" t="s">
        <v>899</v>
      </c>
      <c r="E492">
        <v>5.3294400666532997</v>
      </c>
      <c r="F492">
        <f>VLOOKUP(C492,'[1]phenotypes-895'!$A$2:$G$896,7,FALSE)</f>
        <v>80</v>
      </c>
      <c r="G492" s="6">
        <v>20</v>
      </c>
    </row>
    <row r="493" spans="1:7" x14ac:dyDescent="0.2">
      <c r="A493">
        <v>492</v>
      </c>
      <c r="B493">
        <v>44</v>
      </c>
      <c r="C493" t="s">
        <v>491</v>
      </c>
      <c r="D493" t="s">
        <v>899</v>
      </c>
      <c r="E493">
        <v>2.1527108109393298</v>
      </c>
      <c r="F493">
        <f>VLOOKUP(C493,'[1]phenotypes-895'!$A$2:$G$896,7,FALSE)</f>
        <v>98</v>
      </c>
      <c r="G493" s="6">
        <v>40</v>
      </c>
    </row>
    <row r="494" spans="1:7" x14ac:dyDescent="0.2">
      <c r="A494">
        <v>493</v>
      </c>
      <c r="B494">
        <v>39</v>
      </c>
      <c r="C494" t="s">
        <v>492</v>
      </c>
      <c r="D494" t="s">
        <v>900</v>
      </c>
      <c r="E494">
        <v>2.9347576016843502</v>
      </c>
      <c r="F494">
        <f>VLOOKUP(C494,'[1]phenotypes-895'!$A$2:$G$896,7,FALSE)</f>
        <v>98</v>
      </c>
      <c r="G494" s="6">
        <v>40</v>
      </c>
    </row>
    <row r="495" spans="1:7" x14ac:dyDescent="0.2">
      <c r="A495">
        <v>494</v>
      </c>
      <c r="B495">
        <v>50</v>
      </c>
      <c r="C495" t="s">
        <v>493</v>
      </c>
      <c r="D495" t="s">
        <v>899</v>
      </c>
      <c r="E495">
        <v>7.2412946763401402</v>
      </c>
      <c r="F495">
        <f>VLOOKUP(C495,'[1]phenotypes-895'!$A$2:$G$896,7,FALSE)</f>
        <v>90</v>
      </c>
      <c r="G495" s="6">
        <v>6</v>
      </c>
    </row>
    <row r="496" spans="1:7" x14ac:dyDescent="0.2">
      <c r="A496">
        <v>495</v>
      </c>
      <c r="B496">
        <v>27</v>
      </c>
      <c r="C496" t="s">
        <v>494</v>
      </c>
      <c r="D496" t="s">
        <v>900</v>
      </c>
      <c r="E496">
        <v>-0.806521346143527</v>
      </c>
      <c r="F496">
        <f>VLOOKUP(C496,'[1]phenotypes-895'!$A$2:$G$896,7,FALSE)</f>
        <v>57</v>
      </c>
      <c r="G496" s="5"/>
    </row>
    <row r="497" spans="1:7" x14ac:dyDescent="0.2">
      <c r="A497">
        <v>496</v>
      </c>
      <c r="B497">
        <v>34</v>
      </c>
      <c r="C497" t="s">
        <v>495</v>
      </c>
      <c r="D497" t="s">
        <v>900</v>
      </c>
      <c r="E497">
        <v>-2.3969551548396</v>
      </c>
      <c r="F497">
        <f>VLOOKUP(C497,'[1]phenotypes-895'!$A$2:$G$896,7,FALSE)</f>
        <v>74</v>
      </c>
    </row>
    <row r="498" spans="1:7" x14ac:dyDescent="0.2">
      <c r="A498">
        <v>497</v>
      </c>
      <c r="B498">
        <v>27</v>
      </c>
      <c r="C498" t="s">
        <v>496</v>
      </c>
      <c r="D498" t="s">
        <v>900</v>
      </c>
      <c r="E498">
        <v>0.67268496984152804</v>
      </c>
      <c r="F498">
        <f>VLOOKUP(C498,'[1]phenotypes-895'!$A$2:$G$896,7,FALSE)</f>
        <v>98</v>
      </c>
      <c r="G498" s="5"/>
    </row>
    <row r="499" spans="1:7" x14ac:dyDescent="0.2">
      <c r="A499">
        <v>498</v>
      </c>
      <c r="B499">
        <v>34</v>
      </c>
      <c r="C499" t="s">
        <v>497</v>
      </c>
      <c r="D499" t="s">
        <v>900</v>
      </c>
      <c r="E499">
        <v>1.351222865017</v>
      </c>
      <c r="F499">
        <f>VLOOKUP(C499,'[1]phenotypes-895'!$A$2:$G$896,7,FALSE)</f>
        <v>98</v>
      </c>
      <c r="G499" s="6">
        <v>50</v>
      </c>
    </row>
    <row r="500" spans="1:7" x14ac:dyDescent="0.2">
      <c r="A500">
        <v>499</v>
      </c>
      <c r="B500">
        <v>24</v>
      </c>
      <c r="C500" t="s">
        <v>498</v>
      </c>
      <c r="D500" t="s">
        <v>900</v>
      </c>
      <c r="E500">
        <v>-3.8307633616213899</v>
      </c>
      <c r="F500">
        <f>VLOOKUP(C500,'[1]phenotypes-895'!$A$2:$G$896,7,FALSE)</f>
        <v>98</v>
      </c>
    </row>
    <row r="501" spans="1:7" x14ac:dyDescent="0.2">
      <c r="A501">
        <v>500</v>
      </c>
      <c r="B501">
        <v>42</v>
      </c>
      <c r="C501" t="s">
        <v>499</v>
      </c>
      <c r="D501" t="s">
        <v>899</v>
      </c>
      <c r="E501">
        <v>-1.2207564292336399</v>
      </c>
      <c r="F501">
        <f>VLOOKUP(C501,'[1]phenotypes-895'!$A$2:$G$896,7,FALSE)</f>
        <v>55</v>
      </c>
    </row>
    <row r="502" spans="1:7" x14ac:dyDescent="0.2">
      <c r="A502">
        <v>501</v>
      </c>
      <c r="B502">
        <v>22</v>
      </c>
      <c r="C502" t="s">
        <v>500</v>
      </c>
      <c r="D502" t="s">
        <v>900</v>
      </c>
      <c r="E502">
        <v>1.8154292644329999</v>
      </c>
      <c r="F502">
        <f>VLOOKUP(C502,'[1]phenotypes-895'!$A$2:$G$896,7,FALSE)</f>
        <v>98</v>
      </c>
      <c r="G502" s="6">
        <v>50</v>
      </c>
    </row>
    <row r="503" spans="1:7" x14ac:dyDescent="0.2">
      <c r="A503">
        <v>502</v>
      </c>
      <c r="B503">
        <v>32</v>
      </c>
      <c r="C503" t="s">
        <v>501</v>
      </c>
      <c r="D503" t="s">
        <v>900</v>
      </c>
      <c r="E503">
        <v>-2.9516326996912299</v>
      </c>
      <c r="F503">
        <f>VLOOKUP(C503,'[1]phenotypes-895'!$A$2:$G$896,7,FALSE)</f>
        <v>74</v>
      </c>
      <c r="G503" s="5"/>
    </row>
    <row r="504" spans="1:7" x14ac:dyDescent="0.2">
      <c r="A504">
        <v>503</v>
      </c>
      <c r="B504">
        <v>22</v>
      </c>
      <c r="C504" t="s">
        <v>502</v>
      </c>
      <c r="D504" t="s">
        <v>900</v>
      </c>
      <c r="E504">
        <v>2.1363617371406201</v>
      </c>
      <c r="F504">
        <f>VLOOKUP(C504,'[1]phenotypes-895'!$A$2:$G$896,7,FALSE)</f>
        <v>83</v>
      </c>
      <c r="G504" s="6">
        <v>40</v>
      </c>
    </row>
    <row r="505" spans="1:7" x14ac:dyDescent="0.2">
      <c r="A505">
        <v>504</v>
      </c>
      <c r="B505">
        <v>32</v>
      </c>
      <c r="C505" t="s">
        <v>503</v>
      </c>
      <c r="D505" t="s">
        <v>900</v>
      </c>
      <c r="E505">
        <v>2.4737717222369899</v>
      </c>
      <c r="F505">
        <f>VLOOKUP(C505,'[1]phenotypes-895'!$A$2:$G$896,7,FALSE)</f>
        <v>98</v>
      </c>
      <c r="G505" s="6">
        <v>40</v>
      </c>
    </row>
    <row r="506" spans="1:7" x14ac:dyDescent="0.2">
      <c r="A506">
        <v>505</v>
      </c>
      <c r="B506">
        <v>30</v>
      </c>
      <c r="C506" t="s">
        <v>504</v>
      </c>
      <c r="D506" t="s">
        <v>900</v>
      </c>
      <c r="E506">
        <v>-1.73750190031392</v>
      </c>
      <c r="F506">
        <f>VLOOKUP(C506,'[1]phenotypes-895'!$A$2:$G$896,7,FALSE)</f>
        <v>98</v>
      </c>
      <c r="G506" s="5"/>
    </row>
    <row r="507" spans="1:7" x14ac:dyDescent="0.2">
      <c r="A507">
        <v>506</v>
      </c>
      <c r="B507">
        <v>45</v>
      </c>
      <c r="C507" t="s">
        <v>505</v>
      </c>
      <c r="D507" t="s">
        <v>899</v>
      </c>
      <c r="E507">
        <v>9.8558125267686592</v>
      </c>
      <c r="F507">
        <f>VLOOKUP(C507,'[1]phenotypes-895'!$A$2:$G$896,7,FALSE)</f>
        <v>98</v>
      </c>
      <c r="G507" s="6">
        <v>1</v>
      </c>
    </row>
    <row r="508" spans="1:7" x14ac:dyDescent="0.2">
      <c r="A508">
        <v>507</v>
      </c>
      <c r="B508">
        <v>50</v>
      </c>
      <c r="C508" t="s">
        <v>506</v>
      </c>
      <c r="D508" t="s">
        <v>899</v>
      </c>
      <c r="E508">
        <v>5.09727113484609</v>
      </c>
      <c r="F508">
        <f>VLOOKUP(C508,'[1]phenotypes-895'!$A$2:$G$896,7,FALSE)</f>
        <v>75</v>
      </c>
      <c r="G508" s="6">
        <v>20</v>
      </c>
    </row>
    <row r="509" spans="1:7" x14ac:dyDescent="0.2">
      <c r="A509">
        <v>508</v>
      </c>
      <c r="B509">
        <v>31</v>
      </c>
      <c r="C509" t="s">
        <v>507</v>
      </c>
      <c r="D509" t="s">
        <v>900</v>
      </c>
      <c r="E509">
        <v>-2.4674644912028798</v>
      </c>
      <c r="F509">
        <f>VLOOKUP(C509,'[1]phenotypes-895'!$A$2:$G$896,7,FALSE)</f>
        <v>62</v>
      </c>
      <c r="G509" s="5"/>
    </row>
    <row r="510" spans="1:7" x14ac:dyDescent="0.2">
      <c r="A510">
        <v>509</v>
      </c>
      <c r="B510">
        <v>34</v>
      </c>
      <c r="C510" t="s">
        <v>508</v>
      </c>
      <c r="D510" t="s">
        <v>900</v>
      </c>
      <c r="E510">
        <v>-4.7470885161393497</v>
      </c>
      <c r="F510">
        <f>VLOOKUP(C510,'[1]phenotypes-895'!$A$2:$G$896,7,FALSE)</f>
        <v>41</v>
      </c>
    </row>
    <row r="511" spans="1:7" x14ac:dyDescent="0.2">
      <c r="A511">
        <v>510</v>
      </c>
      <c r="B511">
        <v>45</v>
      </c>
      <c r="C511" t="s">
        <v>509</v>
      </c>
      <c r="D511" t="s">
        <v>899</v>
      </c>
      <c r="E511">
        <v>8.2179763917330408</v>
      </c>
      <c r="F511">
        <f>VLOOKUP(C511,'[1]phenotypes-895'!$A$2:$G$896,7,FALSE)</f>
        <v>98</v>
      </c>
      <c r="G511" s="6">
        <v>4</v>
      </c>
    </row>
    <row r="512" spans="1:7" x14ac:dyDescent="0.2">
      <c r="A512">
        <v>511</v>
      </c>
      <c r="B512">
        <v>28</v>
      </c>
      <c r="C512" t="s">
        <v>510</v>
      </c>
      <c r="D512" t="s">
        <v>900</v>
      </c>
      <c r="E512">
        <v>-7.2920943932784903</v>
      </c>
      <c r="F512">
        <f>VLOOKUP(C512,'[1]phenotypes-895'!$A$2:$G$896,7,FALSE)</f>
        <v>98</v>
      </c>
    </row>
    <row r="513" spans="1:7" x14ac:dyDescent="0.2">
      <c r="A513">
        <v>512</v>
      </c>
      <c r="B513">
        <v>42</v>
      </c>
      <c r="C513" t="s">
        <v>511</v>
      </c>
      <c r="D513" t="s">
        <v>899</v>
      </c>
      <c r="E513">
        <v>-5.0389480549487002</v>
      </c>
      <c r="F513">
        <f>VLOOKUP(C513,'[1]phenotypes-895'!$A$2:$G$896,7,FALSE)</f>
        <v>44</v>
      </c>
    </row>
    <row r="514" spans="1:7" x14ac:dyDescent="0.2">
      <c r="A514">
        <v>513</v>
      </c>
      <c r="B514">
        <v>50</v>
      </c>
      <c r="C514" t="s">
        <v>512</v>
      </c>
      <c r="D514" t="s">
        <v>899</v>
      </c>
      <c r="E514">
        <v>2.6479671614829901</v>
      </c>
      <c r="F514">
        <f>VLOOKUP(C514,'[1]phenotypes-895'!$A$2:$G$896,7,FALSE)</f>
        <v>98</v>
      </c>
      <c r="G514" s="6">
        <v>40</v>
      </c>
    </row>
    <row r="515" spans="1:7" x14ac:dyDescent="0.2">
      <c r="A515">
        <v>514</v>
      </c>
      <c r="B515">
        <v>27</v>
      </c>
      <c r="C515" t="s">
        <v>513</v>
      </c>
      <c r="D515" t="s">
        <v>900</v>
      </c>
      <c r="E515">
        <v>3.9256477595528998</v>
      </c>
      <c r="F515">
        <f>VLOOKUP(C515,'[1]phenotypes-895'!$A$2:$G$896,7,FALSE)</f>
        <v>74</v>
      </c>
      <c r="G515" s="6">
        <v>30</v>
      </c>
    </row>
    <row r="516" spans="1:7" x14ac:dyDescent="0.2">
      <c r="A516">
        <v>515</v>
      </c>
      <c r="B516">
        <v>37</v>
      </c>
      <c r="C516" t="s">
        <v>514</v>
      </c>
      <c r="D516" t="s">
        <v>900</v>
      </c>
      <c r="E516">
        <v>6.6141992561345404</v>
      </c>
      <c r="F516">
        <f>VLOOKUP(C516,'[1]phenotypes-895'!$A$2:$G$896,7,FALSE)</f>
        <v>81</v>
      </c>
      <c r="G516" s="6">
        <v>8</v>
      </c>
    </row>
    <row r="517" spans="1:7" x14ac:dyDescent="0.2">
      <c r="A517">
        <v>516</v>
      </c>
      <c r="B517">
        <v>21</v>
      </c>
      <c r="C517" t="s">
        <v>515</v>
      </c>
      <c r="D517" t="s">
        <v>900</v>
      </c>
      <c r="E517">
        <v>0.71514282133179996</v>
      </c>
      <c r="F517">
        <f>VLOOKUP(C517,'[1]phenotypes-895'!$A$2:$G$896,7,FALSE)</f>
        <v>98</v>
      </c>
      <c r="G517" s="5"/>
    </row>
    <row r="518" spans="1:7" x14ac:dyDescent="0.2">
      <c r="A518">
        <v>517</v>
      </c>
      <c r="B518">
        <v>32</v>
      </c>
      <c r="C518" t="s">
        <v>516</v>
      </c>
      <c r="D518" t="s">
        <v>900</v>
      </c>
      <c r="E518">
        <v>0.34011362619220198</v>
      </c>
      <c r="F518">
        <f>VLOOKUP(C518,'[1]phenotypes-895'!$A$2:$G$896,7,FALSE)</f>
        <v>98</v>
      </c>
      <c r="G518" s="5"/>
    </row>
    <row r="519" spans="1:7" x14ac:dyDescent="0.2">
      <c r="A519">
        <v>518</v>
      </c>
      <c r="B519">
        <v>46</v>
      </c>
      <c r="C519" t="s">
        <v>517</v>
      </c>
      <c r="D519" t="s">
        <v>899</v>
      </c>
      <c r="E519">
        <v>4.8426046352252303</v>
      </c>
      <c r="F519">
        <f>VLOOKUP(C519,'[1]phenotypes-895'!$A$2:$G$896,7,FALSE)</f>
        <v>98</v>
      </c>
      <c r="G519" s="6">
        <v>20</v>
      </c>
    </row>
    <row r="520" spans="1:7" x14ac:dyDescent="0.2">
      <c r="A520">
        <v>519</v>
      </c>
      <c r="B520">
        <v>16</v>
      </c>
      <c r="C520" t="s">
        <v>518</v>
      </c>
      <c r="D520" t="s">
        <v>899</v>
      </c>
      <c r="E520">
        <v>-9.7425185444720803</v>
      </c>
      <c r="F520">
        <f>VLOOKUP(C520,'[1]phenotypes-895'!$A$2:$G$896,7,FALSE)</f>
        <v>44</v>
      </c>
    </row>
    <row r="521" spans="1:7" x14ac:dyDescent="0.2">
      <c r="A521">
        <v>520</v>
      </c>
      <c r="B521">
        <v>3</v>
      </c>
      <c r="C521" t="s">
        <v>519</v>
      </c>
      <c r="D521" t="s">
        <v>900</v>
      </c>
      <c r="E521">
        <v>-6.5390015468371701</v>
      </c>
      <c r="F521">
        <f>VLOOKUP(C521,'[1]phenotypes-895'!$A$2:$G$896,7,FALSE)</f>
        <v>72</v>
      </c>
    </row>
    <row r="522" spans="1:7" x14ac:dyDescent="0.2">
      <c r="A522">
        <v>521</v>
      </c>
      <c r="B522">
        <v>21</v>
      </c>
      <c r="C522" t="s">
        <v>520</v>
      </c>
      <c r="D522" t="s">
        <v>900</v>
      </c>
      <c r="E522">
        <v>-5.1304085826600998</v>
      </c>
      <c r="F522">
        <f>VLOOKUP(C522,'[1]phenotypes-895'!$A$2:$G$896,7,FALSE)</f>
        <v>49</v>
      </c>
    </row>
    <row r="523" spans="1:7" x14ac:dyDescent="0.2">
      <c r="A523">
        <v>522</v>
      </c>
      <c r="B523">
        <v>3</v>
      </c>
      <c r="C523" t="s">
        <v>521</v>
      </c>
      <c r="D523" t="s">
        <v>900</v>
      </c>
      <c r="E523">
        <v>-2.53584410088009</v>
      </c>
      <c r="F523">
        <f>VLOOKUP(C523,'[1]phenotypes-895'!$A$2:$G$896,7,FALSE)</f>
        <v>98</v>
      </c>
      <c r="G523" s="5"/>
    </row>
    <row r="524" spans="1:7" x14ac:dyDescent="0.2">
      <c r="A524">
        <v>523</v>
      </c>
      <c r="B524">
        <v>3</v>
      </c>
      <c r="C524" t="s">
        <v>522</v>
      </c>
      <c r="D524" t="s">
        <v>900</v>
      </c>
      <c r="E524">
        <v>-4.8268227343604</v>
      </c>
      <c r="F524">
        <f>VLOOKUP(C524,'[1]phenotypes-895'!$A$2:$G$896,7,FALSE)</f>
        <v>74</v>
      </c>
    </row>
    <row r="525" spans="1:7" x14ac:dyDescent="0.2">
      <c r="A525">
        <v>524</v>
      </c>
      <c r="B525">
        <v>30</v>
      </c>
      <c r="C525" t="s">
        <v>523</v>
      </c>
      <c r="D525" t="s">
        <v>900</v>
      </c>
      <c r="E525">
        <v>1.52645166489059E-2</v>
      </c>
      <c r="F525">
        <f>VLOOKUP(C525,'[1]phenotypes-895'!$A$2:$G$896,7,FALSE)</f>
        <v>98</v>
      </c>
      <c r="G525" s="5"/>
    </row>
    <row r="526" spans="1:7" x14ac:dyDescent="0.2">
      <c r="A526">
        <v>525</v>
      </c>
      <c r="B526">
        <v>24</v>
      </c>
      <c r="C526" t="s">
        <v>524</v>
      </c>
      <c r="D526" t="s">
        <v>900</v>
      </c>
      <c r="E526">
        <v>-5.1074405440355104</v>
      </c>
      <c r="F526">
        <f>VLOOKUP(C526,'[1]phenotypes-895'!$A$2:$G$896,7,FALSE)</f>
        <v>62</v>
      </c>
    </row>
    <row r="527" spans="1:7" x14ac:dyDescent="0.2">
      <c r="A527">
        <v>526</v>
      </c>
      <c r="B527">
        <v>30</v>
      </c>
      <c r="C527" t="s">
        <v>525</v>
      </c>
      <c r="D527" t="s">
        <v>900</v>
      </c>
      <c r="E527">
        <v>-1.59486140425303</v>
      </c>
      <c r="F527">
        <f>VLOOKUP(C527,'[1]phenotypes-895'!$A$2:$G$896,7,FALSE)</f>
        <v>98</v>
      </c>
      <c r="G527" s="5"/>
    </row>
    <row r="528" spans="1:7" x14ac:dyDescent="0.2">
      <c r="A528">
        <v>527</v>
      </c>
      <c r="B528">
        <v>26</v>
      </c>
      <c r="C528" t="s">
        <v>526</v>
      </c>
      <c r="D528" t="s">
        <v>900</v>
      </c>
      <c r="E528">
        <v>3.02644668358074</v>
      </c>
      <c r="F528">
        <f>VLOOKUP(C528,'[1]phenotypes-895'!$A$2:$G$896,7,FALSE)</f>
        <v>68</v>
      </c>
      <c r="G528" s="6">
        <v>40</v>
      </c>
    </row>
    <row r="529" spans="1:7" x14ac:dyDescent="0.2">
      <c r="A529">
        <v>528</v>
      </c>
      <c r="B529">
        <v>49</v>
      </c>
      <c r="C529" t="s">
        <v>527</v>
      </c>
      <c r="D529" t="s">
        <v>899</v>
      </c>
      <c r="E529">
        <v>5.6456193133913697</v>
      </c>
      <c r="F529">
        <f>VLOOKUP(C529,'[1]phenotypes-895'!$A$2:$G$896,7,FALSE)</f>
        <v>78</v>
      </c>
      <c r="G529" s="6">
        <v>20</v>
      </c>
    </row>
    <row r="530" spans="1:7" x14ac:dyDescent="0.2">
      <c r="A530">
        <v>529</v>
      </c>
      <c r="B530">
        <v>49</v>
      </c>
      <c r="C530" t="s">
        <v>528</v>
      </c>
      <c r="D530" t="s">
        <v>899</v>
      </c>
      <c r="E530">
        <v>6.24287775208313</v>
      </c>
      <c r="F530">
        <f>VLOOKUP(C530,'[1]phenotypes-895'!$A$2:$G$896,7,FALSE)</f>
        <v>72</v>
      </c>
      <c r="G530" s="6">
        <v>10</v>
      </c>
    </row>
    <row r="531" spans="1:7" x14ac:dyDescent="0.2">
      <c r="A531">
        <v>530</v>
      </c>
      <c r="B531">
        <v>33</v>
      </c>
      <c r="C531" t="s">
        <v>529</v>
      </c>
      <c r="D531" t="s">
        <v>900</v>
      </c>
      <c r="E531">
        <v>-4.0194523837142802</v>
      </c>
      <c r="F531">
        <f>VLOOKUP(C531,'[1]phenotypes-895'!$A$2:$G$896,7,FALSE)</f>
        <v>75</v>
      </c>
    </row>
    <row r="532" spans="1:7" x14ac:dyDescent="0.2">
      <c r="A532">
        <v>531</v>
      </c>
      <c r="B532">
        <v>34</v>
      </c>
      <c r="C532" t="s">
        <v>530</v>
      </c>
      <c r="D532" t="s">
        <v>900</v>
      </c>
      <c r="E532">
        <v>-5.4114276727889896</v>
      </c>
      <c r="F532">
        <f>VLOOKUP(C532,'[1]phenotypes-895'!$A$2:$G$896,7,FALSE)</f>
        <v>58</v>
      </c>
    </row>
    <row r="533" spans="1:7" x14ac:dyDescent="0.2">
      <c r="A533">
        <v>532</v>
      </c>
      <c r="B533">
        <v>44</v>
      </c>
      <c r="C533" t="s">
        <v>531</v>
      </c>
      <c r="D533" t="s">
        <v>899</v>
      </c>
      <c r="E533">
        <v>1.7108480831870001</v>
      </c>
      <c r="F533">
        <f>VLOOKUP(C533,'[1]phenotypes-895'!$A$2:$G$896,7,FALSE)</f>
        <v>77</v>
      </c>
      <c r="G533" s="6">
        <v>50</v>
      </c>
    </row>
    <row r="534" spans="1:7" x14ac:dyDescent="0.2">
      <c r="A534">
        <v>533</v>
      </c>
      <c r="B534">
        <v>42</v>
      </c>
      <c r="C534" t="s">
        <v>532</v>
      </c>
      <c r="D534" t="s">
        <v>899</v>
      </c>
      <c r="E534">
        <v>1.5593928839311999</v>
      </c>
      <c r="F534">
        <f>VLOOKUP(C534,'[1]phenotypes-895'!$A$2:$G$896,7,FALSE)</f>
        <v>40</v>
      </c>
      <c r="G534" s="6">
        <v>50</v>
      </c>
    </row>
    <row r="535" spans="1:7" x14ac:dyDescent="0.2">
      <c r="A535">
        <v>534</v>
      </c>
      <c r="B535">
        <v>31</v>
      </c>
      <c r="C535" t="s">
        <v>533</v>
      </c>
      <c r="D535" t="s">
        <v>900</v>
      </c>
      <c r="E535">
        <v>-1.71753426164499</v>
      </c>
      <c r="F535">
        <f>VLOOKUP(C535,'[1]phenotypes-895'!$A$2:$G$896,7,FALSE)</f>
        <v>64</v>
      </c>
      <c r="G535" s="5"/>
    </row>
    <row r="536" spans="1:7" x14ac:dyDescent="0.2">
      <c r="A536">
        <v>535</v>
      </c>
      <c r="B536">
        <v>36</v>
      </c>
      <c r="C536" t="s">
        <v>534</v>
      </c>
      <c r="D536" t="s">
        <v>900</v>
      </c>
      <c r="E536">
        <v>4.3109785405729699</v>
      </c>
      <c r="F536">
        <f>VLOOKUP(C536,'[1]phenotypes-895'!$A$2:$G$896,7,FALSE)</f>
        <v>98</v>
      </c>
      <c r="G536" s="6">
        <v>30</v>
      </c>
    </row>
    <row r="537" spans="1:7" x14ac:dyDescent="0.2">
      <c r="A537">
        <v>536</v>
      </c>
      <c r="B537">
        <v>40</v>
      </c>
      <c r="C537" t="s">
        <v>535</v>
      </c>
      <c r="D537" t="s">
        <v>900</v>
      </c>
      <c r="E537">
        <v>-4.3915082445146796</v>
      </c>
      <c r="F537">
        <f>VLOOKUP(C537,'[1]phenotypes-895'!$A$2:$G$896,7,FALSE)</f>
        <v>68</v>
      </c>
    </row>
    <row r="538" spans="1:7" x14ac:dyDescent="0.2">
      <c r="A538">
        <v>537</v>
      </c>
      <c r="B538">
        <v>26</v>
      </c>
      <c r="C538" t="s">
        <v>536</v>
      </c>
      <c r="D538" t="s">
        <v>900</v>
      </c>
      <c r="E538">
        <v>2.7340154160744898</v>
      </c>
      <c r="F538">
        <f>VLOOKUP(C538,'[1]phenotypes-895'!$A$2:$G$896,7,FALSE)</f>
        <v>85</v>
      </c>
      <c r="G538" s="6">
        <v>40</v>
      </c>
    </row>
    <row r="539" spans="1:7" x14ac:dyDescent="0.2">
      <c r="A539">
        <v>538</v>
      </c>
      <c r="B539">
        <v>25</v>
      </c>
      <c r="C539" t="s">
        <v>537</v>
      </c>
      <c r="D539" t="s">
        <v>900</v>
      </c>
      <c r="E539">
        <v>6.3664552495759104</v>
      </c>
      <c r="F539">
        <f>VLOOKUP(C539,'[1]phenotypes-895'!$A$2:$G$896,7,FALSE)</f>
        <v>98</v>
      </c>
      <c r="G539" s="6">
        <v>10</v>
      </c>
    </row>
    <row r="540" spans="1:7" x14ac:dyDescent="0.2">
      <c r="A540">
        <v>539</v>
      </c>
      <c r="B540">
        <v>49</v>
      </c>
      <c r="C540" t="s">
        <v>538</v>
      </c>
      <c r="D540" t="s">
        <v>899</v>
      </c>
      <c r="E540">
        <v>2.9647098031618202</v>
      </c>
      <c r="F540">
        <f>VLOOKUP(C540,'[1]phenotypes-895'!$A$2:$G$896,7,FALSE)</f>
        <v>56</v>
      </c>
      <c r="G540" s="6">
        <v>40</v>
      </c>
    </row>
    <row r="541" spans="1:7" x14ac:dyDescent="0.2">
      <c r="A541">
        <v>540</v>
      </c>
      <c r="B541">
        <v>26</v>
      </c>
      <c r="C541" t="s">
        <v>539</v>
      </c>
      <c r="D541" t="s">
        <v>900</v>
      </c>
      <c r="E541">
        <v>3.2383438076045499</v>
      </c>
      <c r="F541">
        <f>VLOOKUP(C541,'[1]phenotypes-895'!$A$2:$G$896,7,FALSE)</f>
        <v>67</v>
      </c>
      <c r="G541" s="6">
        <v>30</v>
      </c>
    </row>
    <row r="542" spans="1:7" x14ac:dyDescent="0.2">
      <c r="A542">
        <v>541</v>
      </c>
      <c r="B542">
        <v>45</v>
      </c>
      <c r="C542" t="s">
        <v>540</v>
      </c>
      <c r="D542" t="s">
        <v>899</v>
      </c>
      <c r="E542">
        <v>4.8165587295838401</v>
      </c>
      <c r="F542">
        <f>VLOOKUP(C542,'[1]phenotypes-895'!$A$2:$G$896,7,FALSE)</f>
        <v>65</v>
      </c>
      <c r="G542" s="6">
        <v>20</v>
      </c>
    </row>
    <row r="543" spans="1:7" x14ac:dyDescent="0.2">
      <c r="A543">
        <v>542</v>
      </c>
      <c r="B543">
        <v>53</v>
      </c>
      <c r="C543" t="s">
        <v>541</v>
      </c>
      <c r="D543" t="s">
        <v>899</v>
      </c>
      <c r="E543">
        <v>2.9987011790295002</v>
      </c>
      <c r="F543">
        <f>VLOOKUP(C543,'[1]phenotypes-895'!$A$2:$G$896,7,FALSE)</f>
        <v>70</v>
      </c>
      <c r="G543" s="6">
        <v>40</v>
      </c>
    </row>
    <row r="544" spans="1:7" x14ac:dyDescent="0.2">
      <c r="A544">
        <v>543</v>
      </c>
      <c r="B544">
        <v>53</v>
      </c>
      <c r="C544" t="s">
        <v>542</v>
      </c>
      <c r="D544" t="s">
        <v>899</v>
      </c>
      <c r="E544">
        <v>10.439564365782401</v>
      </c>
      <c r="F544">
        <f>VLOOKUP(C544,'[1]phenotypes-895'!$A$2:$G$896,7,FALSE)</f>
        <v>98</v>
      </c>
      <c r="G544" s="6">
        <v>1</v>
      </c>
    </row>
    <row r="545" spans="1:7" x14ac:dyDescent="0.2">
      <c r="A545">
        <v>544</v>
      </c>
      <c r="B545">
        <v>39</v>
      </c>
      <c r="C545" t="s">
        <v>543</v>
      </c>
      <c r="D545" t="s">
        <v>900</v>
      </c>
      <c r="E545">
        <v>5.9019578256518104</v>
      </c>
      <c r="F545">
        <f>VLOOKUP(C545,'[1]phenotypes-895'!$A$2:$G$896,7,FALSE)</f>
        <v>98</v>
      </c>
      <c r="G545" s="6">
        <v>20</v>
      </c>
    </row>
    <row r="546" spans="1:7" x14ac:dyDescent="0.2">
      <c r="A546">
        <v>545</v>
      </c>
      <c r="B546">
        <v>28</v>
      </c>
      <c r="C546" t="s">
        <v>544</v>
      </c>
      <c r="D546" t="s">
        <v>900</v>
      </c>
      <c r="E546">
        <v>-11.712101097368899</v>
      </c>
      <c r="F546">
        <f>VLOOKUP(C546,'[1]phenotypes-895'!$A$2:$G$896,7,FALSE)</f>
        <v>62</v>
      </c>
    </row>
    <row r="547" spans="1:7" x14ac:dyDescent="0.2">
      <c r="A547">
        <v>546</v>
      </c>
      <c r="B547">
        <v>54</v>
      </c>
      <c r="C547" t="s">
        <v>545</v>
      </c>
      <c r="D547" t="s">
        <v>899</v>
      </c>
      <c r="E547">
        <v>3.1577724049533802</v>
      </c>
      <c r="F547">
        <f>VLOOKUP(C547,'[1]phenotypes-895'!$A$2:$G$896,7,FALSE)</f>
        <v>98</v>
      </c>
      <c r="G547" s="6">
        <v>40</v>
      </c>
    </row>
    <row r="548" spans="1:7" x14ac:dyDescent="0.2">
      <c r="A548">
        <v>547</v>
      </c>
      <c r="B548">
        <v>45</v>
      </c>
      <c r="C548" t="s">
        <v>546</v>
      </c>
      <c r="D548" t="s">
        <v>899</v>
      </c>
      <c r="E548">
        <v>6.97754327765987</v>
      </c>
      <c r="F548">
        <f>VLOOKUP(C548,'[1]phenotypes-895'!$A$2:$G$896,7,FALSE)</f>
        <v>77</v>
      </c>
      <c r="G548" s="6">
        <v>7</v>
      </c>
    </row>
    <row r="549" spans="1:7" x14ac:dyDescent="0.2">
      <c r="A549">
        <v>548</v>
      </c>
      <c r="B549">
        <v>44</v>
      </c>
      <c r="C549" t="s">
        <v>547</v>
      </c>
      <c r="D549" t="s">
        <v>899</v>
      </c>
      <c r="E549">
        <v>6.6381634006054799</v>
      </c>
      <c r="F549">
        <f>VLOOKUP(C549,'[1]phenotypes-895'!$A$2:$G$896,7,FALSE)</f>
        <v>54</v>
      </c>
      <c r="G549" s="6">
        <v>8</v>
      </c>
    </row>
    <row r="550" spans="1:7" x14ac:dyDescent="0.2">
      <c r="A550">
        <v>549</v>
      </c>
      <c r="B550">
        <v>49</v>
      </c>
      <c r="C550" t="s">
        <v>548</v>
      </c>
      <c r="D550" t="s">
        <v>899</v>
      </c>
      <c r="E550">
        <v>6.1632603561114996</v>
      </c>
      <c r="F550">
        <f>VLOOKUP(C550,'[1]phenotypes-895'!$A$2:$G$896,7,FALSE)</f>
        <v>98</v>
      </c>
      <c r="G550" s="6">
        <v>20</v>
      </c>
    </row>
    <row r="551" spans="1:7" x14ac:dyDescent="0.2">
      <c r="A551">
        <v>550</v>
      </c>
      <c r="B551">
        <v>44</v>
      </c>
      <c r="C551" t="s">
        <v>549</v>
      </c>
      <c r="D551" t="s">
        <v>899</v>
      </c>
      <c r="E551">
        <v>4.2626331473773398</v>
      </c>
      <c r="F551">
        <f>VLOOKUP(C551,'[1]phenotypes-895'!$A$2:$G$896,7,FALSE)</f>
        <v>45</v>
      </c>
      <c r="G551" s="6">
        <v>30</v>
      </c>
    </row>
    <row r="552" spans="1:7" x14ac:dyDescent="0.2">
      <c r="A552">
        <v>551</v>
      </c>
      <c r="B552">
        <v>54</v>
      </c>
      <c r="C552" t="s">
        <v>550</v>
      </c>
      <c r="D552" t="s">
        <v>899</v>
      </c>
      <c r="E552">
        <v>-2.4621873858004601</v>
      </c>
      <c r="F552">
        <f>VLOOKUP(C552,'[1]phenotypes-895'!$A$2:$G$896,7,FALSE)</f>
        <v>63</v>
      </c>
    </row>
    <row r="553" spans="1:7" x14ac:dyDescent="0.2">
      <c r="A553">
        <v>552</v>
      </c>
      <c r="B553">
        <v>50</v>
      </c>
      <c r="C553" t="s">
        <v>551</v>
      </c>
      <c r="D553" t="s">
        <v>899</v>
      </c>
      <c r="E553">
        <v>1.78882543730789</v>
      </c>
      <c r="F553">
        <f>VLOOKUP(C553,'[1]phenotypes-895'!$A$2:$G$896,7,FALSE)</f>
        <v>48</v>
      </c>
      <c r="G553" s="6">
        <v>50</v>
      </c>
    </row>
    <row r="554" spans="1:7" x14ac:dyDescent="0.2">
      <c r="A554">
        <v>553</v>
      </c>
      <c r="B554">
        <v>41</v>
      </c>
      <c r="C554" t="s">
        <v>552</v>
      </c>
      <c r="D554" t="s">
        <v>899</v>
      </c>
      <c r="E554">
        <v>3.8854501287673702</v>
      </c>
      <c r="F554">
        <f>VLOOKUP(C554,'[1]phenotypes-895'!$A$2:$G$896,7,FALSE)</f>
        <v>98</v>
      </c>
      <c r="G554" s="6">
        <v>30</v>
      </c>
    </row>
    <row r="555" spans="1:7" x14ac:dyDescent="0.2">
      <c r="A555">
        <v>554</v>
      </c>
      <c r="B555">
        <v>33</v>
      </c>
      <c r="C555" t="s">
        <v>553</v>
      </c>
      <c r="D555" t="s">
        <v>900</v>
      </c>
      <c r="E555">
        <v>0.17791420673275701</v>
      </c>
      <c r="F555">
        <f>VLOOKUP(C555,'[1]phenotypes-895'!$A$2:$G$896,7,FALSE)</f>
        <v>83</v>
      </c>
      <c r="G555" s="5"/>
    </row>
    <row r="556" spans="1:7" x14ac:dyDescent="0.2">
      <c r="A556">
        <v>555</v>
      </c>
      <c r="B556">
        <v>49</v>
      </c>
      <c r="C556" t="s">
        <v>554</v>
      </c>
      <c r="D556" t="s">
        <v>899</v>
      </c>
      <c r="E556">
        <v>5.1454586144015</v>
      </c>
      <c r="F556">
        <f>VLOOKUP(C556,'[1]phenotypes-895'!$A$2:$G$896,7,FALSE)</f>
        <v>98</v>
      </c>
      <c r="G556" s="6">
        <v>20</v>
      </c>
    </row>
    <row r="557" spans="1:7" x14ac:dyDescent="0.2">
      <c r="A557">
        <v>556</v>
      </c>
      <c r="B557">
        <v>42</v>
      </c>
      <c r="C557" t="s">
        <v>555</v>
      </c>
      <c r="D557" t="s">
        <v>899</v>
      </c>
      <c r="E557">
        <v>-4.8189072176208203</v>
      </c>
      <c r="F557">
        <f>VLOOKUP(C557,'[1]phenotypes-895'!$A$2:$G$896,7,FALSE)</f>
        <v>62</v>
      </c>
    </row>
    <row r="558" spans="1:7" x14ac:dyDescent="0.2">
      <c r="A558">
        <v>557</v>
      </c>
      <c r="B558">
        <v>27</v>
      </c>
      <c r="C558" t="s">
        <v>556</v>
      </c>
      <c r="D558" t="s">
        <v>900</v>
      </c>
      <c r="E558">
        <v>1.9607682844630701</v>
      </c>
      <c r="F558">
        <f>VLOOKUP(C558,'[1]phenotypes-895'!$A$2:$G$896,7,FALSE)</f>
        <v>98</v>
      </c>
      <c r="G558" s="6">
        <v>50</v>
      </c>
    </row>
    <row r="559" spans="1:7" x14ac:dyDescent="0.2">
      <c r="A559">
        <v>558</v>
      </c>
      <c r="B559">
        <v>31</v>
      </c>
      <c r="C559" t="s">
        <v>557</v>
      </c>
      <c r="D559" t="s">
        <v>900</v>
      </c>
      <c r="E559">
        <v>1.44981251422311</v>
      </c>
      <c r="F559">
        <f>VLOOKUP(C559,'[1]phenotypes-895'!$A$2:$G$896,7,FALSE)</f>
        <v>78</v>
      </c>
      <c r="G559" s="6">
        <v>50</v>
      </c>
    </row>
    <row r="560" spans="1:7" x14ac:dyDescent="0.2">
      <c r="A560">
        <v>559</v>
      </c>
      <c r="B560">
        <v>49</v>
      </c>
      <c r="C560" t="s">
        <v>558</v>
      </c>
      <c r="D560" t="s">
        <v>899</v>
      </c>
      <c r="E560">
        <v>4.7640082659875604</v>
      </c>
      <c r="F560">
        <f>VLOOKUP(C560,'[1]phenotypes-895'!$A$2:$G$896,7,FALSE)</f>
        <v>98</v>
      </c>
      <c r="G560" s="6">
        <v>20</v>
      </c>
    </row>
    <row r="561" spans="1:7" x14ac:dyDescent="0.2">
      <c r="A561">
        <v>560</v>
      </c>
      <c r="B561">
        <v>26</v>
      </c>
      <c r="C561" t="s">
        <v>559</v>
      </c>
      <c r="D561" t="s">
        <v>900</v>
      </c>
      <c r="E561">
        <v>4.4742677158356701</v>
      </c>
      <c r="F561">
        <f>VLOOKUP(C561,'[1]phenotypes-895'!$A$2:$G$896,7,FALSE)</f>
        <v>98</v>
      </c>
      <c r="G561" s="6">
        <v>30</v>
      </c>
    </row>
    <row r="562" spans="1:7" x14ac:dyDescent="0.2">
      <c r="A562">
        <v>561</v>
      </c>
      <c r="B562">
        <v>25</v>
      </c>
      <c r="C562" t="s">
        <v>560</v>
      </c>
      <c r="D562" t="s">
        <v>900</v>
      </c>
      <c r="E562">
        <v>1.9956152328048</v>
      </c>
      <c r="F562">
        <f>VLOOKUP(C562,'[1]phenotypes-895'!$A$2:$G$896,7,FALSE)</f>
        <v>98</v>
      </c>
      <c r="G562" s="6">
        <v>50</v>
      </c>
    </row>
    <row r="563" spans="1:7" x14ac:dyDescent="0.2">
      <c r="A563">
        <v>562</v>
      </c>
      <c r="B563">
        <v>50</v>
      </c>
      <c r="C563" t="s">
        <v>561</v>
      </c>
      <c r="D563" t="s">
        <v>899</v>
      </c>
      <c r="E563">
        <v>5.1614063207327998</v>
      </c>
      <c r="F563">
        <f>VLOOKUP(C563,'[1]phenotypes-895'!$A$2:$G$896,7,FALSE)</f>
        <v>98</v>
      </c>
      <c r="G563" s="6">
        <v>20</v>
      </c>
    </row>
    <row r="564" spans="1:7" x14ac:dyDescent="0.2">
      <c r="A564">
        <v>563</v>
      </c>
      <c r="B564">
        <v>29</v>
      </c>
      <c r="C564" t="s">
        <v>562</v>
      </c>
      <c r="D564" t="s">
        <v>900</v>
      </c>
      <c r="E564">
        <v>-3.4041649118780799</v>
      </c>
      <c r="F564">
        <f>VLOOKUP(C564,'[1]phenotypes-895'!$A$2:$G$896,7,FALSE)</f>
        <v>98</v>
      </c>
      <c r="G564" s="5"/>
    </row>
    <row r="565" spans="1:7" x14ac:dyDescent="0.2">
      <c r="A565">
        <v>564</v>
      </c>
      <c r="B565">
        <v>35</v>
      </c>
      <c r="C565" t="s">
        <v>563</v>
      </c>
      <c r="D565" t="s">
        <v>900</v>
      </c>
      <c r="E565">
        <v>3.7630227699012799</v>
      </c>
      <c r="F565">
        <f>VLOOKUP(C565,'[1]phenotypes-895'!$A$2:$G$896,7,FALSE)</f>
        <v>98</v>
      </c>
      <c r="G565" s="6">
        <v>30</v>
      </c>
    </row>
    <row r="566" spans="1:7" x14ac:dyDescent="0.2">
      <c r="A566">
        <v>565</v>
      </c>
      <c r="B566">
        <v>43</v>
      </c>
      <c r="C566" t="s">
        <v>564</v>
      </c>
      <c r="D566" t="s">
        <v>899</v>
      </c>
      <c r="E566">
        <v>0.85613059988860496</v>
      </c>
      <c r="F566">
        <f>VLOOKUP(C566,'[1]phenotypes-895'!$A$2:$G$896,7,FALSE)</f>
        <v>98</v>
      </c>
      <c r="G566" s="6">
        <v>50</v>
      </c>
    </row>
    <row r="567" spans="1:7" x14ac:dyDescent="0.2">
      <c r="A567">
        <v>566</v>
      </c>
      <c r="B567">
        <v>22</v>
      </c>
      <c r="C567" t="s">
        <v>565</v>
      </c>
      <c r="D567" t="s">
        <v>900</v>
      </c>
      <c r="E567">
        <v>0.64651924611574196</v>
      </c>
      <c r="F567">
        <f>VLOOKUP(C567,'[1]phenotypes-895'!$A$2:$G$896,7,FALSE)</f>
        <v>85</v>
      </c>
      <c r="G567" s="5"/>
    </row>
    <row r="568" spans="1:7" x14ac:dyDescent="0.2">
      <c r="A568">
        <v>567</v>
      </c>
      <c r="B568">
        <v>46</v>
      </c>
      <c r="C568" t="s">
        <v>566</v>
      </c>
      <c r="D568" t="s">
        <v>899</v>
      </c>
      <c r="E568">
        <v>6.5090577908814602</v>
      </c>
      <c r="F568">
        <f>VLOOKUP(C568,'[1]phenotypes-895'!$A$2:$G$896,7,FALSE)</f>
        <v>98</v>
      </c>
      <c r="G568" s="6">
        <v>9</v>
      </c>
    </row>
    <row r="569" spans="1:7" x14ac:dyDescent="0.2">
      <c r="A569">
        <v>568</v>
      </c>
      <c r="B569">
        <v>53</v>
      </c>
      <c r="C569" t="s">
        <v>567</v>
      </c>
      <c r="D569" t="s">
        <v>899</v>
      </c>
      <c r="E569">
        <v>4.1326797175027199</v>
      </c>
      <c r="F569">
        <f>VLOOKUP(C569,'[1]phenotypes-895'!$A$2:$G$896,7,FALSE)</f>
        <v>98</v>
      </c>
      <c r="G569" s="6">
        <v>30</v>
      </c>
    </row>
    <row r="570" spans="1:7" x14ac:dyDescent="0.2">
      <c r="A570">
        <v>569</v>
      </c>
      <c r="B570">
        <v>23</v>
      </c>
      <c r="C570" t="s">
        <v>568</v>
      </c>
      <c r="D570" t="s">
        <v>900</v>
      </c>
      <c r="E570">
        <v>2.9978360968760098</v>
      </c>
      <c r="F570">
        <f>VLOOKUP(C570,'[1]phenotypes-895'!$A$2:$G$896,7,FALSE)</f>
        <v>98</v>
      </c>
      <c r="G570" s="6">
        <v>40</v>
      </c>
    </row>
    <row r="571" spans="1:7" x14ac:dyDescent="0.2">
      <c r="A571">
        <v>570</v>
      </c>
      <c r="B571">
        <v>35</v>
      </c>
      <c r="C571" t="s">
        <v>569</v>
      </c>
      <c r="D571" t="s">
        <v>900</v>
      </c>
      <c r="E571">
        <v>5.2681163310441699</v>
      </c>
      <c r="F571">
        <f>VLOOKUP(C571,'[1]phenotypes-895'!$A$2:$G$896,7,FALSE)</f>
        <v>98</v>
      </c>
      <c r="G571" s="6">
        <v>20</v>
      </c>
    </row>
    <row r="572" spans="1:7" x14ac:dyDescent="0.2">
      <c r="A572">
        <v>571</v>
      </c>
      <c r="B572">
        <v>41</v>
      </c>
      <c r="C572" t="s">
        <v>570</v>
      </c>
      <c r="D572" t="s">
        <v>899</v>
      </c>
      <c r="E572">
        <v>7.26942401447356</v>
      </c>
      <c r="F572">
        <f>VLOOKUP(C572,'[1]phenotypes-895'!$A$2:$G$896,7,FALSE)</f>
        <v>98</v>
      </c>
      <c r="G572" s="6">
        <v>6</v>
      </c>
    </row>
    <row r="573" spans="1:7" x14ac:dyDescent="0.2">
      <c r="A573">
        <v>572</v>
      </c>
      <c r="B573">
        <v>23</v>
      </c>
      <c r="C573" t="s">
        <v>571</v>
      </c>
      <c r="D573" t="s">
        <v>900</v>
      </c>
      <c r="E573">
        <v>0.99071423666811598</v>
      </c>
      <c r="F573">
        <f>VLOOKUP(C573,'[1]phenotypes-895'!$A$2:$G$896,7,FALSE)</f>
        <v>98</v>
      </c>
      <c r="G573" s="6">
        <v>50</v>
      </c>
    </row>
    <row r="574" spans="1:7" x14ac:dyDescent="0.2">
      <c r="A574">
        <v>573</v>
      </c>
      <c r="B574">
        <v>45</v>
      </c>
      <c r="C574" t="s">
        <v>572</v>
      </c>
      <c r="D574" t="s">
        <v>899</v>
      </c>
      <c r="E574">
        <v>8.7470521676419093</v>
      </c>
      <c r="F574">
        <f>VLOOKUP(C574,'[1]phenotypes-895'!$A$2:$G$896,7,FALSE)</f>
        <v>98</v>
      </c>
      <c r="G574" s="6">
        <v>2</v>
      </c>
    </row>
    <row r="575" spans="1:7" x14ac:dyDescent="0.2">
      <c r="A575">
        <v>574</v>
      </c>
      <c r="B575">
        <v>54</v>
      </c>
      <c r="C575" t="s">
        <v>573</v>
      </c>
      <c r="D575" t="s">
        <v>899</v>
      </c>
      <c r="E575">
        <v>0.65709502406689402</v>
      </c>
      <c r="F575">
        <f>VLOOKUP(C575,'[1]phenotypes-895'!$A$2:$G$896,7,FALSE)</f>
        <v>63</v>
      </c>
    </row>
    <row r="576" spans="1:7" x14ac:dyDescent="0.2">
      <c r="A576">
        <v>575</v>
      </c>
      <c r="B576">
        <v>54</v>
      </c>
      <c r="C576" t="s">
        <v>574</v>
      </c>
      <c r="D576" t="s">
        <v>899</v>
      </c>
      <c r="E576">
        <v>2.1992584363406098</v>
      </c>
      <c r="F576">
        <f>VLOOKUP(C576,'[1]phenotypes-895'!$A$2:$G$896,7,FALSE)</f>
        <v>65</v>
      </c>
      <c r="G576" s="6">
        <v>40</v>
      </c>
    </row>
    <row r="577" spans="1:7" x14ac:dyDescent="0.2">
      <c r="A577">
        <v>576</v>
      </c>
      <c r="B577">
        <v>49</v>
      </c>
      <c r="C577" t="s">
        <v>575</v>
      </c>
      <c r="D577" t="s">
        <v>899</v>
      </c>
      <c r="E577">
        <v>3.6746788467326001</v>
      </c>
      <c r="F577">
        <f>VLOOKUP(C577,'[1]phenotypes-895'!$A$2:$G$896,7,FALSE)</f>
        <v>60</v>
      </c>
      <c r="G577" s="6">
        <v>30</v>
      </c>
    </row>
    <row r="578" spans="1:7" x14ac:dyDescent="0.2">
      <c r="A578">
        <v>577</v>
      </c>
      <c r="B578">
        <v>42</v>
      </c>
      <c r="C578" t="s">
        <v>576</v>
      </c>
      <c r="D578" t="s">
        <v>899</v>
      </c>
      <c r="E578">
        <v>2.5494508853358999</v>
      </c>
      <c r="F578">
        <f>VLOOKUP(C578,'[1]phenotypes-895'!$A$2:$G$896,7,FALSE)</f>
        <v>67</v>
      </c>
      <c r="G578" s="6">
        <v>40</v>
      </c>
    </row>
    <row r="579" spans="1:7" x14ac:dyDescent="0.2">
      <c r="A579">
        <v>578</v>
      </c>
      <c r="B579">
        <v>34</v>
      </c>
      <c r="C579" t="s">
        <v>577</v>
      </c>
      <c r="D579" t="s">
        <v>900</v>
      </c>
      <c r="E579">
        <v>-2.25741494664106</v>
      </c>
      <c r="F579">
        <f>VLOOKUP(C579,'[1]phenotypes-895'!$A$2:$G$896,7,FALSE)</f>
        <v>98</v>
      </c>
    </row>
    <row r="580" spans="1:7" x14ac:dyDescent="0.2">
      <c r="A580">
        <v>579</v>
      </c>
      <c r="B580">
        <v>42</v>
      </c>
      <c r="C580" t="s">
        <v>578</v>
      </c>
      <c r="D580" t="s">
        <v>899</v>
      </c>
      <c r="E580">
        <v>5.4014285505634403</v>
      </c>
      <c r="F580">
        <f>VLOOKUP(C580,'[1]phenotypes-895'!$A$2:$G$896,7,FALSE)</f>
        <v>98</v>
      </c>
      <c r="G580" s="6">
        <v>20</v>
      </c>
    </row>
    <row r="581" spans="1:7" x14ac:dyDescent="0.2">
      <c r="A581">
        <v>580</v>
      </c>
      <c r="B581">
        <v>34</v>
      </c>
      <c r="C581" t="s">
        <v>579</v>
      </c>
      <c r="D581" t="s">
        <v>900</v>
      </c>
      <c r="E581">
        <v>-4.6833643502357098</v>
      </c>
      <c r="F581">
        <f>VLOOKUP(C581,'[1]phenotypes-895'!$A$2:$G$896,7,FALSE)</f>
        <v>58</v>
      </c>
    </row>
    <row r="582" spans="1:7" x14ac:dyDescent="0.2">
      <c r="A582">
        <v>581</v>
      </c>
      <c r="B582">
        <v>53</v>
      </c>
      <c r="C582" t="s">
        <v>580</v>
      </c>
      <c r="D582" t="s">
        <v>899</v>
      </c>
      <c r="E582">
        <v>4.2265345030407397</v>
      </c>
      <c r="F582">
        <f>VLOOKUP(C582,'[1]phenotypes-895'!$A$2:$G$896,7,FALSE)</f>
        <v>63</v>
      </c>
      <c r="G582" s="6">
        <v>30</v>
      </c>
    </row>
    <row r="583" spans="1:7" x14ac:dyDescent="0.2">
      <c r="A583">
        <v>582</v>
      </c>
      <c r="B583">
        <v>49</v>
      </c>
      <c r="C583" t="s">
        <v>581</v>
      </c>
      <c r="D583" t="s">
        <v>899</v>
      </c>
      <c r="E583">
        <v>4.4278409178329703</v>
      </c>
      <c r="F583">
        <f>VLOOKUP(C583,'[1]phenotypes-895'!$A$2:$G$896,7,FALSE)</f>
        <v>98</v>
      </c>
      <c r="G583" s="6">
        <v>30</v>
      </c>
    </row>
    <row r="584" spans="1:7" x14ac:dyDescent="0.2">
      <c r="A584">
        <v>583</v>
      </c>
      <c r="B584">
        <v>44</v>
      </c>
      <c r="C584" t="s">
        <v>582</v>
      </c>
      <c r="D584" t="s">
        <v>899</v>
      </c>
      <c r="E584">
        <v>2.7143254040633802</v>
      </c>
      <c r="F584">
        <f>VLOOKUP(C584,'[1]phenotypes-895'!$A$2:$G$896,7,FALSE)</f>
        <v>81</v>
      </c>
      <c r="G584" s="6">
        <v>40</v>
      </c>
    </row>
    <row r="585" spans="1:7" x14ac:dyDescent="0.2">
      <c r="A585">
        <v>584</v>
      </c>
      <c r="B585">
        <v>46</v>
      </c>
      <c r="C585" t="s">
        <v>583</v>
      </c>
      <c r="D585" t="s">
        <v>899</v>
      </c>
      <c r="E585">
        <v>5.8622126827981296</v>
      </c>
      <c r="F585">
        <f>VLOOKUP(C585,'[1]phenotypes-895'!$A$2:$G$896,7,FALSE)</f>
        <v>98</v>
      </c>
      <c r="G585" s="6">
        <v>20</v>
      </c>
    </row>
    <row r="586" spans="1:7" x14ac:dyDescent="0.2">
      <c r="A586">
        <v>585</v>
      </c>
      <c r="B586">
        <v>34</v>
      </c>
      <c r="C586" t="s">
        <v>584</v>
      </c>
      <c r="D586" t="s">
        <v>900</v>
      </c>
      <c r="E586">
        <v>-1.3879843567296499</v>
      </c>
      <c r="F586">
        <f>VLOOKUP(C586,'[1]phenotypes-895'!$A$2:$G$896,7,FALSE)</f>
        <v>63</v>
      </c>
    </row>
    <row r="587" spans="1:7" x14ac:dyDescent="0.2">
      <c r="A587">
        <v>586</v>
      </c>
      <c r="B587">
        <v>45</v>
      </c>
      <c r="C587" t="s">
        <v>585</v>
      </c>
      <c r="D587" t="s">
        <v>899</v>
      </c>
      <c r="E587">
        <v>6.9590677853216603</v>
      </c>
      <c r="F587">
        <f>VLOOKUP(C587,'[1]phenotypes-895'!$A$2:$G$896,7,FALSE)</f>
        <v>53</v>
      </c>
      <c r="G587" s="6">
        <v>7</v>
      </c>
    </row>
    <row r="588" spans="1:7" x14ac:dyDescent="0.2">
      <c r="A588">
        <v>587</v>
      </c>
      <c r="B588">
        <v>44</v>
      </c>
      <c r="C588" t="s">
        <v>586</v>
      </c>
      <c r="D588" t="s">
        <v>899</v>
      </c>
      <c r="E588">
        <v>10.0670679302394</v>
      </c>
      <c r="F588">
        <f>VLOOKUP(C588,'[1]phenotypes-895'!$A$2:$G$896,7,FALSE)</f>
        <v>98</v>
      </c>
      <c r="G588" s="6">
        <v>1</v>
      </c>
    </row>
    <row r="589" spans="1:7" x14ac:dyDescent="0.2">
      <c r="A589">
        <v>588</v>
      </c>
      <c r="B589">
        <v>37</v>
      </c>
      <c r="C589" t="s">
        <v>587</v>
      </c>
      <c r="D589" t="s">
        <v>900</v>
      </c>
      <c r="E589">
        <v>3.1359705279018901</v>
      </c>
      <c r="F589">
        <f>VLOOKUP(C589,'[1]phenotypes-895'!$A$2:$G$896,7,FALSE)</f>
        <v>50</v>
      </c>
      <c r="G589" s="6">
        <v>40</v>
      </c>
    </row>
    <row r="590" spans="1:7" x14ac:dyDescent="0.2">
      <c r="A590">
        <v>589</v>
      </c>
      <c r="B590">
        <v>50</v>
      </c>
      <c r="C590" t="s">
        <v>588</v>
      </c>
      <c r="D590" t="s">
        <v>899</v>
      </c>
      <c r="E590">
        <v>7.0802124002263902</v>
      </c>
      <c r="F590">
        <f>VLOOKUP(C590,'[1]phenotypes-895'!$A$2:$G$896,7,FALSE)</f>
        <v>70</v>
      </c>
      <c r="G590" s="6">
        <v>6</v>
      </c>
    </row>
    <row r="591" spans="1:7" x14ac:dyDescent="0.2">
      <c r="A591">
        <v>590</v>
      </c>
      <c r="B591">
        <v>42</v>
      </c>
      <c r="C591" t="s">
        <v>589</v>
      </c>
      <c r="D591" t="s">
        <v>899</v>
      </c>
      <c r="E591">
        <v>4.8492846767929798</v>
      </c>
      <c r="F591">
        <f>VLOOKUP(C591,'[1]phenotypes-895'!$A$2:$G$896,7,FALSE)</f>
        <v>72</v>
      </c>
      <c r="G591" s="6">
        <v>20</v>
      </c>
    </row>
    <row r="592" spans="1:7" x14ac:dyDescent="0.2">
      <c r="A592">
        <v>591</v>
      </c>
      <c r="B592">
        <v>42</v>
      </c>
      <c r="C592" t="s">
        <v>590</v>
      </c>
      <c r="D592" t="s">
        <v>899</v>
      </c>
      <c r="E592">
        <v>7.1977352219145896</v>
      </c>
      <c r="F592">
        <f>VLOOKUP(C592,'[1]phenotypes-895'!$A$2:$G$896,7,FALSE)</f>
        <v>98</v>
      </c>
      <c r="G592" s="6">
        <v>6</v>
      </c>
    </row>
    <row r="593" spans="1:7" x14ac:dyDescent="0.2">
      <c r="A593">
        <v>592</v>
      </c>
      <c r="B593">
        <v>38</v>
      </c>
      <c r="C593" t="s">
        <v>591</v>
      </c>
      <c r="D593" t="s">
        <v>900</v>
      </c>
      <c r="E593">
        <v>7.8551771360686997</v>
      </c>
      <c r="F593">
        <f>VLOOKUP(C593,'[1]phenotypes-895'!$A$2:$G$896,7,FALSE)</f>
        <v>93</v>
      </c>
      <c r="G593" s="6">
        <v>5</v>
      </c>
    </row>
    <row r="594" spans="1:7" x14ac:dyDescent="0.2">
      <c r="A594">
        <v>593</v>
      </c>
      <c r="B594">
        <v>45</v>
      </c>
      <c r="C594" t="s">
        <v>592</v>
      </c>
      <c r="D594" t="s">
        <v>899</v>
      </c>
      <c r="E594">
        <v>5.9484045981034503</v>
      </c>
      <c r="F594">
        <f>VLOOKUP(C594,'[1]phenotypes-895'!$A$2:$G$896,7,FALSE)</f>
        <v>81</v>
      </c>
      <c r="G594" s="6">
        <v>20</v>
      </c>
    </row>
    <row r="595" spans="1:7" x14ac:dyDescent="0.2">
      <c r="A595">
        <v>594</v>
      </c>
      <c r="B595">
        <v>25</v>
      </c>
      <c r="C595" t="s">
        <v>593</v>
      </c>
      <c r="D595" t="s">
        <v>900</v>
      </c>
      <c r="E595">
        <v>-0.52208636817244902</v>
      </c>
      <c r="F595">
        <f>VLOOKUP(C595,'[1]phenotypes-895'!$A$2:$G$896,7,FALSE)</f>
        <v>51</v>
      </c>
      <c r="G595" s="5"/>
    </row>
    <row r="596" spans="1:7" x14ac:dyDescent="0.2">
      <c r="A596">
        <v>595</v>
      </c>
      <c r="B596">
        <v>39</v>
      </c>
      <c r="C596" t="s">
        <v>594</v>
      </c>
      <c r="D596" t="s">
        <v>900</v>
      </c>
      <c r="E596">
        <v>2.7891953464463302</v>
      </c>
      <c r="F596">
        <f>VLOOKUP(C596,'[1]phenotypes-895'!$A$2:$G$896,7,FALSE)</f>
        <v>98</v>
      </c>
      <c r="G596" s="6">
        <v>40</v>
      </c>
    </row>
    <row r="597" spans="1:7" x14ac:dyDescent="0.2">
      <c r="A597">
        <v>596</v>
      </c>
      <c r="B597">
        <v>32</v>
      </c>
      <c r="C597" t="s">
        <v>595</v>
      </c>
      <c r="D597" t="s">
        <v>900</v>
      </c>
      <c r="E597">
        <v>1.28896883122425</v>
      </c>
      <c r="F597">
        <f>VLOOKUP(C597,'[1]phenotypes-895'!$A$2:$G$896,7,FALSE)</f>
        <v>98</v>
      </c>
      <c r="G597" s="6">
        <v>50</v>
      </c>
    </row>
    <row r="598" spans="1:7" x14ac:dyDescent="0.2">
      <c r="A598">
        <v>597</v>
      </c>
      <c r="B598">
        <v>50</v>
      </c>
      <c r="C598" t="s">
        <v>596</v>
      </c>
      <c r="D598" t="s">
        <v>899</v>
      </c>
      <c r="E598">
        <v>0.93408271218577499</v>
      </c>
      <c r="F598">
        <f>VLOOKUP(C598,'[1]phenotypes-895'!$A$2:$G$896,7,FALSE)</f>
        <v>98</v>
      </c>
      <c r="G598" s="6">
        <v>50</v>
      </c>
    </row>
    <row r="599" spans="1:7" x14ac:dyDescent="0.2">
      <c r="A599">
        <v>598</v>
      </c>
      <c r="B599">
        <v>25</v>
      </c>
      <c r="C599" t="s">
        <v>597</v>
      </c>
      <c r="D599" t="s">
        <v>900</v>
      </c>
      <c r="E599">
        <v>-0.49567701221876198</v>
      </c>
      <c r="F599">
        <f>VLOOKUP(C599,'[1]phenotypes-895'!$A$2:$G$896,7,FALSE)</f>
        <v>56</v>
      </c>
      <c r="G599" s="5"/>
    </row>
    <row r="600" spans="1:7" x14ac:dyDescent="0.2">
      <c r="A600">
        <v>599</v>
      </c>
      <c r="B600">
        <v>35</v>
      </c>
      <c r="C600" t="s">
        <v>598</v>
      </c>
      <c r="D600" t="s">
        <v>900</v>
      </c>
      <c r="E600">
        <v>8.2248980432531997</v>
      </c>
      <c r="F600">
        <f>VLOOKUP(C600,'[1]phenotypes-895'!$A$2:$G$896,7,FALSE)</f>
        <v>98</v>
      </c>
      <c r="G600" s="6">
        <v>3</v>
      </c>
    </row>
    <row r="601" spans="1:7" x14ac:dyDescent="0.2">
      <c r="A601">
        <v>600</v>
      </c>
      <c r="B601">
        <v>36</v>
      </c>
      <c r="C601" t="s">
        <v>599</v>
      </c>
      <c r="D601" t="s">
        <v>900</v>
      </c>
      <c r="E601">
        <v>5.3808289963548201</v>
      </c>
      <c r="F601">
        <f>VLOOKUP(C601,'[1]phenotypes-895'!$A$2:$G$896,7,FALSE)</f>
        <v>76</v>
      </c>
      <c r="G601" s="6">
        <v>20</v>
      </c>
    </row>
    <row r="602" spans="1:7" x14ac:dyDescent="0.2">
      <c r="A602">
        <v>601</v>
      </c>
      <c r="B602">
        <v>42</v>
      </c>
      <c r="C602" t="s">
        <v>600</v>
      </c>
      <c r="D602" t="s">
        <v>899</v>
      </c>
      <c r="E602">
        <v>3.0133714720022202</v>
      </c>
      <c r="F602">
        <f>VLOOKUP(C602,'[1]phenotypes-895'!$A$2:$G$896,7,FALSE)</f>
        <v>98</v>
      </c>
      <c r="G602" s="6">
        <v>40</v>
      </c>
    </row>
    <row r="603" spans="1:7" x14ac:dyDescent="0.2">
      <c r="A603">
        <v>602</v>
      </c>
      <c r="B603">
        <v>49</v>
      </c>
      <c r="C603" t="s">
        <v>601</v>
      </c>
      <c r="D603" t="s">
        <v>899</v>
      </c>
      <c r="E603">
        <v>1.28895661485619</v>
      </c>
      <c r="F603">
        <f>VLOOKUP(C603,'[1]phenotypes-895'!$A$2:$G$896,7,FALSE)</f>
        <v>63</v>
      </c>
      <c r="G603" s="6">
        <v>50</v>
      </c>
    </row>
    <row r="604" spans="1:7" x14ac:dyDescent="0.2">
      <c r="A604">
        <v>603</v>
      </c>
      <c r="B604">
        <v>45</v>
      </c>
      <c r="C604" t="s">
        <v>602</v>
      </c>
      <c r="D604" t="s">
        <v>899</v>
      </c>
      <c r="E604">
        <v>8.4851006991489193</v>
      </c>
      <c r="F604">
        <f>VLOOKUP(C604,'[1]phenotypes-895'!$A$2:$G$896,7,FALSE)</f>
        <v>98</v>
      </c>
      <c r="G604" s="6">
        <v>3</v>
      </c>
    </row>
    <row r="605" spans="1:7" x14ac:dyDescent="0.2">
      <c r="A605">
        <v>604</v>
      </c>
      <c r="B605">
        <v>49</v>
      </c>
      <c r="C605" t="s">
        <v>603</v>
      </c>
      <c r="D605" t="s">
        <v>899</v>
      </c>
      <c r="E605">
        <v>5.4822804199906701</v>
      </c>
      <c r="F605">
        <f>VLOOKUP(C605,'[1]phenotypes-895'!$A$2:$G$896,7,FALSE)</f>
        <v>72</v>
      </c>
      <c r="G605" s="6">
        <v>20</v>
      </c>
    </row>
    <row r="606" spans="1:7" x14ac:dyDescent="0.2">
      <c r="A606">
        <v>605</v>
      </c>
      <c r="B606">
        <v>37</v>
      </c>
      <c r="C606" t="s">
        <v>604</v>
      </c>
      <c r="D606" t="s">
        <v>900</v>
      </c>
      <c r="E606">
        <v>4.1281182834229497</v>
      </c>
      <c r="F606">
        <f>VLOOKUP(C606,'[1]phenotypes-895'!$A$2:$G$896,7,FALSE)</f>
        <v>98</v>
      </c>
      <c r="G606" s="6">
        <v>30</v>
      </c>
    </row>
    <row r="607" spans="1:7" x14ac:dyDescent="0.2">
      <c r="A607">
        <v>606</v>
      </c>
      <c r="B607">
        <v>25</v>
      </c>
      <c r="C607" t="s">
        <v>605</v>
      </c>
      <c r="D607" t="s">
        <v>900</v>
      </c>
      <c r="E607">
        <v>2.09074176230998</v>
      </c>
      <c r="F607">
        <f>VLOOKUP(C607,'[1]phenotypes-895'!$A$2:$G$896,7,FALSE)</f>
        <v>98</v>
      </c>
      <c r="G607" s="6">
        <v>50</v>
      </c>
    </row>
    <row r="608" spans="1:7" x14ac:dyDescent="0.2">
      <c r="A608">
        <v>607</v>
      </c>
      <c r="B608">
        <v>27</v>
      </c>
      <c r="C608" t="s">
        <v>606</v>
      </c>
      <c r="D608" t="s">
        <v>900</v>
      </c>
      <c r="E608">
        <v>0.354191785616772</v>
      </c>
      <c r="F608">
        <f>VLOOKUP(C608,'[1]phenotypes-895'!$A$2:$G$896,7,FALSE)</f>
        <v>98</v>
      </c>
      <c r="G608" s="5"/>
    </row>
    <row r="609" spans="1:7" x14ac:dyDescent="0.2">
      <c r="A609">
        <v>608</v>
      </c>
      <c r="B609">
        <v>50</v>
      </c>
      <c r="C609" t="s">
        <v>607</v>
      </c>
      <c r="D609" t="s">
        <v>899</v>
      </c>
      <c r="E609">
        <v>6.71230683579937</v>
      </c>
      <c r="F609">
        <f>VLOOKUP(C609,'[1]phenotypes-895'!$A$2:$G$896,7,FALSE)</f>
        <v>98</v>
      </c>
      <c r="G609" s="6">
        <v>8</v>
      </c>
    </row>
    <row r="610" spans="1:7" x14ac:dyDescent="0.2">
      <c r="A610">
        <v>609</v>
      </c>
      <c r="B610">
        <v>52</v>
      </c>
      <c r="C610" t="s">
        <v>608</v>
      </c>
      <c r="D610" t="s">
        <v>899</v>
      </c>
      <c r="E610">
        <v>7.6218465755946898</v>
      </c>
      <c r="F610">
        <f>VLOOKUP(C610,'[1]phenotypes-895'!$A$2:$G$896,7,FALSE)</f>
        <v>98</v>
      </c>
      <c r="G610" s="6">
        <v>5</v>
      </c>
    </row>
    <row r="611" spans="1:7" x14ac:dyDescent="0.2">
      <c r="A611">
        <v>610</v>
      </c>
      <c r="B611">
        <v>49</v>
      </c>
      <c r="C611" t="s">
        <v>609</v>
      </c>
      <c r="D611" t="s">
        <v>899</v>
      </c>
      <c r="E611">
        <v>3.5891511839620098</v>
      </c>
      <c r="F611">
        <f>VLOOKUP(C611,'[1]phenotypes-895'!$A$2:$G$896,7,FALSE)</f>
        <v>48</v>
      </c>
      <c r="G611" s="6">
        <v>30</v>
      </c>
    </row>
    <row r="612" spans="1:7" x14ac:dyDescent="0.2">
      <c r="A612">
        <v>611</v>
      </c>
      <c r="B612">
        <v>53</v>
      </c>
      <c r="C612" t="s">
        <v>610</v>
      </c>
      <c r="D612" t="s">
        <v>899</v>
      </c>
      <c r="E612">
        <v>3.8831712910246301</v>
      </c>
      <c r="F612">
        <f>VLOOKUP(C612,'[1]phenotypes-895'!$A$2:$G$896,7,FALSE)</f>
        <v>98</v>
      </c>
      <c r="G612" s="6">
        <v>30</v>
      </c>
    </row>
    <row r="613" spans="1:7" x14ac:dyDescent="0.2">
      <c r="A613">
        <v>612</v>
      </c>
      <c r="B613">
        <v>33</v>
      </c>
      <c r="C613" t="s">
        <v>611</v>
      </c>
      <c r="D613" t="s">
        <v>900</v>
      </c>
      <c r="E613">
        <v>-5.7258227228681902</v>
      </c>
      <c r="F613">
        <f>VLOOKUP(C613,'[1]phenotypes-895'!$A$2:$G$896,7,FALSE)</f>
        <v>76</v>
      </c>
    </row>
    <row r="614" spans="1:7" x14ac:dyDescent="0.2">
      <c r="A614">
        <v>613</v>
      </c>
      <c r="B614">
        <v>42</v>
      </c>
      <c r="C614" t="s">
        <v>612</v>
      </c>
      <c r="D614" t="s">
        <v>899</v>
      </c>
      <c r="E614">
        <v>4.4114211248560098</v>
      </c>
      <c r="F614">
        <f>VLOOKUP(C614,'[1]phenotypes-895'!$A$2:$G$896,7,FALSE)</f>
        <v>98</v>
      </c>
      <c r="G614" s="6">
        <v>30</v>
      </c>
    </row>
    <row r="615" spans="1:7" x14ac:dyDescent="0.2">
      <c r="A615">
        <v>614</v>
      </c>
      <c r="B615">
        <v>35</v>
      </c>
      <c r="C615" t="s">
        <v>613</v>
      </c>
      <c r="D615" t="s">
        <v>900</v>
      </c>
      <c r="E615">
        <v>3.5430865223178998</v>
      </c>
      <c r="F615">
        <f>VLOOKUP(C615,'[1]phenotypes-895'!$A$2:$G$896,7,FALSE)</f>
        <v>98</v>
      </c>
      <c r="G615" s="6">
        <v>30</v>
      </c>
    </row>
    <row r="616" spans="1:7" x14ac:dyDescent="0.2">
      <c r="A616">
        <v>615</v>
      </c>
      <c r="B616">
        <v>46</v>
      </c>
      <c r="C616" t="s">
        <v>614</v>
      </c>
      <c r="D616" t="s">
        <v>899</v>
      </c>
      <c r="E616">
        <v>5.4236216861948003</v>
      </c>
      <c r="F616">
        <f>VLOOKUP(C616,'[1]phenotypes-895'!$A$2:$G$896,7,FALSE)</f>
        <v>98</v>
      </c>
      <c r="G616" s="6">
        <v>20</v>
      </c>
    </row>
    <row r="617" spans="1:7" x14ac:dyDescent="0.2">
      <c r="A617">
        <v>616</v>
      </c>
      <c r="B617">
        <v>33</v>
      </c>
      <c r="C617" t="s">
        <v>615</v>
      </c>
      <c r="D617" t="s">
        <v>900</v>
      </c>
      <c r="E617">
        <v>-0.180376237598281</v>
      </c>
      <c r="F617">
        <f>VLOOKUP(C617,'[1]phenotypes-895'!$A$2:$G$896,7,FALSE)</f>
        <v>77</v>
      </c>
      <c r="G617" s="5"/>
    </row>
    <row r="618" spans="1:7" x14ac:dyDescent="0.2">
      <c r="A618">
        <v>617</v>
      </c>
      <c r="B618">
        <v>21</v>
      </c>
      <c r="C618" t="s">
        <v>616</v>
      </c>
      <c r="D618" t="s">
        <v>900</v>
      </c>
      <c r="E618">
        <v>-6.7254327834934305E-2</v>
      </c>
      <c r="F618">
        <f>VLOOKUP(C618,'[1]phenotypes-895'!$A$2:$G$896,7,FALSE)</f>
        <v>98</v>
      </c>
      <c r="G618" s="5"/>
    </row>
    <row r="619" spans="1:7" x14ac:dyDescent="0.2">
      <c r="A619">
        <v>618</v>
      </c>
      <c r="B619">
        <v>42</v>
      </c>
      <c r="C619" t="s">
        <v>617</v>
      </c>
      <c r="D619" t="s">
        <v>899</v>
      </c>
      <c r="E619">
        <v>2.4976409622515598</v>
      </c>
      <c r="F619">
        <f>VLOOKUP(C619,'[1]phenotypes-895'!$A$2:$G$896,7,FALSE)</f>
        <v>86</v>
      </c>
      <c r="G619" s="6">
        <v>40</v>
      </c>
    </row>
    <row r="620" spans="1:7" x14ac:dyDescent="0.2">
      <c r="A620">
        <v>619</v>
      </c>
      <c r="B620">
        <v>33</v>
      </c>
      <c r="C620" t="s">
        <v>618</v>
      </c>
      <c r="D620" t="s">
        <v>900</v>
      </c>
      <c r="E620">
        <v>-1.96001711295967</v>
      </c>
      <c r="F620">
        <f>VLOOKUP(C620,'[1]phenotypes-895'!$A$2:$G$896,7,FALSE)</f>
        <v>98</v>
      </c>
    </row>
    <row r="621" spans="1:7" x14ac:dyDescent="0.2">
      <c r="A621">
        <v>620</v>
      </c>
      <c r="B621">
        <v>38</v>
      </c>
      <c r="C621" t="s">
        <v>619</v>
      </c>
      <c r="D621" t="s">
        <v>900</v>
      </c>
      <c r="E621">
        <v>2.2768996625832401</v>
      </c>
      <c r="F621">
        <f>VLOOKUP(C621,'[1]phenotypes-895'!$A$2:$G$896,7,FALSE)</f>
        <v>95</v>
      </c>
      <c r="G621" s="6">
        <v>40</v>
      </c>
    </row>
    <row r="622" spans="1:7" x14ac:dyDescent="0.2">
      <c r="A622">
        <v>621</v>
      </c>
      <c r="B622">
        <v>25</v>
      </c>
      <c r="C622" t="s">
        <v>620</v>
      </c>
      <c r="D622" t="s">
        <v>900</v>
      </c>
      <c r="E622">
        <v>3.343427511452</v>
      </c>
      <c r="F622">
        <f>VLOOKUP(C622,'[1]phenotypes-895'!$A$2:$G$896,7,FALSE)</f>
        <v>94</v>
      </c>
      <c r="G622" s="6">
        <v>30</v>
      </c>
    </row>
    <row r="623" spans="1:7" x14ac:dyDescent="0.2">
      <c r="A623">
        <v>622</v>
      </c>
      <c r="B623">
        <v>40</v>
      </c>
      <c r="C623" t="s">
        <v>621</v>
      </c>
      <c r="D623" t="s">
        <v>900</v>
      </c>
      <c r="E623">
        <v>-2.8909437797278601</v>
      </c>
      <c r="F623">
        <f>VLOOKUP(C623,'[1]phenotypes-895'!$A$2:$G$896,7,FALSE)</f>
        <v>98</v>
      </c>
    </row>
    <row r="624" spans="1:7" x14ac:dyDescent="0.2">
      <c r="A624">
        <v>623</v>
      </c>
      <c r="B624">
        <v>23</v>
      </c>
      <c r="C624" t="s">
        <v>622</v>
      </c>
      <c r="D624" t="s">
        <v>900</v>
      </c>
      <c r="E624">
        <v>2.4176592641355898</v>
      </c>
      <c r="F624">
        <f>VLOOKUP(C624,'[1]phenotypes-895'!$A$2:$G$896,7,FALSE)</f>
        <v>98</v>
      </c>
      <c r="G624" s="6">
        <v>40</v>
      </c>
    </row>
    <row r="625" spans="1:7" x14ac:dyDescent="0.2">
      <c r="A625">
        <v>624</v>
      </c>
      <c r="B625">
        <v>27</v>
      </c>
      <c r="C625" t="s">
        <v>623</v>
      </c>
      <c r="D625" t="s">
        <v>900</v>
      </c>
      <c r="E625">
        <v>0.499177303649537</v>
      </c>
      <c r="F625">
        <f>VLOOKUP(C625,'[1]phenotypes-895'!$A$2:$G$896,7,FALSE)</f>
        <v>58</v>
      </c>
      <c r="G625" s="5"/>
    </row>
    <row r="626" spans="1:7" x14ac:dyDescent="0.2">
      <c r="A626">
        <v>625</v>
      </c>
      <c r="B626">
        <v>30</v>
      </c>
      <c r="C626" t="s">
        <v>624</v>
      </c>
      <c r="D626" t="s">
        <v>900</v>
      </c>
      <c r="E626">
        <v>-0.62364748515696</v>
      </c>
      <c r="F626">
        <f>VLOOKUP(C626,'[1]phenotypes-895'!$A$2:$G$896,7,FALSE)</f>
        <v>98</v>
      </c>
      <c r="G626" s="5"/>
    </row>
    <row r="627" spans="1:7" x14ac:dyDescent="0.2">
      <c r="A627">
        <v>626</v>
      </c>
      <c r="B627">
        <v>27</v>
      </c>
      <c r="C627" t="s">
        <v>625</v>
      </c>
      <c r="D627" t="s">
        <v>900</v>
      </c>
      <c r="E627">
        <v>2.93402150395349</v>
      </c>
      <c r="F627">
        <f>VLOOKUP(C627,'[1]phenotypes-895'!$A$2:$G$896,7,FALSE)</f>
        <v>70</v>
      </c>
      <c r="G627" s="6">
        <v>40</v>
      </c>
    </row>
    <row r="628" spans="1:7" x14ac:dyDescent="0.2">
      <c r="A628">
        <v>627</v>
      </c>
      <c r="B628">
        <v>32</v>
      </c>
      <c r="C628" t="s">
        <v>626</v>
      </c>
      <c r="D628" t="s">
        <v>900</v>
      </c>
      <c r="E628">
        <v>-2.7923575824196001</v>
      </c>
      <c r="F628">
        <f>VLOOKUP(C628,'[1]phenotypes-895'!$A$2:$G$896,7,FALSE)</f>
        <v>60</v>
      </c>
    </row>
    <row r="629" spans="1:7" x14ac:dyDescent="0.2">
      <c r="A629">
        <v>628</v>
      </c>
      <c r="B629">
        <v>40</v>
      </c>
      <c r="C629" t="s">
        <v>627</v>
      </c>
      <c r="D629" t="s">
        <v>900</v>
      </c>
      <c r="E629">
        <v>-3.1915211561199199</v>
      </c>
      <c r="F629">
        <f>VLOOKUP(C629,'[1]phenotypes-895'!$A$2:$G$896,7,FALSE)</f>
        <v>74</v>
      </c>
    </row>
    <row r="630" spans="1:7" x14ac:dyDescent="0.2">
      <c r="A630">
        <v>629</v>
      </c>
      <c r="B630">
        <v>27</v>
      </c>
      <c r="C630" t="s">
        <v>628</v>
      </c>
      <c r="D630" t="s">
        <v>900</v>
      </c>
      <c r="E630">
        <v>4.1337209843047402</v>
      </c>
      <c r="F630">
        <f>VLOOKUP(C630,'[1]phenotypes-895'!$A$2:$G$896,7,FALSE)</f>
        <v>98</v>
      </c>
      <c r="G630" s="6">
        <v>30</v>
      </c>
    </row>
    <row r="631" spans="1:7" x14ac:dyDescent="0.2">
      <c r="A631">
        <v>630</v>
      </c>
      <c r="B631">
        <v>36</v>
      </c>
      <c r="C631" t="s">
        <v>629</v>
      </c>
      <c r="D631" t="s">
        <v>900</v>
      </c>
      <c r="E631">
        <v>1.60880586210284</v>
      </c>
      <c r="F631">
        <f>VLOOKUP(C631,'[1]phenotypes-895'!$A$2:$G$896,7,FALSE)</f>
        <v>65</v>
      </c>
      <c r="G631" s="6">
        <v>50</v>
      </c>
    </row>
    <row r="632" spans="1:7" x14ac:dyDescent="0.2">
      <c r="A632">
        <v>631</v>
      </c>
      <c r="B632">
        <v>28</v>
      </c>
      <c r="C632" t="s">
        <v>630</v>
      </c>
      <c r="D632" t="s">
        <v>900</v>
      </c>
      <c r="E632">
        <v>2.0371726425244598</v>
      </c>
      <c r="F632">
        <f>VLOOKUP(C632,'[1]phenotypes-895'!$A$2:$G$896,7,FALSE)</f>
        <v>98</v>
      </c>
      <c r="G632" s="6">
        <v>50</v>
      </c>
    </row>
    <row r="633" spans="1:7" x14ac:dyDescent="0.2">
      <c r="A633">
        <v>632</v>
      </c>
      <c r="B633">
        <v>29</v>
      </c>
      <c r="C633" t="s">
        <v>631</v>
      </c>
      <c r="D633" t="s">
        <v>900</v>
      </c>
      <c r="E633">
        <v>-7.1742640633030597</v>
      </c>
      <c r="F633">
        <f>VLOOKUP(C633,'[1]phenotypes-895'!$A$2:$G$896,7,FALSE)</f>
        <v>44</v>
      </c>
    </row>
    <row r="634" spans="1:7" x14ac:dyDescent="0.2">
      <c r="A634">
        <v>633</v>
      </c>
      <c r="B634">
        <v>23</v>
      </c>
      <c r="C634" t="s">
        <v>632</v>
      </c>
      <c r="D634" t="s">
        <v>900</v>
      </c>
      <c r="E634">
        <v>2.88109899588052</v>
      </c>
      <c r="F634">
        <f>VLOOKUP(C634,'[1]phenotypes-895'!$A$2:$G$896,7,FALSE)</f>
        <v>98</v>
      </c>
      <c r="G634" s="6">
        <v>40</v>
      </c>
    </row>
    <row r="635" spans="1:7" x14ac:dyDescent="0.2">
      <c r="A635">
        <v>634</v>
      </c>
      <c r="B635">
        <v>26</v>
      </c>
      <c r="C635" t="s">
        <v>633</v>
      </c>
      <c r="D635" t="s">
        <v>900</v>
      </c>
      <c r="E635">
        <v>3.6284985333745801</v>
      </c>
      <c r="F635">
        <f>VLOOKUP(C635,'[1]phenotypes-895'!$A$2:$G$896,7,FALSE)</f>
        <v>76</v>
      </c>
      <c r="G635" s="6">
        <v>30</v>
      </c>
    </row>
    <row r="636" spans="1:7" x14ac:dyDescent="0.2">
      <c r="A636">
        <v>635</v>
      </c>
      <c r="B636">
        <v>50</v>
      </c>
      <c r="C636" t="s">
        <v>634</v>
      </c>
      <c r="D636" t="s">
        <v>899</v>
      </c>
      <c r="E636">
        <v>1.71317965613428</v>
      </c>
      <c r="F636">
        <f>VLOOKUP(C636,'[1]phenotypes-895'!$A$2:$G$896,7,FALSE)</f>
        <v>72</v>
      </c>
      <c r="G636" s="6">
        <v>50</v>
      </c>
    </row>
    <row r="637" spans="1:7" x14ac:dyDescent="0.2">
      <c r="A637">
        <v>636</v>
      </c>
      <c r="B637">
        <v>40</v>
      </c>
      <c r="C637" t="s">
        <v>635</v>
      </c>
      <c r="D637" t="s">
        <v>900</v>
      </c>
      <c r="E637">
        <v>-1.66516447494201</v>
      </c>
      <c r="F637">
        <f>VLOOKUP(C637,'[1]phenotypes-895'!$A$2:$G$896,7,FALSE)</f>
        <v>70</v>
      </c>
      <c r="G637" s="5"/>
    </row>
    <row r="638" spans="1:7" x14ac:dyDescent="0.2">
      <c r="A638">
        <v>637</v>
      </c>
      <c r="B638">
        <v>46</v>
      </c>
      <c r="C638" t="s">
        <v>636</v>
      </c>
      <c r="D638" t="s">
        <v>899</v>
      </c>
      <c r="E638">
        <v>5.29896224988864</v>
      </c>
      <c r="F638">
        <f>VLOOKUP(C638,'[1]phenotypes-895'!$A$2:$G$896,7,FALSE)</f>
        <v>98</v>
      </c>
      <c r="G638" s="6">
        <v>20</v>
      </c>
    </row>
    <row r="639" spans="1:7" x14ac:dyDescent="0.2">
      <c r="A639">
        <v>638</v>
      </c>
      <c r="B639">
        <v>22</v>
      </c>
      <c r="C639" t="s">
        <v>637</v>
      </c>
      <c r="D639" t="s">
        <v>900</v>
      </c>
      <c r="E639">
        <v>1.0840918543112099</v>
      </c>
      <c r="F639">
        <f>VLOOKUP(C639,'[1]phenotypes-895'!$A$2:$G$896,7,FALSE)</f>
        <v>60</v>
      </c>
      <c r="G639" s="6">
        <v>50</v>
      </c>
    </row>
    <row r="640" spans="1:7" x14ac:dyDescent="0.2">
      <c r="A640">
        <v>639</v>
      </c>
      <c r="B640">
        <v>34</v>
      </c>
      <c r="C640" t="s">
        <v>638</v>
      </c>
      <c r="D640" t="s">
        <v>900</v>
      </c>
      <c r="E640">
        <v>-0.13008624636053401</v>
      </c>
      <c r="F640">
        <f>VLOOKUP(C640,'[1]phenotypes-895'!$A$2:$G$896,7,FALSE)</f>
        <v>75</v>
      </c>
      <c r="G640" s="5"/>
    </row>
    <row r="641" spans="1:7" x14ac:dyDescent="0.2">
      <c r="A641">
        <v>640</v>
      </c>
      <c r="B641">
        <v>40</v>
      </c>
      <c r="C641" t="s">
        <v>639</v>
      </c>
      <c r="D641" t="s">
        <v>900</v>
      </c>
      <c r="E641">
        <v>-5.5965694757025197</v>
      </c>
      <c r="F641">
        <f>VLOOKUP(C641,'[1]phenotypes-895'!$A$2:$G$896,7,FALSE)</f>
        <v>65</v>
      </c>
    </row>
    <row r="642" spans="1:7" x14ac:dyDescent="0.2">
      <c r="A642">
        <v>641</v>
      </c>
      <c r="B642">
        <v>42</v>
      </c>
      <c r="C642" t="s">
        <v>640</v>
      </c>
      <c r="D642" t="s">
        <v>899</v>
      </c>
      <c r="E642">
        <v>6.8568553758006203</v>
      </c>
      <c r="F642">
        <f>VLOOKUP(C642,'[1]phenotypes-895'!$A$2:$G$896,7,FALSE)</f>
        <v>98</v>
      </c>
      <c r="G642" s="6">
        <v>7</v>
      </c>
    </row>
    <row r="643" spans="1:7" x14ac:dyDescent="0.2">
      <c r="A643">
        <v>642</v>
      </c>
      <c r="B643">
        <v>29</v>
      </c>
      <c r="C643" t="s">
        <v>641</v>
      </c>
      <c r="D643" t="s">
        <v>900</v>
      </c>
      <c r="E643">
        <v>-0.95326797206131797</v>
      </c>
      <c r="F643">
        <f>VLOOKUP(C643,'[1]phenotypes-895'!$A$2:$G$896,7,FALSE)</f>
        <v>70</v>
      </c>
      <c r="G643" s="5"/>
    </row>
    <row r="644" spans="1:7" x14ac:dyDescent="0.2">
      <c r="A644">
        <v>643</v>
      </c>
      <c r="B644">
        <v>22</v>
      </c>
      <c r="C644" t="s">
        <v>642</v>
      </c>
      <c r="D644" t="s">
        <v>900</v>
      </c>
      <c r="E644">
        <v>2.9966462715693498</v>
      </c>
      <c r="F644">
        <f>VLOOKUP(C644,'[1]phenotypes-895'!$A$2:$G$896,7,FALSE)</f>
        <v>98</v>
      </c>
      <c r="G644" s="6">
        <v>40</v>
      </c>
    </row>
    <row r="645" spans="1:7" x14ac:dyDescent="0.2">
      <c r="A645">
        <v>644</v>
      </c>
      <c r="B645">
        <v>37</v>
      </c>
      <c r="C645" t="s">
        <v>643</v>
      </c>
      <c r="D645" t="s">
        <v>900</v>
      </c>
      <c r="E645">
        <v>5.5238472384027597</v>
      </c>
      <c r="F645">
        <f>VLOOKUP(C645,'[1]phenotypes-895'!$A$2:$G$896,7,FALSE)</f>
        <v>98</v>
      </c>
      <c r="G645" s="6">
        <v>20</v>
      </c>
    </row>
    <row r="646" spans="1:7" x14ac:dyDescent="0.2">
      <c r="A646">
        <v>645</v>
      </c>
      <c r="B646">
        <v>52</v>
      </c>
      <c r="C646" t="s">
        <v>644</v>
      </c>
      <c r="D646" t="s">
        <v>899</v>
      </c>
      <c r="E646">
        <v>1.99269192381119</v>
      </c>
      <c r="F646">
        <f>VLOOKUP(C646,'[1]phenotypes-895'!$A$2:$G$896,7,FALSE)</f>
        <v>79</v>
      </c>
      <c r="G646" s="6">
        <v>50</v>
      </c>
    </row>
    <row r="647" spans="1:7" x14ac:dyDescent="0.2">
      <c r="A647">
        <v>646</v>
      </c>
      <c r="B647">
        <v>50</v>
      </c>
      <c r="C647" t="s">
        <v>645</v>
      </c>
      <c r="D647" t="s">
        <v>899</v>
      </c>
      <c r="E647">
        <v>5.7597598259489198</v>
      </c>
      <c r="F647">
        <f>VLOOKUP(C647,'[1]phenotypes-895'!$A$2:$G$896,7,FALSE)</f>
        <v>88</v>
      </c>
      <c r="G647" s="6">
        <v>20</v>
      </c>
    </row>
    <row r="648" spans="1:7" x14ac:dyDescent="0.2">
      <c r="A648">
        <v>647</v>
      </c>
      <c r="B648">
        <v>31</v>
      </c>
      <c r="C648" t="s">
        <v>646</v>
      </c>
      <c r="D648" t="s">
        <v>900</v>
      </c>
      <c r="E648">
        <v>1.16787541386983</v>
      </c>
      <c r="F648">
        <f>VLOOKUP(C648,'[1]phenotypes-895'!$A$2:$G$896,7,FALSE)</f>
        <v>84</v>
      </c>
      <c r="G648" s="6">
        <v>50</v>
      </c>
    </row>
    <row r="649" spans="1:7" x14ac:dyDescent="0.2">
      <c r="A649">
        <v>648</v>
      </c>
      <c r="B649">
        <v>30</v>
      </c>
      <c r="C649" t="s">
        <v>647</v>
      </c>
      <c r="D649" t="s">
        <v>900</v>
      </c>
      <c r="E649">
        <v>-1.60014364054061</v>
      </c>
      <c r="F649">
        <f>VLOOKUP(C649,'[1]phenotypes-895'!$A$2:$G$896,7,FALSE)</f>
        <v>98</v>
      </c>
      <c r="G649" s="5"/>
    </row>
    <row r="650" spans="1:7" x14ac:dyDescent="0.2">
      <c r="A650">
        <v>649</v>
      </c>
      <c r="B650">
        <v>27</v>
      </c>
      <c r="C650" t="s">
        <v>648</v>
      </c>
      <c r="D650" t="s">
        <v>900</v>
      </c>
      <c r="E650">
        <v>2.3847833064907502</v>
      </c>
      <c r="F650">
        <f>VLOOKUP(C650,'[1]phenotypes-895'!$A$2:$G$896,7,FALSE)</f>
        <v>98</v>
      </c>
      <c r="G650" s="6">
        <v>40</v>
      </c>
    </row>
    <row r="651" spans="1:7" x14ac:dyDescent="0.2">
      <c r="A651">
        <v>650</v>
      </c>
      <c r="B651">
        <v>40</v>
      </c>
      <c r="C651" t="s">
        <v>649</v>
      </c>
      <c r="D651" t="s">
        <v>900</v>
      </c>
      <c r="E651">
        <v>1.23461935073726</v>
      </c>
      <c r="F651">
        <f>VLOOKUP(C651,'[1]phenotypes-895'!$A$2:$G$896,7,FALSE)</f>
        <v>98</v>
      </c>
      <c r="G651" s="6">
        <v>50</v>
      </c>
    </row>
    <row r="652" spans="1:7" x14ac:dyDescent="0.2">
      <c r="A652">
        <v>651</v>
      </c>
      <c r="B652">
        <v>40</v>
      </c>
      <c r="C652" t="s">
        <v>650</v>
      </c>
      <c r="D652" t="s">
        <v>900</v>
      </c>
      <c r="E652">
        <v>-4.3797433331075499</v>
      </c>
      <c r="F652">
        <f>VLOOKUP(C652,'[1]phenotypes-895'!$A$2:$G$896,7,FALSE)</f>
        <v>78</v>
      </c>
    </row>
    <row r="653" spans="1:7" x14ac:dyDescent="0.2">
      <c r="A653">
        <v>652</v>
      </c>
      <c r="B653">
        <v>48</v>
      </c>
      <c r="C653" t="s">
        <v>651</v>
      </c>
      <c r="D653" t="s">
        <v>899</v>
      </c>
      <c r="E653">
        <v>3.0726692874143802</v>
      </c>
      <c r="F653">
        <f>VLOOKUP(C653,'[1]phenotypes-895'!$A$2:$G$896,7,FALSE)</f>
        <v>98</v>
      </c>
      <c r="G653" s="6">
        <v>40</v>
      </c>
    </row>
    <row r="654" spans="1:7" x14ac:dyDescent="0.2">
      <c r="A654">
        <v>653</v>
      </c>
      <c r="B654">
        <v>53</v>
      </c>
      <c r="C654" t="s">
        <v>652</v>
      </c>
      <c r="D654" t="s">
        <v>899</v>
      </c>
      <c r="E654">
        <v>6.6685713833613196</v>
      </c>
      <c r="F654">
        <f>VLOOKUP(C654,'[1]phenotypes-895'!$A$2:$G$896,7,FALSE)</f>
        <v>98</v>
      </c>
      <c r="G654" s="6">
        <v>8</v>
      </c>
    </row>
    <row r="655" spans="1:7" x14ac:dyDescent="0.2">
      <c r="A655">
        <v>654</v>
      </c>
      <c r="B655">
        <v>51</v>
      </c>
      <c r="C655" t="s">
        <v>653</v>
      </c>
      <c r="D655" t="s">
        <v>899</v>
      </c>
      <c r="E655">
        <v>7.9141853554728403</v>
      </c>
      <c r="F655">
        <f>VLOOKUP(C655,'[1]phenotypes-895'!$A$2:$G$896,7,FALSE)</f>
        <v>98</v>
      </c>
      <c r="G655" s="6">
        <v>4</v>
      </c>
    </row>
    <row r="656" spans="1:7" x14ac:dyDescent="0.2">
      <c r="A656">
        <v>655</v>
      </c>
      <c r="B656">
        <v>49</v>
      </c>
      <c r="C656" t="s">
        <v>654</v>
      </c>
      <c r="D656" t="s">
        <v>899</v>
      </c>
      <c r="E656">
        <v>4.1451416584857599</v>
      </c>
      <c r="F656">
        <f>VLOOKUP(C656,'[1]phenotypes-895'!$A$2:$G$896,7,FALSE)</f>
        <v>73</v>
      </c>
      <c r="G656" s="6">
        <v>30</v>
      </c>
    </row>
    <row r="657" spans="1:7" x14ac:dyDescent="0.2">
      <c r="A657">
        <v>656</v>
      </c>
      <c r="B657">
        <v>42</v>
      </c>
      <c r="C657" t="s">
        <v>655</v>
      </c>
      <c r="D657" t="s">
        <v>899</v>
      </c>
      <c r="E657">
        <v>3.3208777965056799</v>
      </c>
      <c r="F657">
        <f>VLOOKUP(C657,'[1]phenotypes-895'!$A$2:$G$896,7,FALSE)</f>
        <v>98</v>
      </c>
      <c r="G657" s="6">
        <v>30</v>
      </c>
    </row>
    <row r="658" spans="1:7" x14ac:dyDescent="0.2">
      <c r="A658">
        <v>657</v>
      </c>
      <c r="B658">
        <v>23</v>
      </c>
      <c r="C658" t="s">
        <v>656</v>
      </c>
      <c r="D658" t="s">
        <v>900</v>
      </c>
      <c r="E658">
        <v>-0.582864307267007</v>
      </c>
      <c r="F658">
        <f>VLOOKUP(C658,'[1]phenotypes-895'!$A$2:$G$896,7,FALSE)</f>
        <v>68</v>
      </c>
      <c r="G658" s="5"/>
    </row>
    <row r="659" spans="1:7" x14ac:dyDescent="0.2">
      <c r="A659">
        <v>658</v>
      </c>
      <c r="B659">
        <v>53</v>
      </c>
      <c r="C659" t="s">
        <v>657</v>
      </c>
      <c r="D659" t="s">
        <v>899</v>
      </c>
      <c r="E659">
        <v>6.0140963532582203</v>
      </c>
      <c r="F659">
        <f>VLOOKUP(C659,'[1]phenotypes-895'!$A$2:$G$896,7,FALSE)</f>
        <v>98</v>
      </c>
      <c r="G659" s="6">
        <v>20</v>
      </c>
    </row>
    <row r="660" spans="1:7" x14ac:dyDescent="0.2">
      <c r="A660">
        <v>659</v>
      </c>
      <c r="B660">
        <v>45</v>
      </c>
      <c r="C660" t="s">
        <v>658</v>
      </c>
      <c r="D660" t="s">
        <v>899</v>
      </c>
      <c r="E660">
        <v>10.5475952642928</v>
      </c>
      <c r="F660">
        <f>VLOOKUP(C660,'[1]phenotypes-895'!$A$2:$G$896,7,FALSE)</f>
        <v>98</v>
      </c>
      <c r="G660" s="6">
        <v>1</v>
      </c>
    </row>
    <row r="661" spans="1:7" x14ac:dyDescent="0.2">
      <c r="A661">
        <v>660</v>
      </c>
      <c r="B661">
        <v>50</v>
      </c>
      <c r="C661" t="s">
        <v>659</v>
      </c>
      <c r="D661" t="s">
        <v>899</v>
      </c>
      <c r="E661">
        <v>7.5010593781758601</v>
      </c>
      <c r="F661">
        <f>VLOOKUP(C661,'[1]phenotypes-895'!$A$2:$G$896,7,FALSE)</f>
        <v>98</v>
      </c>
      <c r="G661" s="6">
        <v>5</v>
      </c>
    </row>
    <row r="662" spans="1:7" x14ac:dyDescent="0.2">
      <c r="A662">
        <v>661</v>
      </c>
      <c r="B662">
        <v>37</v>
      </c>
      <c r="C662" t="s">
        <v>660</v>
      </c>
      <c r="D662" t="s">
        <v>900</v>
      </c>
      <c r="E662">
        <v>7.2332051369475296</v>
      </c>
      <c r="F662">
        <f>VLOOKUP(C662,'[1]phenotypes-895'!$A$2:$G$896,7,FALSE)</f>
        <v>98</v>
      </c>
      <c r="G662" s="6">
        <v>6</v>
      </c>
    </row>
    <row r="663" spans="1:7" x14ac:dyDescent="0.2">
      <c r="A663">
        <v>662</v>
      </c>
      <c r="B663">
        <v>39</v>
      </c>
      <c r="C663" t="s">
        <v>661</v>
      </c>
      <c r="D663" t="s">
        <v>900</v>
      </c>
      <c r="E663">
        <v>3.5260331797187798</v>
      </c>
      <c r="F663">
        <f>VLOOKUP(C663,'[1]phenotypes-895'!$A$2:$G$896,7,FALSE)</f>
        <v>98</v>
      </c>
      <c r="G663" s="6">
        <v>30</v>
      </c>
    </row>
    <row r="664" spans="1:7" x14ac:dyDescent="0.2">
      <c r="A664">
        <v>663</v>
      </c>
      <c r="B664">
        <v>42</v>
      </c>
      <c r="C664" t="s">
        <v>662</v>
      </c>
      <c r="D664" t="s">
        <v>899</v>
      </c>
      <c r="E664">
        <v>6.3765216009781502</v>
      </c>
      <c r="F664">
        <f>VLOOKUP(C664,'[1]phenotypes-895'!$A$2:$G$896,7,FALSE)</f>
        <v>98</v>
      </c>
      <c r="G664" s="6">
        <v>9</v>
      </c>
    </row>
    <row r="665" spans="1:7" x14ac:dyDescent="0.2">
      <c r="A665">
        <v>664</v>
      </c>
      <c r="B665">
        <v>42</v>
      </c>
      <c r="C665" t="s">
        <v>663</v>
      </c>
      <c r="D665" t="s">
        <v>899</v>
      </c>
      <c r="E665">
        <v>2.91437521709289</v>
      </c>
      <c r="F665">
        <f>VLOOKUP(C665,'[1]phenotypes-895'!$A$2:$G$896,7,FALSE)</f>
        <v>98</v>
      </c>
      <c r="G665" s="6">
        <v>40</v>
      </c>
    </row>
    <row r="666" spans="1:7" x14ac:dyDescent="0.2">
      <c r="A666">
        <v>665</v>
      </c>
      <c r="B666">
        <v>46</v>
      </c>
      <c r="C666" t="s">
        <v>664</v>
      </c>
      <c r="D666" t="s">
        <v>899</v>
      </c>
      <c r="E666">
        <v>3.15416850608164</v>
      </c>
      <c r="F666">
        <f>VLOOKUP(C666,'[1]phenotypes-895'!$A$2:$G$896,7,FALSE)</f>
        <v>74</v>
      </c>
      <c r="G666" s="6">
        <v>40</v>
      </c>
    </row>
    <row r="667" spans="1:7" x14ac:dyDescent="0.2">
      <c r="A667">
        <v>666</v>
      </c>
      <c r="B667">
        <v>54</v>
      </c>
      <c r="C667" t="s">
        <v>665</v>
      </c>
      <c r="D667" t="s">
        <v>899</v>
      </c>
      <c r="E667">
        <v>2.2040982445647601</v>
      </c>
      <c r="F667">
        <f>VLOOKUP(C667,'[1]phenotypes-895'!$A$2:$G$896,7,FALSE)</f>
        <v>63</v>
      </c>
      <c r="G667" s="6">
        <v>40</v>
      </c>
    </row>
    <row r="668" spans="1:7" x14ac:dyDescent="0.2">
      <c r="A668">
        <v>667</v>
      </c>
      <c r="B668">
        <v>51</v>
      </c>
      <c r="C668" t="s">
        <v>666</v>
      </c>
      <c r="D668" t="s">
        <v>899</v>
      </c>
      <c r="E668">
        <v>7.4789121681783897</v>
      </c>
      <c r="F668">
        <f>VLOOKUP(C668,'[1]phenotypes-895'!$A$2:$G$896,7,FALSE)</f>
        <v>98</v>
      </c>
      <c r="G668" s="6">
        <v>5</v>
      </c>
    </row>
    <row r="669" spans="1:7" x14ac:dyDescent="0.2">
      <c r="A669">
        <v>668</v>
      </c>
      <c r="B669">
        <v>32</v>
      </c>
      <c r="C669" t="s">
        <v>667</v>
      </c>
      <c r="D669" t="s">
        <v>900</v>
      </c>
      <c r="E669">
        <v>0.756882509735329</v>
      </c>
      <c r="F669">
        <f>VLOOKUP(C669,'[1]phenotypes-895'!$A$2:$G$896,7,FALSE)</f>
        <v>65</v>
      </c>
      <c r="G669" s="5"/>
    </row>
    <row r="670" spans="1:7" x14ac:dyDescent="0.2">
      <c r="A670">
        <v>669</v>
      </c>
      <c r="B670">
        <v>50</v>
      </c>
      <c r="C670" t="s">
        <v>668</v>
      </c>
      <c r="D670" t="s">
        <v>899</v>
      </c>
      <c r="E670">
        <v>8.4861840399176494</v>
      </c>
      <c r="F670">
        <f>VLOOKUP(C670,'[1]phenotypes-895'!$A$2:$G$896,7,FALSE)</f>
        <v>98</v>
      </c>
      <c r="G670" s="6">
        <v>3</v>
      </c>
    </row>
    <row r="671" spans="1:7" x14ac:dyDescent="0.2">
      <c r="A671">
        <v>670</v>
      </c>
      <c r="B671">
        <v>42</v>
      </c>
      <c r="C671" t="s">
        <v>669</v>
      </c>
      <c r="D671" t="s">
        <v>899</v>
      </c>
      <c r="E671">
        <v>2.5834011592212001</v>
      </c>
      <c r="F671">
        <f>VLOOKUP(C671,'[1]phenotypes-895'!$A$2:$G$896,7,FALSE)</f>
        <v>65</v>
      </c>
      <c r="G671" s="6">
        <v>40</v>
      </c>
    </row>
    <row r="672" spans="1:7" x14ac:dyDescent="0.2">
      <c r="A672">
        <v>671</v>
      </c>
      <c r="B672">
        <v>22</v>
      </c>
      <c r="C672" t="s">
        <v>670</v>
      </c>
      <c r="D672" t="s">
        <v>900</v>
      </c>
      <c r="E672">
        <v>4.7256867214522904</v>
      </c>
      <c r="F672">
        <f>VLOOKUP(C672,'[1]phenotypes-895'!$A$2:$G$896,7,FALSE)</f>
        <v>98</v>
      </c>
      <c r="G672" s="6">
        <v>20</v>
      </c>
    </row>
    <row r="673" spans="1:7" x14ac:dyDescent="0.2">
      <c r="A673">
        <v>672</v>
      </c>
      <c r="B673">
        <v>49</v>
      </c>
      <c r="C673" t="s">
        <v>671</v>
      </c>
      <c r="D673" t="s">
        <v>899</v>
      </c>
      <c r="E673">
        <v>6.2291904647814702</v>
      </c>
      <c r="F673">
        <f>VLOOKUP(C673,'[1]phenotypes-895'!$A$2:$G$896,7,FALSE)</f>
        <v>98</v>
      </c>
      <c r="G673" s="6">
        <v>10</v>
      </c>
    </row>
    <row r="674" spans="1:7" x14ac:dyDescent="0.2">
      <c r="A674">
        <v>673</v>
      </c>
      <c r="B674">
        <v>29</v>
      </c>
      <c r="C674" t="s">
        <v>672</v>
      </c>
      <c r="D674" t="s">
        <v>900</v>
      </c>
      <c r="E674">
        <v>-2.10391847306748</v>
      </c>
      <c r="F674">
        <f>VLOOKUP(C674,'[1]phenotypes-895'!$A$2:$G$896,7,FALSE)</f>
        <v>63</v>
      </c>
      <c r="G674" s="5"/>
    </row>
    <row r="675" spans="1:7" x14ac:dyDescent="0.2">
      <c r="A675">
        <v>674</v>
      </c>
      <c r="B675">
        <v>40</v>
      </c>
      <c r="C675" t="s">
        <v>673</v>
      </c>
      <c r="D675" t="s">
        <v>900</v>
      </c>
      <c r="E675">
        <v>-6.9196636322216296</v>
      </c>
      <c r="F675">
        <f>VLOOKUP(C675,'[1]phenotypes-895'!$A$2:$G$896,7,FALSE)</f>
        <v>63</v>
      </c>
    </row>
    <row r="676" spans="1:7" x14ac:dyDescent="0.2">
      <c r="A676">
        <v>675</v>
      </c>
      <c r="B676">
        <v>25</v>
      </c>
      <c r="C676" t="s">
        <v>674</v>
      </c>
      <c r="D676" t="s">
        <v>900</v>
      </c>
      <c r="E676">
        <v>4.6803720160718099</v>
      </c>
      <c r="F676">
        <f>VLOOKUP(C676,'[1]phenotypes-895'!$A$2:$G$896,7,FALSE)</f>
        <v>98</v>
      </c>
      <c r="G676" s="6">
        <v>20</v>
      </c>
    </row>
    <row r="677" spans="1:7" x14ac:dyDescent="0.2">
      <c r="A677">
        <v>676</v>
      </c>
      <c r="B677">
        <v>31</v>
      </c>
      <c r="C677" t="s">
        <v>675</v>
      </c>
      <c r="D677" t="s">
        <v>900</v>
      </c>
      <c r="E677">
        <v>0.820509913538914</v>
      </c>
      <c r="F677">
        <f>VLOOKUP(C677,'[1]phenotypes-895'!$A$2:$G$896,7,FALSE)</f>
        <v>98</v>
      </c>
      <c r="G677" s="6">
        <v>50</v>
      </c>
    </row>
    <row r="678" spans="1:7" x14ac:dyDescent="0.2">
      <c r="A678">
        <v>677</v>
      </c>
      <c r="B678">
        <v>31</v>
      </c>
      <c r="C678" t="s">
        <v>676</v>
      </c>
      <c r="D678" t="s">
        <v>900</v>
      </c>
      <c r="E678">
        <v>2.5773941968120901</v>
      </c>
      <c r="F678">
        <f>VLOOKUP(C678,'[1]phenotypes-895'!$A$2:$G$896,7,FALSE)</f>
        <v>86</v>
      </c>
      <c r="G678" s="6">
        <v>40</v>
      </c>
    </row>
    <row r="679" spans="1:7" x14ac:dyDescent="0.2">
      <c r="A679">
        <v>678</v>
      </c>
      <c r="B679">
        <v>52</v>
      </c>
      <c r="C679" t="s">
        <v>677</v>
      </c>
      <c r="D679" t="s">
        <v>899</v>
      </c>
      <c r="E679">
        <v>-0.83343091700423799</v>
      </c>
      <c r="F679">
        <f>VLOOKUP(C679,'[1]phenotypes-895'!$A$2:$G$896,7,FALSE)</f>
        <v>45</v>
      </c>
    </row>
    <row r="680" spans="1:7" x14ac:dyDescent="0.2">
      <c r="A680">
        <v>679</v>
      </c>
      <c r="B680">
        <v>51</v>
      </c>
      <c r="C680" t="s">
        <v>678</v>
      </c>
      <c r="D680" t="s">
        <v>899</v>
      </c>
      <c r="E680">
        <v>2.6712896818660199</v>
      </c>
      <c r="F680">
        <f>VLOOKUP(C680,'[1]phenotypes-895'!$A$2:$G$896,7,FALSE)</f>
        <v>54</v>
      </c>
      <c r="G680" s="6">
        <v>40</v>
      </c>
    </row>
    <row r="681" spans="1:7" x14ac:dyDescent="0.2">
      <c r="A681">
        <v>680</v>
      </c>
      <c r="B681">
        <v>35</v>
      </c>
      <c r="C681" t="s">
        <v>679</v>
      </c>
      <c r="D681" t="s">
        <v>900</v>
      </c>
      <c r="E681">
        <v>3.2281155591039399</v>
      </c>
      <c r="F681">
        <f>VLOOKUP(C681,'[1]phenotypes-895'!$A$2:$G$896,7,FALSE)</f>
        <v>98</v>
      </c>
      <c r="G681" s="6">
        <v>40</v>
      </c>
    </row>
    <row r="682" spans="1:7" x14ac:dyDescent="0.2">
      <c r="A682">
        <v>681</v>
      </c>
      <c r="B682">
        <v>38</v>
      </c>
      <c r="C682" t="s">
        <v>680</v>
      </c>
      <c r="D682" t="s">
        <v>900</v>
      </c>
      <c r="E682">
        <v>5.7789376613939902</v>
      </c>
      <c r="F682">
        <f>VLOOKUP(C682,'[1]phenotypes-895'!$A$2:$G$896,7,FALSE)</f>
        <v>98</v>
      </c>
      <c r="G682" s="6">
        <v>20</v>
      </c>
    </row>
    <row r="683" spans="1:7" x14ac:dyDescent="0.2">
      <c r="A683">
        <v>682</v>
      </c>
      <c r="B683">
        <v>35</v>
      </c>
      <c r="C683" t="s">
        <v>681</v>
      </c>
      <c r="D683" t="s">
        <v>900</v>
      </c>
      <c r="E683">
        <v>1.4436855262637001</v>
      </c>
      <c r="F683">
        <f>VLOOKUP(C683,'[1]phenotypes-895'!$A$2:$G$896,7,FALSE)</f>
        <v>75</v>
      </c>
      <c r="G683" s="6">
        <v>50</v>
      </c>
    </row>
    <row r="684" spans="1:7" x14ac:dyDescent="0.2">
      <c r="A684">
        <v>683</v>
      </c>
      <c r="B684">
        <v>42</v>
      </c>
      <c r="C684" t="s">
        <v>682</v>
      </c>
      <c r="D684" t="s">
        <v>899</v>
      </c>
      <c r="E684">
        <v>6.2085056167267698</v>
      </c>
      <c r="F684">
        <f>VLOOKUP(C684,'[1]phenotypes-895'!$A$2:$G$896,7,FALSE)</f>
        <v>58</v>
      </c>
      <c r="G684" s="6">
        <v>10</v>
      </c>
    </row>
    <row r="685" spans="1:7" x14ac:dyDescent="0.2">
      <c r="A685">
        <v>684</v>
      </c>
      <c r="B685">
        <v>24</v>
      </c>
      <c r="C685" t="s">
        <v>683</v>
      </c>
      <c r="D685" t="s">
        <v>900</v>
      </c>
      <c r="E685">
        <v>-5.6894039251339796</v>
      </c>
      <c r="F685">
        <f>VLOOKUP(C685,'[1]phenotypes-895'!$A$2:$G$896,7,FALSE)</f>
        <v>65</v>
      </c>
    </row>
    <row r="686" spans="1:7" x14ac:dyDescent="0.2">
      <c r="A686">
        <v>685</v>
      </c>
      <c r="B686">
        <v>30</v>
      </c>
      <c r="C686" t="s">
        <v>684</v>
      </c>
      <c r="D686" t="s">
        <v>900</v>
      </c>
      <c r="E686">
        <v>-4.3710997568663297</v>
      </c>
      <c r="F686">
        <f>VLOOKUP(C686,'[1]phenotypes-895'!$A$2:$G$896,7,FALSE)</f>
        <v>51</v>
      </c>
    </row>
    <row r="687" spans="1:7" x14ac:dyDescent="0.2">
      <c r="A687">
        <v>686</v>
      </c>
      <c r="B687">
        <v>53</v>
      </c>
      <c r="C687" t="s">
        <v>685</v>
      </c>
      <c r="D687" t="s">
        <v>899</v>
      </c>
      <c r="E687">
        <v>4.1579883190167299</v>
      </c>
      <c r="F687">
        <f>VLOOKUP(C687,'[1]phenotypes-895'!$A$2:$G$896,7,FALSE)</f>
        <v>92</v>
      </c>
      <c r="G687" s="6">
        <v>30</v>
      </c>
    </row>
    <row r="688" spans="1:7" x14ac:dyDescent="0.2">
      <c r="A688">
        <v>687</v>
      </c>
      <c r="B688">
        <v>44</v>
      </c>
      <c r="C688" t="s">
        <v>686</v>
      </c>
      <c r="D688" t="s">
        <v>899</v>
      </c>
      <c r="E688">
        <v>8.9010982634595806</v>
      </c>
      <c r="F688">
        <f>VLOOKUP(C688,'[1]phenotypes-895'!$A$2:$G$896,7,FALSE)</f>
        <v>62</v>
      </c>
      <c r="G688" s="6">
        <v>2</v>
      </c>
    </row>
    <row r="689" spans="1:7" x14ac:dyDescent="0.2">
      <c r="A689">
        <v>688</v>
      </c>
      <c r="B689">
        <v>39</v>
      </c>
      <c r="C689" t="s">
        <v>687</v>
      </c>
      <c r="D689" t="s">
        <v>900</v>
      </c>
      <c r="E689">
        <v>-0.41039757303819102</v>
      </c>
      <c r="F689">
        <f>VLOOKUP(C689,'[1]phenotypes-895'!$A$2:$G$896,7,FALSE)</f>
        <v>74</v>
      </c>
      <c r="G689" s="5"/>
    </row>
    <row r="690" spans="1:7" x14ac:dyDescent="0.2">
      <c r="A690">
        <v>689</v>
      </c>
      <c r="B690">
        <v>50</v>
      </c>
      <c r="C690" t="s">
        <v>688</v>
      </c>
      <c r="D690" t="s">
        <v>899</v>
      </c>
      <c r="E690">
        <v>6.7292375562744002</v>
      </c>
      <c r="F690">
        <f>VLOOKUP(C690,'[1]phenotypes-895'!$A$2:$G$896,7,FALSE)</f>
        <v>59</v>
      </c>
      <c r="G690" s="6">
        <v>8</v>
      </c>
    </row>
    <row r="691" spans="1:7" x14ac:dyDescent="0.2">
      <c r="A691">
        <v>690</v>
      </c>
      <c r="B691">
        <v>48</v>
      </c>
      <c r="C691" t="s">
        <v>689</v>
      </c>
      <c r="D691" t="s">
        <v>899</v>
      </c>
      <c r="E691">
        <v>3.8288059047174099</v>
      </c>
      <c r="F691">
        <f>VLOOKUP(C691,'[1]phenotypes-895'!$A$2:$G$896,7,FALSE)</f>
        <v>98</v>
      </c>
      <c r="G691" s="6">
        <v>30</v>
      </c>
    </row>
    <row r="692" spans="1:7" x14ac:dyDescent="0.2">
      <c r="A692">
        <v>691</v>
      </c>
      <c r="B692">
        <v>48</v>
      </c>
      <c r="C692" t="s">
        <v>690</v>
      </c>
      <c r="D692" t="s">
        <v>899</v>
      </c>
      <c r="E692">
        <v>1.56492678167897</v>
      </c>
      <c r="F692">
        <f>VLOOKUP(C692,'[1]phenotypes-895'!$A$2:$G$896,7,FALSE)</f>
        <v>48</v>
      </c>
      <c r="G692" s="6">
        <v>50</v>
      </c>
    </row>
    <row r="693" spans="1:7" x14ac:dyDescent="0.2">
      <c r="A693">
        <v>692</v>
      </c>
      <c r="B693">
        <v>45</v>
      </c>
      <c r="C693" t="s">
        <v>691</v>
      </c>
      <c r="D693" t="s">
        <v>899</v>
      </c>
      <c r="E693">
        <v>8.6495987961758196</v>
      </c>
      <c r="F693">
        <f>VLOOKUP(C693,'[1]phenotypes-895'!$A$2:$G$896,7,FALSE)</f>
        <v>98</v>
      </c>
      <c r="G693" s="6">
        <v>2</v>
      </c>
    </row>
    <row r="694" spans="1:7" x14ac:dyDescent="0.2">
      <c r="A694">
        <v>693</v>
      </c>
      <c r="B694">
        <v>47</v>
      </c>
      <c r="C694" t="s">
        <v>692</v>
      </c>
      <c r="D694" t="s">
        <v>899</v>
      </c>
      <c r="E694">
        <v>5.40404859904225</v>
      </c>
      <c r="F694">
        <f>VLOOKUP(C694,'[1]phenotypes-895'!$A$2:$G$896,7,FALSE)</f>
        <v>78</v>
      </c>
      <c r="G694" s="6">
        <v>20</v>
      </c>
    </row>
    <row r="695" spans="1:7" x14ac:dyDescent="0.2">
      <c r="A695">
        <v>694</v>
      </c>
      <c r="B695">
        <v>54</v>
      </c>
      <c r="C695" t="s">
        <v>693</v>
      </c>
      <c r="D695" t="s">
        <v>899</v>
      </c>
      <c r="E695">
        <v>1.03746068923169</v>
      </c>
      <c r="F695">
        <f>VLOOKUP(C695,'[1]phenotypes-895'!$A$2:$G$896,7,FALSE)</f>
        <v>98</v>
      </c>
      <c r="G695" s="6">
        <v>50</v>
      </c>
    </row>
    <row r="696" spans="1:7" x14ac:dyDescent="0.2">
      <c r="A696">
        <v>695</v>
      </c>
      <c r="B696">
        <v>38</v>
      </c>
      <c r="C696" t="s">
        <v>694</v>
      </c>
      <c r="D696" t="s">
        <v>900</v>
      </c>
      <c r="E696">
        <v>3.6690485810731399</v>
      </c>
      <c r="F696">
        <f>VLOOKUP(C696,'[1]phenotypes-895'!$A$2:$G$896,7,FALSE)</f>
        <v>73</v>
      </c>
      <c r="G696" s="6">
        <v>30</v>
      </c>
    </row>
    <row r="697" spans="1:7" x14ac:dyDescent="0.2">
      <c r="A697">
        <v>696</v>
      </c>
      <c r="B697">
        <v>33</v>
      </c>
      <c r="C697" t="s">
        <v>695</v>
      </c>
      <c r="D697" t="s">
        <v>900</v>
      </c>
      <c r="E697">
        <v>-1.10088336094748</v>
      </c>
      <c r="F697">
        <f>VLOOKUP(C697,'[1]phenotypes-895'!$A$2:$G$896,7,FALSE)</f>
        <v>98</v>
      </c>
    </row>
    <row r="698" spans="1:7" x14ac:dyDescent="0.2">
      <c r="A698">
        <v>697</v>
      </c>
      <c r="B698">
        <v>32</v>
      </c>
      <c r="C698" t="s">
        <v>696</v>
      </c>
      <c r="D698" t="s">
        <v>900</v>
      </c>
      <c r="E698">
        <v>2.7091214587473602</v>
      </c>
      <c r="F698">
        <f>VLOOKUP(C698,'[1]phenotypes-895'!$A$2:$G$896,7,FALSE)</f>
        <v>98</v>
      </c>
      <c r="G698" s="6">
        <v>40</v>
      </c>
    </row>
    <row r="699" spans="1:7" x14ac:dyDescent="0.2">
      <c r="A699">
        <v>698</v>
      </c>
      <c r="B699">
        <v>51</v>
      </c>
      <c r="C699" t="s">
        <v>697</v>
      </c>
      <c r="D699" t="s">
        <v>899</v>
      </c>
      <c r="E699">
        <v>6.5450481806402703</v>
      </c>
      <c r="F699">
        <f>VLOOKUP(C699,'[1]phenotypes-895'!$A$2:$G$896,7,FALSE)</f>
        <v>98</v>
      </c>
      <c r="G699" s="6">
        <v>9</v>
      </c>
    </row>
    <row r="700" spans="1:7" x14ac:dyDescent="0.2">
      <c r="A700">
        <v>699</v>
      </c>
      <c r="B700">
        <v>31</v>
      </c>
      <c r="C700" t="s">
        <v>698</v>
      </c>
      <c r="D700" t="s">
        <v>900</v>
      </c>
      <c r="E700">
        <v>-1.6428684380312499</v>
      </c>
      <c r="F700">
        <f>VLOOKUP(C700,'[1]phenotypes-895'!$A$2:$G$896,7,FALSE)</f>
        <v>76</v>
      </c>
      <c r="G700" s="5"/>
    </row>
    <row r="701" spans="1:7" x14ac:dyDescent="0.2">
      <c r="A701">
        <v>700</v>
      </c>
      <c r="B701">
        <v>25</v>
      </c>
      <c r="C701" t="s">
        <v>699</v>
      </c>
      <c r="D701" t="s">
        <v>900</v>
      </c>
      <c r="E701">
        <v>4.3498648674623803</v>
      </c>
      <c r="F701">
        <f>VLOOKUP(C701,'[1]phenotypes-895'!$A$2:$G$896,7,FALSE)</f>
        <v>98</v>
      </c>
      <c r="G701" s="6">
        <v>30</v>
      </c>
    </row>
    <row r="702" spans="1:7" x14ac:dyDescent="0.2">
      <c r="A702">
        <v>701</v>
      </c>
      <c r="B702">
        <v>25</v>
      </c>
      <c r="C702" t="s">
        <v>700</v>
      </c>
      <c r="D702" t="s">
        <v>900</v>
      </c>
      <c r="E702">
        <v>1.99187096137867</v>
      </c>
      <c r="F702">
        <f>VLOOKUP(C702,'[1]phenotypes-895'!$A$2:$G$896,7,FALSE)</f>
        <v>80</v>
      </c>
      <c r="G702" s="6">
        <v>50</v>
      </c>
    </row>
    <row r="703" spans="1:7" x14ac:dyDescent="0.2">
      <c r="A703">
        <v>702</v>
      </c>
      <c r="B703">
        <v>52</v>
      </c>
      <c r="C703" t="s">
        <v>701</v>
      </c>
      <c r="D703" t="s">
        <v>899</v>
      </c>
      <c r="E703">
        <v>4.4583315552227303</v>
      </c>
      <c r="F703">
        <f>VLOOKUP(C703,'[1]phenotypes-895'!$A$2:$G$896,7,FALSE)</f>
        <v>98</v>
      </c>
      <c r="G703" s="6">
        <v>30</v>
      </c>
    </row>
    <row r="704" spans="1:7" x14ac:dyDescent="0.2">
      <c r="A704">
        <v>703</v>
      </c>
      <c r="B704">
        <v>50</v>
      </c>
      <c r="C704" t="s">
        <v>702</v>
      </c>
      <c r="D704" t="s">
        <v>899</v>
      </c>
      <c r="E704">
        <v>6.0421812515306703</v>
      </c>
      <c r="F704">
        <f>VLOOKUP(C704,'[1]phenotypes-895'!$A$2:$G$896,7,FALSE)</f>
        <v>98</v>
      </c>
      <c r="G704" s="6">
        <v>20</v>
      </c>
    </row>
    <row r="705" spans="1:7" x14ac:dyDescent="0.2">
      <c r="A705">
        <v>704</v>
      </c>
      <c r="B705">
        <v>30</v>
      </c>
      <c r="C705" t="s">
        <v>703</v>
      </c>
      <c r="D705" t="s">
        <v>900</v>
      </c>
      <c r="E705">
        <v>-6.5451429942730099</v>
      </c>
      <c r="F705">
        <f>VLOOKUP(C705,'[1]phenotypes-895'!$A$2:$G$896,7,FALSE)</f>
        <v>83</v>
      </c>
    </row>
    <row r="706" spans="1:7" x14ac:dyDescent="0.2">
      <c r="A706">
        <v>705</v>
      </c>
      <c r="B706">
        <v>50</v>
      </c>
      <c r="C706" t="s">
        <v>704</v>
      </c>
      <c r="D706" t="s">
        <v>899</v>
      </c>
      <c r="E706">
        <v>4.6355716989753999</v>
      </c>
      <c r="F706">
        <f>VLOOKUP(C706,'[1]phenotypes-895'!$A$2:$G$896,7,FALSE)</f>
        <v>63</v>
      </c>
      <c r="G706" s="6">
        <v>20</v>
      </c>
    </row>
    <row r="707" spans="1:7" x14ac:dyDescent="0.2">
      <c r="A707">
        <v>706</v>
      </c>
      <c r="B707">
        <v>50</v>
      </c>
      <c r="C707" t="s">
        <v>705</v>
      </c>
      <c r="D707" t="s">
        <v>899</v>
      </c>
      <c r="E707">
        <v>4.3119773486814399</v>
      </c>
      <c r="F707">
        <f>VLOOKUP(C707,'[1]phenotypes-895'!$A$2:$G$896,7,FALSE)</f>
        <v>74</v>
      </c>
      <c r="G707" s="6">
        <v>30</v>
      </c>
    </row>
    <row r="708" spans="1:7" x14ac:dyDescent="0.2">
      <c r="A708">
        <v>707</v>
      </c>
      <c r="B708">
        <v>50</v>
      </c>
      <c r="C708" t="s">
        <v>706</v>
      </c>
      <c r="D708" t="s">
        <v>899</v>
      </c>
      <c r="E708">
        <v>9.4214494807262898</v>
      </c>
      <c r="F708">
        <f>VLOOKUP(C708,'[1]phenotypes-895'!$A$2:$G$896,7,FALSE)</f>
        <v>98</v>
      </c>
      <c r="G708" s="6">
        <v>2</v>
      </c>
    </row>
    <row r="709" spans="1:7" x14ac:dyDescent="0.2">
      <c r="A709">
        <v>708</v>
      </c>
      <c r="B709">
        <v>44</v>
      </c>
      <c r="C709" t="s">
        <v>707</v>
      </c>
      <c r="D709" t="s">
        <v>899</v>
      </c>
      <c r="E709">
        <v>7.0562295251172999</v>
      </c>
      <c r="F709">
        <f>VLOOKUP(C709,'[1]phenotypes-895'!$A$2:$G$896,7,FALSE)</f>
        <v>98</v>
      </c>
      <c r="G709" s="6">
        <v>7</v>
      </c>
    </row>
    <row r="710" spans="1:7" x14ac:dyDescent="0.2">
      <c r="A710">
        <v>709</v>
      </c>
      <c r="B710">
        <v>36</v>
      </c>
      <c r="C710" t="s">
        <v>708</v>
      </c>
      <c r="D710" t="s">
        <v>900</v>
      </c>
      <c r="E710">
        <v>6.5557878622259098</v>
      </c>
      <c r="F710">
        <f>VLOOKUP(C710,'[1]phenotypes-895'!$A$2:$G$896,7,FALSE)</f>
        <v>98</v>
      </c>
      <c r="G710" s="6">
        <v>9</v>
      </c>
    </row>
    <row r="711" spans="1:7" x14ac:dyDescent="0.2">
      <c r="A711">
        <v>710</v>
      </c>
      <c r="B711">
        <v>22</v>
      </c>
      <c r="C711" t="s">
        <v>709</v>
      </c>
      <c r="D711" t="s">
        <v>900</v>
      </c>
      <c r="E711">
        <v>-1.54921523307918</v>
      </c>
      <c r="F711">
        <f>VLOOKUP(C711,'[1]phenotypes-895'!$A$2:$G$896,7,FALSE)</f>
        <v>56</v>
      </c>
    </row>
    <row r="712" spans="1:7" x14ac:dyDescent="0.2">
      <c r="A712">
        <v>711</v>
      </c>
      <c r="B712">
        <v>26</v>
      </c>
      <c r="C712" t="s">
        <v>710</v>
      </c>
      <c r="D712" t="s">
        <v>900</v>
      </c>
      <c r="E712">
        <v>4.5940663849855499</v>
      </c>
      <c r="F712">
        <f>VLOOKUP(C712,'[1]phenotypes-895'!$A$2:$G$896,7,FALSE)</f>
        <v>98</v>
      </c>
      <c r="G712" s="6">
        <v>30</v>
      </c>
    </row>
    <row r="713" spans="1:7" x14ac:dyDescent="0.2">
      <c r="A713">
        <v>712</v>
      </c>
      <c r="B713">
        <v>50</v>
      </c>
      <c r="C713" t="s">
        <v>711</v>
      </c>
      <c r="D713" t="s">
        <v>899</v>
      </c>
      <c r="E713">
        <v>8.6158242601362698</v>
      </c>
      <c r="F713">
        <f>VLOOKUP(C713,'[1]phenotypes-895'!$A$2:$G$896,7,FALSE)</f>
        <v>98</v>
      </c>
      <c r="G713" s="6">
        <v>2</v>
      </c>
    </row>
    <row r="714" spans="1:7" x14ac:dyDescent="0.2">
      <c r="A714">
        <v>713</v>
      </c>
      <c r="B714">
        <v>35</v>
      </c>
      <c r="C714" t="s">
        <v>712</v>
      </c>
      <c r="D714" t="s">
        <v>900</v>
      </c>
      <c r="E714">
        <v>2.1566451744776298</v>
      </c>
      <c r="F714">
        <f>VLOOKUP(C714,'[1]phenotypes-895'!$A$2:$G$896,7,FALSE)</f>
        <v>98</v>
      </c>
      <c r="G714" s="6">
        <v>40</v>
      </c>
    </row>
    <row r="715" spans="1:7" x14ac:dyDescent="0.2">
      <c r="A715">
        <v>714</v>
      </c>
      <c r="B715">
        <v>50</v>
      </c>
      <c r="C715" t="s">
        <v>713</v>
      </c>
      <c r="D715" t="s">
        <v>899</v>
      </c>
      <c r="E715">
        <v>1.6182716263211001</v>
      </c>
      <c r="F715">
        <f>VLOOKUP(C715,'[1]phenotypes-895'!$A$2:$G$896,7,FALSE)</f>
        <v>59</v>
      </c>
      <c r="G715" s="6">
        <v>50</v>
      </c>
    </row>
    <row r="716" spans="1:7" x14ac:dyDescent="0.2">
      <c r="A716">
        <v>715</v>
      </c>
      <c r="B716">
        <v>31</v>
      </c>
      <c r="C716" t="s">
        <v>714</v>
      </c>
      <c r="D716" t="s">
        <v>900</v>
      </c>
      <c r="E716">
        <v>4.9599166399757699E-2</v>
      </c>
      <c r="F716">
        <f>VLOOKUP(C716,'[1]phenotypes-895'!$A$2:$G$896,7,FALSE)</f>
        <v>98</v>
      </c>
      <c r="G716" s="5"/>
    </row>
    <row r="717" spans="1:7" x14ac:dyDescent="0.2">
      <c r="A717">
        <v>716</v>
      </c>
      <c r="B717">
        <v>50</v>
      </c>
      <c r="C717" t="s">
        <v>715</v>
      </c>
      <c r="D717" t="s">
        <v>899</v>
      </c>
      <c r="E717">
        <v>9.5906544856432898</v>
      </c>
      <c r="F717">
        <f>VLOOKUP(C717,'[1]phenotypes-895'!$A$2:$G$896,7,FALSE)</f>
        <v>98</v>
      </c>
      <c r="G717" s="6">
        <v>1</v>
      </c>
    </row>
    <row r="718" spans="1:7" x14ac:dyDescent="0.2">
      <c r="A718">
        <v>717</v>
      </c>
      <c r="B718">
        <v>49</v>
      </c>
      <c r="C718" t="s">
        <v>716</v>
      </c>
      <c r="D718" t="s">
        <v>899</v>
      </c>
      <c r="E718">
        <v>5.2295514999043498</v>
      </c>
      <c r="F718">
        <f>VLOOKUP(C718,'[1]phenotypes-895'!$A$2:$G$896,7,FALSE)</f>
        <v>63</v>
      </c>
      <c r="G718" s="6">
        <v>20</v>
      </c>
    </row>
    <row r="719" spans="1:7" x14ac:dyDescent="0.2">
      <c r="A719">
        <v>718</v>
      </c>
      <c r="B719">
        <v>50</v>
      </c>
      <c r="C719" t="s">
        <v>717</v>
      </c>
      <c r="D719" t="s">
        <v>899</v>
      </c>
      <c r="E719">
        <v>4.5159881095043302</v>
      </c>
      <c r="F719">
        <f>VLOOKUP(C719,'[1]phenotypes-895'!$A$2:$G$896,7,FALSE)</f>
        <v>59</v>
      </c>
      <c r="G719" s="6">
        <v>30</v>
      </c>
    </row>
    <row r="720" spans="1:7" x14ac:dyDescent="0.2">
      <c r="A720">
        <v>719</v>
      </c>
      <c r="B720">
        <v>50</v>
      </c>
      <c r="C720" t="s">
        <v>718</v>
      </c>
      <c r="D720" t="s">
        <v>899</v>
      </c>
      <c r="E720">
        <v>5.2119193460471598</v>
      </c>
      <c r="F720">
        <f>VLOOKUP(C720,'[1]phenotypes-895'!$A$2:$G$896,7,FALSE)</f>
        <v>65</v>
      </c>
      <c r="G720" s="6">
        <v>20</v>
      </c>
    </row>
    <row r="721" spans="1:7" x14ac:dyDescent="0.2">
      <c r="A721">
        <v>720</v>
      </c>
      <c r="B721">
        <v>39</v>
      </c>
      <c r="C721" t="s">
        <v>719</v>
      </c>
      <c r="D721" t="s">
        <v>900</v>
      </c>
      <c r="E721">
        <v>-0.80020856838210597</v>
      </c>
      <c r="F721">
        <f>VLOOKUP(C721,'[1]phenotypes-895'!$A$2:$G$896,7,FALSE)</f>
        <v>51</v>
      </c>
      <c r="G721" s="5"/>
    </row>
    <row r="722" spans="1:7" x14ac:dyDescent="0.2">
      <c r="A722">
        <v>721</v>
      </c>
      <c r="B722">
        <v>46</v>
      </c>
      <c r="C722" t="s">
        <v>720</v>
      </c>
      <c r="D722" t="s">
        <v>899</v>
      </c>
      <c r="E722">
        <v>3.6641532223104201</v>
      </c>
      <c r="F722">
        <f>VLOOKUP(C722,'[1]phenotypes-895'!$A$2:$G$896,7,FALSE)</f>
        <v>74</v>
      </c>
      <c r="G722" s="6">
        <v>30</v>
      </c>
    </row>
    <row r="723" spans="1:7" x14ac:dyDescent="0.2">
      <c r="A723">
        <v>722</v>
      </c>
      <c r="B723">
        <v>35</v>
      </c>
      <c r="C723" t="s">
        <v>721</v>
      </c>
      <c r="D723" t="s">
        <v>900</v>
      </c>
      <c r="E723">
        <v>0.50754254164024803</v>
      </c>
      <c r="F723">
        <f>VLOOKUP(C723,'[1]phenotypes-895'!$A$2:$G$896,7,FALSE)</f>
        <v>77</v>
      </c>
      <c r="G723" s="5"/>
    </row>
    <row r="724" spans="1:7" x14ac:dyDescent="0.2">
      <c r="A724">
        <v>723</v>
      </c>
      <c r="B724">
        <v>53</v>
      </c>
      <c r="C724" t="s">
        <v>722</v>
      </c>
      <c r="D724" t="s">
        <v>899</v>
      </c>
      <c r="E724">
        <v>6.9881904359178497</v>
      </c>
      <c r="F724">
        <f>VLOOKUP(C724,'[1]phenotypes-895'!$A$2:$G$896,7,FALSE)</f>
        <v>98</v>
      </c>
      <c r="G724" s="6">
        <v>7</v>
      </c>
    </row>
    <row r="725" spans="1:7" x14ac:dyDescent="0.2">
      <c r="A725">
        <v>724</v>
      </c>
      <c r="B725">
        <v>50</v>
      </c>
      <c r="C725" t="s">
        <v>723</v>
      </c>
      <c r="D725" t="s">
        <v>899</v>
      </c>
      <c r="E725">
        <v>-1.1944923214202501</v>
      </c>
      <c r="F725">
        <f>VLOOKUP(C725,'[1]phenotypes-895'!$A$2:$G$896,7,FALSE)</f>
        <v>63</v>
      </c>
    </row>
    <row r="726" spans="1:7" x14ac:dyDescent="0.2">
      <c r="A726">
        <v>725</v>
      </c>
      <c r="B726">
        <v>50</v>
      </c>
      <c r="C726" t="s">
        <v>724</v>
      </c>
      <c r="D726" t="s">
        <v>899</v>
      </c>
      <c r="E726">
        <v>4.96837599720432</v>
      </c>
      <c r="F726">
        <f>VLOOKUP(C726,'[1]phenotypes-895'!$A$2:$G$896,7,FALSE)</f>
        <v>80</v>
      </c>
      <c r="G726" s="6">
        <v>20</v>
      </c>
    </row>
    <row r="727" spans="1:7" x14ac:dyDescent="0.2">
      <c r="A727">
        <v>726</v>
      </c>
      <c r="B727">
        <v>26</v>
      </c>
      <c r="C727" t="s">
        <v>725</v>
      </c>
      <c r="D727" t="s">
        <v>900</v>
      </c>
      <c r="E727">
        <v>5.3315648704006797</v>
      </c>
      <c r="F727">
        <f>VLOOKUP(C727,'[1]phenotypes-895'!$A$2:$G$896,7,FALSE)</f>
        <v>98</v>
      </c>
      <c r="G727" s="6">
        <v>20</v>
      </c>
    </row>
    <row r="728" spans="1:7" x14ac:dyDescent="0.2">
      <c r="A728">
        <v>727</v>
      </c>
      <c r="B728">
        <v>37</v>
      </c>
      <c r="C728" t="s">
        <v>726</v>
      </c>
      <c r="D728" t="s">
        <v>900</v>
      </c>
      <c r="E728">
        <v>4.2801510693281504</v>
      </c>
      <c r="F728">
        <f>VLOOKUP(C728,'[1]phenotypes-895'!$A$2:$G$896,7,FALSE)</f>
        <v>92</v>
      </c>
      <c r="G728" s="6">
        <v>30</v>
      </c>
    </row>
    <row r="729" spans="1:7" x14ac:dyDescent="0.2">
      <c r="A729">
        <v>728</v>
      </c>
      <c r="B729">
        <v>23</v>
      </c>
      <c r="C729" t="s">
        <v>727</v>
      </c>
      <c r="D729" t="s">
        <v>900</v>
      </c>
      <c r="E729">
        <v>1.26470089719635</v>
      </c>
      <c r="F729">
        <f>VLOOKUP(C729,'[1]phenotypes-895'!$A$2:$G$896,7,FALSE)</f>
        <v>91</v>
      </c>
      <c r="G729" s="6">
        <v>50</v>
      </c>
    </row>
    <row r="730" spans="1:7" x14ac:dyDescent="0.2">
      <c r="A730">
        <v>729</v>
      </c>
      <c r="B730">
        <v>21</v>
      </c>
      <c r="C730" t="s">
        <v>728</v>
      </c>
      <c r="D730" t="s">
        <v>900</v>
      </c>
      <c r="E730">
        <v>-0.73505416762926001</v>
      </c>
      <c r="F730">
        <f>VLOOKUP(C730,'[1]phenotypes-895'!$A$2:$G$896,7,FALSE)</f>
        <v>95</v>
      </c>
      <c r="G730" s="5"/>
    </row>
    <row r="731" spans="1:7" x14ac:dyDescent="0.2">
      <c r="A731">
        <v>730</v>
      </c>
      <c r="B731">
        <v>25</v>
      </c>
      <c r="C731" t="s">
        <v>729</v>
      </c>
      <c r="D731" t="s">
        <v>900</v>
      </c>
      <c r="E731">
        <v>1.3793907057839201</v>
      </c>
      <c r="F731">
        <f>VLOOKUP(C731,'[1]phenotypes-895'!$A$2:$G$896,7,FALSE)</f>
        <v>77</v>
      </c>
      <c r="G731" s="6">
        <v>50</v>
      </c>
    </row>
    <row r="732" spans="1:7" x14ac:dyDescent="0.2">
      <c r="A732">
        <v>731</v>
      </c>
      <c r="B732">
        <v>46</v>
      </c>
      <c r="C732" t="s">
        <v>730</v>
      </c>
      <c r="D732" t="s">
        <v>899</v>
      </c>
      <c r="E732">
        <v>3.00451498249239</v>
      </c>
      <c r="F732">
        <f>VLOOKUP(C732,'[1]phenotypes-895'!$A$2:$G$896,7,FALSE)</f>
        <v>51</v>
      </c>
      <c r="G732" s="6">
        <v>40</v>
      </c>
    </row>
    <row r="733" spans="1:7" x14ac:dyDescent="0.2">
      <c r="A733">
        <v>732</v>
      </c>
      <c r="B733">
        <v>54</v>
      </c>
      <c r="C733" t="s">
        <v>731</v>
      </c>
      <c r="D733" t="s">
        <v>899</v>
      </c>
      <c r="E733">
        <v>4.4479531154087404</v>
      </c>
      <c r="F733">
        <f>VLOOKUP(C733,'[1]phenotypes-895'!$A$2:$G$896,7,FALSE)</f>
        <v>85</v>
      </c>
      <c r="G733" s="6">
        <v>30</v>
      </c>
    </row>
    <row r="734" spans="1:7" x14ac:dyDescent="0.2">
      <c r="A734">
        <v>733</v>
      </c>
      <c r="B734">
        <v>39</v>
      </c>
      <c r="C734" t="s">
        <v>732</v>
      </c>
      <c r="D734" t="s">
        <v>900</v>
      </c>
      <c r="E734">
        <v>4.3099743666641697</v>
      </c>
      <c r="F734">
        <f>VLOOKUP(C734,'[1]phenotypes-895'!$A$2:$G$896,7,FALSE)</f>
        <v>98</v>
      </c>
      <c r="G734" s="6">
        <v>30</v>
      </c>
    </row>
    <row r="735" spans="1:7" x14ac:dyDescent="0.2">
      <c r="A735">
        <v>734</v>
      </c>
      <c r="B735">
        <v>25</v>
      </c>
      <c r="C735" t="s">
        <v>733</v>
      </c>
      <c r="D735" t="s">
        <v>900</v>
      </c>
      <c r="E735">
        <v>1.4211936467261199</v>
      </c>
      <c r="F735">
        <f>VLOOKUP(C735,'[1]phenotypes-895'!$A$2:$G$896,7,FALSE)</f>
        <v>98</v>
      </c>
      <c r="G735" s="6">
        <v>50</v>
      </c>
    </row>
    <row r="736" spans="1:7" x14ac:dyDescent="0.2">
      <c r="A736">
        <v>735</v>
      </c>
      <c r="B736">
        <v>32</v>
      </c>
      <c r="C736" t="s">
        <v>734</v>
      </c>
      <c r="D736" t="s">
        <v>900</v>
      </c>
      <c r="E736">
        <v>-3.3177321748562498</v>
      </c>
      <c r="F736">
        <f>VLOOKUP(C736,'[1]phenotypes-895'!$A$2:$G$896,7,FALSE)</f>
        <v>64</v>
      </c>
    </row>
    <row r="737" spans="1:7" x14ac:dyDescent="0.2">
      <c r="A737">
        <v>736</v>
      </c>
      <c r="B737">
        <v>45</v>
      </c>
      <c r="C737" t="s">
        <v>735</v>
      </c>
      <c r="D737" t="s">
        <v>899</v>
      </c>
      <c r="E737">
        <v>8.1717032593340502</v>
      </c>
      <c r="F737">
        <f>VLOOKUP(C737,'[1]phenotypes-895'!$A$2:$G$896,7,FALSE)</f>
        <v>98</v>
      </c>
      <c r="G737" s="6">
        <v>4</v>
      </c>
    </row>
    <row r="738" spans="1:7" x14ac:dyDescent="0.2">
      <c r="A738">
        <v>737</v>
      </c>
      <c r="B738">
        <v>52</v>
      </c>
      <c r="C738" t="s">
        <v>736</v>
      </c>
      <c r="D738" t="s">
        <v>899</v>
      </c>
      <c r="E738">
        <v>-1.15087452496125</v>
      </c>
      <c r="F738">
        <f>VLOOKUP(C738,'[1]phenotypes-895'!$A$2:$G$896,7,FALSE)</f>
        <v>52</v>
      </c>
    </row>
    <row r="739" spans="1:7" x14ac:dyDescent="0.2">
      <c r="A739">
        <v>738</v>
      </c>
      <c r="B739">
        <v>49</v>
      </c>
      <c r="C739" t="s">
        <v>737</v>
      </c>
      <c r="D739" t="s">
        <v>899</v>
      </c>
      <c r="E739">
        <v>1.39988076566674</v>
      </c>
      <c r="F739">
        <f>VLOOKUP(C739,'[1]phenotypes-895'!$A$2:$G$896,7,FALSE)</f>
        <v>57</v>
      </c>
      <c r="G739" s="6">
        <v>50</v>
      </c>
    </row>
    <row r="740" spans="1:7" x14ac:dyDescent="0.2">
      <c r="A740">
        <v>739</v>
      </c>
      <c r="B740">
        <v>49</v>
      </c>
      <c r="C740" t="s">
        <v>738</v>
      </c>
      <c r="D740" t="s">
        <v>899</v>
      </c>
      <c r="E740">
        <v>1.14689147212116</v>
      </c>
      <c r="F740">
        <f>VLOOKUP(C740,'[1]phenotypes-895'!$A$2:$G$896,7,FALSE)</f>
        <v>62</v>
      </c>
      <c r="G740" s="6">
        <v>50</v>
      </c>
    </row>
    <row r="741" spans="1:7" x14ac:dyDescent="0.2">
      <c r="A741">
        <v>740</v>
      </c>
      <c r="B741">
        <v>41</v>
      </c>
      <c r="C741" t="s">
        <v>739</v>
      </c>
      <c r="D741" t="s">
        <v>899</v>
      </c>
      <c r="E741">
        <v>2.89530746226158</v>
      </c>
      <c r="F741">
        <f>VLOOKUP(C741,'[1]phenotypes-895'!$A$2:$G$896,7,FALSE)</f>
        <v>98</v>
      </c>
      <c r="G741" s="6">
        <v>40</v>
      </c>
    </row>
    <row r="742" spans="1:7" x14ac:dyDescent="0.2">
      <c r="A742">
        <v>741</v>
      </c>
      <c r="B742">
        <v>50</v>
      </c>
      <c r="C742" t="s">
        <v>740</v>
      </c>
      <c r="D742" t="s">
        <v>899</v>
      </c>
      <c r="E742">
        <v>6.1100883948995701</v>
      </c>
      <c r="F742">
        <f>VLOOKUP(C742,'[1]phenotypes-895'!$A$2:$G$896,7,FALSE)</f>
        <v>98</v>
      </c>
      <c r="G742" s="6">
        <v>20</v>
      </c>
    </row>
    <row r="743" spans="1:7" x14ac:dyDescent="0.2">
      <c r="A743">
        <v>742</v>
      </c>
      <c r="B743">
        <v>35</v>
      </c>
      <c r="C743" t="s">
        <v>741</v>
      </c>
      <c r="D743" t="s">
        <v>900</v>
      </c>
      <c r="E743">
        <v>1.9062305626204501</v>
      </c>
      <c r="F743">
        <f>VLOOKUP(C743,'[1]phenotypes-895'!$A$2:$G$896,7,FALSE)</f>
        <v>98</v>
      </c>
      <c r="G743" s="6">
        <v>50</v>
      </c>
    </row>
    <row r="744" spans="1:7" x14ac:dyDescent="0.2">
      <c r="A744">
        <v>743</v>
      </c>
      <c r="B744">
        <v>53</v>
      </c>
      <c r="C744" t="s">
        <v>742</v>
      </c>
      <c r="D744" t="s">
        <v>899</v>
      </c>
      <c r="E744">
        <v>5.2303617021904003</v>
      </c>
      <c r="F744">
        <f>VLOOKUP(C744,'[1]phenotypes-895'!$A$2:$G$896,7,FALSE)</f>
        <v>98</v>
      </c>
      <c r="G744" s="6">
        <v>20</v>
      </c>
    </row>
    <row r="745" spans="1:7" x14ac:dyDescent="0.2">
      <c r="A745">
        <v>744</v>
      </c>
      <c r="B745">
        <v>42</v>
      </c>
      <c r="C745" t="s">
        <v>743</v>
      </c>
      <c r="D745" t="s">
        <v>899</v>
      </c>
      <c r="E745">
        <v>-2.1545732577136301</v>
      </c>
      <c r="F745">
        <f>VLOOKUP(C745,'[1]phenotypes-895'!$A$2:$G$896,7,FALSE)</f>
        <v>69</v>
      </c>
    </row>
    <row r="746" spans="1:7" x14ac:dyDescent="0.2">
      <c r="A746">
        <v>745</v>
      </c>
      <c r="B746">
        <v>44</v>
      </c>
      <c r="C746" t="s">
        <v>744</v>
      </c>
      <c r="D746" t="s">
        <v>899</v>
      </c>
      <c r="E746">
        <v>6.8453430475890302</v>
      </c>
      <c r="F746">
        <f>VLOOKUP(C746,'[1]phenotypes-895'!$A$2:$G$896,7,FALSE)</f>
        <v>98</v>
      </c>
      <c r="G746" s="6">
        <v>7</v>
      </c>
    </row>
    <row r="747" spans="1:7" x14ac:dyDescent="0.2">
      <c r="A747">
        <v>746</v>
      </c>
      <c r="B747">
        <v>50</v>
      </c>
      <c r="C747" t="s">
        <v>745</v>
      </c>
      <c r="D747" t="s">
        <v>899</v>
      </c>
      <c r="E747">
        <v>5.79180112180733</v>
      </c>
      <c r="F747">
        <f>VLOOKUP(C747,'[1]phenotypes-895'!$A$2:$G$896,7,FALSE)</f>
        <v>98</v>
      </c>
      <c r="G747" s="6">
        <v>20</v>
      </c>
    </row>
    <row r="748" spans="1:7" x14ac:dyDescent="0.2">
      <c r="A748">
        <v>747</v>
      </c>
      <c r="B748">
        <v>26</v>
      </c>
      <c r="C748" t="s">
        <v>746</v>
      </c>
      <c r="D748" t="s">
        <v>900</v>
      </c>
      <c r="E748">
        <v>3.5153044186445199</v>
      </c>
      <c r="F748">
        <f>VLOOKUP(C748,'[1]phenotypes-895'!$A$2:$G$896,7,FALSE)</f>
        <v>98</v>
      </c>
      <c r="G748" s="6">
        <v>30</v>
      </c>
    </row>
    <row r="749" spans="1:7" x14ac:dyDescent="0.2">
      <c r="A749">
        <v>748</v>
      </c>
      <c r="B749">
        <v>44</v>
      </c>
      <c r="C749" t="s">
        <v>747</v>
      </c>
      <c r="D749" t="s">
        <v>899</v>
      </c>
      <c r="E749">
        <v>10.5928434721377</v>
      </c>
      <c r="F749">
        <f>VLOOKUP(C749,'[1]phenotypes-895'!$A$2:$G$896,7,FALSE)</f>
        <v>98</v>
      </c>
      <c r="G749" s="6">
        <v>1</v>
      </c>
    </row>
    <row r="750" spans="1:7" x14ac:dyDescent="0.2">
      <c r="A750">
        <v>749</v>
      </c>
      <c r="B750">
        <v>25</v>
      </c>
      <c r="C750" t="s">
        <v>748</v>
      </c>
      <c r="D750" t="s">
        <v>900</v>
      </c>
      <c r="E750">
        <v>1.2173091595896901</v>
      </c>
      <c r="F750">
        <f>VLOOKUP(C750,'[1]phenotypes-895'!$A$2:$G$896,7,FALSE)</f>
        <v>98</v>
      </c>
      <c r="G750" s="6">
        <v>50</v>
      </c>
    </row>
    <row r="751" spans="1:7" x14ac:dyDescent="0.2">
      <c r="A751">
        <v>750</v>
      </c>
      <c r="B751">
        <v>39</v>
      </c>
      <c r="C751" t="s">
        <v>749</v>
      </c>
      <c r="D751" t="s">
        <v>900</v>
      </c>
      <c r="E751">
        <v>3.7703972709406202</v>
      </c>
      <c r="F751">
        <f>VLOOKUP(C751,'[1]phenotypes-895'!$A$2:$G$896,7,FALSE)</f>
        <v>98</v>
      </c>
      <c r="G751" s="6">
        <v>30</v>
      </c>
    </row>
    <row r="752" spans="1:7" x14ac:dyDescent="0.2">
      <c r="A752">
        <v>751</v>
      </c>
      <c r="B752">
        <v>34</v>
      </c>
      <c r="C752" t="s">
        <v>750</v>
      </c>
      <c r="D752" t="s">
        <v>900</v>
      </c>
      <c r="E752">
        <v>-1.20515690467767</v>
      </c>
      <c r="F752">
        <f>VLOOKUP(C752,'[1]phenotypes-895'!$A$2:$G$896,7,FALSE)</f>
        <v>98</v>
      </c>
      <c r="G752" s="5"/>
    </row>
    <row r="753" spans="1:7" x14ac:dyDescent="0.2">
      <c r="A753">
        <v>752</v>
      </c>
      <c r="B753">
        <v>53</v>
      </c>
      <c r="C753" t="s">
        <v>751</v>
      </c>
      <c r="D753" t="s">
        <v>899</v>
      </c>
      <c r="E753">
        <v>3.0280352694592998</v>
      </c>
      <c r="F753">
        <f>VLOOKUP(C753,'[1]phenotypes-895'!$A$2:$G$896,7,FALSE)</f>
        <v>63</v>
      </c>
      <c r="G753" s="6">
        <v>40</v>
      </c>
    </row>
    <row r="754" spans="1:7" x14ac:dyDescent="0.2">
      <c r="A754">
        <v>753</v>
      </c>
      <c r="B754">
        <v>39</v>
      </c>
      <c r="C754" t="s">
        <v>752</v>
      </c>
      <c r="D754" t="s">
        <v>900</v>
      </c>
      <c r="E754">
        <v>-0.188071787263385</v>
      </c>
      <c r="F754">
        <f>VLOOKUP(C754,'[1]phenotypes-895'!$A$2:$G$896,7,FALSE)</f>
        <v>70</v>
      </c>
      <c r="G754" s="5"/>
    </row>
    <row r="755" spans="1:7" x14ac:dyDescent="0.2">
      <c r="A755">
        <v>754</v>
      </c>
      <c r="B755">
        <v>38</v>
      </c>
      <c r="C755" t="s">
        <v>753</v>
      </c>
      <c r="D755" t="s">
        <v>900</v>
      </c>
      <c r="E755">
        <v>7.0116679991183704</v>
      </c>
      <c r="F755">
        <f>VLOOKUP(C755,'[1]phenotypes-895'!$A$2:$G$896,7,FALSE)</f>
        <v>98</v>
      </c>
      <c r="G755" s="6">
        <v>7</v>
      </c>
    </row>
    <row r="756" spans="1:7" x14ac:dyDescent="0.2">
      <c r="A756">
        <v>755</v>
      </c>
      <c r="B756">
        <v>50</v>
      </c>
      <c r="C756" t="s">
        <v>754</v>
      </c>
      <c r="D756" t="s">
        <v>899</v>
      </c>
      <c r="E756">
        <v>5.1774023630775599</v>
      </c>
      <c r="F756">
        <f>VLOOKUP(C756,'[1]phenotypes-895'!$A$2:$G$896,7,FALSE)</f>
        <v>98</v>
      </c>
      <c r="G756" s="6">
        <v>20</v>
      </c>
    </row>
    <row r="757" spans="1:7" x14ac:dyDescent="0.2">
      <c r="A757">
        <v>756</v>
      </c>
      <c r="B757">
        <v>37</v>
      </c>
      <c r="C757" t="s">
        <v>755</v>
      </c>
      <c r="D757" t="s">
        <v>900</v>
      </c>
      <c r="E757">
        <v>4.5689233395269104</v>
      </c>
      <c r="F757">
        <f>VLOOKUP(C757,'[1]phenotypes-895'!$A$2:$G$896,7,FALSE)</f>
        <v>98</v>
      </c>
      <c r="G757" s="6">
        <v>30</v>
      </c>
    </row>
    <row r="758" spans="1:7" x14ac:dyDescent="0.2">
      <c r="A758">
        <v>757</v>
      </c>
      <c r="B758">
        <v>35</v>
      </c>
      <c r="C758" t="s">
        <v>756</v>
      </c>
      <c r="D758" t="s">
        <v>900</v>
      </c>
      <c r="E758">
        <v>5.1820919153233902</v>
      </c>
      <c r="F758">
        <f>VLOOKUP(C758,'[1]phenotypes-895'!$A$2:$G$896,7,FALSE)</f>
        <v>98</v>
      </c>
      <c r="G758" s="6">
        <v>20</v>
      </c>
    </row>
    <row r="759" spans="1:7" x14ac:dyDescent="0.2">
      <c r="A759">
        <v>758</v>
      </c>
      <c r="B759">
        <v>51</v>
      </c>
      <c r="C759" t="s">
        <v>757</v>
      </c>
      <c r="D759" t="s">
        <v>899</v>
      </c>
      <c r="E759">
        <v>9.1097538149901105</v>
      </c>
      <c r="F759">
        <f>VLOOKUP(C759,'[1]phenotypes-895'!$A$2:$G$896,7,FALSE)</f>
        <v>98</v>
      </c>
      <c r="G759" s="6">
        <v>2</v>
      </c>
    </row>
    <row r="760" spans="1:7" x14ac:dyDescent="0.2">
      <c r="A760">
        <v>759</v>
      </c>
      <c r="B760">
        <v>24</v>
      </c>
      <c r="C760" t="s">
        <v>758</v>
      </c>
      <c r="D760" t="s">
        <v>900</v>
      </c>
      <c r="E760">
        <v>-6.4898242436984601</v>
      </c>
      <c r="F760">
        <f>VLOOKUP(C760,'[1]phenotypes-895'!$A$2:$G$896,7,FALSE)</f>
        <v>98</v>
      </c>
    </row>
    <row r="761" spans="1:7" x14ac:dyDescent="0.2">
      <c r="A761">
        <v>760</v>
      </c>
      <c r="B761">
        <v>22</v>
      </c>
      <c r="C761" t="s">
        <v>759</v>
      </c>
      <c r="D761" t="s">
        <v>900</v>
      </c>
      <c r="E761">
        <v>-2.4775977596126801</v>
      </c>
      <c r="F761">
        <f>VLOOKUP(C761,'[1]phenotypes-895'!$A$2:$G$896,7,FALSE)</f>
        <v>67</v>
      </c>
    </row>
    <row r="762" spans="1:7" x14ac:dyDescent="0.2">
      <c r="A762">
        <v>761</v>
      </c>
      <c r="B762">
        <v>30</v>
      </c>
      <c r="C762" t="s">
        <v>760</v>
      </c>
      <c r="D762" t="s">
        <v>900</v>
      </c>
      <c r="E762">
        <v>-5.2531544264977397</v>
      </c>
      <c r="F762">
        <f>VLOOKUP(C762,'[1]phenotypes-895'!$A$2:$G$896,7,FALSE)</f>
        <v>98</v>
      </c>
    </row>
    <row r="763" spans="1:7" x14ac:dyDescent="0.2">
      <c r="A763">
        <v>762</v>
      </c>
      <c r="B763">
        <v>44</v>
      </c>
      <c r="C763" t="s">
        <v>761</v>
      </c>
      <c r="D763" t="s">
        <v>899</v>
      </c>
      <c r="E763">
        <v>5.2061749785086198</v>
      </c>
      <c r="F763">
        <f>VLOOKUP(C763,'[1]phenotypes-895'!$A$2:$G$896,7,FALSE)</f>
        <v>68</v>
      </c>
      <c r="G763" s="6">
        <v>20</v>
      </c>
    </row>
    <row r="764" spans="1:7" x14ac:dyDescent="0.2">
      <c r="A764">
        <v>763</v>
      </c>
      <c r="B764">
        <v>49</v>
      </c>
      <c r="C764" t="s">
        <v>762</v>
      </c>
      <c r="D764" t="s">
        <v>899</v>
      </c>
      <c r="E764">
        <v>6.0502689615256102</v>
      </c>
      <c r="F764">
        <f>VLOOKUP(C764,'[1]phenotypes-895'!$A$2:$G$896,7,FALSE)</f>
        <v>71</v>
      </c>
      <c r="G764" s="6">
        <v>20</v>
      </c>
    </row>
    <row r="765" spans="1:7" x14ac:dyDescent="0.2">
      <c r="A765">
        <v>764</v>
      </c>
      <c r="B765">
        <v>40</v>
      </c>
      <c r="C765" t="s">
        <v>763</v>
      </c>
      <c r="D765" t="s">
        <v>900</v>
      </c>
      <c r="E765">
        <v>-5.3516761895355298</v>
      </c>
      <c r="F765">
        <f>VLOOKUP(C765,'[1]phenotypes-895'!$A$2:$G$896,7,FALSE)</f>
        <v>64</v>
      </c>
    </row>
    <row r="766" spans="1:7" x14ac:dyDescent="0.2">
      <c r="A766">
        <v>765</v>
      </c>
      <c r="B766">
        <v>26</v>
      </c>
      <c r="C766" t="s">
        <v>764</v>
      </c>
      <c r="D766" t="s">
        <v>900</v>
      </c>
      <c r="E766">
        <v>2.1083052380171701</v>
      </c>
      <c r="F766">
        <f>VLOOKUP(C766,'[1]phenotypes-895'!$A$2:$G$896,7,FALSE)</f>
        <v>71</v>
      </c>
      <c r="G766" s="6">
        <v>50</v>
      </c>
    </row>
    <row r="767" spans="1:7" x14ac:dyDescent="0.2">
      <c r="A767">
        <v>766</v>
      </c>
      <c r="B767">
        <v>42</v>
      </c>
      <c r="C767" t="s">
        <v>765</v>
      </c>
      <c r="D767" t="s">
        <v>899</v>
      </c>
      <c r="E767">
        <v>4.9257957338730396</v>
      </c>
      <c r="F767">
        <f>VLOOKUP(C767,'[1]phenotypes-895'!$A$2:$G$896,7,FALSE)</f>
        <v>98</v>
      </c>
      <c r="G767" s="6">
        <v>20</v>
      </c>
    </row>
    <row r="768" spans="1:7" x14ac:dyDescent="0.2">
      <c r="A768">
        <v>767</v>
      </c>
      <c r="B768">
        <v>33</v>
      </c>
      <c r="C768" t="s">
        <v>766</v>
      </c>
      <c r="D768" t="s">
        <v>900</v>
      </c>
      <c r="E768">
        <v>-5.2542695524714702</v>
      </c>
      <c r="F768">
        <f>VLOOKUP(C768,'[1]phenotypes-895'!$A$2:$G$896,7,FALSE)</f>
        <v>51</v>
      </c>
    </row>
    <row r="769" spans="1:7" x14ac:dyDescent="0.2">
      <c r="A769">
        <v>768</v>
      </c>
      <c r="B769">
        <v>50</v>
      </c>
      <c r="C769" t="s">
        <v>767</v>
      </c>
      <c r="D769" t="s">
        <v>899</v>
      </c>
      <c r="E769">
        <v>1.0697347443598</v>
      </c>
      <c r="F769">
        <f>VLOOKUP(C769,'[1]phenotypes-895'!$A$2:$G$896,7,FALSE)</f>
        <v>59</v>
      </c>
      <c r="G769" s="6">
        <v>50</v>
      </c>
    </row>
    <row r="770" spans="1:7" x14ac:dyDescent="0.2">
      <c r="A770">
        <v>769</v>
      </c>
      <c r="B770">
        <v>45</v>
      </c>
      <c r="C770" t="s">
        <v>768</v>
      </c>
      <c r="D770" t="s">
        <v>899</v>
      </c>
      <c r="E770">
        <v>5.9335962024153899</v>
      </c>
      <c r="F770">
        <f>VLOOKUP(C770,'[1]phenotypes-895'!$A$2:$G$896,7,FALSE)</f>
        <v>47</v>
      </c>
      <c r="G770" s="6">
        <v>20</v>
      </c>
    </row>
    <row r="771" spans="1:7" x14ac:dyDescent="0.2">
      <c r="A771">
        <v>770</v>
      </c>
      <c r="B771">
        <v>50</v>
      </c>
      <c r="C771" t="s">
        <v>769</v>
      </c>
      <c r="D771" t="s">
        <v>899</v>
      </c>
      <c r="E771">
        <v>3.5426325532074698</v>
      </c>
      <c r="F771">
        <f>VLOOKUP(C771,'[1]phenotypes-895'!$A$2:$G$896,7,FALSE)</f>
        <v>45</v>
      </c>
      <c r="G771" s="6">
        <v>30</v>
      </c>
    </row>
    <row r="772" spans="1:7" x14ac:dyDescent="0.2">
      <c r="A772">
        <v>771</v>
      </c>
      <c r="B772">
        <v>21</v>
      </c>
      <c r="C772" t="s">
        <v>770</v>
      </c>
      <c r="D772" t="s">
        <v>900</v>
      </c>
      <c r="E772">
        <v>-0.77737628176254303</v>
      </c>
      <c r="F772">
        <f>VLOOKUP(C772,'[1]phenotypes-895'!$A$2:$G$896,7,FALSE)</f>
        <v>98</v>
      </c>
      <c r="G772" s="5"/>
    </row>
    <row r="773" spans="1:7" x14ac:dyDescent="0.2">
      <c r="A773">
        <v>772</v>
      </c>
      <c r="B773">
        <v>29</v>
      </c>
      <c r="C773" t="s">
        <v>771</v>
      </c>
      <c r="D773" t="s">
        <v>900</v>
      </c>
      <c r="E773">
        <v>-7.5732608359806504</v>
      </c>
      <c r="F773">
        <f>VLOOKUP(C773,'[1]phenotypes-895'!$A$2:$G$896,7,FALSE)</f>
        <v>60</v>
      </c>
    </row>
    <row r="774" spans="1:7" x14ac:dyDescent="0.2">
      <c r="A774">
        <v>773</v>
      </c>
      <c r="B774">
        <v>30</v>
      </c>
      <c r="C774" t="s">
        <v>772</v>
      </c>
      <c r="D774" t="s">
        <v>900</v>
      </c>
      <c r="E774">
        <v>-8.9036965934312899</v>
      </c>
      <c r="F774">
        <f>VLOOKUP(C774,'[1]phenotypes-895'!$A$2:$G$896,7,FALSE)</f>
        <v>70</v>
      </c>
    </row>
    <row r="775" spans="1:7" x14ac:dyDescent="0.2">
      <c r="A775">
        <v>774</v>
      </c>
      <c r="B775">
        <v>26</v>
      </c>
      <c r="C775" t="s">
        <v>773</v>
      </c>
      <c r="D775" t="s">
        <v>900</v>
      </c>
      <c r="E775">
        <v>5.3061329809401796</v>
      </c>
      <c r="F775">
        <f>VLOOKUP(C775,'[1]phenotypes-895'!$A$2:$G$896,7,FALSE)</f>
        <v>98</v>
      </c>
      <c r="G775" s="6">
        <v>20</v>
      </c>
    </row>
    <row r="776" spans="1:7" x14ac:dyDescent="0.2">
      <c r="A776">
        <v>775</v>
      </c>
      <c r="B776">
        <v>21</v>
      </c>
      <c r="C776" t="s">
        <v>774</v>
      </c>
      <c r="D776" t="s">
        <v>900</v>
      </c>
      <c r="E776">
        <v>1.70596675162183</v>
      </c>
      <c r="F776">
        <f>VLOOKUP(C776,'[1]phenotypes-895'!$A$2:$G$896,7,FALSE)</f>
        <v>98</v>
      </c>
      <c r="G776" s="6">
        <v>50</v>
      </c>
    </row>
    <row r="777" spans="1:7" x14ac:dyDescent="0.2">
      <c r="A777">
        <v>776</v>
      </c>
      <c r="B777">
        <v>23</v>
      </c>
      <c r="C777" t="s">
        <v>775</v>
      </c>
      <c r="D777" t="s">
        <v>900</v>
      </c>
      <c r="E777">
        <v>-0.502812279662749</v>
      </c>
      <c r="F777">
        <f>VLOOKUP(C777,'[1]phenotypes-895'!$A$2:$G$896,7,FALSE)</f>
        <v>77</v>
      </c>
      <c r="G777" s="5"/>
    </row>
    <row r="778" spans="1:7" x14ac:dyDescent="0.2">
      <c r="A778">
        <v>777</v>
      </c>
      <c r="B778">
        <v>39</v>
      </c>
      <c r="C778" t="s">
        <v>776</v>
      </c>
      <c r="D778" t="s">
        <v>900</v>
      </c>
      <c r="E778">
        <v>2.71919899437871</v>
      </c>
      <c r="F778">
        <f>VLOOKUP(C778,'[1]phenotypes-895'!$A$2:$G$896,7,FALSE)</f>
        <v>98</v>
      </c>
      <c r="G778" s="6">
        <v>40</v>
      </c>
    </row>
    <row r="779" spans="1:7" x14ac:dyDescent="0.2">
      <c r="A779">
        <v>778</v>
      </c>
      <c r="B779">
        <v>39</v>
      </c>
      <c r="C779" t="s">
        <v>777</v>
      </c>
      <c r="D779" t="s">
        <v>900</v>
      </c>
      <c r="E779">
        <v>3.04273319569316</v>
      </c>
      <c r="F779">
        <f>VLOOKUP(C779,'[1]phenotypes-895'!$A$2:$G$896,7,FALSE)</f>
        <v>81</v>
      </c>
      <c r="G779" s="6">
        <v>40</v>
      </c>
    </row>
    <row r="780" spans="1:7" x14ac:dyDescent="0.2">
      <c r="A780">
        <v>779</v>
      </c>
      <c r="B780">
        <v>28</v>
      </c>
      <c r="C780" t="s">
        <v>778</v>
      </c>
      <c r="D780" t="s">
        <v>900</v>
      </c>
      <c r="E780">
        <v>-10.555281454044501</v>
      </c>
      <c r="F780">
        <f>VLOOKUP(C780,'[1]phenotypes-895'!$A$2:$G$896,7,FALSE)</f>
        <v>63</v>
      </c>
    </row>
    <row r="781" spans="1:7" x14ac:dyDescent="0.2">
      <c r="A781">
        <v>780</v>
      </c>
      <c r="B781">
        <v>29</v>
      </c>
      <c r="C781" t="s">
        <v>779</v>
      </c>
      <c r="D781" t="s">
        <v>900</v>
      </c>
      <c r="E781">
        <v>-4.1442194285817404</v>
      </c>
      <c r="F781">
        <f>VLOOKUP(C781,'[1]phenotypes-895'!$A$2:$G$896,7,FALSE)</f>
        <v>98</v>
      </c>
    </row>
    <row r="782" spans="1:7" x14ac:dyDescent="0.2">
      <c r="A782">
        <v>781</v>
      </c>
      <c r="B782">
        <v>44</v>
      </c>
      <c r="C782" t="s">
        <v>780</v>
      </c>
      <c r="D782" t="s">
        <v>899</v>
      </c>
      <c r="E782">
        <v>-1.0550537597529499</v>
      </c>
      <c r="F782">
        <f>VLOOKUP(C782,'[1]phenotypes-895'!$A$2:$G$896,7,FALSE)</f>
        <v>44</v>
      </c>
    </row>
    <row r="783" spans="1:7" x14ac:dyDescent="0.2">
      <c r="A783">
        <v>782</v>
      </c>
      <c r="B783">
        <v>22</v>
      </c>
      <c r="C783" t="s">
        <v>781</v>
      </c>
      <c r="D783" t="s">
        <v>900</v>
      </c>
      <c r="E783">
        <v>-0.10950573314163101</v>
      </c>
      <c r="F783">
        <f>VLOOKUP(C783,'[1]phenotypes-895'!$A$2:$G$896,7,FALSE)</f>
        <v>72</v>
      </c>
      <c r="G783" s="5"/>
    </row>
    <row r="784" spans="1:7" x14ac:dyDescent="0.2">
      <c r="A784">
        <v>783</v>
      </c>
      <c r="B784">
        <v>46</v>
      </c>
      <c r="C784" t="s">
        <v>782</v>
      </c>
      <c r="D784" t="s">
        <v>899</v>
      </c>
      <c r="E784">
        <v>4.0680164178249996</v>
      </c>
      <c r="F784">
        <f>VLOOKUP(C784,'[1]phenotypes-895'!$A$2:$G$896,7,FALSE)</f>
        <v>59</v>
      </c>
      <c r="G784" s="6">
        <v>30</v>
      </c>
    </row>
    <row r="785" spans="1:7" x14ac:dyDescent="0.2">
      <c r="A785">
        <v>784</v>
      </c>
      <c r="B785">
        <v>50</v>
      </c>
      <c r="C785" t="s">
        <v>783</v>
      </c>
      <c r="D785" t="s">
        <v>899</v>
      </c>
      <c r="E785">
        <v>2.9661882708457399</v>
      </c>
      <c r="F785">
        <f>VLOOKUP(C785,'[1]phenotypes-895'!$A$2:$G$896,7,FALSE)</f>
        <v>98</v>
      </c>
      <c r="G785" s="6">
        <v>40</v>
      </c>
    </row>
    <row r="786" spans="1:7" x14ac:dyDescent="0.2">
      <c r="A786">
        <v>785</v>
      </c>
      <c r="B786">
        <v>54</v>
      </c>
      <c r="C786" t="s">
        <v>784</v>
      </c>
      <c r="D786" t="s">
        <v>899</v>
      </c>
      <c r="E786">
        <v>1.0274120684983801</v>
      </c>
      <c r="F786">
        <f>VLOOKUP(C786,'[1]phenotypes-895'!$A$2:$G$896,7,FALSE)</f>
        <v>51</v>
      </c>
      <c r="G786" s="6">
        <v>50</v>
      </c>
    </row>
    <row r="787" spans="1:7" x14ac:dyDescent="0.2">
      <c r="A787">
        <v>786</v>
      </c>
      <c r="B787">
        <v>29</v>
      </c>
      <c r="C787" t="s">
        <v>785</v>
      </c>
      <c r="D787" t="s">
        <v>900</v>
      </c>
      <c r="E787">
        <v>-2.0398262581492799</v>
      </c>
      <c r="F787">
        <f>VLOOKUP(C787,'[1]phenotypes-895'!$A$2:$G$896,7,FALSE)</f>
        <v>98</v>
      </c>
      <c r="G787" s="5"/>
    </row>
    <row r="788" spans="1:7" x14ac:dyDescent="0.2">
      <c r="A788">
        <v>787</v>
      </c>
      <c r="B788">
        <v>42</v>
      </c>
      <c r="C788" t="s">
        <v>786</v>
      </c>
      <c r="D788" t="s">
        <v>899</v>
      </c>
      <c r="E788">
        <v>2.42722932497876</v>
      </c>
      <c r="F788">
        <f>VLOOKUP(C788,'[1]phenotypes-895'!$A$2:$G$896,7,FALSE)</f>
        <v>82</v>
      </c>
      <c r="G788" s="6">
        <v>40</v>
      </c>
    </row>
    <row r="789" spans="1:7" x14ac:dyDescent="0.2">
      <c r="A789">
        <v>788</v>
      </c>
      <c r="B789">
        <v>43</v>
      </c>
      <c r="C789" t="s">
        <v>787</v>
      </c>
      <c r="D789" t="s">
        <v>899</v>
      </c>
      <c r="E789">
        <v>1.6385225785759601</v>
      </c>
      <c r="F789">
        <f>VLOOKUP(C789,'[1]phenotypes-895'!$A$2:$G$896,7,FALSE)</f>
        <v>98</v>
      </c>
      <c r="G789" s="6">
        <v>50</v>
      </c>
    </row>
    <row r="790" spans="1:7" x14ac:dyDescent="0.2">
      <c r="A790">
        <v>789</v>
      </c>
      <c r="B790">
        <v>52</v>
      </c>
      <c r="C790" t="s">
        <v>788</v>
      </c>
      <c r="D790" t="s">
        <v>899</v>
      </c>
      <c r="E790">
        <v>7.1713835836980104</v>
      </c>
      <c r="F790">
        <f>VLOOKUP(C790,'[1]phenotypes-895'!$A$2:$G$896,7,FALSE)</f>
        <v>98</v>
      </c>
      <c r="G790" s="6">
        <v>6</v>
      </c>
    </row>
    <row r="791" spans="1:7" x14ac:dyDescent="0.2">
      <c r="A791">
        <v>790</v>
      </c>
      <c r="B791">
        <v>27</v>
      </c>
      <c r="C791" t="s">
        <v>789</v>
      </c>
      <c r="D791" t="s">
        <v>900</v>
      </c>
      <c r="E791">
        <v>3.2434159450113502</v>
      </c>
      <c r="F791">
        <f>VLOOKUP(C791,'[1]phenotypes-895'!$A$2:$G$896,7,FALSE)</f>
        <v>98</v>
      </c>
      <c r="G791" s="6">
        <v>30</v>
      </c>
    </row>
    <row r="792" spans="1:7" x14ac:dyDescent="0.2">
      <c r="A792">
        <v>791</v>
      </c>
      <c r="B792">
        <v>22</v>
      </c>
      <c r="C792" t="s">
        <v>790</v>
      </c>
      <c r="D792" t="s">
        <v>900</v>
      </c>
      <c r="E792">
        <v>2.95136924112595</v>
      </c>
      <c r="F792">
        <f>VLOOKUP(C792,'[1]phenotypes-895'!$A$2:$G$896,7,FALSE)</f>
        <v>98</v>
      </c>
      <c r="G792" s="6">
        <v>40</v>
      </c>
    </row>
    <row r="793" spans="1:7" x14ac:dyDescent="0.2">
      <c r="A793">
        <v>792</v>
      </c>
      <c r="B793">
        <v>54</v>
      </c>
      <c r="C793" t="s">
        <v>791</v>
      </c>
      <c r="D793" t="s">
        <v>899</v>
      </c>
      <c r="E793">
        <v>4.1955242622791902</v>
      </c>
      <c r="F793">
        <f>VLOOKUP(C793,'[1]phenotypes-895'!$A$2:$G$896,7,FALSE)</f>
        <v>98</v>
      </c>
      <c r="G793" s="6">
        <v>30</v>
      </c>
    </row>
    <row r="794" spans="1:7" x14ac:dyDescent="0.2">
      <c r="A794">
        <v>793</v>
      </c>
      <c r="B794">
        <v>54</v>
      </c>
      <c r="C794" t="s">
        <v>792</v>
      </c>
      <c r="D794" t="s">
        <v>899</v>
      </c>
      <c r="E794">
        <v>5.1475655300738801</v>
      </c>
      <c r="F794">
        <f>VLOOKUP(C794,'[1]phenotypes-895'!$A$2:$G$896,7,FALSE)</f>
        <v>98</v>
      </c>
      <c r="G794" s="6">
        <v>20</v>
      </c>
    </row>
    <row r="795" spans="1:7" x14ac:dyDescent="0.2">
      <c r="A795">
        <v>794</v>
      </c>
      <c r="B795">
        <v>40</v>
      </c>
      <c r="C795" t="s">
        <v>793</v>
      </c>
      <c r="D795" t="s">
        <v>900</v>
      </c>
      <c r="E795">
        <v>0.84810781143983405</v>
      </c>
      <c r="F795">
        <f>VLOOKUP(C795,'[1]phenotypes-895'!$A$2:$G$896,7,FALSE)</f>
        <v>98</v>
      </c>
      <c r="G795" s="6">
        <v>50</v>
      </c>
    </row>
    <row r="796" spans="1:7" x14ac:dyDescent="0.2">
      <c r="A796">
        <v>795</v>
      </c>
      <c r="B796">
        <v>50</v>
      </c>
      <c r="C796" t="s">
        <v>794</v>
      </c>
      <c r="D796" t="s">
        <v>899</v>
      </c>
      <c r="E796">
        <v>7.6440123692726196</v>
      </c>
      <c r="F796">
        <f>VLOOKUP(C796,'[1]phenotypes-895'!$A$2:$G$896,7,FALSE)</f>
        <v>98</v>
      </c>
      <c r="G796" s="6">
        <v>5</v>
      </c>
    </row>
    <row r="797" spans="1:7" x14ac:dyDescent="0.2">
      <c r="A797">
        <v>796</v>
      </c>
      <c r="B797">
        <v>33</v>
      </c>
      <c r="C797" t="s">
        <v>795</v>
      </c>
      <c r="D797" t="s">
        <v>900</v>
      </c>
      <c r="E797">
        <v>-0.75853176638391895</v>
      </c>
      <c r="F797">
        <f>VLOOKUP(C797,'[1]phenotypes-895'!$A$2:$G$896,7,FALSE)</f>
        <v>98</v>
      </c>
      <c r="G797" s="5"/>
    </row>
    <row r="798" spans="1:7" x14ac:dyDescent="0.2">
      <c r="A798">
        <v>797</v>
      </c>
      <c r="B798">
        <v>25</v>
      </c>
      <c r="C798" t="s">
        <v>796</v>
      </c>
      <c r="D798" t="s">
        <v>900</v>
      </c>
      <c r="E798">
        <v>3.5064259737414498</v>
      </c>
      <c r="F798">
        <f>VLOOKUP(C798,'[1]phenotypes-895'!$A$2:$G$896,7,FALSE)</f>
        <v>98</v>
      </c>
      <c r="G798" s="6">
        <v>30</v>
      </c>
    </row>
    <row r="799" spans="1:7" x14ac:dyDescent="0.2">
      <c r="A799">
        <v>798</v>
      </c>
      <c r="B799">
        <v>50</v>
      </c>
      <c r="C799" t="s">
        <v>797</v>
      </c>
      <c r="D799" t="s">
        <v>899</v>
      </c>
      <c r="E799">
        <v>2.638769033305</v>
      </c>
      <c r="F799">
        <f>VLOOKUP(C799,'[1]phenotypes-895'!$A$2:$G$896,7,FALSE)</f>
        <v>51</v>
      </c>
      <c r="G799" s="6">
        <v>40</v>
      </c>
    </row>
    <row r="800" spans="1:7" x14ac:dyDescent="0.2">
      <c r="A800">
        <v>799</v>
      </c>
      <c r="B800">
        <v>35</v>
      </c>
      <c r="C800" t="s">
        <v>798</v>
      </c>
      <c r="D800" t="s">
        <v>900</v>
      </c>
      <c r="E800">
        <v>2.2198798086003202</v>
      </c>
      <c r="F800">
        <f>VLOOKUP(C800,'[1]phenotypes-895'!$A$2:$G$896,7,FALSE)</f>
        <v>98</v>
      </c>
      <c r="G800" s="6">
        <v>40</v>
      </c>
    </row>
    <row r="801" spans="1:7" x14ac:dyDescent="0.2">
      <c r="A801">
        <v>800</v>
      </c>
      <c r="B801">
        <v>23</v>
      </c>
      <c r="C801" t="s">
        <v>799</v>
      </c>
      <c r="D801" t="s">
        <v>900</v>
      </c>
      <c r="E801">
        <v>2.2809000265300798</v>
      </c>
      <c r="F801">
        <f>VLOOKUP(C801,'[1]phenotypes-895'!$A$2:$G$896,7,FALSE)</f>
        <v>98</v>
      </c>
      <c r="G801" s="6">
        <v>40</v>
      </c>
    </row>
    <row r="802" spans="1:7" x14ac:dyDescent="0.2">
      <c r="A802">
        <v>801</v>
      </c>
      <c r="B802">
        <v>24</v>
      </c>
      <c r="C802" t="s">
        <v>800</v>
      </c>
      <c r="D802" t="s">
        <v>900</v>
      </c>
      <c r="E802">
        <v>-8.8667207947985798</v>
      </c>
      <c r="F802">
        <f>VLOOKUP(C802,'[1]phenotypes-895'!$A$2:$G$896,7,FALSE)</f>
        <v>60</v>
      </c>
    </row>
    <row r="803" spans="1:7" x14ac:dyDescent="0.2">
      <c r="A803">
        <v>802</v>
      </c>
      <c r="B803">
        <v>34</v>
      </c>
      <c r="C803" t="s">
        <v>801</v>
      </c>
      <c r="D803" t="s">
        <v>900</v>
      </c>
      <c r="E803">
        <v>1.1804768659265299</v>
      </c>
      <c r="F803">
        <f>VLOOKUP(C803,'[1]phenotypes-895'!$A$2:$G$896,7,FALSE)</f>
        <v>98</v>
      </c>
      <c r="G803" s="6">
        <v>50</v>
      </c>
    </row>
    <row r="804" spans="1:7" x14ac:dyDescent="0.2">
      <c r="A804">
        <v>803</v>
      </c>
      <c r="B804">
        <v>48</v>
      </c>
      <c r="C804" t="s">
        <v>802</v>
      </c>
      <c r="D804" t="s">
        <v>899</v>
      </c>
      <c r="E804">
        <v>5.5612320216928097</v>
      </c>
      <c r="F804">
        <f>VLOOKUP(C804,'[1]phenotypes-895'!$A$2:$G$896,7,FALSE)</f>
        <v>98</v>
      </c>
      <c r="G804" s="6">
        <v>20</v>
      </c>
    </row>
    <row r="805" spans="1:7" x14ac:dyDescent="0.2">
      <c r="A805">
        <v>804</v>
      </c>
      <c r="B805">
        <v>53</v>
      </c>
      <c r="C805" t="s">
        <v>803</v>
      </c>
      <c r="D805" t="s">
        <v>899</v>
      </c>
      <c r="E805">
        <v>8.5054919444453603</v>
      </c>
      <c r="F805">
        <f>VLOOKUP(C805,'[1]phenotypes-895'!$A$2:$G$896,7,FALSE)</f>
        <v>98</v>
      </c>
      <c r="G805" s="6">
        <v>3</v>
      </c>
    </row>
    <row r="806" spans="1:7" x14ac:dyDescent="0.2">
      <c r="A806">
        <v>805</v>
      </c>
      <c r="B806">
        <v>48</v>
      </c>
      <c r="C806" t="s">
        <v>804</v>
      </c>
      <c r="D806" t="s">
        <v>899</v>
      </c>
      <c r="E806">
        <v>4.6153108505068703</v>
      </c>
      <c r="F806">
        <f>VLOOKUP(C806,'[1]phenotypes-895'!$A$2:$G$896,7,FALSE)</f>
        <v>98</v>
      </c>
      <c r="G806" s="6">
        <v>20</v>
      </c>
    </row>
    <row r="807" spans="1:7" x14ac:dyDescent="0.2">
      <c r="A807">
        <v>806</v>
      </c>
      <c r="B807">
        <v>27</v>
      </c>
      <c r="C807" t="s">
        <v>805</v>
      </c>
      <c r="D807" t="s">
        <v>900</v>
      </c>
      <c r="E807">
        <v>1.48653488502668</v>
      </c>
      <c r="F807">
        <f>VLOOKUP(C807,'[1]phenotypes-895'!$A$2:$G$896,7,FALSE)</f>
        <v>94</v>
      </c>
      <c r="G807" s="6">
        <v>50</v>
      </c>
    </row>
    <row r="808" spans="1:7" x14ac:dyDescent="0.2">
      <c r="A808">
        <v>807</v>
      </c>
      <c r="B808">
        <v>54</v>
      </c>
      <c r="C808" t="s">
        <v>806</v>
      </c>
      <c r="D808" t="s">
        <v>899</v>
      </c>
      <c r="E808">
        <v>1.91919280962603</v>
      </c>
      <c r="F808">
        <f>VLOOKUP(C808,'[1]phenotypes-895'!$A$2:$G$896,7,FALSE)</f>
        <v>51</v>
      </c>
      <c r="G808" s="6">
        <v>50</v>
      </c>
    </row>
    <row r="809" spans="1:7" x14ac:dyDescent="0.2">
      <c r="A809">
        <v>808</v>
      </c>
      <c r="B809">
        <v>49</v>
      </c>
      <c r="C809" t="s">
        <v>807</v>
      </c>
      <c r="D809" t="s">
        <v>899</v>
      </c>
      <c r="E809">
        <v>5.3150594519261798</v>
      </c>
      <c r="F809">
        <f>VLOOKUP(C809,'[1]phenotypes-895'!$A$2:$G$896,7,FALSE)</f>
        <v>98</v>
      </c>
      <c r="G809" s="6">
        <v>20</v>
      </c>
    </row>
    <row r="810" spans="1:7" x14ac:dyDescent="0.2">
      <c r="A810">
        <v>809</v>
      </c>
      <c r="B810">
        <v>24</v>
      </c>
      <c r="C810" t="s">
        <v>808</v>
      </c>
      <c r="D810" t="s">
        <v>900</v>
      </c>
      <c r="E810">
        <v>-5.6396415191128604</v>
      </c>
      <c r="F810">
        <f>VLOOKUP(C810,'[1]phenotypes-895'!$A$2:$G$896,7,FALSE)</f>
        <v>52</v>
      </c>
    </row>
    <row r="811" spans="1:7" x14ac:dyDescent="0.2">
      <c r="A811">
        <v>810</v>
      </c>
      <c r="B811">
        <v>24</v>
      </c>
      <c r="C811" t="s">
        <v>809</v>
      </c>
      <c r="D811" t="s">
        <v>900</v>
      </c>
      <c r="E811">
        <v>-5.0302905797757296</v>
      </c>
      <c r="F811">
        <f>VLOOKUP(C811,'[1]phenotypes-895'!$A$2:$G$896,7,FALSE)</f>
        <v>98</v>
      </c>
    </row>
    <row r="812" spans="1:7" x14ac:dyDescent="0.2">
      <c r="A812">
        <v>811</v>
      </c>
      <c r="B812">
        <v>41</v>
      </c>
      <c r="C812" t="s">
        <v>810</v>
      </c>
      <c r="D812" t="s">
        <v>899</v>
      </c>
      <c r="E812">
        <v>-2.4480571583001498</v>
      </c>
      <c r="F812">
        <f>VLOOKUP(C812,'[1]phenotypes-895'!$A$2:$G$896,7,FALSE)</f>
        <v>58</v>
      </c>
    </row>
    <row r="813" spans="1:7" x14ac:dyDescent="0.2">
      <c r="A813">
        <v>812</v>
      </c>
      <c r="B813">
        <v>29</v>
      </c>
      <c r="C813" t="s">
        <v>811</v>
      </c>
      <c r="D813" t="s">
        <v>900</v>
      </c>
      <c r="E813">
        <v>-4.9895962504758504</v>
      </c>
      <c r="F813">
        <f>VLOOKUP(C813,'[1]phenotypes-895'!$A$2:$G$896,7,FALSE)</f>
        <v>65</v>
      </c>
    </row>
    <row r="814" spans="1:7" x14ac:dyDescent="0.2">
      <c r="A814">
        <v>813</v>
      </c>
      <c r="B814">
        <v>23</v>
      </c>
      <c r="C814" t="s">
        <v>812</v>
      </c>
      <c r="D814" t="s">
        <v>900</v>
      </c>
      <c r="E814">
        <v>2.6316153027411899</v>
      </c>
      <c r="F814">
        <f>VLOOKUP(C814,'[1]phenotypes-895'!$A$2:$G$896,7,FALSE)</f>
        <v>89</v>
      </c>
      <c r="G814" s="6">
        <v>40</v>
      </c>
    </row>
    <row r="815" spans="1:7" x14ac:dyDescent="0.2">
      <c r="A815">
        <v>814</v>
      </c>
      <c r="B815">
        <v>50</v>
      </c>
      <c r="C815" t="s">
        <v>813</v>
      </c>
      <c r="D815" t="s">
        <v>899</v>
      </c>
      <c r="E815">
        <v>6.3368409557035097</v>
      </c>
      <c r="F815">
        <f>VLOOKUP(C815,'[1]phenotypes-895'!$A$2:$G$896,7,FALSE)</f>
        <v>79</v>
      </c>
      <c r="G815" s="6">
        <v>10</v>
      </c>
    </row>
    <row r="816" spans="1:7" x14ac:dyDescent="0.2">
      <c r="A816">
        <v>815</v>
      </c>
      <c r="B816">
        <v>33</v>
      </c>
      <c r="C816" t="s">
        <v>814</v>
      </c>
      <c r="D816" t="s">
        <v>900</v>
      </c>
      <c r="E816">
        <v>-6.5055040761389202</v>
      </c>
      <c r="F816">
        <f>VLOOKUP(C816,'[1]phenotypes-895'!$A$2:$G$896,7,FALSE)</f>
        <v>44</v>
      </c>
    </row>
    <row r="817" spans="1:7" x14ac:dyDescent="0.2">
      <c r="A817">
        <v>816</v>
      </c>
      <c r="B817">
        <v>33</v>
      </c>
      <c r="C817" t="s">
        <v>815</v>
      </c>
      <c r="D817" t="s">
        <v>900</v>
      </c>
      <c r="E817">
        <v>1.99679758038527</v>
      </c>
      <c r="F817">
        <f>VLOOKUP(C817,'[1]phenotypes-895'!$A$2:$G$896,7,FALSE)</f>
        <v>73</v>
      </c>
      <c r="G817" s="6">
        <v>50</v>
      </c>
    </row>
    <row r="818" spans="1:7" x14ac:dyDescent="0.2">
      <c r="A818">
        <v>817</v>
      </c>
      <c r="B818">
        <v>40</v>
      </c>
      <c r="C818" t="s">
        <v>816</v>
      </c>
      <c r="D818" t="s">
        <v>900</v>
      </c>
      <c r="E818">
        <v>-2.3742624420472902</v>
      </c>
      <c r="F818">
        <f>VLOOKUP(C818,'[1]phenotypes-895'!$A$2:$G$896,7,FALSE)</f>
        <v>71</v>
      </c>
    </row>
    <row r="819" spans="1:7" x14ac:dyDescent="0.2">
      <c r="A819">
        <v>818</v>
      </c>
      <c r="B819">
        <v>48</v>
      </c>
      <c r="C819" t="s">
        <v>817</v>
      </c>
      <c r="D819" t="s">
        <v>899</v>
      </c>
      <c r="E819">
        <v>4.82120115627262</v>
      </c>
      <c r="F819">
        <f>VLOOKUP(C819,'[1]phenotypes-895'!$A$2:$G$896,7,FALSE)</f>
        <v>63</v>
      </c>
      <c r="G819" s="6">
        <v>20</v>
      </c>
    </row>
    <row r="820" spans="1:7" x14ac:dyDescent="0.2">
      <c r="A820">
        <v>819</v>
      </c>
      <c r="B820">
        <v>42</v>
      </c>
      <c r="C820" t="s">
        <v>818</v>
      </c>
      <c r="D820" t="s">
        <v>899</v>
      </c>
      <c r="E820">
        <v>3.1381965266760199</v>
      </c>
      <c r="F820">
        <f>VLOOKUP(C820,'[1]phenotypes-895'!$A$2:$G$896,7,FALSE)</f>
        <v>76</v>
      </c>
      <c r="G820" s="6">
        <v>40</v>
      </c>
    </row>
    <row r="821" spans="1:7" x14ac:dyDescent="0.2">
      <c r="A821">
        <v>820</v>
      </c>
      <c r="B821">
        <v>49</v>
      </c>
      <c r="C821" t="s">
        <v>819</v>
      </c>
      <c r="D821" t="s">
        <v>899</v>
      </c>
      <c r="E821">
        <v>4.2463126977737797</v>
      </c>
      <c r="F821">
        <f>VLOOKUP(C821,'[1]phenotypes-895'!$A$2:$G$896,7,FALSE)</f>
        <v>65</v>
      </c>
      <c r="G821" s="6">
        <v>30</v>
      </c>
    </row>
    <row r="822" spans="1:7" x14ac:dyDescent="0.2">
      <c r="A822">
        <v>821</v>
      </c>
      <c r="B822">
        <v>46</v>
      </c>
      <c r="C822" t="s">
        <v>820</v>
      </c>
      <c r="D822" t="s">
        <v>899</v>
      </c>
      <c r="E822">
        <v>3.4085228361431801</v>
      </c>
      <c r="F822">
        <f>VLOOKUP(C822,'[1]phenotypes-895'!$A$2:$G$896,7,FALSE)</f>
        <v>62</v>
      </c>
      <c r="G822" s="6">
        <v>30</v>
      </c>
    </row>
    <row r="823" spans="1:7" x14ac:dyDescent="0.2">
      <c r="A823">
        <v>822</v>
      </c>
      <c r="B823">
        <v>50</v>
      </c>
      <c r="C823" t="s">
        <v>821</v>
      </c>
      <c r="D823" t="s">
        <v>899</v>
      </c>
      <c r="E823">
        <v>2.4607877500176198</v>
      </c>
      <c r="F823">
        <f>VLOOKUP(C823,'[1]phenotypes-895'!$A$2:$G$896,7,FALSE)</f>
        <v>81</v>
      </c>
      <c r="G823" s="6">
        <v>40</v>
      </c>
    </row>
    <row r="824" spans="1:7" x14ac:dyDescent="0.2">
      <c r="A824">
        <v>823</v>
      </c>
      <c r="B824">
        <v>29</v>
      </c>
      <c r="C824" t="s">
        <v>822</v>
      </c>
      <c r="D824" t="s">
        <v>900</v>
      </c>
      <c r="E824">
        <v>-5.2455610039829503</v>
      </c>
      <c r="F824">
        <f>VLOOKUP(C824,'[1]phenotypes-895'!$A$2:$G$896,7,FALSE)</f>
        <v>64</v>
      </c>
    </row>
    <row r="825" spans="1:7" x14ac:dyDescent="0.2">
      <c r="A825">
        <v>824</v>
      </c>
      <c r="B825">
        <v>49</v>
      </c>
      <c r="C825" t="s">
        <v>823</v>
      </c>
      <c r="D825" t="s">
        <v>899</v>
      </c>
      <c r="E825">
        <v>4.7601100529188498</v>
      </c>
      <c r="F825">
        <f>VLOOKUP(C825,'[1]phenotypes-895'!$A$2:$G$896,7,FALSE)</f>
        <v>67</v>
      </c>
      <c r="G825" s="6">
        <v>20</v>
      </c>
    </row>
    <row r="826" spans="1:7" x14ac:dyDescent="0.2">
      <c r="A826">
        <v>825</v>
      </c>
      <c r="B826">
        <v>35</v>
      </c>
      <c r="C826" t="s">
        <v>824</v>
      </c>
      <c r="D826" t="s">
        <v>900</v>
      </c>
      <c r="E826">
        <v>-0.32249737714211901</v>
      </c>
      <c r="F826">
        <f>VLOOKUP(C826,'[1]phenotypes-895'!$A$2:$G$896,7,FALSE)</f>
        <v>63</v>
      </c>
      <c r="G826" s="5"/>
    </row>
    <row r="827" spans="1:7" x14ac:dyDescent="0.2">
      <c r="A827">
        <v>826</v>
      </c>
      <c r="B827">
        <v>49</v>
      </c>
      <c r="C827" t="s">
        <v>825</v>
      </c>
      <c r="D827" t="s">
        <v>899</v>
      </c>
      <c r="E827">
        <v>7.8323748883663402</v>
      </c>
      <c r="F827">
        <f>VLOOKUP(C827,'[1]phenotypes-895'!$A$2:$G$896,7,FALSE)</f>
        <v>98</v>
      </c>
      <c r="G827" s="6">
        <v>5</v>
      </c>
    </row>
    <row r="828" spans="1:7" x14ac:dyDescent="0.2">
      <c r="A828">
        <v>827</v>
      </c>
      <c r="B828">
        <v>50</v>
      </c>
      <c r="C828" t="s">
        <v>826</v>
      </c>
      <c r="D828" t="s">
        <v>899</v>
      </c>
      <c r="E828">
        <v>4.5940198411545197</v>
      </c>
      <c r="F828">
        <f>VLOOKUP(C828,'[1]phenotypes-895'!$A$2:$G$896,7,FALSE)</f>
        <v>98</v>
      </c>
      <c r="G828" s="6">
        <v>30</v>
      </c>
    </row>
    <row r="829" spans="1:7" x14ac:dyDescent="0.2">
      <c r="A829">
        <v>828</v>
      </c>
      <c r="B829">
        <v>42</v>
      </c>
      <c r="C829" t="s">
        <v>827</v>
      </c>
      <c r="D829" t="s">
        <v>899</v>
      </c>
      <c r="E829">
        <v>5.3415872336760604</v>
      </c>
      <c r="F829">
        <f>VLOOKUP(C829,'[1]phenotypes-895'!$A$2:$G$896,7,FALSE)</f>
        <v>98</v>
      </c>
      <c r="G829" s="6">
        <v>20</v>
      </c>
    </row>
    <row r="830" spans="1:7" x14ac:dyDescent="0.2">
      <c r="A830">
        <v>829</v>
      </c>
      <c r="B830">
        <v>42</v>
      </c>
      <c r="C830" t="s">
        <v>828</v>
      </c>
      <c r="D830" t="s">
        <v>899</v>
      </c>
      <c r="E830">
        <v>1.23555834486558</v>
      </c>
      <c r="F830">
        <f>VLOOKUP(C830,'[1]phenotypes-895'!$A$2:$G$896,7,FALSE)</f>
        <v>98</v>
      </c>
      <c r="G830" s="6">
        <v>50</v>
      </c>
    </row>
    <row r="831" spans="1:7" x14ac:dyDescent="0.2">
      <c r="A831">
        <v>830</v>
      </c>
      <c r="B831">
        <v>35</v>
      </c>
      <c r="C831" t="s">
        <v>829</v>
      </c>
      <c r="D831" t="s">
        <v>900</v>
      </c>
      <c r="E831">
        <v>2.3682309139286999</v>
      </c>
      <c r="F831">
        <f>VLOOKUP(C831,'[1]phenotypes-895'!$A$2:$G$896,7,FALSE)</f>
        <v>35</v>
      </c>
      <c r="G831" s="6">
        <v>40</v>
      </c>
    </row>
    <row r="832" spans="1:7" x14ac:dyDescent="0.2">
      <c r="A832">
        <v>831</v>
      </c>
      <c r="B832">
        <v>42</v>
      </c>
      <c r="C832" t="s">
        <v>830</v>
      </c>
      <c r="D832" t="s">
        <v>899</v>
      </c>
      <c r="E832">
        <v>3.3655922090188901</v>
      </c>
      <c r="F832">
        <f>VLOOKUP(C832,'[1]phenotypes-895'!$A$2:$G$896,7,FALSE)</f>
        <v>98</v>
      </c>
      <c r="G832" s="6">
        <v>30</v>
      </c>
    </row>
    <row r="833" spans="1:7" x14ac:dyDescent="0.2">
      <c r="A833">
        <v>832</v>
      </c>
      <c r="B833">
        <v>53</v>
      </c>
      <c r="C833" t="s">
        <v>831</v>
      </c>
      <c r="D833" t="s">
        <v>899</v>
      </c>
      <c r="E833">
        <v>7.1932539676754201</v>
      </c>
      <c r="F833">
        <f>VLOOKUP(C833,'[1]phenotypes-895'!$A$2:$G$896,7,FALSE)</f>
        <v>82</v>
      </c>
      <c r="G833" s="6">
        <v>6</v>
      </c>
    </row>
    <row r="834" spans="1:7" x14ac:dyDescent="0.2">
      <c r="A834">
        <v>833</v>
      </c>
      <c r="B834">
        <v>32</v>
      </c>
      <c r="C834" t="s">
        <v>832</v>
      </c>
      <c r="D834" t="s">
        <v>900</v>
      </c>
      <c r="E834">
        <v>-0.967439176418883</v>
      </c>
      <c r="F834">
        <f>VLOOKUP(C834,'[1]phenotypes-895'!$A$2:$G$896,7,FALSE)</f>
        <v>98</v>
      </c>
      <c r="G834" s="5"/>
    </row>
    <row r="835" spans="1:7" x14ac:dyDescent="0.2">
      <c r="A835">
        <v>834</v>
      </c>
      <c r="B835">
        <v>42</v>
      </c>
      <c r="C835" t="s">
        <v>833</v>
      </c>
      <c r="D835" t="s">
        <v>899</v>
      </c>
      <c r="E835">
        <v>0.40780680856409302</v>
      </c>
      <c r="F835">
        <f>VLOOKUP(C835,'[1]phenotypes-895'!$A$2:$G$896,7,FALSE)</f>
        <v>63</v>
      </c>
    </row>
    <row r="836" spans="1:7" x14ac:dyDescent="0.2">
      <c r="A836">
        <v>835</v>
      </c>
      <c r="B836">
        <v>30</v>
      </c>
      <c r="C836" t="s">
        <v>834</v>
      </c>
      <c r="D836" t="s">
        <v>900</v>
      </c>
      <c r="E836">
        <v>-15.2436902064987</v>
      </c>
      <c r="F836">
        <f>VLOOKUP(C836,'[1]phenotypes-895'!$A$2:$G$896,7,FALSE)</f>
        <v>58</v>
      </c>
    </row>
    <row r="837" spans="1:7" x14ac:dyDescent="0.2">
      <c r="A837">
        <v>836</v>
      </c>
      <c r="B837">
        <v>21</v>
      </c>
      <c r="C837" t="s">
        <v>835</v>
      </c>
      <c r="D837" t="s">
        <v>900</v>
      </c>
      <c r="E837">
        <v>-2.6601511958150099</v>
      </c>
      <c r="F837">
        <f>VLOOKUP(C837,'[1]phenotypes-895'!$A$2:$G$896,7,FALSE)</f>
        <v>98</v>
      </c>
      <c r="G837" s="5"/>
    </row>
    <row r="838" spans="1:7" x14ac:dyDescent="0.2">
      <c r="A838">
        <v>837</v>
      </c>
      <c r="B838">
        <v>47</v>
      </c>
      <c r="C838" t="s">
        <v>836</v>
      </c>
      <c r="D838" t="s">
        <v>899</v>
      </c>
      <c r="E838">
        <v>2.94621128738437</v>
      </c>
      <c r="F838">
        <f>VLOOKUP(C838,'[1]phenotypes-895'!$A$2:$G$896,7,FALSE)</f>
        <v>65</v>
      </c>
      <c r="G838" s="6">
        <v>40</v>
      </c>
    </row>
    <row r="839" spans="1:7" x14ac:dyDescent="0.2">
      <c r="A839">
        <v>838</v>
      </c>
      <c r="B839">
        <v>50</v>
      </c>
      <c r="C839" t="s">
        <v>837</v>
      </c>
      <c r="D839" t="s">
        <v>899</v>
      </c>
      <c r="E839">
        <v>3.5745509590984801</v>
      </c>
      <c r="F839">
        <f>VLOOKUP(C839,'[1]phenotypes-895'!$A$2:$G$896,7,FALSE)</f>
        <v>95</v>
      </c>
      <c r="G839" s="6">
        <v>30</v>
      </c>
    </row>
    <row r="840" spans="1:7" x14ac:dyDescent="0.2">
      <c r="A840">
        <v>839</v>
      </c>
      <c r="B840">
        <v>44</v>
      </c>
      <c r="C840" t="s">
        <v>838</v>
      </c>
      <c r="D840" t="s">
        <v>899</v>
      </c>
      <c r="E840">
        <v>6.6766518615734798</v>
      </c>
      <c r="F840">
        <f>VLOOKUP(C840,'[1]phenotypes-895'!$A$2:$G$896,7,FALSE)</f>
        <v>98</v>
      </c>
      <c r="G840" s="6">
        <v>8</v>
      </c>
    </row>
    <row r="841" spans="1:7" x14ac:dyDescent="0.2">
      <c r="A841">
        <v>840</v>
      </c>
      <c r="B841">
        <v>44</v>
      </c>
      <c r="C841" t="s">
        <v>839</v>
      </c>
      <c r="D841" t="s">
        <v>899</v>
      </c>
      <c r="E841">
        <v>-0.47766331254687899</v>
      </c>
      <c r="F841">
        <f>VLOOKUP(C841,'[1]phenotypes-895'!$A$2:$G$896,7,FALSE)</f>
        <v>98</v>
      </c>
    </row>
    <row r="842" spans="1:7" x14ac:dyDescent="0.2">
      <c r="A842">
        <v>841</v>
      </c>
      <c r="B842">
        <v>49</v>
      </c>
      <c r="C842" t="s">
        <v>840</v>
      </c>
      <c r="D842" t="s">
        <v>899</v>
      </c>
      <c r="E842">
        <v>4.5991893913510902</v>
      </c>
      <c r="F842">
        <f>VLOOKUP(C842,'[1]phenotypes-895'!$A$2:$G$896,7,FALSE)</f>
        <v>98</v>
      </c>
      <c r="G842" s="6">
        <v>30</v>
      </c>
    </row>
    <row r="843" spans="1:7" x14ac:dyDescent="0.2">
      <c r="A843">
        <v>842</v>
      </c>
      <c r="B843">
        <v>31</v>
      </c>
      <c r="C843" t="s">
        <v>841</v>
      </c>
      <c r="D843" t="s">
        <v>900</v>
      </c>
      <c r="E843">
        <v>4.2647639318979698</v>
      </c>
      <c r="F843">
        <f>VLOOKUP(C843,'[1]phenotypes-895'!$A$2:$G$896,7,FALSE)</f>
        <v>98</v>
      </c>
      <c r="G843" s="6">
        <v>30</v>
      </c>
    </row>
    <row r="844" spans="1:7" x14ac:dyDescent="0.2">
      <c r="A844">
        <v>843</v>
      </c>
      <c r="B844">
        <v>30</v>
      </c>
      <c r="C844" t="s">
        <v>842</v>
      </c>
      <c r="D844" t="s">
        <v>900</v>
      </c>
      <c r="E844">
        <v>-1.2387821003180901</v>
      </c>
      <c r="F844">
        <f>VLOOKUP(C844,'[1]phenotypes-895'!$A$2:$G$896,7,FALSE)</f>
        <v>98</v>
      </c>
      <c r="G844" s="5"/>
    </row>
    <row r="845" spans="1:7" x14ac:dyDescent="0.2">
      <c r="A845">
        <v>844</v>
      </c>
      <c r="B845">
        <v>22</v>
      </c>
      <c r="C845" t="s">
        <v>843</v>
      </c>
      <c r="D845" t="s">
        <v>900</v>
      </c>
      <c r="E845">
        <v>-0.966531576488592</v>
      </c>
      <c r="F845">
        <f>VLOOKUP(C845,'[1]phenotypes-895'!$A$2:$G$896,7,FALSE)</f>
        <v>84</v>
      </c>
      <c r="G845" s="5"/>
    </row>
    <row r="846" spans="1:7" x14ac:dyDescent="0.2">
      <c r="A846">
        <v>845</v>
      </c>
      <c r="B846">
        <v>21</v>
      </c>
      <c r="C846" t="s">
        <v>844</v>
      </c>
      <c r="D846" t="s">
        <v>900</v>
      </c>
      <c r="E846">
        <v>-2.6089268392663398</v>
      </c>
      <c r="F846">
        <f>VLOOKUP(C846,'[1]phenotypes-895'!$A$2:$G$896,7,FALSE)</f>
        <v>91</v>
      </c>
      <c r="G846" s="5"/>
    </row>
    <row r="847" spans="1:7" x14ac:dyDescent="0.2">
      <c r="A847">
        <v>846</v>
      </c>
      <c r="B847">
        <v>44</v>
      </c>
      <c r="C847" t="s">
        <v>845</v>
      </c>
      <c r="D847" t="s">
        <v>899</v>
      </c>
      <c r="E847">
        <v>9.5459610746326096</v>
      </c>
      <c r="F847">
        <f>VLOOKUP(C847,'[1]phenotypes-895'!$A$2:$G$896,7,FALSE)</f>
        <v>98</v>
      </c>
      <c r="G847" s="6">
        <v>2</v>
      </c>
    </row>
    <row r="848" spans="1:7" x14ac:dyDescent="0.2">
      <c r="A848">
        <v>847</v>
      </c>
      <c r="B848">
        <v>28</v>
      </c>
      <c r="C848" t="s">
        <v>846</v>
      </c>
      <c r="D848" t="s">
        <v>900</v>
      </c>
      <c r="E848">
        <v>-1.1406173596495499</v>
      </c>
      <c r="F848">
        <f>VLOOKUP(C848,'[1]phenotypes-895'!$A$2:$G$896,7,FALSE)</f>
        <v>74</v>
      </c>
      <c r="G848" s="5"/>
    </row>
    <row r="849" spans="1:7" x14ac:dyDescent="0.2">
      <c r="A849">
        <v>848</v>
      </c>
      <c r="B849">
        <v>49</v>
      </c>
      <c r="C849" t="s">
        <v>847</v>
      </c>
      <c r="D849" t="s">
        <v>899</v>
      </c>
      <c r="E849">
        <v>4.0425941839171902</v>
      </c>
      <c r="F849">
        <f>VLOOKUP(C849,'[1]phenotypes-895'!$A$2:$G$896,7,FALSE)</f>
        <v>98</v>
      </c>
      <c r="G849" s="6">
        <v>30</v>
      </c>
    </row>
    <row r="850" spans="1:7" x14ac:dyDescent="0.2">
      <c r="A850">
        <v>849</v>
      </c>
      <c r="B850">
        <v>48</v>
      </c>
      <c r="C850" t="s">
        <v>848</v>
      </c>
      <c r="D850" t="s">
        <v>899</v>
      </c>
      <c r="E850">
        <v>5.2286651324742701</v>
      </c>
      <c r="F850">
        <f>VLOOKUP(C850,'[1]phenotypes-895'!$A$2:$G$896,7,FALSE)</f>
        <v>98</v>
      </c>
      <c r="G850" s="6">
        <v>20</v>
      </c>
    </row>
    <row r="851" spans="1:7" x14ac:dyDescent="0.2">
      <c r="A851">
        <v>850</v>
      </c>
      <c r="B851">
        <v>22</v>
      </c>
      <c r="C851" t="s">
        <v>849</v>
      </c>
      <c r="D851" t="s">
        <v>900</v>
      </c>
      <c r="E851">
        <v>1.58948486233635</v>
      </c>
      <c r="F851">
        <f>VLOOKUP(C851,'[1]phenotypes-895'!$A$2:$G$896,7,FALSE)</f>
        <v>98</v>
      </c>
      <c r="G851" s="6">
        <v>50</v>
      </c>
    </row>
    <row r="852" spans="1:7" x14ac:dyDescent="0.2">
      <c r="A852">
        <v>851</v>
      </c>
      <c r="B852">
        <v>52</v>
      </c>
      <c r="C852" t="s">
        <v>850</v>
      </c>
      <c r="D852" t="s">
        <v>899</v>
      </c>
      <c r="E852">
        <v>3.5730659714575901</v>
      </c>
      <c r="F852">
        <f>VLOOKUP(C852,'[1]phenotypes-895'!$A$2:$G$896,7,FALSE)</f>
        <v>98</v>
      </c>
      <c r="G852" s="6">
        <v>30</v>
      </c>
    </row>
    <row r="853" spans="1:7" x14ac:dyDescent="0.2">
      <c r="A853">
        <v>852</v>
      </c>
      <c r="B853">
        <v>49</v>
      </c>
      <c r="C853" t="s">
        <v>851</v>
      </c>
      <c r="D853" t="s">
        <v>899</v>
      </c>
      <c r="E853">
        <v>1.50787303431807</v>
      </c>
      <c r="F853">
        <f>VLOOKUP(C853,'[1]phenotypes-895'!$A$2:$G$896,7,FALSE)</f>
        <v>67</v>
      </c>
      <c r="G853" s="6">
        <v>50</v>
      </c>
    </row>
    <row r="854" spans="1:7" x14ac:dyDescent="0.2">
      <c r="A854">
        <v>853</v>
      </c>
      <c r="B854">
        <v>30</v>
      </c>
      <c r="C854" t="s">
        <v>852</v>
      </c>
      <c r="D854" t="s">
        <v>900</v>
      </c>
      <c r="E854">
        <v>-1.04507656171163</v>
      </c>
      <c r="F854">
        <f>VLOOKUP(C854,'[1]phenotypes-895'!$A$2:$G$896,7,FALSE)</f>
        <v>98</v>
      </c>
      <c r="G854" s="5"/>
    </row>
    <row r="855" spans="1:7" x14ac:dyDescent="0.2">
      <c r="A855">
        <v>854</v>
      </c>
      <c r="B855">
        <v>35</v>
      </c>
      <c r="C855" t="s">
        <v>853</v>
      </c>
      <c r="D855" t="s">
        <v>900</v>
      </c>
      <c r="E855">
        <v>2.3272919373280301</v>
      </c>
      <c r="F855">
        <f>VLOOKUP(C855,'[1]phenotypes-895'!$A$2:$G$896,7,FALSE)</f>
        <v>76</v>
      </c>
      <c r="G855" s="6">
        <v>40</v>
      </c>
    </row>
    <row r="856" spans="1:7" x14ac:dyDescent="0.2">
      <c r="A856">
        <v>855</v>
      </c>
      <c r="B856">
        <v>46</v>
      </c>
      <c r="C856" t="s">
        <v>854</v>
      </c>
      <c r="D856" t="s">
        <v>899</v>
      </c>
      <c r="E856">
        <v>4.2734847796354796</v>
      </c>
      <c r="F856">
        <f>VLOOKUP(C856,'[1]phenotypes-895'!$A$2:$G$896,7,FALSE)</f>
        <v>70</v>
      </c>
      <c r="G856" s="6">
        <v>30</v>
      </c>
    </row>
    <row r="857" spans="1:7" x14ac:dyDescent="0.2">
      <c r="A857">
        <v>856</v>
      </c>
      <c r="B857">
        <v>38</v>
      </c>
      <c r="C857" t="s">
        <v>855</v>
      </c>
      <c r="D857" t="s">
        <v>900</v>
      </c>
      <c r="E857">
        <v>8.2516210851032508</v>
      </c>
      <c r="F857">
        <f>VLOOKUP(C857,'[1]phenotypes-895'!$A$2:$G$896,7,FALSE)</f>
        <v>98</v>
      </c>
      <c r="G857" s="6">
        <v>3</v>
      </c>
    </row>
    <row r="858" spans="1:7" x14ac:dyDescent="0.2">
      <c r="A858">
        <v>857</v>
      </c>
      <c r="B858">
        <v>35</v>
      </c>
      <c r="C858" t="s">
        <v>856</v>
      </c>
      <c r="D858" t="s">
        <v>900</v>
      </c>
      <c r="E858">
        <v>0.113983928325714</v>
      </c>
      <c r="F858">
        <f>VLOOKUP(C858,'[1]phenotypes-895'!$A$2:$G$896,7,FALSE)</f>
        <v>71</v>
      </c>
      <c r="G858" s="5"/>
    </row>
    <row r="859" spans="1:7" x14ac:dyDescent="0.2">
      <c r="A859">
        <v>858</v>
      </c>
      <c r="B859">
        <v>32</v>
      </c>
      <c r="C859" t="s">
        <v>857</v>
      </c>
      <c r="D859" t="s">
        <v>900</v>
      </c>
      <c r="E859">
        <v>-0.99692056005684304</v>
      </c>
      <c r="F859">
        <f>VLOOKUP(C859,'[1]phenotypes-895'!$A$2:$G$896,7,FALSE)</f>
        <v>49</v>
      </c>
      <c r="G859" s="5"/>
    </row>
    <row r="860" spans="1:7" x14ac:dyDescent="0.2">
      <c r="A860">
        <v>859</v>
      </c>
      <c r="B860">
        <v>54</v>
      </c>
      <c r="C860" t="s">
        <v>858</v>
      </c>
      <c r="D860" t="s">
        <v>899</v>
      </c>
      <c r="E860">
        <v>1.74091668976545</v>
      </c>
      <c r="F860">
        <f>VLOOKUP(C860,'[1]phenotypes-895'!$A$2:$G$896,7,FALSE)</f>
        <v>67</v>
      </c>
      <c r="G860" s="6">
        <v>50</v>
      </c>
    </row>
    <row r="861" spans="1:7" x14ac:dyDescent="0.2">
      <c r="A861">
        <v>860</v>
      </c>
      <c r="B861">
        <v>36</v>
      </c>
      <c r="C861" t="s">
        <v>859</v>
      </c>
      <c r="D861" t="s">
        <v>900</v>
      </c>
      <c r="E861">
        <v>1.88324505326787</v>
      </c>
      <c r="F861">
        <f>VLOOKUP(C861,'[1]phenotypes-895'!$A$2:$G$896,7,FALSE)</f>
        <v>63</v>
      </c>
      <c r="G861" s="6">
        <v>50</v>
      </c>
    </row>
    <row r="862" spans="1:7" x14ac:dyDescent="0.2">
      <c r="A862">
        <v>861</v>
      </c>
      <c r="B862">
        <v>51</v>
      </c>
      <c r="C862" t="s">
        <v>860</v>
      </c>
      <c r="D862" t="s">
        <v>899</v>
      </c>
      <c r="E862">
        <v>6.1029258918811102</v>
      </c>
      <c r="F862">
        <f>VLOOKUP(C862,'[1]phenotypes-895'!$A$2:$G$896,7,FALSE)</f>
        <v>98</v>
      </c>
      <c r="G862" s="6">
        <v>20</v>
      </c>
    </row>
    <row r="863" spans="1:7" x14ac:dyDescent="0.2">
      <c r="A863">
        <v>862</v>
      </c>
      <c r="B863">
        <v>40</v>
      </c>
      <c r="C863" t="s">
        <v>861</v>
      </c>
      <c r="D863" t="s">
        <v>900</v>
      </c>
      <c r="E863">
        <v>-3.3411199176593098</v>
      </c>
      <c r="F863">
        <f>VLOOKUP(C863,'[1]phenotypes-895'!$A$2:$G$896,7,FALSE)</f>
        <v>63</v>
      </c>
    </row>
    <row r="864" spans="1:7" x14ac:dyDescent="0.2">
      <c r="A864">
        <v>863</v>
      </c>
      <c r="B864">
        <v>31</v>
      </c>
      <c r="C864" t="s">
        <v>862</v>
      </c>
      <c r="D864" t="s">
        <v>900</v>
      </c>
      <c r="E864">
        <v>-0.26427565859968</v>
      </c>
      <c r="F864">
        <f>VLOOKUP(C864,'[1]phenotypes-895'!$A$2:$G$896,7,FALSE)</f>
        <v>68</v>
      </c>
      <c r="G864" s="5"/>
    </row>
    <row r="865" spans="1:7" x14ac:dyDescent="0.2">
      <c r="A865">
        <v>864</v>
      </c>
      <c r="B865">
        <v>50</v>
      </c>
      <c r="C865" t="s">
        <v>863</v>
      </c>
      <c r="D865" t="s">
        <v>899</v>
      </c>
      <c r="E865">
        <v>6.3606398727100899</v>
      </c>
      <c r="F865">
        <f>VLOOKUP(C865,'[1]phenotypes-895'!$A$2:$G$896,7,FALSE)</f>
        <v>77</v>
      </c>
      <c r="G865" s="6">
        <v>10</v>
      </c>
    </row>
    <row r="866" spans="1:7" x14ac:dyDescent="0.2">
      <c r="A866">
        <v>865</v>
      </c>
      <c r="B866">
        <v>32</v>
      </c>
      <c r="C866" t="s">
        <v>864</v>
      </c>
      <c r="D866" t="s">
        <v>900</v>
      </c>
      <c r="E866">
        <v>1.3213944387511201</v>
      </c>
      <c r="F866">
        <f>VLOOKUP(C866,'[1]phenotypes-895'!$A$2:$G$896,7,FALSE)</f>
        <v>71</v>
      </c>
      <c r="G866" s="6">
        <v>50</v>
      </c>
    </row>
    <row r="867" spans="1:7" x14ac:dyDescent="0.2">
      <c r="A867">
        <v>866</v>
      </c>
      <c r="B867">
        <v>42</v>
      </c>
      <c r="C867" t="s">
        <v>865</v>
      </c>
      <c r="D867" t="s">
        <v>899</v>
      </c>
      <c r="E867">
        <v>2.3135715690769398</v>
      </c>
      <c r="F867">
        <f>VLOOKUP(C867,'[1]phenotypes-895'!$A$2:$G$896,7,FALSE)</f>
        <v>48</v>
      </c>
      <c r="G867" s="6">
        <v>40</v>
      </c>
    </row>
    <row r="868" spans="1:7" x14ac:dyDescent="0.2">
      <c r="A868">
        <v>867</v>
      </c>
      <c r="B868">
        <v>50</v>
      </c>
      <c r="C868" t="s">
        <v>866</v>
      </c>
      <c r="D868" t="s">
        <v>899</v>
      </c>
      <c r="E868">
        <v>5.07403963225683</v>
      </c>
      <c r="F868">
        <f>VLOOKUP(C868,'[1]phenotypes-895'!$A$2:$G$896,7,FALSE)</f>
        <v>65</v>
      </c>
      <c r="G868" s="6">
        <v>20</v>
      </c>
    </row>
    <row r="869" spans="1:7" x14ac:dyDescent="0.2">
      <c r="A869">
        <v>868</v>
      </c>
      <c r="B869">
        <v>38</v>
      </c>
      <c r="C869" t="s">
        <v>867</v>
      </c>
      <c r="D869" t="s">
        <v>900</v>
      </c>
      <c r="E869">
        <v>3.3903705236433801</v>
      </c>
      <c r="F869">
        <f>VLOOKUP(C869,'[1]phenotypes-895'!$A$2:$G$896,7,FALSE)</f>
        <v>98</v>
      </c>
      <c r="G869" s="6">
        <v>30</v>
      </c>
    </row>
    <row r="870" spans="1:7" x14ac:dyDescent="0.2">
      <c r="A870">
        <v>869</v>
      </c>
      <c r="B870">
        <v>52</v>
      </c>
      <c r="C870" t="s">
        <v>868</v>
      </c>
      <c r="D870" t="s">
        <v>899</v>
      </c>
      <c r="E870">
        <v>5.7991564765234704</v>
      </c>
      <c r="F870">
        <f>VLOOKUP(C870,'[1]phenotypes-895'!$A$2:$G$896,7,FALSE)</f>
        <v>74</v>
      </c>
      <c r="G870" s="6">
        <v>20</v>
      </c>
    </row>
    <row r="871" spans="1:7" x14ac:dyDescent="0.2">
      <c r="A871">
        <v>870</v>
      </c>
      <c r="B871">
        <v>48</v>
      </c>
      <c r="C871" t="s">
        <v>869</v>
      </c>
      <c r="D871" t="s">
        <v>899</v>
      </c>
      <c r="E871">
        <v>5.92870191912602</v>
      </c>
      <c r="F871">
        <f>VLOOKUP(C871,'[1]phenotypes-895'!$A$2:$G$896,7,FALSE)</f>
        <v>98</v>
      </c>
      <c r="G871" s="6">
        <v>20</v>
      </c>
    </row>
    <row r="872" spans="1:7" x14ac:dyDescent="0.2">
      <c r="A872">
        <v>871</v>
      </c>
      <c r="B872">
        <v>21</v>
      </c>
      <c r="C872" t="s">
        <v>870</v>
      </c>
      <c r="D872" t="s">
        <v>900</v>
      </c>
      <c r="E872">
        <v>-0.206756053727776</v>
      </c>
      <c r="F872">
        <f>VLOOKUP(C872,'[1]phenotypes-895'!$A$2:$G$896,7,FALSE)</f>
        <v>98</v>
      </c>
      <c r="G872" s="5"/>
    </row>
    <row r="873" spans="1:7" x14ac:dyDescent="0.2">
      <c r="A873">
        <v>872</v>
      </c>
      <c r="B873">
        <v>21</v>
      </c>
      <c r="C873" t="s">
        <v>871</v>
      </c>
      <c r="D873" t="s">
        <v>900</v>
      </c>
      <c r="E873">
        <v>-1.54044462965958</v>
      </c>
      <c r="F873">
        <f>VLOOKUP(C873,'[1]phenotypes-895'!$A$2:$G$896,7,FALSE)</f>
        <v>67</v>
      </c>
      <c r="G873" s="5"/>
    </row>
    <row r="874" spans="1:7" x14ac:dyDescent="0.2">
      <c r="A874">
        <v>873</v>
      </c>
      <c r="B874">
        <v>31</v>
      </c>
      <c r="C874" t="s">
        <v>872</v>
      </c>
      <c r="D874" t="s">
        <v>900</v>
      </c>
      <c r="E874">
        <v>2.3798353073545</v>
      </c>
      <c r="F874">
        <f>VLOOKUP(C874,'[1]phenotypes-895'!$A$2:$G$896,7,FALSE)</f>
        <v>98</v>
      </c>
      <c r="G874" s="6">
        <v>40</v>
      </c>
    </row>
    <row r="875" spans="1:7" x14ac:dyDescent="0.2">
      <c r="A875">
        <v>874</v>
      </c>
      <c r="B875">
        <v>50</v>
      </c>
      <c r="C875" t="s">
        <v>873</v>
      </c>
      <c r="D875" t="s">
        <v>899</v>
      </c>
      <c r="E875">
        <v>5.9486851022693896</v>
      </c>
      <c r="F875">
        <f>VLOOKUP(C875,'[1]phenotypes-895'!$A$2:$G$896,7,FALSE)</f>
        <v>80</v>
      </c>
      <c r="G875" s="6">
        <v>20</v>
      </c>
    </row>
    <row r="876" spans="1:7" x14ac:dyDescent="0.2">
      <c r="A876">
        <v>875</v>
      </c>
      <c r="B876">
        <v>26</v>
      </c>
      <c r="C876" t="s">
        <v>874</v>
      </c>
      <c r="D876" t="s">
        <v>900</v>
      </c>
      <c r="E876">
        <v>5.9222067028472898</v>
      </c>
      <c r="F876">
        <f>VLOOKUP(C876,'[1]phenotypes-895'!$A$2:$G$896,7,FALSE)</f>
        <v>98</v>
      </c>
      <c r="G876" s="6">
        <v>20</v>
      </c>
    </row>
    <row r="877" spans="1:7" x14ac:dyDescent="0.2">
      <c r="A877">
        <v>876</v>
      </c>
      <c r="B877">
        <v>38</v>
      </c>
      <c r="C877" t="s">
        <v>875</v>
      </c>
      <c r="D877" t="s">
        <v>900</v>
      </c>
      <c r="E877">
        <v>0.97805499345050495</v>
      </c>
      <c r="F877">
        <f>VLOOKUP(C877,'[1]phenotypes-895'!$A$2:$G$896,7,FALSE)</f>
        <v>65</v>
      </c>
      <c r="G877" s="6">
        <v>50</v>
      </c>
    </row>
    <row r="878" spans="1:7" x14ac:dyDescent="0.2">
      <c r="A878">
        <v>877</v>
      </c>
      <c r="B878">
        <v>48</v>
      </c>
      <c r="C878" t="s">
        <v>876</v>
      </c>
      <c r="D878" t="s">
        <v>899</v>
      </c>
      <c r="E878">
        <v>2.54959036129127</v>
      </c>
      <c r="F878">
        <f>VLOOKUP(C878,'[1]phenotypes-895'!$A$2:$G$896,7,FALSE)</f>
        <v>64</v>
      </c>
      <c r="G878" s="6">
        <v>40</v>
      </c>
    </row>
    <row r="879" spans="1:7" x14ac:dyDescent="0.2">
      <c r="A879">
        <v>878</v>
      </c>
      <c r="B879">
        <v>44</v>
      </c>
      <c r="C879" t="s">
        <v>877</v>
      </c>
      <c r="D879" t="s">
        <v>899</v>
      </c>
      <c r="E879">
        <v>1.57301416789868</v>
      </c>
      <c r="F879">
        <f>VLOOKUP(C879,'[1]phenotypes-895'!$A$2:$G$896,7,FALSE)</f>
        <v>63</v>
      </c>
      <c r="G879" s="6">
        <v>50</v>
      </c>
    </row>
    <row r="880" spans="1:7" x14ac:dyDescent="0.2">
      <c r="A880">
        <v>879</v>
      </c>
      <c r="B880">
        <v>44</v>
      </c>
      <c r="C880" t="s">
        <v>878</v>
      </c>
      <c r="D880" t="s">
        <v>899</v>
      </c>
      <c r="E880">
        <v>2.6350854121468799</v>
      </c>
      <c r="F880">
        <f>VLOOKUP(C880,'[1]phenotypes-895'!$A$2:$G$896,7,FALSE)</f>
        <v>65</v>
      </c>
      <c r="G880" s="6">
        <v>40</v>
      </c>
    </row>
    <row r="881" spans="1:7" x14ac:dyDescent="0.2">
      <c r="A881">
        <v>880</v>
      </c>
      <c r="B881">
        <v>23</v>
      </c>
      <c r="C881" t="s">
        <v>879</v>
      </c>
      <c r="D881" t="s">
        <v>900</v>
      </c>
      <c r="E881">
        <v>-2.7450290249772298</v>
      </c>
      <c r="F881">
        <f>VLOOKUP(C881,'[1]phenotypes-895'!$A$2:$G$896,7,FALSE)</f>
        <v>49</v>
      </c>
    </row>
    <row r="882" spans="1:7" x14ac:dyDescent="0.2">
      <c r="A882">
        <v>881</v>
      </c>
      <c r="B882">
        <v>21</v>
      </c>
      <c r="C882" t="s">
        <v>880</v>
      </c>
      <c r="D882" t="s">
        <v>900</v>
      </c>
      <c r="E882">
        <v>-2.0527391992172501</v>
      </c>
      <c r="F882">
        <f>VLOOKUP(C882,'[1]phenotypes-895'!$A$2:$G$896,7,FALSE)</f>
        <v>63</v>
      </c>
      <c r="G882" s="5"/>
    </row>
    <row r="883" spans="1:7" x14ac:dyDescent="0.2">
      <c r="A883">
        <v>882</v>
      </c>
      <c r="B883">
        <v>54</v>
      </c>
      <c r="C883" t="s">
        <v>881</v>
      </c>
      <c r="D883" t="s">
        <v>899</v>
      </c>
      <c r="E883">
        <v>4.3312216542955202</v>
      </c>
      <c r="F883">
        <f>VLOOKUP(C883,'[1]phenotypes-895'!$A$2:$G$896,7,FALSE)</f>
        <v>98</v>
      </c>
      <c r="G883" s="6">
        <v>30</v>
      </c>
    </row>
    <row r="884" spans="1:7" x14ac:dyDescent="0.2">
      <c r="A884">
        <v>883</v>
      </c>
      <c r="B884">
        <v>54</v>
      </c>
      <c r="C884" t="s">
        <v>882</v>
      </c>
      <c r="D884" t="s">
        <v>899</v>
      </c>
      <c r="E884">
        <v>3.0744504694154302</v>
      </c>
      <c r="F884">
        <f>VLOOKUP(C884,'[1]phenotypes-895'!$A$2:$G$896,7,FALSE)</f>
        <v>98</v>
      </c>
      <c r="G884" s="6">
        <v>40</v>
      </c>
    </row>
    <row r="885" spans="1:7" x14ac:dyDescent="0.2">
      <c r="A885">
        <v>884</v>
      </c>
      <c r="B885">
        <v>50</v>
      </c>
      <c r="C885" t="s">
        <v>883</v>
      </c>
      <c r="D885" t="s">
        <v>899</v>
      </c>
      <c r="E885">
        <v>3.1498324963387301</v>
      </c>
      <c r="F885">
        <f>VLOOKUP(C885,'[1]phenotypes-895'!$A$2:$G$896,7,FALSE)</f>
        <v>63</v>
      </c>
      <c r="G885" s="6">
        <v>40</v>
      </c>
    </row>
    <row r="886" spans="1:7" x14ac:dyDescent="0.2">
      <c r="A886">
        <v>885</v>
      </c>
      <c r="B886">
        <v>44</v>
      </c>
      <c r="C886" t="s">
        <v>884</v>
      </c>
      <c r="D886" t="s">
        <v>899</v>
      </c>
      <c r="E886">
        <v>8.5010245226291001</v>
      </c>
      <c r="F886">
        <f>VLOOKUP(C886,'[1]phenotypes-895'!$A$2:$G$896,7,FALSE)</f>
        <v>98</v>
      </c>
      <c r="G886" s="6">
        <v>3</v>
      </c>
    </row>
    <row r="887" spans="1:7" x14ac:dyDescent="0.2">
      <c r="A887">
        <v>886</v>
      </c>
      <c r="B887">
        <v>28</v>
      </c>
      <c r="C887" t="s">
        <v>885</v>
      </c>
      <c r="D887" t="s">
        <v>900</v>
      </c>
      <c r="E887">
        <v>0.43438377204413903</v>
      </c>
      <c r="F887">
        <f>VLOOKUP(C887,'[1]phenotypes-895'!$A$2:$G$896,7,FALSE)</f>
        <v>63</v>
      </c>
      <c r="G887" s="5"/>
    </row>
    <row r="888" spans="1:7" x14ac:dyDescent="0.2">
      <c r="A888">
        <v>887</v>
      </c>
      <c r="B888">
        <v>40</v>
      </c>
      <c r="C888" t="s">
        <v>886</v>
      </c>
      <c r="D888" t="s">
        <v>900</v>
      </c>
      <c r="E888">
        <v>-2.0394526943098601</v>
      </c>
      <c r="F888">
        <f>VLOOKUP(C888,'[1]phenotypes-895'!$A$2:$G$896,7,FALSE)</f>
        <v>98</v>
      </c>
      <c r="G888" s="5"/>
    </row>
    <row r="889" spans="1:7" x14ac:dyDescent="0.2">
      <c r="A889">
        <v>888</v>
      </c>
      <c r="B889">
        <v>30</v>
      </c>
      <c r="C889" t="s">
        <v>887</v>
      </c>
      <c r="D889" t="s">
        <v>900</v>
      </c>
      <c r="E889">
        <v>-3.7006406661753899</v>
      </c>
      <c r="F889">
        <f>VLOOKUP(C889,'[1]phenotypes-895'!$A$2:$G$896,7,FALSE)</f>
        <v>69</v>
      </c>
    </row>
    <row r="890" spans="1:7" x14ac:dyDescent="0.2">
      <c r="A890">
        <v>889</v>
      </c>
      <c r="B890">
        <v>39</v>
      </c>
      <c r="C890" t="s">
        <v>888</v>
      </c>
      <c r="D890" t="s">
        <v>900</v>
      </c>
      <c r="E890">
        <v>2.6485863768312998</v>
      </c>
      <c r="F890">
        <f>VLOOKUP(C890,'[1]phenotypes-895'!$A$2:$G$896,7,FALSE)</f>
        <v>80</v>
      </c>
      <c r="G890" s="6">
        <v>40</v>
      </c>
    </row>
    <row r="891" spans="1:7" x14ac:dyDescent="0.2">
      <c r="A891">
        <v>890</v>
      </c>
      <c r="B891">
        <v>50</v>
      </c>
      <c r="C891" t="s">
        <v>889</v>
      </c>
      <c r="D891" t="s">
        <v>899</v>
      </c>
      <c r="E891">
        <v>4.7213012868893403</v>
      </c>
      <c r="F891">
        <f>VLOOKUP(C891,'[1]phenotypes-895'!$A$2:$G$896,7,FALSE)</f>
        <v>98</v>
      </c>
      <c r="G891" s="6">
        <v>20</v>
      </c>
    </row>
    <row r="892" spans="1:7" x14ac:dyDescent="0.2">
      <c r="A892">
        <v>891</v>
      </c>
      <c r="B892">
        <v>51</v>
      </c>
      <c r="C892" t="s">
        <v>890</v>
      </c>
      <c r="D892" t="s">
        <v>899</v>
      </c>
      <c r="E892">
        <v>4.7267991545904797</v>
      </c>
      <c r="F892">
        <f>VLOOKUP(C892,'[1]phenotypes-895'!$A$2:$G$896,7,FALSE)</f>
        <v>98</v>
      </c>
      <c r="G892" s="6">
        <v>20</v>
      </c>
    </row>
    <row r="893" spans="1:7" x14ac:dyDescent="0.2">
      <c r="A893">
        <v>892</v>
      </c>
      <c r="B893">
        <v>46</v>
      </c>
      <c r="C893" t="s">
        <v>891</v>
      </c>
      <c r="D893" t="s">
        <v>899</v>
      </c>
      <c r="E893">
        <v>3.1429559357132502</v>
      </c>
      <c r="F893">
        <f>VLOOKUP(C893,'[1]phenotypes-895'!$A$2:$G$896,7,FALSE)</f>
        <v>57</v>
      </c>
      <c r="G893" s="6">
        <v>40</v>
      </c>
    </row>
    <row r="894" spans="1:7" x14ac:dyDescent="0.2">
      <c r="A894">
        <v>893</v>
      </c>
      <c r="B894">
        <v>52</v>
      </c>
      <c r="C894" t="s">
        <v>892</v>
      </c>
      <c r="D894" t="s">
        <v>899</v>
      </c>
      <c r="E894">
        <v>8.2040954938587891</v>
      </c>
      <c r="F894">
        <f>VLOOKUP(C894,'[1]phenotypes-895'!$A$2:$G$896,7,FALSE)</f>
        <v>98</v>
      </c>
      <c r="G894" s="6">
        <v>4</v>
      </c>
    </row>
    <row r="895" spans="1:7" x14ac:dyDescent="0.2">
      <c r="A895">
        <v>894</v>
      </c>
      <c r="B895">
        <v>28</v>
      </c>
      <c r="C895" t="s">
        <v>893</v>
      </c>
      <c r="D895" t="s">
        <v>900</v>
      </c>
      <c r="E895">
        <v>-7.7867104604501503</v>
      </c>
      <c r="F895">
        <f>VLOOKUP(C895,'[1]phenotypes-895'!$A$2:$G$896,7,FALSE)</f>
        <v>98</v>
      </c>
    </row>
    <row r="896" spans="1:7" x14ac:dyDescent="0.2">
      <c r="A896">
        <v>895</v>
      </c>
      <c r="B896">
        <v>50</v>
      </c>
      <c r="C896" t="s">
        <v>894</v>
      </c>
      <c r="D896" t="s">
        <v>899</v>
      </c>
      <c r="E896">
        <v>5.1361798957058298</v>
      </c>
      <c r="F896" s="5">
        <v>98</v>
      </c>
      <c r="G896" s="6">
        <v>20</v>
      </c>
    </row>
  </sheetData>
  <sortState xmlns:xlrd2="http://schemas.microsoft.com/office/spreadsheetml/2017/richdata2" ref="A2:K896">
    <sortCondition ref="A2:A896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a8c4e8-1ecd-4f14-8099-f73482a7adc0}" enabled="0" method="" siteId="{30a8c4e8-1ecd-4f14-8099-f73482a7ad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Mikaeylah Davidson</cp:lastModifiedBy>
  <dcterms:created xsi:type="dcterms:W3CDTF">2024-11-11T01:18:16Z</dcterms:created>
  <dcterms:modified xsi:type="dcterms:W3CDTF">2026-09-22T04:08:45Z</dcterms:modified>
</cp:coreProperties>
</file>