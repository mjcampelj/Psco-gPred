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avidson_m_unimelb_edu_au/Documents/psco/gParamaters/manuscript/data/output/"/>
    </mc:Choice>
  </mc:AlternateContent>
  <xr:revisionPtr revIDLastSave="403" documentId="8_{22404B39-2355-5541-9C30-EA4D930EE649}" xr6:coauthVersionLast="47" xr6:coauthVersionMax="47" xr10:uidLastSave="{E23B4627-F8D5-8F45-8563-AED17825CEF6}"/>
  <bookViews>
    <workbookView xWindow="0" yWindow="760" windowWidth="30240" windowHeight="17560" activeTab="6" xr2:uid="{A67A8B51-8F17-BC40-93AF-C805EFBF62CE}"/>
  </bookViews>
  <sheets>
    <sheet name="Sheet4" sheetId="5" r:id="rId1"/>
    <sheet name="EBVs" sheetId="8" r:id="rId2"/>
    <sheet name="EBV_comparison" sheetId="4" r:id="rId3"/>
    <sheet name="GCTA_EBVs" sheetId="2" r:id="rId4"/>
    <sheet name="ASReml_EBVs" sheetId="3" r:id="rId5"/>
    <sheet name="ASReml_daysSurv" sheetId="6" r:id="rId6"/>
    <sheet name="ASReml_daysSurv (2)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M15" i="7" a="1"/>
  <c r="M15" i="7" s="1"/>
  <c r="L15" i="7"/>
  <c r="G883" i="7"/>
  <c r="M14" i="7" a="1"/>
  <c r="M14" i="7" s="1"/>
  <c r="L14" i="7"/>
  <c r="G884" i="7"/>
  <c r="M13" i="7" a="1"/>
  <c r="M13" i="7" s="1"/>
  <c r="L13" i="7"/>
  <c r="G885" i="7"/>
  <c r="M12" i="7" a="1"/>
  <c r="M12" i="7" s="1"/>
  <c r="L12" i="7"/>
  <c r="G886" i="7"/>
  <c r="M11" i="7" a="1"/>
  <c r="M11" i="7" s="1"/>
  <c r="L11" i="7"/>
  <c r="G887" i="7"/>
  <c r="M10" i="7" a="1"/>
  <c r="M10" i="7" s="1"/>
  <c r="L10" i="7"/>
  <c r="G888" i="7"/>
  <c r="M9" i="7" a="1"/>
  <c r="M9" i="7" s="1"/>
  <c r="L9" i="7"/>
  <c r="G889" i="7"/>
  <c r="M8" i="7" a="1"/>
  <c r="M8" i="7" s="1"/>
  <c r="L8" i="7"/>
  <c r="G890" i="7"/>
  <c r="M7" i="7" a="1"/>
  <c r="M7" i="7" s="1"/>
  <c r="L7" i="7"/>
  <c r="G891" i="7"/>
  <c r="M6" i="7" a="1"/>
  <c r="M6" i="7" s="1"/>
  <c r="L6" i="7"/>
  <c r="G892" i="7"/>
  <c r="M5" i="7" a="1"/>
  <c r="M5" i="7" s="1"/>
  <c r="L5" i="7"/>
  <c r="G893" i="7"/>
  <c r="M4" i="7" a="1"/>
  <c r="M4" i="7" s="1"/>
  <c r="L4" i="7"/>
  <c r="G894" i="7"/>
  <c r="M3" i="7" a="1"/>
  <c r="M3" i="7" s="1"/>
  <c r="L3" i="7"/>
  <c r="G895" i="7"/>
  <c r="M2" i="7" a="1"/>
  <c r="M2" i="7" s="1"/>
  <c r="L2" i="7"/>
  <c r="G896" i="7"/>
  <c r="F436" i="6" l="1"/>
  <c r="F221" i="6"/>
  <c r="F883" i="6"/>
  <c r="F871" i="6"/>
  <c r="F852" i="6"/>
  <c r="F809" i="6"/>
  <c r="F806" i="6"/>
  <c r="F767" i="6"/>
  <c r="F709" i="6"/>
  <c r="F708" i="6"/>
  <c r="F670" i="6"/>
  <c r="F638" i="6"/>
  <c r="F583" i="6"/>
  <c r="F580" i="6"/>
  <c r="F574" i="6"/>
  <c r="F572" i="6"/>
  <c r="F547" i="6"/>
  <c r="F518" i="6"/>
  <c r="F517" i="6"/>
  <c r="F511" i="6"/>
  <c r="F506" i="6"/>
  <c r="F505" i="6"/>
  <c r="F502" i="6"/>
  <c r="F500" i="6"/>
  <c r="F499" i="6"/>
  <c r="F498" i="6"/>
  <c r="F494" i="6"/>
  <c r="F493" i="6"/>
  <c r="F491" i="6"/>
  <c r="F481" i="6"/>
  <c r="F478" i="6"/>
  <c r="F475" i="6"/>
  <c r="F474" i="6"/>
  <c r="F473" i="6"/>
  <c r="F472" i="6"/>
  <c r="F471" i="6"/>
  <c r="F469" i="6"/>
  <c r="F468" i="6"/>
  <c r="F466" i="6"/>
  <c r="F458" i="6"/>
  <c r="F457" i="6"/>
  <c r="F454" i="6"/>
  <c r="F450" i="6"/>
  <c r="F443" i="6"/>
  <c r="F441" i="6"/>
  <c r="F438" i="6"/>
  <c r="F437" i="6"/>
  <c r="F435" i="6"/>
  <c r="F434" i="6"/>
  <c r="F433" i="6"/>
  <c r="F430" i="6"/>
  <c r="F427" i="6"/>
  <c r="F422" i="6"/>
  <c r="F421" i="6"/>
  <c r="F420" i="6"/>
  <c r="F419" i="6"/>
  <c r="F417" i="6"/>
  <c r="F413" i="6"/>
  <c r="F410" i="6"/>
  <c r="F406" i="6"/>
  <c r="F401" i="6"/>
  <c r="F395" i="6"/>
  <c r="F393" i="6"/>
  <c r="F392" i="6"/>
  <c r="F390" i="6"/>
  <c r="F389" i="6"/>
  <c r="F379" i="6"/>
  <c r="F378" i="6"/>
  <c r="F374" i="6"/>
  <c r="F367" i="6"/>
  <c r="F366" i="6"/>
  <c r="F364" i="6"/>
  <c r="F343" i="6"/>
  <c r="F332" i="6"/>
  <c r="F330" i="6"/>
  <c r="F319" i="6"/>
  <c r="F303" i="6"/>
  <c r="F296" i="6"/>
  <c r="F292" i="6"/>
  <c r="F287" i="6"/>
  <c r="F266" i="6"/>
  <c r="F249" i="6"/>
  <c r="F235" i="6"/>
  <c r="F232" i="6"/>
  <c r="F231" i="6"/>
  <c r="F222" i="6"/>
  <c r="F178" i="6"/>
  <c r="F173" i="6"/>
  <c r="F166" i="6"/>
  <c r="F158" i="6"/>
  <c r="F154" i="6"/>
  <c r="F130" i="6"/>
  <c r="F120" i="6"/>
  <c r="F119" i="6"/>
  <c r="F102" i="6"/>
  <c r="F91" i="6"/>
  <c r="F90" i="6"/>
  <c r="F78" i="6"/>
  <c r="F72" i="6"/>
  <c r="F66" i="6"/>
  <c r="F54" i="6"/>
  <c r="F46" i="6"/>
  <c r="F37" i="6"/>
  <c r="F28" i="6"/>
  <c r="F22" i="6"/>
  <c r="F10" i="6"/>
  <c r="F467" i="6"/>
  <c r="F514" i="6"/>
  <c r="F382" i="6"/>
  <c r="F805" i="6"/>
  <c r="F512" i="6"/>
  <c r="F414" i="6"/>
  <c r="F129" i="6"/>
  <c r="F151" i="6"/>
  <c r="F323" i="6"/>
  <c r="F380" i="6"/>
  <c r="F412" i="6"/>
  <c r="F391" i="6"/>
  <c r="F804" i="6"/>
  <c r="F375" i="6"/>
  <c r="F57" i="6"/>
  <c r="F692" i="6"/>
  <c r="F507" i="6"/>
  <c r="F544" i="6"/>
  <c r="F388" i="6"/>
  <c r="F451" i="6"/>
  <c r="F440" i="6"/>
  <c r="F590" i="6"/>
  <c r="F61" i="6"/>
  <c r="F668" i="6"/>
  <c r="F726" i="6"/>
  <c r="F141" i="6"/>
  <c r="F875" i="6"/>
  <c r="F345" i="6"/>
  <c r="F553" i="6"/>
  <c r="F483" i="6"/>
  <c r="F305" i="6"/>
  <c r="F786" i="6"/>
  <c r="F862" i="6"/>
  <c r="F353" i="6"/>
  <c r="F759" i="6"/>
  <c r="F724" i="6"/>
  <c r="F415" i="6"/>
  <c r="F152" i="6"/>
  <c r="F26" i="6"/>
  <c r="F362" i="6"/>
  <c r="F488" i="6"/>
  <c r="F879" i="6"/>
  <c r="F373" i="6"/>
  <c r="F213" i="6"/>
  <c r="F477" i="6"/>
  <c r="F377" i="6"/>
  <c r="F400" i="6"/>
  <c r="F52" i="6"/>
  <c r="F416" i="6"/>
  <c r="F251" i="6"/>
  <c r="F270" i="6"/>
  <c r="F447" i="6"/>
  <c r="F666" i="6"/>
  <c r="F717" i="6"/>
  <c r="F827" i="6"/>
  <c r="F619" i="6"/>
  <c r="F396" i="6"/>
  <c r="F823" i="6"/>
  <c r="F495" i="6"/>
  <c r="F529" i="6"/>
  <c r="F243" i="6"/>
  <c r="F40" i="6"/>
  <c r="F764" i="6"/>
  <c r="F671" i="6"/>
  <c r="F819" i="6"/>
  <c r="F350" i="6"/>
  <c r="F519" i="6"/>
  <c r="F431" i="6"/>
  <c r="F868" i="6"/>
  <c r="F829" i="6"/>
  <c r="F262" i="6"/>
  <c r="F217" i="6"/>
  <c r="F394" i="6"/>
  <c r="F218" i="6"/>
  <c r="F503" i="6"/>
  <c r="F186" i="6"/>
  <c r="F594" i="6"/>
  <c r="F763" i="6"/>
  <c r="F150" i="6"/>
  <c r="F489" i="6"/>
  <c r="F856" i="6"/>
  <c r="F365" i="6"/>
  <c r="F172" i="6"/>
  <c r="F713" i="6"/>
  <c r="F673" i="6"/>
  <c r="F44" i="6"/>
  <c r="F256" i="6"/>
  <c r="F492" i="6"/>
  <c r="F104" i="6"/>
  <c r="F664" i="6"/>
  <c r="F387" i="6"/>
  <c r="F99" i="6"/>
  <c r="F516" i="6"/>
  <c r="F515" i="6"/>
  <c r="F591" i="6"/>
  <c r="F223" i="6"/>
  <c r="F368" i="6"/>
  <c r="F39" i="6"/>
  <c r="F665" i="6"/>
  <c r="F486" i="6"/>
  <c r="F788" i="6"/>
  <c r="F636" i="6"/>
  <c r="F456" i="6"/>
  <c r="F815" i="6"/>
  <c r="F576" i="6"/>
  <c r="F311" i="6"/>
  <c r="F460" i="6"/>
  <c r="F190" i="6"/>
  <c r="F585" i="6"/>
  <c r="F50" i="6"/>
  <c r="F688" i="6"/>
  <c r="F853" i="6"/>
  <c r="F310" i="6"/>
  <c r="F403" i="6"/>
  <c r="F327" i="6"/>
  <c r="F715" i="6"/>
  <c r="F246" i="6"/>
  <c r="F543" i="6"/>
  <c r="F385" i="6"/>
  <c r="F542" i="6"/>
  <c r="F452" i="6"/>
  <c r="F769" i="6"/>
  <c r="F215" i="6"/>
  <c r="F825" i="6"/>
  <c r="F47" i="6"/>
  <c r="F453" i="6"/>
  <c r="F446" i="6"/>
  <c r="F575" i="6"/>
  <c r="F131" i="6"/>
  <c r="F348" i="6"/>
  <c r="F497" i="6"/>
  <c r="F784" i="6"/>
  <c r="F370" i="6"/>
  <c r="F720" i="6"/>
  <c r="F80" i="6"/>
  <c r="F107" i="6"/>
  <c r="F833" i="6"/>
  <c r="F588" i="6"/>
  <c r="F295" i="6"/>
  <c r="F211" i="6"/>
  <c r="F11" i="6"/>
  <c r="F196" i="6"/>
  <c r="F268" i="6"/>
  <c r="F690" i="6"/>
  <c r="F548" i="6"/>
  <c r="F592" i="6"/>
  <c r="F870" i="6"/>
  <c r="F835" i="6"/>
  <c r="F860" i="6"/>
  <c r="F121" i="6"/>
  <c r="F160" i="6"/>
  <c r="F238" i="6"/>
  <c r="F237" i="6"/>
  <c r="F582" i="6"/>
  <c r="F646" i="6"/>
  <c r="F464" i="6"/>
  <c r="F508" i="6"/>
  <c r="F487" i="6"/>
  <c r="F740" i="6"/>
  <c r="F386" i="6"/>
  <c r="F459" i="6"/>
  <c r="F201" i="6"/>
  <c r="F461" i="6"/>
  <c r="F694" i="6"/>
  <c r="F341" i="6"/>
  <c r="F62" i="6"/>
  <c r="F533" i="6"/>
  <c r="F480" i="6"/>
  <c r="F732" i="6"/>
  <c r="F405" i="6"/>
  <c r="F530" i="6"/>
  <c r="F479" i="6"/>
  <c r="F722" i="6"/>
  <c r="F371" i="6"/>
  <c r="F584" i="6"/>
  <c r="F164" i="6"/>
  <c r="F439" i="6"/>
  <c r="F376" i="6"/>
  <c r="F263" i="6"/>
  <c r="F476" i="6"/>
  <c r="F770" i="6"/>
  <c r="F113" i="6"/>
  <c r="F355" i="6"/>
  <c r="F603" i="6"/>
  <c r="F667" i="6"/>
  <c r="F867" i="6"/>
  <c r="F424" i="6"/>
  <c r="F5" i="6"/>
  <c r="F203" i="6"/>
  <c r="F399" i="6"/>
  <c r="F448" i="6"/>
  <c r="F398" i="6"/>
  <c r="F38" i="6"/>
  <c r="F19" i="6"/>
  <c r="F110" i="6"/>
  <c r="F540" i="6"/>
  <c r="F509" i="6"/>
  <c r="F132" i="6"/>
  <c r="F782" i="6"/>
  <c r="F578" i="6"/>
  <c r="F496" i="6"/>
  <c r="F35" i="6"/>
  <c r="F259" i="6"/>
  <c r="F684" i="6"/>
  <c r="F60" i="6"/>
  <c r="F551" i="6"/>
  <c r="F128" i="6"/>
  <c r="F148" i="6"/>
  <c r="F865" i="6"/>
  <c r="F738" i="6"/>
  <c r="F67" i="6"/>
  <c r="F455" i="6"/>
  <c r="F822" i="6"/>
  <c r="F485" i="6"/>
  <c r="F820" i="6"/>
  <c r="F239" i="6"/>
  <c r="F280" i="6"/>
  <c r="F34" i="6"/>
  <c r="F230" i="6"/>
  <c r="F103" i="6"/>
  <c r="F812" i="6"/>
  <c r="F125" i="6"/>
  <c r="F36" i="6"/>
  <c r="F426" i="6"/>
  <c r="F428" i="6"/>
  <c r="F261" i="6"/>
  <c r="F756" i="6"/>
  <c r="F145" i="6"/>
  <c r="F209" i="6"/>
  <c r="F308" i="6"/>
  <c r="F106" i="6"/>
  <c r="F322" i="6"/>
  <c r="F725" i="6"/>
  <c r="F429" i="6"/>
  <c r="F821" i="6"/>
  <c r="F504" i="6"/>
  <c r="F53" i="6"/>
  <c r="F265" i="6"/>
  <c r="F318" i="6"/>
  <c r="F680" i="6"/>
  <c r="F219" i="6"/>
  <c r="F21" i="6"/>
  <c r="F411" i="6"/>
  <c r="F587" i="6"/>
  <c r="F49" i="6"/>
  <c r="F284" i="6"/>
  <c r="F100" i="6"/>
  <c r="F719" i="6"/>
  <c r="F8" i="6"/>
  <c r="F234" i="6"/>
  <c r="F445" i="6"/>
  <c r="F136" i="6"/>
  <c r="F490" i="6"/>
  <c r="F32" i="6"/>
  <c r="F64" i="6"/>
  <c r="F68" i="6"/>
  <c r="F242" i="6"/>
  <c r="F144" i="6"/>
  <c r="F236" i="6"/>
  <c r="F81" i="6"/>
  <c r="F271" i="6"/>
  <c r="F369" i="6"/>
  <c r="F267" i="6"/>
  <c r="F138" i="6"/>
  <c r="F212" i="6"/>
  <c r="F808" i="6"/>
  <c r="F188" i="6"/>
  <c r="F462" i="6"/>
  <c r="F577" i="6"/>
  <c r="F718" i="6"/>
  <c r="F108" i="6"/>
  <c r="F269" i="6"/>
  <c r="F432" i="6"/>
  <c r="F250" i="6"/>
  <c r="F534" i="6"/>
  <c r="F352" i="6"/>
  <c r="F181" i="6"/>
  <c r="F285" i="6"/>
  <c r="F84" i="6"/>
  <c r="F20" i="6"/>
  <c r="F71" i="6"/>
  <c r="F397" i="6"/>
  <c r="F206" i="6"/>
  <c r="F300" i="6"/>
  <c r="F258" i="6"/>
  <c r="F183" i="6"/>
  <c r="F273" i="6"/>
  <c r="F301" i="6"/>
  <c r="F408" i="6"/>
  <c r="F147" i="6"/>
  <c r="F407" i="6"/>
  <c r="F16" i="6"/>
  <c r="F510" i="6"/>
  <c r="F328" i="6"/>
  <c r="F189" i="6"/>
  <c r="F146" i="6"/>
  <c r="F63" i="6"/>
  <c r="F297" i="6"/>
  <c r="F409" i="6"/>
  <c r="F82" i="6"/>
  <c r="F202" i="6"/>
  <c r="F123" i="6"/>
  <c r="F199" i="6"/>
  <c r="F679" i="6"/>
  <c r="F175" i="6"/>
  <c r="F2" i="6"/>
  <c r="F98" i="6"/>
  <c r="F101" i="6"/>
  <c r="F418" i="6"/>
  <c r="F384" i="6"/>
  <c r="F557" i="6"/>
  <c r="F6" i="6"/>
  <c r="F179" i="6"/>
  <c r="F771" i="6"/>
  <c r="F70" i="6"/>
  <c r="F169" i="6"/>
  <c r="F134" i="6"/>
  <c r="F520" i="6"/>
  <c r="F372" i="6"/>
  <c r="F299" i="6"/>
  <c r="F95" i="6"/>
  <c r="F470" i="6"/>
  <c r="F549" i="6"/>
  <c r="F58" i="6"/>
  <c r="F513" i="6"/>
  <c r="F255" i="6"/>
  <c r="F127" i="6"/>
  <c r="F449" i="6"/>
  <c r="F74" i="6"/>
  <c r="F347" i="6"/>
  <c r="F205" i="6"/>
  <c r="F278" i="6"/>
  <c r="F24" i="6"/>
  <c r="F831" i="6"/>
  <c r="F634" i="6"/>
  <c r="F891" i="6"/>
  <c r="F895" i="6"/>
  <c r="F894" i="6"/>
  <c r="F892" i="6"/>
  <c r="F888" i="6"/>
  <c r="F884" i="6"/>
  <c r="F876" i="6"/>
  <c r="F874" i="6"/>
  <c r="F872" i="6"/>
  <c r="F869" i="6"/>
  <c r="F857" i="6"/>
  <c r="F854" i="6"/>
  <c r="F851" i="6"/>
  <c r="F850" i="6"/>
  <c r="F849" i="6"/>
  <c r="F844" i="6"/>
  <c r="F842" i="6"/>
  <c r="F841" i="6"/>
  <c r="F840" i="6"/>
  <c r="F837" i="6"/>
  <c r="F832" i="6"/>
  <c r="F830" i="6"/>
  <c r="F828" i="6"/>
  <c r="F811" i="6"/>
  <c r="F801" i="6"/>
  <c r="F800" i="6"/>
  <c r="F798" i="6"/>
  <c r="F796" i="6"/>
  <c r="F795" i="6"/>
  <c r="F793" i="6"/>
  <c r="F792" i="6"/>
  <c r="F791" i="6"/>
  <c r="F790" i="6"/>
  <c r="F789" i="6"/>
  <c r="F787" i="6"/>
  <c r="F781" i="6"/>
  <c r="F778" i="6"/>
  <c r="F776" i="6"/>
  <c r="F775" i="6"/>
  <c r="F772" i="6"/>
  <c r="F762" i="6"/>
  <c r="F760" i="6"/>
  <c r="F758" i="6"/>
  <c r="F755" i="6"/>
  <c r="F752" i="6"/>
  <c r="F751" i="6"/>
  <c r="F750" i="6"/>
  <c r="F749" i="6"/>
  <c r="F748" i="6"/>
  <c r="F747" i="6"/>
  <c r="F744" i="6"/>
  <c r="F743" i="6"/>
  <c r="F742" i="6"/>
  <c r="F741" i="6"/>
  <c r="F737" i="6"/>
  <c r="F727" i="6"/>
  <c r="F716" i="6"/>
  <c r="F714" i="6"/>
  <c r="F712" i="6"/>
  <c r="F710" i="6"/>
  <c r="F703" i="6"/>
  <c r="F701" i="6"/>
  <c r="F699" i="6"/>
  <c r="F698" i="6"/>
  <c r="F697" i="6"/>
  <c r="F695" i="6"/>
  <c r="F693" i="6"/>
  <c r="F681" i="6"/>
  <c r="F677" i="6"/>
  <c r="F676" i="6"/>
  <c r="F672" i="6"/>
  <c r="F663" i="6"/>
  <c r="F662" i="6"/>
  <c r="F661" i="6"/>
  <c r="F660" i="6"/>
  <c r="F659" i="6"/>
  <c r="F655" i="6"/>
  <c r="F654" i="6"/>
  <c r="F653" i="6"/>
  <c r="F651" i="6"/>
  <c r="F650" i="6"/>
  <c r="F649" i="6"/>
  <c r="F645" i="6"/>
  <c r="F644" i="6"/>
  <c r="F642" i="6"/>
  <c r="F626" i="6"/>
  <c r="F624" i="6"/>
  <c r="F623" i="6"/>
  <c r="F620" i="6"/>
  <c r="F618" i="6"/>
  <c r="F616" i="6"/>
  <c r="F615" i="6"/>
  <c r="F614" i="6"/>
  <c r="F612" i="6"/>
  <c r="F608" i="6"/>
  <c r="F607" i="6"/>
  <c r="F606" i="6"/>
  <c r="F604" i="6"/>
  <c r="F602" i="6"/>
  <c r="F600" i="6"/>
  <c r="F598" i="6"/>
  <c r="F597" i="6"/>
  <c r="F596" i="6"/>
  <c r="F579" i="6"/>
  <c r="F573" i="6"/>
  <c r="F570" i="6"/>
  <c r="F569" i="6"/>
  <c r="F568" i="6"/>
  <c r="F566" i="6"/>
  <c r="F564" i="6"/>
  <c r="F563" i="6"/>
  <c r="F562" i="6"/>
  <c r="F560" i="6"/>
  <c r="F558" i="6"/>
  <c r="F556" i="6"/>
  <c r="F554" i="6"/>
  <c r="F550" i="6"/>
  <c r="F539" i="6"/>
  <c r="F536" i="6"/>
  <c r="F527" i="6"/>
  <c r="F525" i="6"/>
  <c r="F482" i="6"/>
  <c r="F465" i="6"/>
  <c r="F444" i="6"/>
  <c r="F442" i="6"/>
  <c r="F425" i="6"/>
  <c r="F402" i="6"/>
  <c r="F381" i="6"/>
  <c r="F363" i="6"/>
  <c r="F361" i="6"/>
  <c r="F356" i="6"/>
  <c r="F344" i="6"/>
  <c r="F337" i="6"/>
  <c r="F324" i="6"/>
  <c r="F316" i="6"/>
  <c r="F315" i="6"/>
  <c r="F309" i="6"/>
  <c r="F294" i="6"/>
  <c r="F282" i="6"/>
  <c r="F277" i="6"/>
  <c r="F275" i="6"/>
  <c r="F272" i="6"/>
  <c r="F248" i="6"/>
  <c r="F245" i="6"/>
  <c r="F241" i="6"/>
  <c r="F228" i="6"/>
  <c r="F227" i="6"/>
  <c r="F225" i="6"/>
  <c r="F224" i="6"/>
  <c r="F220" i="6"/>
  <c r="F216" i="6"/>
  <c r="F210" i="6"/>
  <c r="F200" i="6"/>
  <c r="F198" i="6"/>
  <c r="F194" i="6"/>
  <c r="F193" i="6"/>
  <c r="F180" i="6"/>
  <c r="F174" i="6"/>
  <c r="F171" i="6"/>
  <c r="F161" i="6"/>
  <c r="F149" i="6"/>
  <c r="F143" i="6"/>
  <c r="F137" i="6"/>
  <c r="F135" i="6"/>
  <c r="F122" i="6"/>
  <c r="F116" i="6"/>
  <c r="F114" i="6"/>
  <c r="F112" i="6"/>
  <c r="F109" i="6"/>
  <c r="F92" i="6"/>
  <c r="F86" i="6"/>
  <c r="F51" i="6"/>
  <c r="F29" i="6"/>
  <c r="F17" i="6"/>
  <c r="F14" i="6"/>
  <c r="F691" i="6"/>
  <c r="F735" i="6"/>
  <c r="F704" i="6"/>
  <c r="F847" i="6"/>
  <c r="F834" i="6"/>
  <c r="F290" i="6"/>
  <c r="F117" i="6"/>
  <c r="F244" i="6"/>
  <c r="F523" i="6"/>
  <c r="F561" i="6"/>
  <c r="F657" i="6"/>
  <c r="F794" i="6"/>
  <c r="F177" i="6"/>
  <c r="F349" i="6"/>
  <c r="F839" i="6"/>
  <c r="F843" i="6"/>
  <c r="F254" i="6"/>
  <c r="F571" i="6"/>
  <c r="F721" i="6"/>
  <c r="F610" i="6"/>
  <c r="F609" i="6"/>
  <c r="F140" i="6"/>
  <c r="F87" i="6"/>
  <c r="F93" i="6"/>
  <c r="F622" i="6"/>
  <c r="F785" i="6"/>
  <c r="F886" i="6"/>
  <c r="F306" i="6"/>
  <c r="F730" i="6"/>
  <c r="F797" i="6"/>
  <c r="F728" i="6"/>
  <c r="F836" i="6"/>
  <c r="F97" i="6"/>
  <c r="F118" i="6"/>
  <c r="F746" i="6"/>
  <c r="F286" i="6"/>
  <c r="F802" i="6"/>
  <c r="F9" i="6"/>
  <c r="F779" i="6"/>
  <c r="F814" i="6"/>
  <c r="F302" i="6"/>
  <c r="F18" i="6"/>
  <c r="F321" i="6"/>
  <c r="F621" i="6"/>
  <c r="F293" i="6"/>
  <c r="F745" i="6"/>
  <c r="F555" i="6"/>
  <c r="F73" i="6"/>
  <c r="F545" i="6"/>
  <c r="F630" i="6"/>
  <c r="F702" i="6"/>
  <c r="F111" i="6"/>
  <c r="F162" i="6"/>
  <c r="F777" i="6"/>
  <c r="F567" i="6"/>
  <c r="F595" i="6"/>
  <c r="F757" i="6"/>
  <c r="F647" i="6"/>
  <c r="F733" i="6"/>
  <c r="F707" i="6"/>
  <c r="F889" i="6"/>
  <c r="F780" i="6"/>
  <c r="F79" i="6"/>
  <c r="F264" i="6"/>
  <c r="F855" i="6"/>
  <c r="F197" i="6"/>
  <c r="F404" i="6"/>
  <c r="F824" i="6"/>
  <c r="F77" i="6"/>
  <c r="F27" i="6"/>
  <c r="F85" i="6"/>
  <c r="F617" i="6"/>
  <c r="F260" i="6"/>
  <c r="F734" i="6"/>
  <c r="F640" i="6"/>
  <c r="F885" i="6"/>
  <c r="F658" i="6"/>
  <c r="F848" i="6"/>
  <c r="F187" i="6"/>
  <c r="F192" i="6"/>
  <c r="F729" i="6"/>
  <c r="F817" i="6"/>
  <c r="F65" i="6"/>
  <c r="F753" i="6"/>
  <c r="F340" i="6"/>
  <c r="F168" i="6"/>
  <c r="F304" i="6"/>
  <c r="F383" i="6"/>
  <c r="F346" i="6"/>
  <c r="F526" i="6"/>
  <c r="F723" i="6"/>
  <c r="F678" i="6"/>
  <c r="F538" i="6"/>
  <c r="F682" i="6"/>
  <c r="F170" i="6"/>
  <c r="F257" i="6"/>
  <c r="F846" i="6"/>
  <c r="F105" i="6"/>
  <c r="F643" i="6"/>
  <c r="F652" i="6"/>
  <c r="F229" i="6"/>
  <c r="F133" i="6"/>
  <c r="F325" i="6"/>
  <c r="F167" i="6"/>
  <c r="F338" i="6"/>
  <c r="F351" i="6"/>
  <c r="F866" i="6"/>
  <c r="F613" i="6"/>
  <c r="F845" i="6"/>
  <c r="F157" i="6"/>
  <c r="F863" i="6"/>
  <c r="F565" i="6"/>
  <c r="F115" i="6"/>
  <c r="F589" i="6"/>
  <c r="F687" i="6"/>
  <c r="F766" i="6"/>
  <c r="F253" i="6"/>
  <c r="F96" i="6"/>
  <c r="F890" i="6"/>
  <c r="F45" i="6"/>
  <c r="F774" i="6"/>
  <c r="F816" i="6"/>
  <c r="F59" i="6"/>
  <c r="F184" i="6"/>
  <c r="F877" i="6"/>
  <c r="F274" i="6"/>
  <c r="F43" i="6"/>
  <c r="F176" i="6"/>
  <c r="F754" i="6"/>
  <c r="F4" i="6"/>
  <c r="F601" i="6"/>
  <c r="F298" i="6"/>
  <c r="F195" i="6"/>
  <c r="F31" i="6"/>
  <c r="F89" i="6"/>
  <c r="F635" i="6"/>
  <c r="F124" i="6"/>
  <c r="F531" i="6"/>
  <c r="F279" i="6"/>
  <c r="F521" i="6"/>
  <c r="F706" i="6"/>
  <c r="F535" i="6"/>
  <c r="F593" i="6"/>
  <c r="F818" i="6"/>
  <c r="F768" i="6"/>
  <c r="F675" i="6"/>
  <c r="F674" i="6"/>
  <c r="F23" i="6"/>
  <c r="F731" i="6"/>
  <c r="F317" i="6"/>
  <c r="F155" i="6"/>
  <c r="F83" i="6"/>
  <c r="F599" i="6"/>
  <c r="F541" i="6"/>
  <c r="F683" i="6"/>
  <c r="F696" i="6"/>
  <c r="F537" i="6"/>
  <c r="F204" i="6"/>
  <c r="F552" i="6"/>
  <c r="F807" i="6"/>
  <c r="F48" i="6"/>
  <c r="F423" i="6"/>
  <c r="F307" i="6"/>
  <c r="F803" i="6"/>
  <c r="F631" i="6"/>
  <c r="F163" i="6"/>
  <c r="F625" i="6"/>
  <c r="F629" i="6"/>
  <c r="F252" i="6"/>
  <c r="F873" i="6"/>
  <c r="F633" i="6"/>
  <c r="F524" i="6"/>
  <c r="F581" i="6"/>
  <c r="F336" i="6"/>
  <c r="F75" i="6"/>
  <c r="F826" i="6"/>
  <c r="F838" i="6"/>
  <c r="F335" i="6"/>
  <c r="F859" i="6"/>
  <c r="F33" i="6"/>
  <c r="F632" i="6"/>
  <c r="F359" i="6"/>
  <c r="F339" i="6"/>
  <c r="F153" i="6"/>
  <c r="F878" i="6"/>
  <c r="F94" i="6"/>
  <c r="F799" i="6"/>
  <c r="F656" i="6"/>
  <c r="F546" i="6"/>
  <c r="F30" i="6"/>
  <c r="F463" i="6"/>
  <c r="F648" i="6"/>
  <c r="F685" i="6"/>
  <c r="F329" i="6"/>
  <c r="F887" i="6"/>
  <c r="F705" i="6"/>
  <c r="F156" i="6"/>
  <c r="F484" i="6"/>
  <c r="F813" i="6"/>
  <c r="F864" i="6"/>
  <c r="F611" i="6"/>
  <c r="F226" i="6"/>
  <c r="F291" i="6"/>
  <c r="F42" i="6"/>
  <c r="F586" i="6"/>
  <c r="F639" i="6"/>
  <c r="F627" i="6"/>
  <c r="F528" i="6"/>
  <c r="F15" i="6"/>
  <c r="F628" i="6"/>
  <c r="F208" i="6"/>
  <c r="F313" i="6"/>
  <c r="F7" i="6"/>
  <c r="F700" i="6"/>
  <c r="F55" i="6"/>
  <c r="F126" i="6"/>
  <c r="F689" i="6"/>
  <c r="F165" i="6"/>
  <c r="F207" i="6"/>
  <c r="F893" i="6"/>
  <c r="F880" i="6"/>
  <c r="F882" i="6"/>
  <c r="F182" i="6"/>
  <c r="F76" i="6"/>
  <c r="F276" i="6"/>
  <c r="F736" i="6"/>
  <c r="F3" i="6"/>
  <c r="F233" i="6"/>
  <c r="F69" i="6"/>
  <c r="F12" i="6"/>
  <c r="F605" i="6"/>
  <c r="F559" i="6"/>
  <c r="F501" i="6"/>
  <c r="F637" i="6"/>
  <c r="F669" i="6"/>
  <c r="F858" i="6"/>
  <c r="F334" i="6"/>
  <c r="F686" i="6"/>
  <c r="F711" i="6"/>
  <c r="F214" i="6"/>
  <c r="F765" i="6"/>
  <c r="F88" i="6"/>
  <c r="F142" i="6"/>
  <c r="F247" i="6"/>
  <c r="F783" i="6"/>
  <c r="F810" i="6"/>
  <c r="F773" i="6"/>
  <c r="F358" i="6"/>
  <c r="F13" i="6"/>
  <c r="F320" i="6"/>
  <c r="F861" i="6"/>
  <c r="F289" i="6"/>
  <c r="F641" i="6"/>
  <c r="F139" i="6"/>
  <c r="F354" i="6"/>
  <c r="F360" i="6"/>
  <c r="F56" i="6"/>
  <c r="F41" i="6"/>
  <c r="F357" i="6"/>
  <c r="F761" i="6"/>
  <c r="F191" i="6"/>
  <c r="F314" i="6"/>
  <c r="F185" i="6"/>
  <c r="F281" i="6"/>
  <c r="F159" i="6"/>
  <c r="F342" i="6"/>
  <c r="F283" i="6"/>
  <c r="F326" i="6"/>
  <c r="F522" i="6"/>
  <c r="F240" i="6"/>
  <c r="F739" i="6"/>
  <c r="F881" i="6"/>
  <c r="F288" i="6"/>
  <c r="F333" i="6"/>
  <c r="F331" i="6"/>
  <c r="F312" i="6"/>
  <c r="F25" i="6"/>
  <c r="F532" i="6"/>
  <c r="I309" i="3"/>
  <c r="I382" i="3"/>
  <c r="I886" i="3"/>
  <c r="I773" i="3"/>
  <c r="I811" i="3"/>
  <c r="I875" i="3"/>
  <c r="I542" i="3"/>
  <c r="I595" i="3"/>
  <c r="I509" i="3"/>
  <c r="I779" i="3"/>
  <c r="I822" i="3"/>
  <c r="I819" i="3"/>
  <c r="I252" i="3"/>
  <c r="I735" i="3"/>
  <c r="I647" i="3"/>
  <c r="I415" i="3"/>
  <c r="I590" i="3"/>
  <c r="I885" i="3"/>
  <c r="I855" i="3"/>
  <c r="I421" i="3"/>
  <c r="I580" i="3"/>
  <c r="I892" i="3"/>
  <c r="I851" i="3"/>
  <c r="I593" i="3"/>
  <c r="I839" i="3"/>
  <c r="I207" i="3"/>
  <c r="I563" i="3"/>
  <c r="I806" i="3"/>
  <c r="I670" i="3"/>
  <c r="I840" i="3"/>
  <c r="I574" i="3"/>
  <c r="I895" i="3"/>
  <c r="I583" i="3"/>
  <c r="I720" i="3"/>
  <c r="I72" i="3"/>
  <c r="I807" i="3"/>
  <c r="I648" i="3"/>
  <c r="I715" i="3"/>
  <c r="I646" i="3"/>
  <c r="I678" i="3"/>
  <c r="I467" i="3"/>
  <c r="I698" i="3"/>
  <c r="I547" i="3"/>
  <c r="I167" i="3"/>
  <c r="I229" i="3"/>
  <c r="I617" i="3"/>
  <c r="I777" i="3"/>
  <c r="I848" i="3"/>
  <c r="I621" i="3"/>
  <c r="I558" i="3"/>
  <c r="I731" i="3"/>
  <c r="I280" i="3"/>
  <c r="I727" i="3"/>
  <c r="I816" i="3"/>
  <c r="I717" i="3"/>
  <c r="I880" i="3"/>
  <c r="I685" i="3"/>
  <c r="I854" i="3"/>
  <c r="I453" i="3"/>
  <c r="I874" i="3"/>
  <c r="I827" i="3"/>
  <c r="I755" i="3"/>
  <c r="I866" i="3"/>
  <c r="I494" i="3"/>
  <c r="I872" i="3"/>
  <c r="I814" i="3"/>
  <c r="I799" i="3"/>
  <c r="I891" i="3"/>
  <c r="I736" i="3"/>
  <c r="I752" i="3"/>
  <c r="I378" i="3"/>
  <c r="I883" i="3"/>
  <c r="I596" i="3"/>
  <c r="I641" i="3"/>
  <c r="I348" i="3"/>
  <c r="I326" i="3"/>
  <c r="I867" i="3"/>
  <c r="I362" i="3"/>
  <c r="I719" i="3"/>
  <c r="I476" i="3"/>
  <c r="I606" i="3"/>
  <c r="I737" i="3"/>
  <c r="I239" i="3"/>
  <c r="I169" i="3"/>
  <c r="I33" i="3"/>
  <c r="I483" i="3"/>
  <c r="I131" i="3"/>
  <c r="I383" i="3"/>
  <c r="I269" i="3"/>
  <c r="I552" i="3"/>
  <c r="I691" i="3"/>
  <c r="I631" i="3"/>
  <c r="I705" i="3"/>
  <c r="I776" i="3"/>
  <c r="I7" i="3"/>
  <c r="I762" i="3"/>
  <c r="I619" i="3"/>
  <c r="I620" i="3"/>
  <c r="I817" i="3"/>
  <c r="I347" i="3"/>
  <c r="I625" i="3"/>
  <c r="I800" i="3"/>
  <c r="I460" i="3"/>
  <c r="I882" i="3"/>
  <c r="I626" i="3"/>
  <c r="I829" i="3"/>
  <c r="I409" i="3"/>
  <c r="I865" i="3"/>
  <c r="I745" i="3"/>
  <c r="I522" i="3"/>
  <c r="I860" i="3"/>
  <c r="I599" i="3"/>
  <c r="I893" i="3"/>
  <c r="I760" i="3"/>
  <c r="I214" i="3"/>
  <c r="I76" i="3"/>
  <c r="I204" i="3"/>
  <c r="I270" i="3"/>
  <c r="I554" i="3"/>
  <c r="I12" i="3"/>
  <c r="I699" i="3"/>
  <c r="I499" i="3"/>
  <c r="I881" i="3"/>
  <c r="I743" i="3"/>
  <c r="I787" i="3"/>
  <c r="I557" i="3"/>
  <c r="I117" i="3"/>
  <c r="I835" i="3"/>
  <c r="I525" i="3"/>
  <c r="I820" i="3"/>
  <c r="I665" i="3"/>
  <c r="I695" i="3"/>
  <c r="I230" i="3"/>
  <c r="I861" i="3"/>
  <c r="I671" i="3"/>
  <c r="I669" i="3"/>
  <c r="I707" i="3"/>
  <c r="I20" i="3"/>
  <c r="I668" i="3"/>
  <c r="I871" i="3"/>
  <c r="I215" i="3"/>
  <c r="I824" i="3"/>
  <c r="I706" i="3"/>
  <c r="I887" i="3"/>
  <c r="I650" i="3"/>
  <c r="I753" i="3"/>
  <c r="I633" i="3"/>
  <c r="I741" i="3"/>
  <c r="I852" i="3"/>
  <c r="I203" i="3"/>
  <c r="I859" i="3"/>
  <c r="I783" i="3"/>
  <c r="I812" i="3"/>
  <c r="I869" i="3"/>
  <c r="I622" i="3"/>
  <c r="I585" i="3"/>
  <c r="I704" i="3"/>
  <c r="I496" i="3"/>
  <c r="I609" i="3"/>
  <c r="I65" i="3"/>
  <c r="I765" i="3"/>
  <c r="I500" i="3"/>
  <c r="I664" i="3"/>
  <c r="I190" i="3"/>
  <c r="I519" i="3"/>
  <c r="I427" i="3"/>
  <c r="I526" i="3"/>
  <c r="I759" i="3"/>
  <c r="I188" i="3"/>
  <c r="I261" i="3"/>
  <c r="I210" i="3"/>
  <c r="I411" i="3"/>
  <c r="I604" i="3"/>
  <c r="I644" i="3"/>
  <c r="I709" i="3"/>
  <c r="I308" i="3"/>
  <c r="I393" i="3"/>
  <c r="I821" i="3"/>
  <c r="I689" i="3"/>
  <c r="I784" i="3"/>
  <c r="I684" i="3"/>
  <c r="I789" i="3"/>
  <c r="I758" i="3"/>
  <c r="I823" i="3"/>
  <c r="I857" i="3"/>
  <c r="I694" i="3"/>
  <c r="I461" i="3"/>
  <c r="I889" i="3"/>
  <c r="I815" i="3"/>
  <c r="I793" i="3"/>
  <c r="I192" i="3"/>
  <c r="I587" i="3"/>
  <c r="I771" i="3"/>
  <c r="I804" i="3"/>
  <c r="I894" i="3"/>
  <c r="I640" i="3"/>
  <c r="I878" i="3"/>
  <c r="I645" i="3"/>
  <c r="I813" i="3"/>
  <c r="I594" i="3"/>
  <c r="I588" i="3"/>
  <c r="I281" i="3"/>
  <c r="I831" i="3"/>
  <c r="I624" i="3"/>
  <c r="I323" i="3"/>
  <c r="I761" i="3"/>
  <c r="I520" i="3"/>
  <c r="I2" i="3"/>
  <c r="I105" i="3"/>
  <c r="I837" i="3"/>
  <c r="I318" i="3"/>
  <c r="I863" i="3"/>
  <c r="I528" i="3"/>
  <c r="I452" i="3"/>
  <c r="I153" i="3"/>
  <c r="I549" i="3"/>
  <c r="I511" i="3"/>
  <c r="I662" i="3"/>
  <c r="I361" i="3"/>
  <c r="I225" i="3"/>
  <c r="I413" i="3"/>
  <c r="I536" i="3"/>
  <c r="I109" i="3"/>
  <c r="I555" i="3"/>
  <c r="I149" i="3"/>
  <c r="I601" i="3"/>
  <c r="I634" i="3"/>
  <c r="I884" i="3"/>
  <c r="I748" i="3"/>
  <c r="I505" i="3"/>
  <c r="I764" i="3"/>
  <c r="I681" i="3"/>
  <c r="I722" i="3"/>
  <c r="I862" i="3"/>
  <c r="I730" i="3"/>
  <c r="I623" i="3"/>
  <c r="I750" i="3"/>
  <c r="I724" i="3"/>
  <c r="I330" i="3"/>
  <c r="I850" i="3"/>
  <c r="I296" i="3"/>
  <c r="I714" i="3"/>
  <c r="I716" i="3"/>
  <c r="I713" i="3"/>
  <c r="I782" i="3"/>
  <c r="I674" i="3"/>
  <c r="I659" i="3"/>
  <c r="I677" i="3"/>
  <c r="I801" i="3"/>
  <c r="I791" i="3"/>
  <c r="I841" i="3"/>
  <c r="I300" i="3"/>
  <c r="I802" i="3"/>
  <c r="I181" i="3"/>
  <c r="I843" i="3"/>
  <c r="I307" i="3"/>
  <c r="I788" i="3"/>
  <c r="I740" i="3"/>
  <c r="I774" i="3"/>
  <c r="I157" i="3"/>
  <c r="I672" i="3"/>
  <c r="I507" i="3"/>
  <c r="I888" i="3"/>
  <c r="I219" i="3"/>
  <c r="I703" i="3"/>
  <c r="I629" i="3"/>
  <c r="I877" i="3"/>
  <c r="I67" i="3"/>
  <c r="I873" i="3"/>
  <c r="I369" i="3"/>
  <c r="I879" i="3"/>
  <c r="I847" i="3"/>
  <c r="I94" i="3"/>
  <c r="I836" i="3"/>
  <c r="I579" i="3"/>
  <c r="I710" i="3"/>
  <c r="I732" i="3"/>
  <c r="I794" i="3"/>
  <c r="I770" i="3"/>
  <c r="I18" i="3"/>
  <c r="I642" i="3"/>
  <c r="I833" i="3"/>
  <c r="I693" i="3"/>
  <c r="I661" i="3"/>
  <c r="I242" i="3"/>
  <c r="I792" i="3"/>
  <c r="I809" i="3"/>
  <c r="I842" i="3"/>
  <c r="I832" i="3"/>
  <c r="I766" i="3"/>
  <c r="I365" i="3"/>
  <c r="I273" i="3"/>
  <c r="I870" i="3"/>
  <c r="I607" i="3"/>
  <c r="I805" i="3"/>
  <c r="I616" i="3"/>
  <c r="I358" i="3"/>
  <c r="I828" i="3"/>
  <c r="I395" i="3"/>
  <c r="I696" i="3"/>
  <c r="I739" i="3"/>
  <c r="I660" i="3"/>
  <c r="I849" i="3"/>
  <c r="I9" i="3"/>
  <c r="I400" i="3"/>
  <c r="I322" i="3"/>
  <c r="I287" i="3"/>
  <c r="I571" i="3"/>
  <c r="I430" i="3"/>
  <c r="I796" i="3"/>
  <c r="I344" i="3"/>
  <c r="I767" i="3"/>
  <c r="I145" i="3"/>
  <c r="I856" i="3"/>
  <c r="I654" i="3"/>
  <c r="I830" i="3"/>
  <c r="I575" i="3"/>
  <c r="I666" i="3"/>
  <c r="I163" i="3"/>
  <c r="I605" i="3"/>
  <c r="I838" i="3"/>
  <c r="I687" i="3"/>
  <c r="I734" i="3"/>
  <c r="I853" i="3"/>
  <c r="I846" i="3"/>
  <c r="I826" i="3"/>
  <c r="I876" i="3"/>
  <c r="I653" i="3"/>
  <c r="I769" i="3"/>
  <c r="I442" i="3"/>
  <c r="I890" i="3"/>
  <c r="I818" i="3"/>
  <c r="I738" i="3"/>
  <c r="I798" i="3"/>
  <c r="I598" i="3"/>
  <c r="I577" i="3"/>
  <c r="I351" i="3"/>
  <c r="I772" i="3"/>
  <c r="I630" i="3"/>
  <c r="I754" i="3"/>
  <c r="I506" i="3"/>
  <c r="I780" i="3"/>
  <c r="I161" i="3"/>
  <c r="I126" i="3"/>
  <c r="I790" i="3"/>
  <c r="I285" i="3"/>
  <c r="I69" i="3"/>
  <c r="I746" i="3"/>
  <c r="I372" i="3"/>
  <c r="I785" i="3"/>
  <c r="I23" i="3"/>
  <c r="I795" i="3"/>
  <c r="I179" i="3"/>
  <c r="I578" i="3"/>
  <c r="I543" i="3"/>
  <c r="I701" i="3"/>
  <c r="I602" i="3"/>
  <c r="I858" i="3"/>
  <c r="I216" i="3"/>
  <c r="I11" i="3"/>
  <c r="I159" i="3"/>
  <c r="I408" i="3"/>
  <c r="I502" i="3"/>
  <c r="I46" i="3"/>
  <c r="I233" i="3"/>
  <c r="I396" i="3"/>
  <c r="I584" i="3"/>
  <c r="I459" i="3"/>
  <c r="I655" i="3"/>
  <c r="I649" i="3"/>
  <c r="I373" i="3"/>
  <c r="I57" i="3"/>
  <c r="I471" i="3"/>
  <c r="I355" i="3"/>
  <c r="I488" i="3"/>
  <c r="I93" i="3"/>
  <c r="I53" i="3"/>
  <c r="I541" i="3"/>
  <c r="I56" i="3"/>
  <c r="I422" i="3"/>
  <c r="I241" i="3"/>
  <c r="I416" i="3"/>
  <c r="I294" i="3"/>
  <c r="I733" i="3"/>
  <c r="I315" i="3"/>
  <c r="I466" i="3"/>
  <c r="I113" i="3"/>
  <c r="I424" i="3"/>
  <c r="I133" i="3"/>
  <c r="I26" i="3"/>
  <c r="I30" i="3"/>
  <c r="I444" i="3"/>
  <c r="I201" i="3"/>
  <c r="I101" i="3"/>
  <c r="I320" i="3"/>
  <c r="I756" i="3"/>
  <c r="I683" i="3"/>
  <c r="I618" i="3"/>
  <c r="I402" i="3"/>
  <c r="I567" i="3"/>
  <c r="I331" i="3"/>
  <c r="I478" i="3"/>
  <c r="I690" i="3"/>
  <c r="I180" i="3"/>
  <c r="I489" i="3"/>
  <c r="I539" i="3"/>
  <c r="I310" i="3"/>
  <c r="I51" i="3"/>
  <c r="I386" i="3"/>
  <c r="I36" i="3"/>
  <c r="I55" i="3"/>
  <c r="I462" i="3"/>
  <c r="I17" i="3"/>
  <c r="I128" i="3"/>
  <c r="I611" i="3"/>
  <c r="I329" i="3"/>
  <c r="I450" i="3"/>
  <c r="I22" i="3"/>
  <c r="I537" i="3"/>
  <c r="I312" i="3"/>
  <c r="I742" i="3"/>
  <c r="I679" i="3"/>
  <c r="I473" i="3"/>
  <c r="I140" i="3"/>
  <c r="I75" i="3"/>
  <c r="I108" i="3"/>
  <c r="I635" i="3"/>
  <c r="I44" i="3"/>
  <c r="I628" i="3"/>
  <c r="I728" i="3"/>
  <c r="I90" i="3"/>
  <c r="I24" i="3"/>
  <c r="I284" i="3"/>
  <c r="I202" i="3"/>
  <c r="I434" i="3"/>
  <c r="I504" i="3"/>
  <c r="I608" i="3"/>
  <c r="I535" i="3"/>
  <c r="I573" i="3"/>
  <c r="I431" i="3"/>
  <c r="I381" i="3"/>
  <c r="I182" i="3"/>
  <c r="I341" i="3"/>
  <c r="I205" i="3"/>
  <c r="I354" i="3"/>
  <c r="I688" i="3"/>
  <c r="I702" i="3"/>
  <c r="I146" i="3"/>
  <c r="I582" i="3"/>
  <c r="I412" i="3"/>
  <c r="I472" i="3"/>
  <c r="I86" i="3"/>
  <c r="I465" i="3"/>
  <c r="I121" i="3"/>
  <c r="I170" i="3"/>
  <c r="I71" i="3"/>
  <c r="I632" i="3"/>
  <c r="I515" i="3"/>
  <c r="I299" i="3"/>
  <c r="I834" i="3"/>
  <c r="I114" i="3"/>
  <c r="I503" i="3"/>
  <c r="I16" i="3"/>
  <c r="I561" i="3"/>
  <c r="I95" i="3"/>
  <c r="I254" i="3"/>
  <c r="I259" i="3"/>
  <c r="I680" i="3"/>
  <c r="I142" i="3"/>
  <c r="I135" i="3"/>
  <c r="I371" i="3"/>
  <c r="I122" i="3"/>
  <c r="I103" i="3"/>
  <c r="I533" i="3"/>
  <c r="I480" i="3"/>
  <c r="I565" i="3"/>
  <c r="I391" i="3"/>
  <c r="I751" i="3"/>
  <c r="I58" i="3"/>
  <c r="I137" i="3"/>
  <c r="I663" i="3"/>
  <c r="I844" i="3"/>
  <c r="I288" i="3"/>
  <c r="I110" i="3"/>
  <c r="I486" i="3"/>
  <c r="I445" i="3"/>
  <c r="I651" i="3"/>
  <c r="I213" i="3"/>
  <c r="I40" i="3"/>
  <c r="I211" i="3"/>
  <c r="I426" i="3"/>
  <c r="I102" i="3"/>
  <c r="I80" i="3"/>
  <c r="I376" i="3"/>
  <c r="I551" i="3"/>
  <c r="I336" i="3"/>
  <c r="I268" i="3"/>
  <c r="I610" i="3"/>
  <c r="I675" i="3"/>
  <c r="I220" i="3"/>
  <c r="I570" i="3"/>
  <c r="I200" i="3"/>
  <c r="I124" i="3"/>
  <c r="I512" i="3"/>
  <c r="I19" i="3"/>
  <c r="I244" i="3"/>
  <c r="I527" i="3"/>
  <c r="I652" i="3"/>
  <c r="I45" i="3"/>
  <c r="I781" i="3"/>
  <c r="I797" i="3"/>
  <c r="I420" i="3"/>
  <c r="I73" i="3"/>
  <c r="I14" i="3"/>
  <c r="I297" i="3"/>
  <c r="I327" i="3"/>
  <c r="I264" i="3"/>
  <c r="I868" i="3"/>
  <c r="I747" i="3"/>
  <c r="I667" i="3"/>
  <c r="I600" i="3"/>
  <c r="I711" i="3"/>
  <c r="I419" i="3"/>
  <c r="I697" i="3"/>
  <c r="I524" i="3"/>
  <c r="I152" i="3"/>
  <c r="I206" i="3"/>
  <c r="I136" i="3"/>
  <c r="I643" i="3"/>
  <c r="I718" i="3"/>
  <c r="I470" i="3"/>
  <c r="I510" i="3"/>
  <c r="I491" i="3"/>
  <c r="I120" i="3"/>
  <c r="I638" i="3"/>
  <c r="I194" i="3"/>
  <c r="I35" i="3"/>
  <c r="I385" i="3"/>
  <c r="I143" i="3"/>
  <c r="I260" i="3"/>
  <c r="I384" i="3"/>
  <c r="I13" i="3"/>
  <c r="I31" i="3"/>
  <c r="I864" i="3"/>
  <c r="I374" i="3"/>
  <c r="I104" i="3"/>
  <c r="I118" i="3"/>
  <c r="I154" i="3"/>
  <c r="I314" i="3"/>
  <c r="I723" i="3"/>
  <c r="I530" i="3"/>
  <c r="I394" i="3"/>
  <c r="I346" i="3"/>
  <c r="I282" i="3"/>
  <c r="I786" i="3"/>
  <c r="I266" i="3"/>
  <c r="I255" i="3"/>
  <c r="I325" i="3"/>
  <c r="I100" i="3"/>
  <c r="I223" i="3"/>
  <c r="I283" i="3"/>
  <c r="I613" i="3"/>
  <c r="I92" i="3"/>
  <c r="I569" i="3"/>
  <c r="I350" i="3"/>
  <c r="I138" i="3"/>
  <c r="I343" i="3"/>
  <c r="I155" i="3"/>
  <c r="I61" i="3"/>
  <c r="I119" i="3"/>
  <c r="I349" i="3"/>
  <c r="I48" i="3"/>
  <c r="I523" i="3"/>
  <c r="I464" i="3"/>
  <c r="I356" i="3"/>
  <c r="I440" i="3"/>
  <c r="I553" i="3"/>
  <c r="I274" i="3"/>
  <c r="I656" i="3"/>
  <c r="I328" i="3"/>
  <c r="I278" i="3"/>
  <c r="I403" i="3"/>
  <c r="I196" i="3"/>
  <c r="I498" i="3"/>
  <c r="I112" i="3"/>
  <c r="I21" i="3"/>
  <c r="I183" i="3"/>
  <c r="I125" i="3"/>
  <c r="I267" i="3"/>
  <c r="I88" i="3"/>
  <c r="I5" i="3"/>
  <c r="I160" i="3"/>
  <c r="I469" i="3"/>
  <c r="I162" i="3"/>
  <c r="I276" i="3"/>
  <c r="I566" i="3"/>
  <c r="I437" i="3"/>
  <c r="I4" i="3"/>
  <c r="I54" i="3"/>
  <c r="I458" i="3"/>
  <c r="I501" i="3"/>
  <c r="I43" i="3"/>
  <c r="I232" i="3"/>
  <c r="I83" i="3"/>
  <c r="I237" i="3"/>
  <c r="I352" i="3"/>
  <c r="I164" i="3"/>
  <c r="I96" i="3"/>
  <c r="I401" i="3"/>
  <c r="I359" i="3"/>
  <c r="I712" i="3"/>
  <c r="I316" i="3"/>
  <c r="I116" i="3"/>
  <c r="I236" i="3"/>
  <c r="I397" i="3"/>
  <c r="I392" i="3"/>
  <c r="I446" i="3"/>
  <c r="I546" i="3"/>
  <c r="I272" i="3"/>
  <c r="I176" i="3"/>
  <c r="I586" i="3"/>
  <c r="I251" i="3"/>
  <c r="I379" i="3"/>
  <c r="I435" i="3"/>
  <c r="I166" i="3"/>
  <c r="I603" i="3"/>
  <c r="I576" i="3"/>
  <c r="I84" i="3"/>
  <c r="I339" i="3"/>
  <c r="I263" i="3"/>
  <c r="I778" i="3"/>
  <c r="I195" i="3"/>
  <c r="I115" i="3"/>
  <c r="I534" i="3"/>
  <c r="I508" i="3"/>
  <c r="I243" i="3"/>
  <c r="I367" i="3"/>
  <c r="I404" i="3"/>
  <c r="I749" i="3"/>
  <c r="I178" i="3"/>
  <c r="I481" i="3"/>
  <c r="I197" i="3"/>
  <c r="I49" i="3"/>
  <c r="I425" i="3"/>
  <c r="I238" i="3"/>
  <c r="I290" i="3"/>
  <c r="I518" i="3"/>
  <c r="I175" i="3"/>
  <c r="I301" i="3"/>
  <c r="I636" i="3"/>
  <c r="I433" i="3"/>
  <c r="I168" i="3"/>
  <c r="I82" i="3"/>
  <c r="I333" i="3"/>
  <c r="I447" i="3"/>
  <c r="I474" i="3"/>
  <c r="I186" i="3"/>
  <c r="I8" i="3"/>
  <c r="I97" i="3"/>
  <c r="I10" i="3"/>
  <c r="I111" i="3"/>
  <c r="I156" i="3"/>
  <c r="I405" i="3"/>
  <c r="I399" i="3"/>
  <c r="I497" i="3"/>
  <c r="I87" i="3"/>
  <c r="I332" i="3"/>
  <c r="I62" i="3"/>
  <c r="I448" i="3"/>
  <c r="I66" i="3"/>
  <c r="I174" i="3"/>
  <c r="I572" i="3"/>
  <c r="I768" i="3"/>
  <c r="I78" i="3"/>
  <c r="I357" i="3"/>
  <c r="I193" i="3"/>
  <c r="I597" i="3"/>
  <c r="I407" i="3"/>
  <c r="I165" i="3"/>
  <c r="I38" i="3"/>
  <c r="I291" i="3"/>
  <c r="I208" i="3"/>
  <c r="I729" i="3"/>
  <c r="I676" i="3"/>
  <c r="I387" i="3"/>
  <c r="I37" i="3"/>
  <c r="I418" i="3"/>
  <c r="I139" i="3"/>
  <c r="I342" i="3"/>
  <c r="I477" i="3"/>
  <c r="I42" i="3"/>
  <c r="I222" i="3"/>
  <c r="I568" i="3"/>
  <c r="I107" i="3"/>
  <c r="I490" i="3"/>
  <c r="I177" i="3"/>
  <c r="I147" i="3"/>
  <c r="I487" i="3"/>
  <c r="I91" i="3"/>
  <c r="I227" i="3"/>
  <c r="I258" i="3"/>
  <c r="I240" i="3"/>
  <c r="I757" i="3"/>
  <c r="I286" i="3"/>
  <c r="I390" i="3"/>
  <c r="I27" i="3"/>
  <c r="I106" i="3"/>
  <c r="I32" i="3"/>
  <c r="I532" i="3"/>
  <c r="I85" i="3"/>
  <c r="I47" i="3"/>
  <c r="I231" i="3"/>
  <c r="I550" i="3"/>
  <c r="I375" i="3"/>
  <c r="I34" i="3"/>
  <c r="I224" i="3"/>
  <c r="I319" i="3"/>
  <c r="I234" i="3"/>
  <c r="I456" i="3"/>
  <c r="I368" i="3"/>
  <c r="I406" i="3"/>
  <c r="I74" i="3"/>
  <c r="I657" i="3"/>
  <c r="I275" i="3"/>
  <c r="I39" i="3"/>
  <c r="I79" i="3"/>
  <c r="I324" i="3"/>
  <c r="I428" i="3"/>
  <c r="I293" i="3"/>
  <c r="I417" i="3"/>
  <c r="I334" i="3"/>
  <c r="I68" i="3"/>
  <c r="I340" i="3"/>
  <c r="I627" i="3"/>
  <c r="I64" i="3"/>
  <c r="I612" i="3"/>
  <c r="I559" i="3"/>
  <c r="I562" i="3"/>
  <c r="I423" i="3"/>
  <c r="I218" i="3"/>
  <c r="I265" i="3"/>
  <c r="I248" i="3"/>
  <c r="I725" i="3"/>
  <c r="I134" i="3"/>
  <c r="I221" i="3"/>
  <c r="I151" i="3"/>
  <c r="I6" i="3"/>
  <c r="I289" i="3"/>
  <c r="I77" i="3"/>
  <c r="I495" i="3"/>
  <c r="I439" i="3"/>
  <c r="I353" i="3"/>
  <c r="I15" i="3"/>
  <c r="I277" i="3"/>
  <c r="I89" i="3"/>
  <c r="I60" i="3"/>
  <c r="I25" i="3"/>
  <c r="I763" i="3"/>
  <c r="I591" i="3"/>
  <c r="I682" i="3"/>
  <c r="I217" i="3"/>
  <c r="I191" i="3"/>
  <c r="I692" i="3"/>
  <c r="I212" i="3"/>
  <c r="I257" i="3"/>
  <c r="I708" i="3"/>
  <c r="I560" i="3"/>
  <c r="I198" i="3"/>
  <c r="I370" i="3"/>
  <c r="I451" i="3"/>
  <c r="I775" i="3"/>
  <c r="I810" i="3"/>
  <c r="I52" i="3"/>
  <c r="I249" i="3"/>
  <c r="I457" i="3"/>
  <c r="I148" i="3"/>
  <c r="I127" i="3"/>
  <c r="I845" i="3"/>
  <c r="I658" i="3"/>
  <c r="I615" i="3"/>
  <c r="I429" i="3"/>
  <c r="I317" i="3"/>
  <c r="I463" i="3"/>
  <c r="I538" i="3"/>
  <c r="I544" i="3"/>
  <c r="I521" i="3"/>
  <c r="I529" i="3"/>
  <c r="I123" i="3"/>
  <c r="I129" i="3"/>
  <c r="I173" i="3"/>
  <c r="I366" i="3"/>
  <c r="I250" i="3"/>
  <c r="I338" i="3"/>
  <c r="I98" i="3"/>
  <c r="I443" i="3"/>
  <c r="I172" i="3"/>
  <c r="I475" i="3"/>
  <c r="I185" i="3"/>
  <c r="I262" i="3"/>
  <c r="I808" i="3"/>
  <c r="I298" i="3"/>
  <c r="I199" i="3"/>
  <c r="I41" i="3"/>
  <c r="I246" i="3"/>
  <c r="I311" i="3"/>
  <c r="I514" i="3"/>
  <c r="I189" i="3"/>
  <c r="I726" i="3"/>
  <c r="I673" i="3"/>
  <c r="I700" i="3"/>
  <c r="I686" i="3"/>
  <c r="I184" i="3"/>
  <c r="I158" i="3"/>
  <c r="I744" i="3"/>
  <c r="I247" i="3"/>
  <c r="I581" i="3"/>
  <c r="I256" i="3"/>
  <c r="I388" i="3"/>
  <c r="I279" i="3"/>
  <c r="I363" i="3"/>
  <c r="I455" i="3"/>
  <c r="I721" i="3"/>
  <c r="I304" i="3"/>
  <c r="I449" i="3"/>
  <c r="I63" i="3"/>
  <c r="I321" i="3"/>
  <c r="I235" i="3"/>
  <c r="I564" i="3"/>
  <c r="I253" i="3"/>
  <c r="I398" i="3"/>
  <c r="I99" i="3"/>
  <c r="I454" i="3"/>
  <c r="I592" i="3"/>
  <c r="I896" i="3"/>
  <c r="I545" i="3"/>
  <c r="I432" i="3"/>
  <c r="I414" i="3"/>
  <c r="I144" i="3"/>
  <c r="I639" i="3"/>
  <c r="I303" i="3"/>
  <c r="I59" i="3"/>
  <c r="I516" i="3"/>
  <c r="I492" i="3"/>
  <c r="I556" i="3"/>
  <c r="I28" i="3"/>
  <c r="I479" i="3"/>
  <c r="I345" i="3"/>
  <c r="I245" i="3"/>
  <c r="I292" i="3"/>
  <c r="I302" i="3"/>
  <c r="I548" i="3"/>
  <c r="I493" i="3"/>
  <c r="I228" i="3"/>
  <c r="I306" i="3"/>
  <c r="I3" i="3"/>
  <c r="I377" i="3"/>
  <c r="I436" i="3"/>
  <c r="I485" i="3"/>
  <c r="I313" i="3"/>
  <c r="I141" i="3"/>
  <c r="I614" i="3"/>
  <c r="I364" i="3"/>
  <c r="I132" i="3"/>
  <c r="I295" i="3"/>
  <c r="I517" i="3"/>
  <c r="I226" i="3"/>
  <c r="I130" i="3"/>
  <c r="I187" i="3"/>
  <c r="I81" i="3"/>
  <c r="I380" i="3"/>
  <c r="I468" i="3"/>
  <c r="I171" i="3"/>
  <c r="I209" i="3"/>
  <c r="I29" i="3"/>
  <c r="I335" i="3"/>
  <c r="I438" i="3"/>
  <c r="I484" i="3"/>
  <c r="I482" i="3"/>
  <c r="I589" i="3"/>
  <c r="I531" i="3"/>
  <c r="I305" i="3"/>
  <c r="I441" i="3"/>
  <c r="I389" i="3"/>
  <c r="I50" i="3"/>
  <c r="I360" i="3"/>
  <c r="I540" i="3"/>
  <c r="I637" i="3"/>
  <c r="I150" i="3"/>
  <c r="I337" i="3"/>
  <c r="I271" i="3"/>
  <c r="I410" i="3"/>
  <c r="I70" i="3"/>
  <c r="I803" i="3"/>
  <c r="I513" i="3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803" i="3"/>
  <c r="G70" i="3"/>
  <c r="G410" i="3"/>
  <c r="G271" i="3"/>
  <c r="G337" i="3"/>
  <c r="G150" i="3"/>
  <c r="G637" i="3"/>
  <c r="G540" i="3"/>
  <c r="G360" i="3"/>
  <c r="G50" i="3"/>
  <c r="G389" i="3"/>
  <c r="G441" i="3"/>
  <c r="G305" i="3"/>
  <c r="G531" i="3"/>
  <c r="G589" i="3"/>
  <c r="G482" i="3"/>
  <c r="G484" i="3"/>
  <c r="G438" i="3"/>
  <c r="G335" i="3"/>
  <c r="G29" i="3"/>
  <c r="G209" i="3"/>
  <c r="G171" i="3"/>
  <c r="G468" i="3"/>
  <c r="G380" i="3"/>
  <c r="G81" i="3"/>
  <c r="G187" i="3"/>
  <c r="G130" i="3"/>
  <c r="G226" i="3"/>
  <c r="G517" i="3"/>
  <c r="G295" i="3"/>
  <c r="G132" i="3"/>
  <c r="G364" i="3"/>
  <c r="G614" i="3"/>
  <c r="G141" i="3"/>
  <c r="G313" i="3"/>
  <c r="G485" i="3"/>
  <c r="G436" i="3"/>
  <c r="G377" i="3"/>
  <c r="G3" i="3"/>
  <c r="G306" i="3"/>
  <c r="G228" i="3"/>
  <c r="G493" i="3"/>
  <c r="G548" i="3"/>
  <c r="G302" i="3"/>
  <c r="G292" i="3"/>
  <c r="G245" i="3"/>
  <c r="G345" i="3"/>
  <c r="G479" i="3"/>
  <c r="G28" i="3"/>
  <c r="G556" i="3"/>
  <c r="G492" i="3"/>
  <c r="G516" i="3"/>
  <c r="G59" i="3"/>
  <c r="G303" i="3"/>
  <c r="G639" i="3"/>
  <c r="G144" i="3"/>
  <c r="G414" i="3"/>
  <c r="G432" i="3"/>
  <c r="G545" i="3"/>
  <c r="G896" i="3"/>
  <c r="G592" i="3"/>
  <c r="G454" i="3"/>
  <c r="G99" i="3"/>
  <c r="G398" i="3"/>
  <c r="G253" i="3"/>
  <c r="G564" i="3"/>
  <c r="G235" i="3"/>
  <c r="G321" i="3"/>
  <c r="G63" i="3"/>
  <c r="G449" i="3"/>
  <c r="G304" i="3"/>
  <c r="G721" i="3"/>
  <c r="G455" i="3"/>
  <c r="G363" i="3"/>
  <c r="G279" i="3"/>
  <c r="G388" i="3"/>
  <c r="G256" i="3"/>
  <c r="G581" i="3"/>
  <c r="G247" i="3"/>
  <c r="G744" i="3"/>
  <c r="G158" i="3"/>
  <c r="G184" i="3"/>
  <c r="G686" i="3"/>
  <c r="G700" i="3"/>
  <c r="G673" i="3"/>
  <c r="G726" i="3"/>
  <c r="G189" i="3"/>
  <c r="G514" i="3"/>
  <c r="G311" i="3"/>
  <c r="G246" i="3"/>
  <c r="G41" i="3"/>
  <c r="G199" i="3"/>
  <c r="G298" i="3"/>
  <c r="G808" i="3"/>
  <c r="G262" i="3"/>
  <c r="G185" i="3"/>
  <c r="G475" i="3"/>
  <c r="G172" i="3"/>
  <c r="G443" i="3"/>
  <c r="G98" i="3"/>
  <c r="G338" i="3"/>
  <c r="G250" i="3"/>
  <c r="G366" i="3"/>
  <c r="G173" i="3"/>
  <c r="G129" i="3"/>
  <c r="G123" i="3"/>
  <c r="G529" i="3"/>
  <c r="G521" i="3"/>
  <c r="G544" i="3"/>
  <c r="G538" i="3"/>
  <c r="G463" i="3"/>
  <c r="G317" i="3"/>
  <c r="G429" i="3"/>
  <c r="G615" i="3"/>
  <c r="G658" i="3"/>
  <c r="G845" i="3"/>
  <c r="G127" i="3"/>
  <c r="G148" i="3"/>
  <c r="G457" i="3"/>
  <c r="G249" i="3"/>
  <c r="G52" i="3"/>
  <c r="G810" i="3"/>
  <c r="G775" i="3"/>
  <c r="G451" i="3"/>
  <c r="G370" i="3"/>
  <c r="G198" i="3"/>
  <c r="G560" i="3"/>
  <c r="G708" i="3"/>
  <c r="G257" i="3"/>
  <c r="G212" i="3"/>
  <c r="G692" i="3"/>
  <c r="G191" i="3"/>
  <c r="G217" i="3"/>
  <c r="G682" i="3"/>
  <c r="G591" i="3"/>
  <c r="G763" i="3"/>
  <c r="G25" i="3"/>
  <c r="G60" i="3"/>
  <c r="G89" i="3"/>
  <c r="G277" i="3"/>
  <c r="G15" i="3"/>
  <c r="G353" i="3"/>
  <c r="G439" i="3"/>
  <c r="G495" i="3"/>
  <c r="G77" i="3"/>
  <c r="G289" i="3"/>
  <c r="G6" i="3"/>
  <c r="G151" i="3"/>
  <c r="G221" i="3"/>
  <c r="G134" i="3"/>
  <c r="G725" i="3"/>
  <c r="G248" i="3"/>
  <c r="G265" i="3"/>
  <c r="G218" i="3"/>
  <c r="G423" i="3"/>
  <c r="G562" i="3"/>
  <c r="G559" i="3"/>
  <c r="G612" i="3"/>
  <c r="G64" i="3"/>
  <c r="G627" i="3"/>
  <c r="G340" i="3"/>
  <c r="G68" i="3"/>
  <c r="G334" i="3"/>
  <c r="G417" i="3"/>
  <c r="G293" i="3"/>
  <c r="G428" i="3"/>
  <c r="G324" i="3"/>
  <c r="G79" i="3"/>
  <c r="G39" i="3"/>
  <c r="G275" i="3"/>
  <c r="G657" i="3"/>
  <c r="G74" i="3"/>
  <c r="G406" i="3"/>
  <c r="G368" i="3"/>
  <c r="G456" i="3"/>
  <c r="G234" i="3"/>
  <c r="G319" i="3"/>
  <c r="G224" i="3"/>
  <c r="G34" i="3"/>
  <c r="G375" i="3"/>
  <c r="G550" i="3"/>
  <c r="G231" i="3"/>
  <c r="G47" i="3"/>
  <c r="G85" i="3"/>
  <c r="G532" i="3"/>
  <c r="G32" i="3"/>
  <c r="G106" i="3"/>
  <c r="G27" i="3"/>
  <c r="G390" i="3"/>
  <c r="G286" i="3"/>
  <c r="G757" i="3"/>
  <c r="G240" i="3"/>
  <c r="G258" i="3"/>
  <c r="G227" i="3"/>
  <c r="G91" i="3"/>
  <c r="G487" i="3"/>
  <c r="G147" i="3"/>
  <c r="G177" i="3"/>
  <c r="G490" i="3"/>
  <c r="G107" i="3"/>
  <c r="G568" i="3"/>
  <c r="G222" i="3"/>
  <c r="G42" i="3"/>
  <c r="G477" i="3"/>
  <c r="G342" i="3"/>
  <c r="G139" i="3"/>
  <c r="G418" i="3"/>
  <c r="G37" i="3"/>
  <c r="G387" i="3"/>
  <c r="G676" i="3"/>
  <c r="G729" i="3"/>
  <c r="G208" i="3"/>
  <c r="G291" i="3"/>
  <c r="G38" i="3"/>
  <c r="G165" i="3"/>
  <c r="G407" i="3"/>
  <c r="G597" i="3"/>
  <c r="G193" i="3"/>
  <c r="G357" i="3"/>
  <c r="G78" i="3"/>
  <c r="G768" i="3"/>
  <c r="G572" i="3"/>
  <c r="G174" i="3"/>
  <c r="G66" i="3"/>
  <c r="G448" i="3"/>
  <c r="G62" i="3"/>
  <c r="G332" i="3"/>
  <c r="G87" i="3"/>
  <c r="G497" i="3"/>
  <c r="G399" i="3"/>
  <c r="G405" i="3"/>
  <c r="G156" i="3"/>
  <c r="G111" i="3"/>
  <c r="G10" i="3"/>
  <c r="G97" i="3"/>
  <c r="G8" i="3"/>
  <c r="G186" i="3"/>
  <c r="G474" i="3"/>
  <c r="G447" i="3"/>
  <c r="G333" i="3"/>
  <c r="G82" i="3"/>
  <c r="G168" i="3"/>
  <c r="G433" i="3"/>
  <c r="G636" i="3"/>
  <c r="G301" i="3"/>
  <c r="G175" i="3"/>
  <c r="G518" i="3"/>
  <c r="G290" i="3"/>
  <c r="G238" i="3"/>
  <c r="G425" i="3"/>
  <c r="G49" i="3"/>
  <c r="G197" i="3"/>
  <c r="G481" i="3"/>
  <c r="G178" i="3"/>
  <c r="G749" i="3"/>
  <c r="G404" i="3"/>
  <c r="G367" i="3"/>
  <c r="G243" i="3"/>
  <c r="G508" i="3"/>
  <c r="G534" i="3"/>
  <c r="G115" i="3"/>
  <c r="G195" i="3"/>
  <c r="G778" i="3"/>
  <c r="G263" i="3"/>
  <c r="G339" i="3"/>
  <c r="G84" i="3"/>
  <c r="G576" i="3"/>
  <c r="G603" i="3"/>
  <c r="G166" i="3"/>
  <c r="G435" i="3"/>
  <c r="G379" i="3"/>
  <c r="G251" i="3"/>
  <c r="G586" i="3"/>
  <c r="G176" i="3"/>
  <c r="G272" i="3"/>
  <c r="G546" i="3"/>
  <c r="G446" i="3"/>
  <c r="G392" i="3"/>
  <c r="G397" i="3"/>
  <c r="G236" i="3"/>
  <c r="G116" i="3"/>
  <c r="G316" i="3"/>
  <c r="G712" i="3"/>
  <c r="G359" i="3"/>
  <c r="G401" i="3"/>
  <c r="G96" i="3"/>
  <c r="G164" i="3"/>
  <c r="G352" i="3"/>
  <c r="G237" i="3"/>
  <c r="G83" i="3"/>
  <c r="G232" i="3"/>
  <c r="G43" i="3"/>
  <c r="G501" i="3"/>
  <c r="G458" i="3"/>
  <c r="G54" i="3"/>
  <c r="G4" i="3"/>
  <c r="G437" i="3"/>
  <c r="G566" i="3"/>
  <c r="G276" i="3"/>
  <c r="G162" i="3"/>
  <c r="G469" i="3"/>
  <c r="G160" i="3"/>
  <c r="G5" i="3"/>
  <c r="G88" i="3"/>
  <c r="G267" i="3"/>
  <c r="G125" i="3"/>
  <c r="G183" i="3"/>
  <c r="G21" i="3"/>
  <c r="G112" i="3"/>
  <c r="G498" i="3"/>
  <c r="G196" i="3"/>
  <c r="G403" i="3"/>
  <c r="G278" i="3"/>
  <c r="G328" i="3"/>
  <c r="G656" i="3"/>
  <c r="G274" i="3"/>
  <c r="G553" i="3"/>
  <c r="G440" i="3"/>
  <c r="G356" i="3"/>
  <c r="G464" i="3"/>
  <c r="G523" i="3"/>
  <c r="G48" i="3"/>
  <c r="G349" i="3"/>
  <c r="G119" i="3"/>
  <c r="G61" i="3"/>
  <c r="G155" i="3"/>
  <c r="G343" i="3"/>
  <c r="G138" i="3"/>
  <c r="G350" i="3"/>
  <c r="G569" i="3"/>
  <c r="G92" i="3"/>
  <c r="G613" i="3"/>
  <c r="G283" i="3"/>
  <c r="G223" i="3"/>
  <c r="G100" i="3"/>
  <c r="G325" i="3"/>
  <c r="G255" i="3"/>
  <c r="G266" i="3"/>
  <c r="G786" i="3"/>
  <c r="G282" i="3"/>
  <c r="G346" i="3"/>
  <c r="G394" i="3"/>
  <c r="G530" i="3"/>
  <c r="G723" i="3"/>
  <c r="G314" i="3"/>
  <c r="G154" i="3"/>
  <c r="G118" i="3"/>
  <c r="G104" i="3"/>
  <c r="G374" i="3"/>
  <c r="G864" i="3"/>
  <c r="G31" i="3"/>
  <c r="G13" i="3"/>
  <c r="G384" i="3"/>
  <c r="G260" i="3"/>
  <c r="G143" i="3"/>
  <c r="G385" i="3"/>
  <c r="G35" i="3"/>
  <c r="G194" i="3"/>
  <c r="G638" i="3"/>
  <c r="G120" i="3"/>
  <c r="G491" i="3"/>
  <c r="G510" i="3"/>
  <c r="G470" i="3"/>
  <c r="G718" i="3"/>
  <c r="G643" i="3"/>
  <c r="G136" i="3"/>
  <c r="G206" i="3"/>
  <c r="G152" i="3"/>
  <c r="G524" i="3"/>
  <c r="G697" i="3"/>
  <c r="G419" i="3"/>
  <c r="G711" i="3"/>
  <c r="G600" i="3"/>
  <c r="G667" i="3"/>
  <c r="G747" i="3"/>
  <c r="G868" i="3"/>
  <c r="G264" i="3"/>
  <c r="G327" i="3"/>
  <c r="G297" i="3"/>
  <c r="G14" i="3"/>
  <c r="G73" i="3"/>
  <c r="G420" i="3"/>
  <c r="G797" i="3"/>
  <c r="G781" i="3"/>
  <c r="G45" i="3"/>
  <c r="G652" i="3"/>
  <c r="G527" i="3"/>
  <c r="G244" i="3"/>
  <c r="G19" i="3"/>
  <c r="G512" i="3"/>
  <c r="G124" i="3"/>
  <c r="G200" i="3"/>
  <c r="G570" i="3"/>
  <c r="G220" i="3"/>
  <c r="G675" i="3"/>
  <c r="G610" i="3"/>
  <c r="G268" i="3"/>
  <c r="G336" i="3"/>
  <c r="G551" i="3"/>
  <c r="G376" i="3"/>
  <c r="G80" i="3"/>
  <c r="G102" i="3"/>
  <c r="G426" i="3"/>
  <c r="G211" i="3"/>
  <c r="G40" i="3"/>
  <c r="G213" i="3"/>
  <c r="G651" i="3"/>
  <c r="G445" i="3"/>
  <c r="G486" i="3"/>
  <c r="G110" i="3"/>
  <c r="G288" i="3"/>
  <c r="G844" i="3"/>
  <c r="G663" i="3"/>
  <c r="G137" i="3"/>
  <c r="G58" i="3"/>
  <c r="G751" i="3"/>
  <c r="G391" i="3"/>
  <c r="G565" i="3"/>
  <c r="G480" i="3"/>
  <c r="G533" i="3"/>
  <c r="G103" i="3"/>
  <c r="G122" i="3"/>
  <c r="G371" i="3"/>
  <c r="G135" i="3"/>
  <c r="G142" i="3"/>
  <c r="G680" i="3"/>
  <c r="G259" i="3"/>
  <c r="G254" i="3"/>
  <c r="G95" i="3"/>
  <c r="G561" i="3"/>
  <c r="G16" i="3"/>
  <c r="G503" i="3"/>
  <c r="G114" i="3"/>
  <c r="G834" i="3"/>
  <c r="G299" i="3"/>
  <c r="G515" i="3"/>
  <c r="G632" i="3"/>
  <c r="G71" i="3"/>
  <c r="G170" i="3"/>
  <c r="G121" i="3"/>
  <c r="G465" i="3"/>
  <c r="G86" i="3"/>
  <c r="G472" i="3"/>
  <c r="G412" i="3"/>
  <c r="G582" i="3"/>
  <c r="G146" i="3"/>
  <c r="G702" i="3"/>
  <c r="G688" i="3"/>
  <c r="G354" i="3"/>
  <c r="G205" i="3"/>
  <c r="G341" i="3"/>
  <c r="G182" i="3"/>
  <c r="G381" i="3"/>
  <c r="G431" i="3"/>
  <c r="G573" i="3"/>
  <c r="G535" i="3"/>
  <c r="G608" i="3"/>
  <c r="G504" i="3"/>
  <c r="G434" i="3"/>
  <c r="G202" i="3"/>
  <c r="G284" i="3"/>
  <c r="G24" i="3"/>
  <c r="G90" i="3"/>
  <c r="G728" i="3"/>
  <c r="G628" i="3"/>
  <c r="G44" i="3"/>
  <c r="G635" i="3"/>
  <c r="G108" i="3"/>
  <c r="G75" i="3"/>
  <c r="G140" i="3"/>
  <c r="G473" i="3"/>
  <c r="G679" i="3"/>
  <c r="G742" i="3"/>
  <c r="G312" i="3"/>
  <c r="G537" i="3"/>
  <c r="G22" i="3"/>
  <c r="G450" i="3"/>
  <c r="G329" i="3"/>
  <c r="G611" i="3"/>
  <c r="G128" i="3"/>
  <c r="G17" i="3"/>
  <c r="G462" i="3"/>
  <c r="G55" i="3"/>
  <c r="G36" i="3"/>
  <c r="G386" i="3"/>
  <c r="G51" i="3"/>
  <c r="G310" i="3"/>
  <c r="G539" i="3"/>
  <c r="G489" i="3"/>
  <c r="G180" i="3"/>
  <c r="G690" i="3"/>
  <c r="G478" i="3"/>
  <c r="G331" i="3"/>
  <c r="G567" i="3"/>
  <c r="G402" i="3"/>
  <c r="G618" i="3"/>
  <c r="G683" i="3"/>
  <c r="G756" i="3"/>
  <c r="G320" i="3"/>
  <c r="G101" i="3"/>
  <c r="G201" i="3"/>
  <c r="G444" i="3"/>
  <c r="G30" i="3"/>
  <c r="G26" i="3"/>
  <c r="G133" i="3"/>
  <c r="G424" i="3"/>
  <c r="G113" i="3"/>
  <c r="G466" i="3"/>
  <c r="G315" i="3"/>
  <c r="G733" i="3"/>
  <c r="G294" i="3"/>
  <c r="G416" i="3"/>
  <c r="G241" i="3"/>
  <c r="G422" i="3"/>
  <c r="G56" i="3"/>
  <c r="G541" i="3"/>
  <c r="G53" i="3"/>
  <c r="G93" i="3"/>
  <c r="G488" i="3"/>
  <c r="G355" i="3"/>
  <c r="G471" i="3"/>
  <c r="G57" i="3"/>
  <c r="G373" i="3"/>
  <c r="G649" i="3"/>
  <c r="G655" i="3"/>
  <c r="G459" i="3"/>
  <c r="G584" i="3"/>
  <c r="G396" i="3"/>
  <c r="G233" i="3"/>
  <c r="G46" i="3"/>
  <c r="G502" i="3"/>
  <c r="G408" i="3"/>
  <c r="G159" i="3"/>
  <c r="G11" i="3"/>
  <c r="G216" i="3"/>
  <c r="G858" i="3"/>
  <c r="G602" i="3"/>
  <c r="G701" i="3"/>
  <c r="G543" i="3"/>
  <c r="G578" i="3"/>
  <c r="G179" i="3"/>
  <c r="G795" i="3"/>
  <c r="G23" i="3"/>
  <c r="G785" i="3"/>
  <c r="G372" i="3"/>
  <c r="G746" i="3"/>
  <c r="G69" i="3"/>
  <c r="G285" i="3"/>
  <c r="G790" i="3"/>
  <c r="G126" i="3"/>
  <c r="G161" i="3"/>
  <c r="G780" i="3"/>
  <c r="G506" i="3"/>
  <c r="G754" i="3"/>
  <c r="G630" i="3"/>
  <c r="G772" i="3"/>
  <c r="G351" i="3"/>
  <c r="G577" i="3"/>
  <c r="G598" i="3"/>
  <c r="G798" i="3"/>
  <c r="G738" i="3"/>
  <c r="G818" i="3"/>
  <c r="G890" i="3"/>
  <c r="G442" i="3"/>
  <c r="G769" i="3"/>
  <c r="G653" i="3"/>
  <c r="G876" i="3"/>
  <c r="G826" i="3"/>
  <c r="G846" i="3"/>
  <c r="G853" i="3"/>
  <c r="G734" i="3"/>
  <c r="G687" i="3"/>
  <c r="G838" i="3"/>
  <c r="G605" i="3"/>
  <c r="G163" i="3"/>
  <c r="G666" i="3"/>
  <c r="G575" i="3"/>
  <c r="G830" i="3"/>
  <c r="G654" i="3"/>
  <c r="G856" i="3"/>
  <c r="G145" i="3"/>
  <c r="G767" i="3"/>
  <c r="G344" i="3"/>
  <c r="G796" i="3"/>
  <c r="G430" i="3"/>
  <c r="G571" i="3"/>
  <c r="G287" i="3"/>
  <c r="G322" i="3"/>
  <c r="G400" i="3"/>
  <c r="G9" i="3"/>
  <c r="G849" i="3"/>
  <c r="G660" i="3"/>
  <c r="G739" i="3"/>
  <c r="G696" i="3"/>
  <c r="G395" i="3"/>
  <c r="G828" i="3"/>
  <c r="G358" i="3"/>
  <c r="G616" i="3"/>
  <c r="G805" i="3"/>
  <c r="G607" i="3"/>
  <c r="G870" i="3"/>
  <c r="G273" i="3"/>
  <c r="G365" i="3"/>
  <c r="G766" i="3"/>
  <c r="G832" i="3"/>
  <c r="G842" i="3"/>
  <c r="G809" i="3"/>
  <c r="G792" i="3"/>
  <c r="G242" i="3"/>
  <c r="G661" i="3"/>
  <c r="G693" i="3"/>
  <c r="G833" i="3"/>
  <c r="G642" i="3"/>
  <c r="G18" i="3"/>
  <c r="G770" i="3"/>
  <c r="G794" i="3"/>
  <c r="G732" i="3"/>
  <c r="G710" i="3"/>
  <c r="G579" i="3"/>
  <c r="G836" i="3"/>
  <c r="G94" i="3"/>
  <c r="G847" i="3"/>
  <c r="G879" i="3"/>
  <c r="G369" i="3"/>
  <c r="G873" i="3"/>
  <c r="G67" i="3"/>
  <c r="G877" i="3"/>
  <c r="G629" i="3"/>
  <c r="G703" i="3"/>
  <c r="G219" i="3"/>
  <c r="G888" i="3"/>
  <c r="G507" i="3"/>
  <c r="G672" i="3"/>
  <c r="G157" i="3"/>
  <c r="G774" i="3"/>
  <c r="G740" i="3"/>
  <c r="G788" i="3"/>
  <c r="G307" i="3"/>
  <c r="G843" i="3"/>
  <c r="G181" i="3"/>
  <c r="G802" i="3"/>
  <c r="G300" i="3"/>
  <c r="G841" i="3"/>
  <c r="G791" i="3"/>
  <c r="G801" i="3"/>
  <c r="G677" i="3"/>
  <c r="G659" i="3"/>
  <c r="G674" i="3"/>
  <c r="G782" i="3"/>
  <c r="G713" i="3"/>
  <c r="G716" i="3"/>
  <c r="G714" i="3"/>
  <c r="G296" i="3"/>
  <c r="G850" i="3"/>
  <c r="G330" i="3"/>
  <c r="G724" i="3"/>
  <c r="G750" i="3"/>
  <c r="G623" i="3"/>
  <c r="G730" i="3"/>
  <c r="G862" i="3"/>
  <c r="G722" i="3"/>
  <c r="G681" i="3"/>
  <c r="G764" i="3"/>
  <c r="G505" i="3"/>
  <c r="G748" i="3"/>
  <c r="G884" i="3"/>
  <c r="G634" i="3"/>
  <c r="G601" i="3"/>
  <c r="G149" i="3"/>
  <c r="G555" i="3"/>
  <c r="G109" i="3"/>
  <c r="G536" i="3"/>
  <c r="G413" i="3"/>
  <c r="G225" i="3"/>
  <c r="G361" i="3"/>
  <c r="G662" i="3"/>
  <c r="G511" i="3"/>
  <c r="G549" i="3"/>
  <c r="G153" i="3"/>
  <c r="G452" i="3"/>
  <c r="G528" i="3"/>
  <c r="G863" i="3"/>
  <c r="G318" i="3"/>
  <c r="G837" i="3"/>
  <c r="G105" i="3"/>
  <c r="G2" i="3"/>
  <c r="G520" i="3"/>
  <c r="G761" i="3"/>
  <c r="G323" i="3"/>
  <c r="G624" i="3"/>
  <c r="G831" i="3"/>
  <c r="G281" i="3"/>
  <c r="G588" i="3"/>
  <c r="G594" i="3"/>
  <c r="G813" i="3"/>
  <c r="G645" i="3"/>
  <c r="G878" i="3"/>
  <c r="G640" i="3"/>
  <c r="G894" i="3"/>
  <c r="G804" i="3"/>
  <c r="G771" i="3"/>
  <c r="G587" i="3"/>
  <c r="G192" i="3"/>
  <c r="G793" i="3"/>
  <c r="G815" i="3"/>
  <c r="G889" i="3"/>
  <c r="G461" i="3"/>
  <c r="G694" i="3"/>
  <c r="G857" i="3"/>
  <c r="G823" i="3"/>
  <c r="G758" i="3"/>
  <c r="G789" i="3"/>
  <c r="G684" i="3"/>
  <c r="G784" i="3"/>
  <c r="G689" i="3"/>
  <c r="G821" i="3"/>
  <c r="G393" i="3"/>
  <c r="G308" i="3"/>
  <c r="G709" i="3"/>
  <c r="G644" i="3"/>
  <c r="G604" i="3"/>
  <c r="G411" i="3"/>
  <c r="G210" i="3"/>
  <c r="G261" i="3"/>
  <c r="G188" i="3"/>
  <c r="G759" i="3"/>
  <c r="G526" i="3"/>
  <c r="G427" i="3"/>
  <c r="G519" i="3"/>
  <c r="G190" i="3"/>
  <c r="G664" i="3"/>
  <c r="G500" i="3"/>
  <c r="G765" i="3"/>
  <c r="G65" i="3"/>
  <c r="G609" i="3"/>
  <c r="G496" i="3"/>
  <c r="G704" i="3"/>
  <c r="G585" i="3"/>
  <c r="G622" i="3"/>
  <c r="G869" i="3"/>
  <c r="G812" i="3"/>
  <c r="G783" i="3"/>
  <c r="G859" i="3"/>
  <c r="G203" i="3"/>
  <c r="G852" i="3"/>
  <c r="G741" i="3"/>
  <c r="G633" i="3"/>
  <c r="G753" i="3"/>
  <c r="G650" i="3"/>
  <c r="G887" i="3"/>
  <c r="G706" i="3"/>
  <c r="G824" i="3"/>
  <c r="G215" i="3"/>
  <c r="G871" i="3"/>
  <c r="G668" i="3"/>
  <c r="G20" i="3"/>
  <c r="G707" i="3"/>
  <c r="G669" i="3"/>
  <c r="G671" i="3"/>
  <c r="G861" i="3"/>
  <c r="G230" i="3"/>
  <c r="G695" i="3"/>
  <c r="G665" i="3"/>
  <c r="G820" i="3"/>
  <c r="G525" i="3"/>
  <c r="G835" i="3"/>
  <c r="G117" i="3"/>
  <c r="G557" i="3"/>
  <c r="G787" i="3"/>
  <c r="G743" i="3"/>
  <c r="G881" i="3"/>
  <c r="G499" i="3"/>
  <c r="G699" i="3"/>
  <c r="G12" i="3"/>
  <c r="G554" i="3"/>
  <c r="G270" i="3"/>
  <c r="G204" i="3"/>
  <c r="G76" i="3"/>
  <c r="G214" i="3"/>
  <c r="G760" i="3"/>
  <c r="G893" i="3"/>
  <c r="G599" i="3"/>
  <c r="G860" i="3"/>
  <c r="G522" i="3"/>
  <c r="G745" i="3"/>
  <c r="G865" i="3"/>
  <c r="G409" i="3"/>
  <c r="G829" i="3"/>
  <c r="G626" i="3"/>
  <c r="G882" i="3"/>
  <c r="G460" i="3"/>
  <c r="G800" i="3"/>
  <c r="G625" i="3"/>
  <c r="G347" i="3"/>
  <c r="G817" i="3"/>
  <c r="G620" i="3"/>
  <c r="G619" i="3"/>
  <c r="G762" i="3"/>
  <c r="G7" i="3"/>
  <c r="G776" i="3"/>
  <c r="G705" i="3"/>
  <c r="G631" i="3"/>
  <c r="G691" i="3"/>
  <c r="G552" i="3"/>
  <c r="G269" i="3"/>
  <c r="G383" i="3"/>
  <c r="G131" i="3"/>
  <c r="G483" i="3"/>
  <c r="G33" i="3"/>
  <c r="G169" i="3"/>
  <c r="G239" i="3"/>
  <c r="G737" i="3"/>
  <c r="G606" i="3"/>
  <c r="G476" i="3"/>
  <c r="G719" i="3"/>
  <c r="G362" i="3"/>
  <c r="G867" i="3"/>
  <c r="G326" i="3"/>
  <c r="G348" i="3"/>
  <c r="G641" i="3"/>
  <c r="G596" i="3"/>
  <c r="G883" i="3"/>
  <c r="G378" i="3"/>
  <c r="G752" i="3"/>
  <c r="G736" i="3"/>
  <c r="G891" i="3"/>
  <c r="G799" i="3"/>
  <c r="G814" i="3"/>
  <c r="G872" i="3"/>
  <c r="G494" i="3"/>
  <c r="G866" i="3"/>
  <c r="G755" i="3"/>
  <c r="G827" i="3"/>
  <c r="G874" i="3"/>
  <c r="G453" i="3"/>
  <c r="G854" i="3"/>
  <c r="G685" i="3"/>
  <c r="G880" i="3"/>
  <c r="G717" i="3"/>
  <c r="G816" i="3"/>
  <c r="G727" i="3"/>
  <c r="G280" i="3"/>
  <c r="G731" i="3"/>
  <c r="G558" i="3"/>
  <c r="G621" i="3"/>
  <c r="G848" i="3"/>
  <c r="G777" i="3"/>
  <c r="G617" i="3"/>
  <c r="G229" i="3"/>
  <c r="G167" i="3"/>
  <c r="G547" i="3"/>
  <c r="G698" i="3"/>
  <c r="G467" i="3"/>
  <c r="G678" i="3"/>
  <c r="G646" i="3"/>
  <c r="G715" i="3"/>
  <c r="G648" i="3"/>
  <c r="G807" i="3"/>
  <c r="G72" i="3"/>
  <c r="G720" i="3"/>
  <c r="G583" i="3"/>
  <c r="G895" i="3"/>
  <c r="G574" i="3"/>
  <c r="G840" i="3"/>
  <c r="G670" i="3"/>
  <c r="G806" i="3"/>
  <c r="G563" i="3"/>
  <c r="G207" i="3"/>
  <c r="G839" i="3"/>
  <c r="G593" i="3"/>
  <c r="G851" i="3"/>
  <c r="G892" i="3"/>
  <c r="G580" i="3"/>
  <c r="G421" i="3"/>
  <c r="G855" i="3"/>
  <c r="G885" i="3"/>
  <c r="G590" i="3"/>
  <c r="G415" i="3"/>
  <c r="G647" i="3"/>
  <c r="G735" i="3"/>
  <c r="G252" i="3"/>
  <c r="G819" i="3"/>
  <c r="G822" i="3"/>
  <c r="G779" i="3"/>
  <c r="G509" i="3"/>
  <c r="G595" i="3"/>
  <c r="G542" i="3"/>
  <c r="G875" i="3"/>
  <c r="G811" i="3"/>
  <c r="G773" i="3"/>
  <c r="G886" i="3"/>
  <c r="G382" i="3"/>
  <c r="G309" i="3"/>
  <c r="I825" i="3"/>
  <c r="G825" i="3"/>
  <c r="K525" i="2"/>
  <c r="K772" i="2"/>
  <c r="I20" i="2" l="1"/>
  <c r="I190" i="2"/>
  <c r="I34" i="2"/>
  <c r="I24" i="2"/>
  <c r="I74" i="2"/>
  <c r="I106" i="2"/>
  <c r="I5" i="2"/>
  <c r="I273" i="2"/>
  <c r="I125" i="2"/>
  <c r="I265" i="2"/>
  <c r="I62" i="2"/>
  <c r="I230" i="2"/>
  <c r="I67" i="2"/>
  <c r="I146" i="2"/>
  <c r="I236" i="2"/>
  <c r="I269" i="2"/>
  <c r="I199" i="2"/>
  <c r="I8" i="2"/>
  <c r="I110" i="2"/>
  <c r="I136" i="2"/>
  <c r="I520" i="2"/>
  <c r="I836" i="2"/>
  <c r="I115" i="2"/>
  <c r="I113" i="2"/>
  <c r="I197" i="2"/>
  <c r="I58" i="2"/>
  <c r="I295" i="2"/>
  <c r="I60" i="2"/>
  <c r="I271" i="2"/>
  <c r="I333" i="2"/>
  <c r="I305" i="2"/>
  <c r="I50" i="2"/>
  <c r="I327" i="2"/>
  <c r="I32" i="2"/>
  <c r="I242" i="2"/>
  <c r="I151" i="2"/>
  <c r="I63" i="2"/>
  <c r="I21" i="2"/>
  <c r="I323" i="2"/>
  <c r="I300" i="2"/>
  <c r="I284" i="2"/>
  <c r="I130" i="2"/>
  <c r="I108" i="2"/>
  <c r="I329" i="2"/>
  <c r="I546" i="2"/>
  <c r="I513" i="2"/>
  <c r="I132" i="2"/>
  <c r="I205" i="2"/>
  <c r="I79" i="2"/>
  <c r="I156" i="2"/>
  <c r="I2" i="2"/>
  <c r="I318" i="2"/>
  <c r="I557" i="2"/>
  <c r="I142" i="2"/>
  <c r="I328" i="2"/>
  <c r="I153" i="2"/>
  <c r="I68" i="2"/>
  <c r="I186" i="2"/>
  <c r="I255" i="2"/>
  <c r="I214" i="2"/>
  <c r="I65" i="2"/>
  <c r="I38" i="2"/>
  <c r="I326" i="2"/>
  <c r="I144" i="2"/>
  <c r="I212" i="2"/>
  <c r="I316" i="2"/>
  <c r="I101" i="2"/>
  <c r="I360" i="2"/>
  <c r="I201" i="2"/>
  <c r="I25" i="2"/>
  <c r="I280" i="2"/>
  <c r="I104" i="2"/>
  <c r="I251" i="2"/>
  <c r="I352" i="2"/>
  <c r="I274" i="2"/>
  <c r="I347" i="2"/>
  <c r="I187" i="2"/>
  <c r="I127" i="2"/>
  <c r="I253" i="2"/>
  <c r="I259" i="2"/>
  <c r="I780" i="2"/>
  <c r="I196" i="2"/>
  <c r="I484" i="2"/>
  <c r="I27" i="2"/>
  <c r="I257" i="2"/>
  <c r="I261" i="2"/>
  <c r="I6" i="2"/>
  <c r="I49" i="2"/>
  <c r="I290" i="2"/>
  <c r="I276" i="2"/>
  <c r="I812" i="2"/>
  <c r="I292" i="2"/>
  <c r="I462" i="2"/>
  <c r="I53" i="2"/>
  <c r="I297" i="2"/>
  <c r="I252" i="2"/>
  <c r="I155" i="2"/>
  <c r="I64" i="2"/>
  <c r="I154" i="2"/>
  <c r="I180" i="2"/>
  <c r="I148" i="2"/>
  <c r="I291" i="2"/>
  <c r="I81" i="2"/>
  <c r="I448" i="2"/>
  <c r="I14" i="2"/>
  <c r="I36" i="2"/>
  <c r="I231" i="2"/>
  <c r="I191" i="2"/>
  <c r="I470" i="2"/>
  <c r="I334" i="2"/>
  <c r="I84" i="2"/>
  <c r="I289" i="2"/>
  <c r="I72" i="2"/>
  <c r="I774" i="2"/>
  <c r="I239" i="2"/>
  <c r="I246" i="2"/>
  <c r="I57" i="2"/>
  <c r="I235" i="2"/>
  <c r="I13" i="2"/>
  <c r="I7" i="2"/>
  <c r="I675" i="2"/>
  <c r="I71" i="2"/>
  <c r="I303" i="2"/>
  <c r="I312" i="2"/>
  <c r="I98" i="2"/>
  <c r="I30" i="2"/>
  <c r="I386" i="2"/>
  <c r="I336" i="2"/>
  <c r="I802" i="2"/>
  <c r="I725" i="2"/>
  <c r="I278" i="2"/>
  <c r="I501" i="2"/>
  <c r="I40" i="2"/>
  <c r="I56" i="2"/>
  <c r="I123" i="2"/>
  <c r="I181" i="2"/>
  <c r="I288" i="2"/>
  <c r="I192" i="2"/>
  <c r="I895" i="2"/>
  <c r="I350" i="2"/>
  <c r="I816" i="2"/>
  <c r="I835" i="2"/>
  <c r="I354" i="2"/>
  <c r="I95" i="2"/>
  <c r="I150" i="2"/>
  <c r="I69" i="2"/>
  <c r="I16" i="2"/>
  <c r="I552" i="2"/>
  <c r="I12" i="2"/>
  <c r="I285" i="2"/>
  <c r="I39" i="2"/>
  <c r="I267" i="2"/>
  <c r="I532" i="2"/>
  <c r="I344" i="2"/>
  <c r="I633" i="2"/>
  <c r="I55" i="2"/>
  <c r="I782" i="2"/>
  <c r="I268" i="2"/>
  <c r="I35" i="2"/>
  <c r="I188" i="2"/>
  <c r="I331" i="2"/>
  <c r="I738" i="2"/>
  <c r="I96" i="2"/>
  <c r="I773" i="2"/>
  <c r="I44" i="2"/>
  <c r="I138" i="2"/>
  <c r="I249" i="2"/>
  <c r="I145" i="2"/>
  <c r="I424" i="2"/>
  <c r="I310" i="2"/>
  <c r="I768" i="2"/>
  <c r="I512" i="2"/>
  <c r="I182" i="2"/>
  <c r="I103" i="2"/>
  <c r="I247" i="2"/>
  <c r="I237" i="2"/>
  <c r="I679" i="2"/>
  <c r="I116" i="2"/>
  <c r="I641" i="2"/>
  <c r="I330" i="2"/>
  <c r="I147" i="2"/>
  <c r="I372" i="2"/>
  <c r="I133" i="2"/>
  <c r="I170" i="2"/>
  <c r="I134" i="2"/>
  <c r="I184" i="2"/>
  <c r="I480" i="2"/>
  <c r="I325" i="2"/>
  <c r="I281" i="2"/>
  <c r="I141" i="2"/>
  <c r="I322" i="2"/>
  <c r="I765" i="2"/>
  <c r="I399" i="2"/>
  <c r="I183" i="2"/>
  <c r="I206" i="2"/>
  <c r="I233" i="2"/>
  <c r="I340" i="2"/>
  <c r="I163" i="2"/>
  <c r="I111" i="2"/>
  <c r="I429" i="2"/>
  <c r="I603" i="2"/>
  <c r="I100" i="2"/>
  <c r="I745" i="2"/>
  <c r="I449" i="2"/>
  <c r="I400" i="2"/>
  <c r="I534" i="2"/>
  <c r="I126" i="2"/>
  <c r="I613" i="2"/>
  <c r="I685" i="2"/>
  <c r="I260" i="2"/>
  <c r="I760" i="2"/>
  <c r="I202" i="2"/>
  <c r="I314" i="2"/>
  <c r="I26" i="2"/>
  <c r="I195" i="2"/>
  <c r="I398" i="2"/>
  <c r="I240" i="2"/>
  <c r="I234" i="2"/>
  <c r="I208" i="2"/>
  <c r="I238" i="2"/>
  <c r="I553" i="2"/>
  <c r="I209" i="2"/>
  <c r="I219" i="2"/>
  <c r="I533" i="2"/>
  <c r="I41" i="2"/>
  <c r="I10" i="2"/>
  <c r="I810" i="2"/>
  <c r="I841" i="2"/>
  <c r="I263" i="2"/>
  <c r="I304" i="2"/>
  <c r="I279" i="2"/>
  <c r="I128" i="2"/>
  <c r="I245" i="2"/>
  <c r="I215" i="2"/>
  <c r="I788" i="2"/>
  <c r="I185" i="2"/>
  <c r="I342" i="2"/>
  <c r="I705" i="2"/>
  <c r="I867" i="2"/>
  <c r="I250" i="2"/>
  <c r="I423" i="2"/>
  <c r="I432" i="2"/>
  <c r="I455" i="2"/>
  <c r="I335" i="2"/>
  <c r="I740" i="2"/>
  <c r="I131" i="2"/>
  <c r="I431" i="2"/>
  <c r="I405" i="2"/>
  <c r="I158" i="2"/>
  <c r="I811" i="2"/>
  <c r="I317" i="2"/>
  <c r="I139" i="2"/>
  <c r="I510" i="2"/>
  <c r="I531" i="2"/>
  <c r="I218" i="2"/>
  <c r="I460" i="2"/>
  <c r="I99" i="2"/>
  <c r="I526" i="2"/>
  <c r="I769" i="2"/>
  <c r="I248" i="2"/>
  <c r="I581" i="2"/>
  <c r="I671" i="2"/>
  <c r="I52" i="2"/>
  <c r="I417" i="2"/>
  <c r="I799" i="2"/>
  <c r="I302" i="2"/>
  <c r="I159" i="2"/>
  <c r="I860" i="2"/>
  <c r="I537" i="2"/>
  <c r="I341" i="2"/>
  <c r="I244" i="2"/>
  <c r="I786" i="2"/>
  <c r="I853" i="2"/>
  <c r="I324" i="2"/>
  <c r="I667" i="2"/>
  <c r="I732" i="2"/>
  <c r="I83" i="2"/>
  <c r="I521" i="2"/>
  <c r="I566" i="2"/>
  <c r="I220" i="2"/>
  <c r="I715" i="2"/>
  <c r="I578" i="2"/>
  <c r="I824" i="2"/>
  <c r="I358" i="2"/>
  <c r="I879" i="2"/>
  <c r="I296" i="2"/>
  <c r="I680" i="2"/>
  <c r="I598" i="2"/>
  <c r="I407" i="2"/>
  <c r="I489" i="2"/>
  <c r="I175" i="2"/>
  <c r="I575" i="2"/>
  <c r="I762" i="2"/>
  <c r="I438" i="2"/>
  <c r="I576" i="2"/>
  <c r="I301" i="2"/>
  <c r="I419" i="2"/>
  <c r="I439" i="2"/>
  <c r="I652" i="2"/>
  <c r="I686" i="2"/>
  <c r="I522" i="2"/>
  <c r="I636" i="2"/>
  <c r="I107" i="2"/>
  <c r="I739" i="2"/>
  <c r="I319" i="2"/>
  <c r="I93" i="2"/>
  <c r="I229" i="2"/>
  <c r="I722" i="2"/>
  <c r="I165" i="2"/>
  <c r="I388" i="2"/>
  <c r="I121" i="2"/>
  <c r="I813" i="2"/>
  <c r="I371" i="2"/>
  <c r="I524" i="2"/>
  <c r="I176" i="2"/>
  <c r="I808" i="2"/>
  <c r="I31" i="2"/>
  <c r="I695" i="2"/>
  <c r="I823" i="2"/>
  <c r="I692" i="2"/>
  <c r="I736" i="2"/>
  <c r="I283" i="2"/>
  <c r="I177" i="2"/>
  <c r="I863" i="2"/>
  <c r="I646" i="2"/>
  <c r="I441" i="2"/>
  <c r="I789" i="2"/>
  <c r="I483" i="2"/>
  <c r="I487" i="2"/>
  <c r="I223" i="2"/>
  <c r="I359" i="2"/>
  <c r="I169" i="2"/>
  <c r="I19" i="2"/>
  <c r="I164" i="2"/>
  <c r="I11" i="2"/>
  <c r="I203" i="2"/>
  <c r="I666" i="2"/>
  <c r="I619" i="2"/>
  <c r="I42" i="2"/>
  <c r="I459" i="2"/>
  <c r="I232" i="2"/>
  <c r="I137" i="2"/>
  <c r="I476" i="2"/>
  <c r="I311" i="2"/>
  <c r="I665" i="2"/>
  <c r="I822" i="2"/>
  <c r="I221" i="2"/>
  <c r="I493" i="2"/>
  <c r="I61" i="2"/>
  <c r="I579" i="2"/>
  <c r="I66" i="2"/>
  <c r="I820" i="2"/>
  <c r="I59" i="2"/>
  <c r="I839" i="2"/>
  <c r="I376" i="2"/>
  <c r="I761" i="2"/>
  <c r="I540" i="2"/>
  <c r="I82" i="2"/>
  <c r="I893" i="2"/>
  <c r="I161" i="2"/>
  <c r="I602" i="2"/>
  <c r="I830" i="2"/>
  <c r="I628" i="2"/>
  <c r="I514" i="2"/>
  <c r="I577" i="2"/>
  <c r="I881" i="2"/>
  <c r="I160" i="2"/>
  <c r="I394" i="2"/>
  <c r="I299" i="2"/>
  <c r="I623" i="2"/>
  <c r="I500" i="2"/>
  <c r="I228" i="2"/>
  <c r="I784" i="2"/>
  <c r="I547" i="2"/>
  <c r="I404" i="2"/>
  <c r="I832" i="2"/>
  <c r="I466" i="2"/>
  <c r="I200" i="2"/>
  <c r="I286" i="2"/>
  <c r="I452" i="2"/>
  <c r="I818" i="2"/>
  <c r="I781" i="2"/>
  <c r="I497" i="2"/>
  <c r="I390" i="2"/>
  <c r="I308" i="2"/>
  <c r="I889" i="2"/>
  <c r="I198" i="2"/>
  <c r="I629" i="2"/>
  <c r="I213" i="2"/>
  <c r="I320" i="2"/>
  <c r="I767" i="2"/>
  <c r="I418" i="2"/>
  <c r="I75" i="2"/>
  <c r="I614" i="2"/>
  <c r="I868" i="2"/>
  <c r="I298" i="2"/>
  <c r="I45" i="2"/>
  <c r="I17" i="2"/>
  <c r="I343" i="2"/>
  <c r="I403" i="2"/>
  <c r="I880" i="2"/>
  <c r="I653" i="2"/>
  <c r="I719" i="2"/>
  <c r="I856" i="2"/>
  <c r="I92" i="2"/>
  <c r="I582" i="2"/>
  <c r="I76" i="2"/>
  <c r="I591" i="2"/>
  <c r="I332" i="2"/>
  <c r="I377" i="2"/>
  <c r="I551" i="2"/>
  <c r="I408" i="2"/>
  <c r="I584" i="2"/>
  <c r="I22" i="2"/>
  <c r="I149" i="2"/>
  <c r="I264" i="2"/>
  <c r="I884" i="2"/>
  <c r="I878" i="2"/>
  <c r="I473" i="2"/>
  <c r="I369" i="2"/>
  <c r="I157" i="2"/>
  <c r="I771" i="2"/>
  <c r="I586" i="2"/>
  <c r="I885" i="2"/>
  <c r="I357" i="2"/>
  <c r="I33" i="2"/>
  <c r="I414" i="2"/>
  <c r="I51" i="2"/>
  <c r="I114" i="2"/>
  <c r="I638" i="2"/>
  <c r="I48" i="2"/>
  <c r="I94" i="2"/>
  <c r="I258" i="2"/>
  <c r="I120" i="2"/>
  <c r="I543" i="2"/>
  <c r="I620" i="2"/>
  <c r="I447" i="2"/>
  <c r="I373" i="2"/>
  <c r="I711" i="2"/>
  <c r="I80" i="2"/>
  <c r="I657" i="2"/>
  <c r="I697" i="2"/>
  <c r="I852" i="2"/>
  <c r="I554" i="2"/>
  <c r="I277" i="2"/>
  <c r="I503" i="2"/>
  <c r="I611" i="2"/>
  <c r="I583" i="2"/>
  <c r="I337" i="2"/>
  <c r="I338" i="2"/>
  <c r="I842" i="2"/>
  <c r="I883" i="2"/>
  <c r="I478" i="2"/>
  <c r="I189" i="2"/>
  <c r="I365" i="2"/>
  <c r="I888" i="2"/>
  <c r="I380" i="2"/>
  <c r="I224" i="2"/>
  <c r="I829" i="2"/>
  <c r="I488" i="2"/>
  <c r="I535" i="2"/>
  <c r="I674" i="2"/>
  <c r="I849" i="2"/>
  <c r="I375" i="2"/>
  <c r="I402" i="2"/>
  <c r="I519" i="2"/>
  <c r="I580" i="2"/>
  <c r="I451" i="2"/>
  <c r="I90" i="2"/>
  <c r="I442" i="2"/>
  <c r="I564" i="2"/>
  <c r="I838" i="2"/>
  <c r="I179" i="2"/>
  <c r="I637" i="2"/>
  <c r="I826" i="2"/>
  <c r="I194" i="2"/>
  <c r="I356" i="2"/>
  <c r="I469" i="2"/>
  <c r="I9" i="2"/>
  <c r="I509" i="2"/>
  <c r="I29" i="2"/>
  <c r="I891" i="2"/>
  <c r="I785" i="2"/>
  <c r="I440" i="2"/>
  <c r="I837" i="2"/>
  <c r="I691" i="2"/>
  <c r="I726" i="2"/>
  <c r="I687" i="2"/>
  <c r="I585" i="2"/>
  <c r="I825" i="2"/>
  <c r="I490" i="2"/>
  <c r="I777" i="2"/>
  <c r="I178" i="2"/>
  <c r="I348" i="2"/>
  <c r="I846" i="2"/>
  <c r="I723" i="2"/>
  <c r="I461" i="2"/>
  <c r="I23" i="2"/>
  <c r="I542" i="2"/>
  <c r="I720" i="2"/>
  <c r="I492" i="2"/>
  <c r="I793" i="2"/>
  <c r="I422" i="2"/>
  <c r="I763" i="2"/>
  <c r="I168" i="2"/>
  <c r="I527" i="2"/>
  <c r="I741" i="2"/>
  <c r="I91" i="2"/>
  <c r="I797" i="2"/>
  <c r="I616" i="2"/>
  <c r="I102" i="2"/>
  <c r="I243" i="2"/>
  <c r="I752" i="2"/>
  <c r="I437" i="2"/>
  <c r="I172" i="2"/>
  <c r="I845" i="2"/>
  <c r="I453" i="2"/>
  <c r="I425" i="2"/>
  <c r="I73" i="2"/>
  <c r="I43" i="2"/>
  <c r="I821" i="2"/>
  <c r="I124" i="2"/>
  <c r="I787" i="2"/>
  <c r="I529" i="2"/>
  <c r="I882" i="2"/>
  <c r="I806" i="2"/>
  <c r="I873" i="2"/>
  <c r="I112" i="2"/>
  <c r="I560" i="2"/>
  <c r="I733" i="2"/>
  <c r="I859" i="2"/>
  <c r="I819" i="2"/>
  <c r="I658" i="2"/>
  <c r="I345" i="2"/>
  <c r="I563" i="2"/>
  <c r="I756" i="2"/>
  <c r="I464" i="2"/>
  <c r="I656" i="2"/>
  <c r="I78" i="2"/>
  <c r="I523" i="2"/>
  <c r="I858" i="2"/>
  <c r="I861" i="2"/>
  <c r="I639" i="2"/>
  <c r="I854" i="2"/>
  <c r="I256" i="2"/>
  <c r="I457" i="2"/>
  <c r="I590" i="2"/>
  <c r="I88" i="2"/>
  <c r="I421" i="2"/>
  <c r="I815" i="2"/>
  <c r="I262" i="2"/>
  <c r="I556" i="2"/>
  <c r="I862" i="2"/>
  <c r="I640" i="2"/>
  <c r="I370" i="2"/>
  <c r="I706" i="2"/>
  <c r="I397" i="2"/>
  <c r="I368" i="2"/>
  <c r="I703" i="2"/>
  <c r="I770" i="2"/>
  <c r="I643" i="2"/>
  <c r="I411" i="2"/>
  <c r="I617" i="2"/>
  <c r="I479" i="2"/>
  <c r="I718" i="2"/>
  <c r="I47" i="2"/>
  <c r="I266" i="2"/>
  <c r="I875" i="2"/>
  <c r="I401" i="2"/>
  <c r="I690" i="2"/>
  <c r="I694" i="2"/>
  <c r="I772" i="2"/>
  <c r="I28" i="2"/>
  <c r="I700" i="2"/>
  <c r="I631" i="2"/>
  <c r="I477" i="2"/>
  <c r="I844" i="2"/>
  <c r="I119" i="2"/>
  <c r="I506" i="2"/>
  <c r="I684" i="2"/>
  <c r="I753" i="2"/>
  <c r="I612" i="2"/>
  <c r="I721" i="2"/>
  <c r="I877" i="2"/>
  <c r="I572" i="2"/>
  <c r="I804" i="2"/>
  <c r="I226" i="2"/>
  <c r="I382" i="2"/>
  <c r="I834" i="2"/>
  <c r="I508" i="2"/>
  <c r="I595" i="2"/>
  <c r="I355" i="2"/>
  <c r="I313" i="2"/>
  <c r="I568" i="2"/>
  <c r="I850" i="2"/>
  <c r="I664" i="2"/>
  <c r="I892" i="2"/>
  <c r="I764" i="2"/>
  <c r="I809" i="2"/>
  <c r="I222" i="2"/>
  <c r="I384" i="2"/>
  <c r="I555" i="2"/>
  <c r="I649" i="2"/>
  <c r="I673" i="2"/>
  <c r="I716" i="2"/>
  <c r="I105" i="2"/>
  <c r="I592" i="2"/>
  <c r="I573" i="2"/>
  <c r="I865" i="2"/>
  <c r="I642" i="2"/>
  <c r="I594" i="2"/>
  <c r="I409" i="2"/>
  <c r="I351" i="2"/>
  <c r="I605" i="2"/>
  <c r="I704" i="2"/>
  <c r="I211" i="2"/>
  <c r="I129" i="2"/>
  <c r="I217" i="2"/>
  <c r="I864" i="2"/>
  <c r="I647" i="2"/>
  <c r="I216" i="2"/>
  <c r="I783" i="2"/>
  <c r="I689" i="2"/>
  <c r="I167" i="2"/>
  <c r="I730" i="2"/>
  <c r="I54" i="2"/>
  <c r="I272" i="2"/>
  <c r="I446" i="2"/>
  <c r="I18" i="2"/>
  <c r="I207" i="2"/>
  <c r="I803" i="2"/>
  <c r="I166" i="2"/>
  <c r="I530" i="2"/>
  <c r="I569" i="2"/>
  <c r="I659" i="2"/>
  <c r="I364" i="2"/>
  <c r="I626" i="2"/>
  <c r="I173" i="2"/>
  <c r="I872" i="2"/>
  <c r="I794" i="2"/>
  <c r="I549" i="2"/>
  <c r="I747" i="2"/>
  <c r="I654" i="2"/>
  <c r="I707" i="2"/>
  <c r="I828" i="2"/>
  <c r="I287" i="2"/>
  <c r="I709" i="2"/>
  <c r="I426" i="2"/>
  <c r="I699" i="2"/>
  <c r="I817" i="2"/>
  <c r="I109" i="2"/>
  <c r="I621" i="2"/>
  <c r="I499" i="2"/>
  <c r="I475" i="2"/>
  <c r="I587" i="2"/>
  <c r="I599" i="2"/>
  <c r="I548" i="2"/>
  <c r="I152" i="2"/>
  <c r="I618" i="2"/>
  <c r="I474" i="2"/>
  <c r="I385" i="2"/>
  <c r="I670" i="2"/>
  <c r="I174" i="2"/>
  <c r="I609" i="2"/>
  <c r="I668" i="2"/>
  <c r="I683" i="2"/>
  <c r="I525" i="2"/>
  <c r="I37" i="2"/>
  <c r="I450" i="2"/>
  <c r="I729" i="2"/>
  <c r="I77" i="2"/>
  <c r="I855" i="2"/>
  <c r="I436" i="2"/>
  <c r="I669" i="2"/>
  <c r="I550" i="2"/>
  <c r="I713" i="2"/>
  <c r="I848" i="2"/>
  <c r="I496" i="2"/>
  <c r="I833" i="2"/>
  <c r="I831" i="2"/>
  <c r="I677" i="2"/>
  <c r="I851" i="2"/>
  <c r="I468" i="2"/>
  <c r="I443" i="2"/>
  <c r="I567" i="2"/>
  <c r="I485" i="2"/>
  <c r="I46" i="2"/>
  <c r="I395" i="2"/>
  <c r="I714" i="2"/>
  <c r="I742" i="2"/>
  <c r="I472" i="2"/>
  <c r="I270" i="2"/>
  <c r="I435" i="2"/>
  <c r="I743" i="2"/>
  <c r="I744" i="2"/>
  <c r="I795" i="2"/>
  <c r="I735" i="2"/>
  <c r="I254" i="2"/>
  <c r="I416" i="2"/>
  <c r="I866" i="2"/>
  <c r="I754" i="2"/>
  <c r="I445" i="2"/>
  <c r="I367" i="2"/>
  <c r="I518" i="2"/>
  <c r="I624" i="2"/>
  <c r="I293" i="2"/>
  <c r="I307" i="2"/>
  <c r="I648" i="2"/>
  <c r="I428" i="2"/>
  <c r="I625" i="2"/>
  <c r="I871" i="2"/>
  <c r="I495" i="2"/>
  <c r="I661" i="2"/>
  <c r="I536" i="2"/>
  <c r="I517" i="2"/>
  <c r="I379" i="2"/>
  <c r="I801" i="2"/>
  <c r="I644" i="2"/>
  <c r="I681" i="2"/>
  <c r="I4" i="2"/>
  <c r="I597" i="2"/>
  <c r="I85" i="2"/>
  <c r="I387" i="2"/>
  <c r="I737" i="2"/>
  <c r="I574" i="2"/>
  <c r="I463" i="2"/>
  <c r="I724" i="2"/>
  <c r="I632" i="2"/>
  <c r="I651" i="2"/>
  <c r="I717" i="2"/>
  <c r="I3" i="2"/>
  <c r="I294" i="2"/>
  <c r="I814" i="2"/>
  <c r="I204" i="2"/>
  <c r="I241" i="2"/>
  <c r="I433" i="2"/>
  <c r="I309" i="2"/>
  <c r="I776" i="2"/>
  <c r="I339" i="2"/>
  <c r="I559" i="2"/>
  <c r="I430" i="2"/>
  <c r="I870" i="2"/>
  <c r="I827" i="2"/>
  <c r="I840" i="2"/>
  <c r="I766" i="2"/>
  <c r="I454" i="2"/>
  <c r="I275" i="2"/>
  <c r="I634" i="2"/>
  <c r="I608" i="2"/>
  <c r="I746" i="2"/>
  <c r="I378" i="2"/>
  <c r="I792" i="2"/>
  <c r="I502" i="2"/>
  <c r="I874" i="2"/>
  <c r="I678" i="2"/>
  <c r="I731" i="2"/>
  <c r="I757" i="2"/>
  <c r="I374" i="2"/>
  <c r="I759" i="2"/>
  <c r="I391" i="2"/>
  <c r="I118" i="2"/>
  <c r="I498" i="2"/>
  <c r="I688" i="2"/>
  <c r="I622" i="2"/>
  <c r="I427" i="2"/>
  <c r="I778" i="2"/>
  <c r="I504" i="2"/>
  <c r="I15" i="2"/>
  <c r="I406" i="2"/>
  <c r="I558" i="2"/>
  <c r="I349" i="2"/>
  <c r="I886" i="2"/>
  <c r="I798" i="2"/>
  <c r="I511" i="2"/>
  <c r="I607" i="2"/>
  <c r="I627" i="2"/>
  <c r="I693" i="2"/>
  <c r="I538" i="2"/>
  <c r="I750" i="2"/>
  <c r="I604" i="2"/>
  <c r="I505" i="2"/>
  <c r="I800" i="2"/>
  <c r="I702" i="2"/>
  <c r="I589" i="2"/>
  <c r="I361" i="2"/>
  <c r="I887" i="2"/>
  <c r="I381" i="2"/>
  <c r="I796" i="2"/>
  <c r="I562" i="2"/>
  <c r="I708" i="2"/>
  <c r="I456" i="2"/>
  <c r="I779" i="2"/>
  <c r="I570" i="2"/>
  <c r="I315" i="2"/>
  <c r="I807" i="2"/>
  <c r="I588" i="2"/>
  <c r="I869" i="2"/>
  <c r="I363" i="2"/>
  <c r="I383" i="2"/>
  <c r="I528" i="2"/>
  <c r="I486" i="2"/>
  <c r="I396" i="2"/>
  <c r="I389" i="2"/>
  <c r="I635" i="2"/>
  <c r="I117" i="2"/>
  <c r="I601" i="2"/>
  <c r="I225" i="2"/>
  <c r="I630" i="2"/>
  <c r="I353" i="2"/>
  <c r="I615" i="2"/>
  <c r="I135" i="2"/>
  <c r="I596" i="2"/>
  <c r="I89" i="2"/>
  <c r="I541" i="2"/>
  <c r="I847" i="2"/>
  <c r="I890" i="2"/>
  <c r="I434" i="2"/>
  <c r="I758" i="2"/>
  <c r="I494" i="2"/>
  <c r="I143" i="2"/>
  <c r="I86" i="2"/>
  <c r="I805" i="2"/>
  <c r="I698" i="2"/>
  <c r="I710" i="2"/>
  <c r="I227" i="2"/>
  <c r="I193" i="2"/>
  <c r="I650" i="2"/>
  <c r="I444" i="2"/>
  <c r="I748" i="2"/>
  <c r="I321" i="2"/>
  <c r="I171" i="2"/>
  <c r="I565" i="2"/>
  <c r="I346" i="2"/>
  <c r="I672" i="2"/>
  <c r="I507" i="2"/>
  <c r="I544" i="2"/>
  <c r="I663" i="2"/>
  <c r="I790" i="2"/>
  <c r="I734" i="2"/>
  <c r="I712" i="2"/>
  <c r="I467" i="2"/>
  <c r="I728" i="2"/>
  <c r="I751" i="2"/>
  <c r="I610" i="2"/>
  <c r="I471" i="2"/>
  <c r="I571" i="2"/>
  <c r="I415" i="2"/>
  <c r="I87" i="2"/>
  <c r="I481" i="2"/>
  <c r="I701" i="2"/>
  <c r="I413" i="2"/>
  <c r="I561" i="2"/>
  <c r="I682" i="2"/>
  <c r="I655" i="2"/>
  <c r="I515" i="2"/>
  <c r="I458" i="2"/>
  <c r="I410" i="2"/>
  <c r="I894" i="2"/>
  <c r="I482" i="2"/>
  <c r="I362" i="2"/>
  <c r="I696" i="2"/>
  <c r="I676" i="2"/>
  <c r="I392" i="2"/>
  <c r="I843" i="2"/>
  <c r="I491" i="2"/>
  <c r="I606" i="2"/>
  <c r="I140" i="2"/>
  <c r="I162" i="2"/>
  <c r="I775" i="2"/>
  <c r="I660" i="2"/>
  <c r="I282" i="2"/>
  <c r="I791" i="2"/>
  <c r="I727" i="2"/>
  <c r="I412" i="2"/>
  <c r="I393" i="2"/>
  <c r="I366" i="2"/>
  <c r="I539" i="2"/>
  <c r="I122" i="2"/>
  <c r="I545" i="2"/>
  <c r="I516" i="2"/>
  <c r="I645" i="2"/>
  <c r="I749" i="2"/>
  <c r="I97" i="2"/>
  <c r="I420" i="2"/>
  <c r="I306" i="2"/>
  <c r="I662" i="2"/>
  <c r="I465" i="2"/>
  <c r="I876" i="2"/>
  <c r="I755" i="2"/>
  <c r="I593" i="2"/>
  <c r="I600" i="2"/>
  <c r="I857" i="2"/>
  <c r="I210" i="2"/>
  <c r="I7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I896" i="2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<sst xmlns="http://schemas.openxmlformats.org/spreadsheetml/2006/main" count="10822" uniqueCount="933">
  <si>
    <t>Psco_191</t>
  </si>
  <si>
    <t>Psco_103</t>
  </si>
  <si>
    <t>Psco_199</t>
  </si>
  <si>
    <t>Psco_111</t>
  </si>
  <si>
    <t>Psco_207</t>
  </si>
  <si>
    <t>Psco_119</t>
  </si>
  <si>
    <t>Psco_215</t>
  </si>
  <si>
    <t>Psco_127</t>
  </si>
  <si>
    <t>Psco_223</t>
  </si>
  <si>
    <t>Psco_135</t>
  </si>
  <si>
    <t>Psco_231</t>
  </si>
  <si>
    <t>Psco_143</t>
  </si>
  <si>
    <t>Psco_239</t>
  </si>
  <si>
    <t>Psco_248</t>
  </si>
  <si>
    <t>Psco_159</t>
  </si>
  <si>
    <t>Psco_256</t>
  </si>
  <si>
    <t>Psco_167</t>
  </si>
  <si>
    <t>Psco_265</t>
  </si>
  <si>
    <t>Psco_175</t>
  </si>
  <si>
    <t>Psco_273</t>
  </si>
  <si>
    <t>Psco_183</t>
  </si>
  <si>
    <t>Psco_281</t>
  </si>
  <si>
    <t>Psco_289</t>
  </si>
  <si>
    <t>Psco_385</t>
  </si>
  <si>
    <t>Psco_297</t>
  </si>
  <si>
    <t>Psco_393</t>
  </si>
  <si>
    <t>Psco_305</t>
  </si>
  <si>
    <t>Psco_416</t>
  </si>
  <si>
    <t>Psco_313</t>
  </si>
  <si>
    <t>Psco_424</t>
  </si>
  <si>
    <t>Psco_321</t>
  </si>
  <si>
    <t>Psco_432</t>
  </si>
  <si>
    <t>Psco_329</t>
  </si>
  <si>
    <t>Psco_440</t>
  </si>
  <si>
    <t>Psco_337</t>
  </si>
  <si>
    <t>Psco_448</t>
  </si>
  <si>
    <t>Psco_345</t>
  </si>
  <si>
    <t>Psco_456</t>
  </si>
  <si>
    <t>Psco_353</t>
  </si>
  <si>
    <t>Psco_464</t>
  </si>
  <si>
    <t>Psco_361</t>
  </si>
  <si>
    <t>Psco_472</t>
  </si>
  <si>
    <t>Psco_369</t>
  </si>
  <si>
    <t>Psco_480</t>
  </si>
  <si>
    <t>Psco_377</t>
  </si>
  <si>
    <t>Psco_488</t>
  </si>
  <si>
    <t>Psco_192</t>
  </si>
  <si>
    <t>Psco_104</t>
  </si>
  <si>
    <t>Psco_200</t>
  </si>
  <si>
    <t>Psco_112</t>
  </si>
  <si>
    <t>Psco_208</t>
  </si>
  <si>
    <t>Psco_120</t>
  </si>
  <si>
    <t>Psco_216</t>
  </si>
  <si>
    <t>Psco_128</t>
  </si>
  <si>
    <t>Psco_224</t>
  </si>
  <si>
    <t>Psco_136</t>
  </si>
  <si>
    <t>Psco_232</t>
  </si>
  <si>
    <t>Psco_144</t>
  </si>
  <si>
    <t>Psco_240</t>
  </si>
  <si>
    <t>Psco_249</t>
  </si>
  <si>
    <t>Psco_257</t>
  </si>
  <si>
    <t>Psco_168</t>
  </si>
  <si>
    <t>Psco_266</t>
  </si>
  <si>
    <t>Psco_176</t>
  </si>
  <si>
    <t>Psco_184</t>
  </si>
  <si>
    <t>Psco_282</t>
  </si>
  <si>
    <t>Psco_290</t>
  </si>
  <si>
    <t>Psco_386</t>
  </si>
  <si>
    <t>Psco_298</t>
  </si>
  <si>
    <t>Psco_394</t>
  </si>
  <si>
    <t>Psco_306</t>
  </si>
  <si>
    <t>Psco_417</t>
  </si>
  <si>
    <t>Psco_314</t>
  </si>
  <si>
    <t>Psco_425</t>
  </si>
  <si>
    <t>Psco_322</t>
  </si>
  <si>
    <t>Psco_433</t>
  </si>
  <si>
    <t>Psco_330</t>
  </si>
  <si>
    <t>Psco_441</t>
  </si>
  <si>
    <t>Psco_338</t>
  </si>
  <si>
    <t>Psco_449</t>
  </si>
  <si>
    <t>Psco_346</t>
  </si>
  <si>
    <t>Psco_457</t>
  </si>
  <si>
    <t>Psco_354</t>
  </si>
  <si>
    <t>Psco_465</t>
  </si>
  <si>
    <t>Psco_362</t>
  </si>
  <si>
    <t>Psco_473</t>
  </si>
  <si>
    <t>Psco_370</t>
  </si>
  <si>
    <t>Psco_481</t>
  </si>
  <si>
    <t>Psco_378</t>
  </si>
  <si>
    <t>Psco_489</t>
  </si>
  <si>
    <t>Psco_193</t>
  </si>
  <si>
    <t>Psco_105</t>
  </si>
  <si>
    <t>Psco_201</t>
  </si>
  <si>
    <t>Psco_113</t>
  </si>
  <si>
    <t>Psco_209</t>
  </si>
  <si>
    <t>Psco_121</t>
  </si>
  <si>
    <t>Psco_217</t>
  </si>
  <si>
    <t>Psco_129</t>
  </si>
  <si>
    <t>Psco_225</t>
  </si>
  <si>
    <t>Psco_137</t>
  </si>
  <si>
    <t>Psco_233</t>
  </si>
  <si>
    <t>Psco_145</t>
  </si>
  <si>
    <t>Psco_241</t>
  </si>
  <si>
    <t>Psco_153</t>
  </si>
  <si>
    <t>Psco_250</t>
  </si>
  <si>
    <t>Psco_161</t>
  </si>
  <si>
    <t>Psco_258</t>
  </si>
  <si>
    <t>Psco_169</t>
  </si>
  <si>
    <t>Psco_267</t>
  </si>
  <si>
    <t>Psco_177</t>
  </si>
  <si>
    <t>Psco_275</t>
  </si>
  <si>
    <t>Psco_185</t>
  </si>
  <si>
    <t>Psco_283</t>
  </si>
  <si>
    <t>Psco_387</t>
  </si>
  <si>
    <t>Psco_299</t>
  </si>
  <si>
    <t>Psco_307</t>
  </si>
  <si>
    <t>Psco_418</t>
  </si>
  <si>
    <t>Psco_315</t>
  </si>
  <si>
    <t>Psco_426</t>
  </si>
  <si>
    <t>Psco_323</t>
  </si>
  <si>
    <t>Psco_434</t>
  </si>
  <si>
    <t>Psco_331</t>
  </si>
  <si>
    <t>Psco_442</t>
  </si>
  <si>
    <t>Psco_339</t>
  </si>
  <si>
    <t>Psco_450</t>
  </si>
  <si>
    <t>Psco_347</t>
  </si>
  <si>
    <t>Psco_458</t>
  </si>
  <si>
    <t>Psco_466</t>
  </si>
  <si>
    <t>Psco_363</t>
  </si>
  <si>
    <t>Psco_474</t>
  </si>
  <si>
    <t>Psco_371</t>
  </si>
  <si>
    <t>Psco_482</t>
  </si>
  <si>
    <t>Psco_379</t>
  </si>
  <si>
    <t>Psco_490</t>
  </si>
  <si>
    <t>Psco_194</t>
  </si>
  <si>
    <t>Psco_106</t>
  </si>
  <si>
    <t>Psco_202</t>
  </si>
  <si>
    <t>Psco_114</t>
  </si>
  <si>
    <t>Psco_210</t>
  </si>
  <si>
    <t>Psco_122</t>
  </si>
  <si>
    <t>Psco_218</t>
  </si>
  <si>
    <t>Psco_130</t>
  </si>
  <si>
    <t>Psco_226</t>
  </si>
  <si>
    <t>Psco_138</t>
  </si>
  <si>
    <t>Psco_234</t>
  </si>
  <si>
    <t>Psco_146</t>
  </si>
  <si>
    <t>Psco_154</t>
  </si>
  <si>
    <t>Psco_251</t>
  </si>
  <si>
    <t>Psco_162</t>
  </si>
  <si>
    <t>Psco_259</t>
  </si>
  <si>
    <t>Psco_170</t>
  </si>
  <si>
    <t>Psco_268</t>
  </si>
  <si>
    <t>Psco_178</t>
  </si>
  <si>
    <t>Psco_276</t>
  </si>
  <si>
    <t>Psco_186</t>
  </si>
  <si>
    <t>Psco_284</t>
  </si>
  <si>
    <t>Psco_292</t>
  </si>
  <si>
    <t>Psco_388</t>
  </si>
  <si>
    <t>Psco_300</t>
  </si>
  <si>
    <t>Psco_308</t>
  </si>
  <si>
    <t>Psco_419</t>
  </si>
  <si>
    <t>Psco_316</t>
  </si>
  <si>
    <t>Psco_427</t>
  </si>
  <si>
    <t>Psco_324</t>
  </si>
  <si>
    <t>Psco_435</t>
  </si>
  <si>
    <t>Psco_332</t>
  </si>
  <si>
    <t>Psco_443</t>
  </si>
  <si>
    <t>Psco_340</t>
  </si>
  <si>
    <t>Psco_451</t>
  </si>
  <si>
    <t>Psco_348</t>
  </si>
  <si>
    <t>Psco_459</t>
  </si>
  <si>
    <t>Psco_356</t>
  </si>
  <si>
    <t>Psco_467</t>
  </si>
  <si>
    <t>Psco_364</t>
  </si>
  <si>
    <t>Psco_475</t>
  </si>
  <si>
    <t>Psco_372</t>
  </si>
  <si>
    <t>Psco_483</t>
  </si>
  <si>
    <t>Psco_380</t>
  </si>
  <si>
    <t>Psco_491</t>
  </si>
  <si>
    <t>Psco_195</t>
  </si>
  <si>
    <t>Psco_107</t>
  </si>
  <si>
    <t>Psco_203</t>
  </si>
  <si>
    <t>Psco_115</t>
  </si>
  <si>
    <t>Psco_211</t>
  </si>
  <si>
    <t>Psco_123</t>
  </si>
  <si>
    <t>Psco_219</t>
  </si>
  <si>
    <t>Psco_131</t>
  </si>
  <si>
    <t>Psco_227</t>
  </si>
  <si>
    <t>Psco_139</t>
  </si>
  <si>
    <t>Psco_235</t>
  </si>
  <si>
    <t>Psco_147</t>
  </si>
  <si>
    <t>Psco_243</t>
  </si>
  <si>
    <t>Psco_155</t>
  </si>
  <si>
    <t>Psco_252</t>
  </si>
  <si>
    <t>Psco_163</t>
  </si>
  <si>
    <t>Psco_261</t>
  </si>
  <si>
    <t>Psco_171</t>
  </si>
  <si>
    <t>Psco_269</t>
  </si>
  <si>
    <t>Psco_179</t>
  </si>
  <si>
    <t>Psco_277</t>
  </si>
  <si>
    <t>Psco_187</t>
  </si>
  <si>
    <t>Psco_285</t>
  </si>
  <si>
    <t>Psco_293</t>
  </si>
  <si>
    <t>Psco_389</t>
  </si>
  <si>
    <t>Psco_301</t>
  </si>
  <si>
    <t>Psco_412</t>
  </si>
  <si>
    <t>Psco_309</t>
  </si>
  <si>
    <t>Psco_420</t>
  </si>
  <si>
    <t>Psco_317</t>
  </si>
  <si>
    <t>Psco_428</t>
  </si>
  <si>
    <t>Psco_325</t>
  </si>
  <si>
    <t>Psco_436</t>
  </si>
  <si>
    <t>Psco_333</t>
  </si>
  <si>
    <t>Psco_444</t>
  </si>
  <si>
    <t>Psco_341</t>
  </si>
  <si>
    <t>Psco_452</t>
  </si>
  <si>
    <t>Psco_349</t>
  </si>
  <si>
    <t>Psco_460</t>
  </si>
  <si>
    <t>Psco_357</t>
  </si>
  <si>
    <t>Psco_468</t>
  </si>
  <si>
    <t>Psco_365</t>
  </si>
  <si>
    <t>Psco_476</t>
  </si>
  <si>
    <t>Psco_373</t>
  </si>
  <si>
    <t>Psco_484</t>
  </si>
  <si>
    <t>Psco_381</t>
  </si>
  <si>
    <t>Psco_492</t>
  </si>
  <si>
    <t>Psco_196</t>
  </si>
  <si>
    <t>Psco_108</t>
  </si>
  <si>
    <t>Psco_204</t>
  </si>
  <si>
    <t>Psco_116</t>
  </si>
  <si>
    <t>Psco_212</t>
  </si>
  <si>
    <t>Psco_124</t>
  </si>
  <si>
    <t>Psco_132</t>
  </si>
  <si>
    <t>Psco_228</t>
  </si>
  <si>
    <t>Psco_140</t>
  </si>
  <si>
    <t>Psco_236</t>
  </si>
  <si>
    <t>Psco_148</t>
  </si>
  <si>
    <t>Psco_156</t>
  </si>
  <si>
    <t>Psco_253</t>
  </si>
  <si>
    <t>Psco_164</t>
  </si>
  <si>
    <t>Psco_262</t>
  </si>
  <si>
    <t>Psco_172</t>
  </si>
  <si>
    <t>Psco_270</t>
  </si>
  <si>
    <t>Psco_180</t>
  </si>
  <si>
    <t>Psco_278</t>
  </si>
  <si>
    <t>Psco_188</t>
  </si>
  <si>
    <t>Psco_286</t>
  </si>
  <si>
    <t>Psco_294</t>
  </si>
  <si>
    <t>Psco_390</t>
  </si>
  <si>
    <t>Psco_302</t>
  </si>
  <si>
    <t>Psco_413</t>
  </si>
  <si>
    <t>Psco_310</t>
  </si>
  <si>
    <t>Psco_421</t>
  </si>
  <si>
    <t>Psco_318</t>
  </si>
  <si>
    <t>Psco_429</t>
  </si>
  <si>
    <t>Psco_326</t>
  </si>
  <si>
    <t>Psco_437</t>
  </si>
  <si>
    <t>Psco_334</t>
  </si>
  <si>
    <t>Psco_445</t>
  </si>
  <si>
    <t>Psco_342</t>
  </si>
  <si>
    <t>Psco_453</t>
  </si>
  <si>
    <t>Psco_350</t>
  </si>
  <si>
    <t>Psco_461</t>
  </si>
  <si>
    <t>Psco_358</t>
  </si>
  <si>
    <t>Psco_469</t>
  </si>
  <si>
    <t>Psco_366</t>
  </si>
  <si>
    <t>Psco_477</t>
  </si>
  <si>
    <t>Psco_374</t>
  </si>
  <si>
    <t>Psco_485</t>
  </si>
  <si>
    <t>Psco_382</t>
  </si>
  <si>
    <t>Psco_493</t>
  </si>
  <si>
    <t>Psco_197</t>
  </si>
  <si>
    <t>Psco_109</t>
  </si>
  <si>
    <t>Psco_205</t>
  </si>
  <si>
    <t>Psco_117</t>
  </si>
  <si>
    <t>Psco_213</t>
  </si>
  <si>
    <t>Psco_125</t>
  </si>
  <si>
    <t>Psco_221</t>
  </si>
  <si>
    <t>Psco_133</t>
  </si>
  <si>
    <t>Psco_229</t>
  </si>
  <si>
    <t>Psco_141</t>
  </si>
  <si>
    <t>Psco_237</t>
  </si>
  <si>
    <t>Psco_149</t>
  </si>
  <si>
    <t>Psco_246</t>
  </si>
  <si>
    <t>Psco_157</t>
  </si>
  <si>
    <t>Psco_254</t>
  </si>
  <si>
    <t>Psco_165</t>
  </si>
  <si>
    <t>Psco_263</t>
  </si>
  <si>
    <t>Psco_173</t>
  </si>
  <si>
    <t>Psco_271</t>
  </si>
  <si>
    <t>Psco_181</t>
  </si>
  <si>
    <t>Psco_279</t>
  </si>
  <si>
    <t>Psco_189</t>
  </si>
  <si>
    <t>Psco_287</t>
  </si>
  <si>
    <t>Psco_295</t>
  </si>
  <si>
    <t>Psco_391</t>
  </si>
  <si>
    <t>Psco_303</t>
  </si>
  <si>
    <t>Psco_414</t>
  </si>
  <si>
    <t>Psco_311</t>
  </si>
  <si>
    <t>Psco_422</t>
  </si>
  <si>
    <t>Psco_430</t>
  </si>
  <si>
    <t>Psco_327</t>
  </si>
  <si>
    <t>Psco_438</t>
  </si>
  <si>
    <t>Psco_335</t>
  </si>
  <si>
    <t>Psco_446</t>
  </si>
  <si>
    <t>Psco_343</t>
  </si>
  <si>
    <t>Psco_454</t>
  </si>
  <si>
    <t>Psco_351</t>
  </si>
  <si>
    <t>Psco_462</t>
  </si>
  <si>
    <t>Psco_470</t>
  </si>
  <si>
    <t>Psco_367</t>
  </si>
  <si>
    <t>Psco_478</t>
  </si>
  <si>
    <t>Psco_375</t>
  </si>
  <si>
    <t>Psco_486</t>
  </si>
  <si>
    <t>Psco_383</t>
  </si>
  <si>
    <t>Psco_494</t>
  </si>
  <si>
    <t>Psco_198</t>
  </si>
  <si>
    <t>Psco_110</t>
  </si>
  <si>
    <t>Psco_206</t>
  </si>
  <si>
    <t>Psco_118</t>
  </si>
  <si>
    <t>Psco_214</t>
  </si>
  <si>
    <t>Psco_126</t>
  </si>
  <si>
    <t>Psco_222</t>
  </si>
  <si>
    <t>Psco_134</t>
  </si>
  <si>
    <t>Psco_230</t>
  </si>
  <si>
    <t>Psco_142</t>
  </si>
  <si>
    <t>Psco_238</t>
  </si>
  <si>
    <t>Psco_150</t>
  </si>
  <si>
    <t>Psco_247</t>
  </si>
  <si>
    <t>Psco_158</t>
  </si>
  <si>
    <t>Psco_255</t>
  </si>
  <si>
    <t>Psco_166</t>
  </si>
  <si>
    <t>Psco_264</t>
  </si>
  <si>
    <t>Psco_174</t>
  </si>
  <si>
    <t>Psco_272</t>
  </si>
  <si>
    <t>Psco_182</t>
  </si>
  <si>
    <t>Psco_280</t>
  </si>
  <si>
    <t>Psco_190</t>
  </si>
  <si>
    <t>Psco_288</t>
  </si>
  <si>
    <t>Psco_296</t>
  </si>
  <si>
    <t>Psco_392</t>
  </si>
  <si>
    <t>Psco_304</t>
  </si>
  <si>
    <t>Psco_312</t>
  </si>
  <si>
    <t>Psco_423</t>
  </si>
  <si>
    <t>Psco_431</t>
  </si>
  <si>
    <t>Psco_328</t>
  </si>
  <si>
    <t>Psco_439</t>
  </si>
  <si>
    <t>Psco_447</t>
  </si>
  <si>
    <t>Psco_344</t>
  </si>
  <si>
    <t>Psco_455</t>
  </si>
  <si>
    <t>Psco_352</t>
  </si>
  <si>
    <t>Psco_463</t>
  </si>
  <si>
    <t>Psco_360</t>
  </si>
  <si>
    <t>Psco_471</t>
  </si>
  <si>
    <t>Psco_368</t>
  </si>
  <si>
    <t>Psco_479</t>
  </si>
  <si>
    <t>Psco_376</t>
  </si>
  <si>
    <t>Psco_487</t>
  </si>
  <si>
    <t>Psco_384</t>
  </si>
  <si>
    <t>Psco_495</t>
  </si>
  <si>
    <t>Psco_990</t>
  </si>
  <si>
    <t>Psco_902</t>
  </si>
  <si>
    <t>Psco_998</t>
  </si>
  <si>
    <t>Psco_910</t>
  </si>
  <si>
    <t>Psco_1006</t>
  </si>
  <si>
    <t>Psco_918</t>
  </si>
  <si>
    <t>Psco_1014</t>
  </si>
  <si>
    <t>Psco_926</t>
  </si>
  <si>
    <t>Psco_1022</t>
  </si>
  <si>
    <t>Psco_1030</t>
  </si>
  <si>
    <t>Psco_942</t>
  </si>
  <si>
    <t>Psco_1038</t>
  </si>
  <si>
    <t>Psco_950</t>
  </si>
  <si>
    <t>Psco_1046</t>
  </si>
  <si>
    <t>Psco_958</t>
  </si>
  <si>
    <t>Psco_1054</t>
  </si>
  <si>
    <t>Psco_966</t>
  </si>
  <si>
    <t>Psco_974</t>
  </si>
  <si>
    <t>Psco_982</t>
  </si>
  <si>
    <t>Psco_895</t>
  </si>
  <si>
    <t>Psco_991</t>
  </si>
  <si>
    <t>Psco_903</t>
  </si>
  <si>
    <t>Psco_999</t>
  </si>
  <si>
    <t>Psco_911</t>
  </si>
  <si>
    <t>Psco_1007</t>
  </si>
  <si>
    <t>Psco_919</t>
  </si>
  <si>
    <t>Psco_1015</t>
  </si>
  <si>
    <t>Psco_927</t>
  </si>
  <si>
    <t>Psco_1023</t>
  </si>
  <si>
    <t>Psco_935</t>
  </si>
  <si>
    <t>Psco_1031</t>
  </si>
  <si>
    <t>Psco_943</t>
  </si>
  <si>
    <t>Psco_1039</t>
  </si>
  <si>
    <t>Psco_951</t>
  </si>
  <si>
    <t>Psco_1047</t>
  </si>
  <si>
    <t>Psco_959</t>
  </si>
  <si>
    <t>Psco_1055</t>
  </si>
  <si>
    <t>Psco_967</t>
  </si>
  <si>
    <t>Psco_975</t>
  </si>
  <si>
    <t>Psco_983</t>
  </si>
  <si>
    <t>Psco_896</t>
  </si>
  <si>
    <t>Psco_992</t>
  </si>
  <si>
    <t>Psco_904</t>
  </si>
  <si>
    <t>Psco_1000</t>
  </si>
  <si>
    <t>Psco_912</t>
  </si>
  <si>
    <t>Psco_1008</t>
  </si>
  <si>
    <t>Psco_920</t>
  </si>
  <si>
    <t>Psco_1016</t>
  </si>
  <si>
    <t>Psco_928</t>
  </si>
  <si>
    <t>Psco_1024</t>
  </si>
  <si>
    <t>Psco_936</t>
  </si>
  <si>
    <t>Psco_1032</t>
  </si>
  <si>
    <t>Psco_944</t>
  </si>
  <si>
    <t>Psco_1040</t>
  </si>
  <si>
    <t>Psco_952</t>
  </si>
  <si>
    <t>Psco_1048</t>
  </si>
  <si>
    <t>Psco_960</t>
  </si>
  <si>
    <t>Psco_1056</t>
  </si>
  <si>
    <t>Psco_968</t>
  </si>
  <si>
    <t>Psco_976</t>
  </si>
  <si>
    <t>Psco_984</t>
  </si>
  <si>
    <t>Psco_897</t>
  </si>
  <si>
    <t>Psco_993</t>
  </si>
  <si>
    <t>Psco_905</t>
  </si>
  <si>
    <t>Psco_1001</t>
  </si>
  <si>
    <t>Psco_913</t>
  </si>
  <si>
    <t>Psco_1009</t>
  </si>
  <si>
    <t>Psco_921</t>
  </si>
  <si>
    <t>Psco_1017</t>
  </si>
  <si>
    <t>Psco_929</t>
  </si>
  <si>
    <t>Psco_1025</t>
  </si>
  <si>
    <t>Psco_937</t>
  </si>
  <si>
    <t>Psco_1033</t>
  </si>
  <si>
    <t>Psco_945</t>
  </si>
  <si>
    <t>Psco_1041</t>
  </si>
  <si>
    <t>Psco_953</t>
  </si>
  <si>
    <t>Psco_1049</t>
  </si>
  <si>
    <t>Psco_961</t>
  </si>
  <si>
    <t>Psco_1057</t>
  </si>
  <si>
    <t>Psco_985</t>
  </si>
  <si>
    <t>Psco_898</t>
  </si>
  <si>
    <t>Psco_994</t>
  </si>
  <si>
    <t>Psco_906</t>
  </si>
  <si>
    <t>Psco_1002</t>
  </si>
  <si>
    <t>Psco_914</t>
  </si>
  <si>
    <t>Psco_1010</t>
  </si>
  <si>
    <t>Psco_922</t>
  </si>
  <si>
    <t>Psco_1018</t>
  </si>
  <si>
    <t>Psco_930</t>
  </si>
  <si>
    <t>Psco_1026</t>
  </si>
  <si>
    <t>Psco_938</t>
  </si>
  <si>
    <t>Psco_1034</t>
  </si>
  <si>
    <t>Psco_946</t>
  </si>
  <si>
    <t>Psco_1042</t>
  </si>
  <si>
    <t>Psco_954</t>
  </si>
  <si>
    <t>Psco_1050</t>
  </si>
  <si>
    <t>Psco_962</t>
  </si>
  <si>
    <t>Psco_1058</t>
  </si>
  <si>
    <t>Psco_970</t>
  </si>
  <si>
    <t>Psco_978</t>
  </si>
  <si>
    <t>Psco_986</t>
  </si>
  <si>
    <t>Psco_899</t>
  </si>
  <si>
    <t>Psco_995</t>
  </si>
  <si>
    <t>Psco_907</t>
  </si>
  <si>
    <t>Psco_1003</t>
  </si>
  <si>
    <t>Psco_915</t>
  </si>
  <si>
    <t>Psco_1011</t>
  </si>
  <si>
    <t>Psco_923</t>
  </si>
  <si>
    <t>Psco_1019</t>
  </si>
  <si>
    <t>Psco_931</t>
  </si>
  <si>
    <t>Psco_1027</t>
  </si>
  <si>
    <t>Psco_939</t>
  </si>
  <si>
    <t>Psco_1035</t>
  </si>
  <si>
    <t>Psco_947</t>
  </si>
  <si>
    <t>Psco_1043</t>
  </si>
  <si>
    <t>Psco_955</t>
  </si>
  <si>
    <t>Psco_963</t>
  </si>
  <si>
    <t>Psco_971</t>
  </si>
  <si>
    <t>Psco_979</t>
  </si>
  <si>
    <t>Psco_987</t>
  </si>
  <si>
    <t>Psco_900</t>
  </si>
  <si>
    <t>Psco_996</t>
  </si>
  <si>
    <t>Psco_908</t>
  </si>
  <si>
    <t>Psco_1004</t>
  </si>
  <si>
    <t>Psco_916</t>
  </si>
  <si>
    <t>Psco_1012</t>
  </si>
  <si>
    <t>Psco_924</t>
  </si>
  <si>
    <t>Psco_1020</t>
  </si>
  <si>
    <t>Psco_932</t>
  </si>
  <si>
    <t>Psco_1028</t>
  </si>
  <si>
    <t>Psco_940</t>
  </si>
  <si>
    <t>Psco_1036</t>
  </si>
  <si>
    <t>Psco_948</t>
  </si>
  <si>
    <t>Psco_1044</t>
  </si>
  <si>
    <t>Psco_956</t>
  </si>
  <si>
    <t>Psco_964</t>
  </si>
  <si>
    <t>Psco_972</t>
  </si>
  <si>
    <t>Psco_980</t>
  </si>
  <si>
    <t>Psco_988</t>
  </si>
  <si>
    <t>Psco_901</t>
  </si>
  <si>
    <t>Psco_997</t>
  </si>
  <si>
    <t>Psco_1005</t>
  </si>
  <si>
    <t>Psco_917</t>
  </si>
  <si>
    <t>Psco_1013</t>
  </si>
  <si>
    <t>Psco_925</t>
  </si>
  <si>
    <t>Psco_1021</t>
  </si>
  <si>
    <t>Psco_933</t>
  </si>
  <si>
    <t>Psco_1029</t>
  </si>
  <si>
    <t>Psco_941</t>
  </si>
  <si>
    <t>Psco_1037</t>
  </si>
  <si>
    <t>Psco_949</t>
  </si>
  <si>
    <t>Psco_1045</t>
  </si>
  <si>
    <t>Psco_957</t>
  </si>
  <si>
    <t>Psco_1053</t>
  </si>
  <si>
    <t>Psco_965</t>
  </si>
  <si>
    <t>Psco_973</t>
  </si>
  <si>
    <t>Psco_981</t>
  </si>
  <si>
    <t>Psco_989</t>
  </si>
  <si>
    <t>Psco_291</t>
  </si>
  <si>
    <t>Psco_319</t>
  </si>
  <si>
    <t>Psco_415</t>
  </si>
  <si>
    <t>Psco_320</t>
  </si>
  <si>
    <t>Psco_336</t>
  </si>
  <si>
    <t>Psco_496</t>
  </si>
  <si>
    <t>Psco_592</t>
  </si>
  <si>
    <t>Psco_504</t>
  </si>
  <si>
    <t>Psco_600</t>
  </si>
  <si>
    <t>Psco_512</t>
  </si>
  <si>
    <t>Psco_608</t>
  </si>
  <si>
    <t>Psco_520</t>
  </si>
  <si>
    <t>Psco_616</t>
  </si>
  <si>
    <t>Psco_528</t>
  </si>
  <si>
    <t>Psco_624</t>
  </si>
  <si>
    <t>Psco_536</t>
  </si>
  <si>
    <t>Psco_632</t>
  </si>
  <si>
    <t>Psco_544</t>
  </si>
  <si>
    <t>Psco_640</t>
  </si>
  <si>
    <t>Psco_552</t>
  </si>
  <si>
    <t>Psco_648</t>
  </si>
  <si>
    <t>Psco_560</t>
  </si>
  <si>
    <t>Psco_656</t>
  </si>
  <si>
    <t>Psco_568</t>
  </si>
  <si>
    <t>Psco_664</t>
  </si>
  <si>
    <t>Psco_576</t>
  </si>
  <si>
    <t>Psco_672</t>
  </si>
  <si>
    <t>Psco_584</t>
  </si>
  <si>
    <t>Psco_680</t>
  </si>
  <si>
    <t>Psco_688</t>
  </si>
  <si>
    <t>Psco_797</t>
  </si>
  <si>
    <t>Psco_696</t>
  </si>
  <si>
    <t>Psco_805</t>
  </si>
  <si>
    <t>Psco_704</t>
  </si>
  <si>
    <t>Psco_813</t>
  </si>
  <si>
    <t>Psco_712</t>
  </si>
  <si>
    <t>Psco_821</t>
  </si>
  <si>
    <t>Psco_720</t>
  </si>
  <si>
    <t>Psco_829</t>
  </si>
  <si>
    <t>Psco_837</t>
  </si>
  <si>
    <t>Psco_749</t>
  </si>
  <si>
    <t>Psco_845</t>
  </si>
  <si>
    <t>Psco_757</t>
  </si>
  <si>
    <t>Psco_853</t>
  </si>
  <si>
    <t>Psco_765</t>
  </si>
  <si>
    <t>Psco_861</t>
  </si>
  <si>
    <t>Psco_773</t>
  </si>
  <si>
    <t>Psco_869</t>
  </si>
  <si>
    <t>Psco_781</t>
  </si>
  <si>
    <t>Psco_877</t>
  </si>
  <si>
    <t>Psco_789</t>
  </si>
  <si>
    <t>Psco_885</t>
  </si>
  <si>
    <t>Psco_497</t>
  </si>
  <si>
    <t>Psco_593</t>
  </si>
  <si>
    <t>Psco_505</t>
  </si>
  <si>
    <t>Psco_601</t>
  </si>
  <si>
    <t>Psco_513</t>
  </si>
  <si>
    <t>Psco_609</t>
  </si>
  <si>
    <t>Psco_521</t>
  </si>
  <si>
    <t>Psco_617</t>
  </si>
  <si>
    <t>Psco_529</t>
  </si>
  <si>
    <t>Psco_625</t>
  </si>
  <si>
    <t>Psco_537</t>
  </si>
  <si>
    <t>Psco_633</t>
  </si>
  <si>
    <t>Psco_545</t>
  </si>
  <si>
    <t>Psco_641</t>
  </si>
  <si>
    <t>Psco_553</t>
  </si>
  <si>
    <t>Psco_649</t>
  </si>
  <si>
    <t>Psco_561</t>
  </si>
  <si>
    <t>Psco_657</t>
  </si>
  <si>
    <t>Psco_569</t>
  </si>
  <si>
    <t>Psco_665</t>
  </si>
  <si>
    <t>Psco_577</t>
  </si>
  <si>
    <t>Psco_585</t>
  </si>
  <si>
    <t>Psco_681</t>
  </si>
  <si>
    <t>Psco_689</t>
  </si>
  <si>
    <t>Psco_798</t>
  </si>
  <si>
    <t>Psco_697</t>
  </si>
  <si>
    <t>Psco_806</t>
  </si>
  <si>
    <t>Psco_705</t>
  </si>
  <si>
    <t>Psco_814</t>
  </si>
  <si>
    <t>Psco_713</t>
  </si>
  <si>
    <t>Psco_822</t>
  </si>
  <si>
    <t>Psco_721</t>
  </si>
  <si>
    <t>Psco_830</t>
  </si>
  <si>
    <t>Psco_838</t>
  </si>
  <si>
    <t>Psco_750</t>
  </si>
  <si>
    <t>Psco_846</t>
  </si>
  <si>
    <t>Psco_758</t>
  </si>
  <si>
    <t>Psco_854</t>
  </si>
  <si>
    <t>Psco_766</t>
  </si>
  <si>
    <t>Psco_862</t>
  </si>
  <si>
    <t>Psco_774</t>
  </si>
  <si>
    <t>Psco_870</t>
  </si>
  <si>
    <t>Psco_782</t>
  </si>
  <si>
    <t>Psco_878</t>
  </si>
  <si>
    <t>Psco_790</t>
  </si>
  <si>
    <t>Psco_886</t>
  </si>
  <si>
    <t>Psco_498</t>
  </si>
  <si>
    <t>Psco_594</t>
  </si>
  <si>
    <t>Psco_506</t>
  </si>
  <si>
    <t>Psco_602</t>
  </si>
  <si>
    <t>Psco_514</t>
  </si>
  <si>
    <t>Psco_610</t>
  </si>
  <si>
    <t>Psco_522</t>
  </si>
  <si>
    <t>Psco_618</t>
  </si>
  <si>
    <t>Psco_530</t>
  </si>
  <si>
    <t>Psco_626</t>
  </si>
  <si>
    <t>Psco_538</t>
  </si>
  <si>
    <t>Psco_634</t>
  </si>
  <si>
    <t>Psco_546</t>
  </si>
  <si>
    <t>Psco_642</t>
  </si>
  <si>
    <t>Psco_554</t>
  </si>
  <si>
    <t>Psco_650</t>
  </si>
  <si>
    <t>Psco_562</t>
  </si>
  <si>
    <t>Psco_658</t>
  </si>
  <si>
    <t>Psco_570</t>
  </si>
  <si>
    <t>Psco_666</t>
  </si>
  <si>
    <t>Psco_578</t>
  </si>
  <si>
    <t>Psco_586</t>
  </si>
  <si>
    <t>Psco_682</t>
  </si>
  <si>
    <t>Psco_690</t>
  </si>
  <si>
    <t>Psco_799</t>
  </si>
  <si>
    <t>Psco_698</t>
  </si>
  <si>
    <t>Psco_706</t>
  </si>
  <si>
    <t>Psco_815</t>
  </si>
  <si>
    <t>Psco_714</t>
  </si>
  <si>
    <t>Psco_823</t>
  </si>
  <si>
    <t>Psco_722</t>
  </si>
  <si>
    <t>Psco_831</t>
  </si>
  <si>
    <t>Psco_839</t>
  </si>
  <si>
    <t>Psco_751</t>
  </si>
  <si>
    <t>Psco_847</t>
  </si>
  <si>
    <t>Psco_759</t>
  </si>
  <si>
    <t>Psco_855</t>
  </si>
  <si>
    <t>Psco_767</t>
  </si>
  <si>
    <t>Psco_775</t>
  </si>
  <si>
    <t>Psco_871</t>
  </si>
  <si>
    <t>Psco_783</t>
  </si>
  <si>
    <t>Psco_879</t>
  </si>
  <si>
    <t>Psco_791</t>
  </si>
  <si>
    <t>Psco_887</t>
  </si>
  <si>
    <t>Psco_499</t>
  </si>
  <si>
    <t>Psco_595</t>
  </si>
  <si>
    <t>Psco_507</t>
  </si>
  <si>
    <t>Psco_603</t>
  </si>
  <si>
    <t>Psco_515</t>
  </si>
  <si>
    <t>Psco_611</t>
  </si>
  <si>
    <t>Psco_523</t>
  </si>
  <si>
    <t>Psco_619</t>
  </si>
  <si>
    <t>Psco_531</t>
  </si>
  <si>
    <t>Psco_627</t>
  </si>
  <si>
    <t>Psco_539</t>
  </si>
  <si>
    <t>Psco_635</t>
  </si>
  <si>
    <t>Psco_547</t>
  </si>
  <si>
    <t>Psco_643</t>
  </si>
  <si>
    <t>Psco_555</t>
  </si>
  <si>
    <t>Psco_651</t>
  </si>
  <si>
    <t>Psco_563</t>
  </si>
  <si>
    <t>Psco_659</t>
  </si>
  <si>
    <t>Psco_571</t>
  </si>
  <si>
    <t>Psco_667</t>
  </si>
  <si>
    <t>Psco_579</t>
  </si>
  <si>
    <t>Psco_675</t>
  </si>
  <si>
    <t>Psco_587</t>
  </si>
  <si>
    <t>Psco_683</t>
  </si>
  <si>
    <t>Psco_691</t>
  </si>
  <si>
    <t>Psco_800</t>
  </si>
  <si>
    <t>Psco_699</t>
  </si>
  <si>
    <t>Psco_808</t>
  </si>
  <si>
    <t>Psco_707</t>
  </si>
  <si>
    <t>Psco_816</t>
  </si>
  <si>
    <t>Psco_715</t>
  </si>
  <si>
    <t>Psco_824</t>
  </si>
  <si>
    <t>Psco_723</t>
  </si>
  <si>
    <t>Psco_832</t>
  </si>
  <si>
    <t>Psco_840</t>
  </si>
  <si>
    <t>Psco_848</t>
  </si>
  <si>
    <t>Psco_760</t>
  </si>
  <si>
    <t>Psco_856</t>
  </si>
  <si>
    <t>Psco_768</t>
  </si>
  <si>
    <t>Psco_864</t>
  </si>
  <si>
    <t>Psco_776</t>
  </si>
  <si>
    <t>Psco_872</t>
  </si>
  <si>
    <t>Psco_784</t>
  </si>
  <si>
    <t>Psco_880</t>
  </si>
  <si>
    <t>Psco_792</t>
  </si>
  <si>
    <t>Psco_888</t>
  </si>
  <si>
    <t>Psco_500</t>
  </si>
  <si>
    <t>Psco_596</t>
  </si>
  <si>
    <t>Psco_508</t>
  </si>
  <si>
    <t>Psco_604</t>
  </si>
  <si>
    <t>Psco_516</t>
  </si>
  <si>
    <t>Psco_612</t>
  </si>
  <si>
    <t>Psco_524</t>
  </si>
  <si>
    <t>Psco_620</t>
  </si>
  <si>
    <t>Psco_532</t>
  </si>
  <si>
    <t>Psco_628</t>
  </si>
  <si>
    <t>Psco_540</t>
  </si>
  <si>
    <t>Psco_636</t>
  </si>
  <si>
    <t>Psco_548</t>
  </si>
  <si>
    <t>Psco_644</t>
  </si>
  <si>
    <t>Psco_556</t>
  </si>
  <si>
    <t>Psco_652</t>
  </si>
  <si>
    <t>Psco_564</t>
  </si>
  <si>
    <t>Psco_660</t>
  </si>
  <si>
    <t>Psco_572</t>
  </si>
  <si>
    <t>Psco_668</t>
  </si>
  <si>
    <t>Psco_580</t>
  </si>
  <si>
    <t>Psco_676</t>
  </si>
  <si>
    <t>Psco_588</t>
  </si>
  <si>
    <t>Psco_684</t>
  </si>
  <si>
    <t>Psco_692</t>
  </si>
  <si>
    <t>Psco_801</t>
  </si>
  <si>
    <t>Psco_700</t>
  </si>
  <si>
    <t>Psco_809</t>
  </si>
  <si>
    <t>Psco_708</t>
  </si>
  <si>
    <t>Psco_817</t>
  </si>
  <si>
    <t>Psco_716</t>
  </si>
  <si>
    <t>Psco_825</t>
  </si>
  <si>
    <t>Psco_724</t>
  </si>
  <si>
    <t>Psco_833</t>
  </si>
  <si>
    <t>Psco_745</t>
  </si>
  <si>
    <t>Psco_841</t>
  </si>
  <si>
    <t>Psco_753</t>
  </si>
  <si>
    <t>Psco_849</t>
  </si>
  <si>
    <t>Psco_761</t>
  </si>
  <si>
    <t>Psco_857</t>
  </si>
  <si>
    <t>Psco_769</t>
  </si>
  <si>
    <t>Psco_865</t>
  </si>
  <si>
    <t>Psco_777</t>
  </si>
  <si>
    <t>Psco_873</t>
  </si>
  <si>
    <t>Psco_785</t>
  </si>
  <si>
    <t>Psco_881</t>
  </si>
  <si>
    <t>Psco_793</t>
  </si>
  <si>
    <t>Psco_889</t>
  </si>
  <si>
    <t>Psco_501</t>
  </si>
  <si>
    <t>Psco_597</t>
  </si>
  <si>
    <t>Psco_509</t>
  </si>
  <si>
    <t>Psco_605</t>
  </si>
  <si>
    <t>Psco_517</t>
  </si>
  <si>
    <t>Psco_613</t>
  </si>
  <si>
    <t>Psco_525</t>
  </si>
  <si>
    <t>Psco_621</t>
  </si>
  <si>
    <t>Psco_533</t>
  </si>
  <si>
    <t>Psco_629</t>
  </si>
  <si>
    <t>Psco_541</t>
  </si>
  <si>
    <t>Psco_637</t>
  </si>
  <si>
    <t>Psco_549</t>
  </si>
  <si>
    <t>Psco_645</t>
  </si>
  <si>
    <t>Psco_557</t>
  </si>
  <si>
    <t>Psco_653</t>
  </si>
  <si>
    <t>Psco_565_2</t>
  </si>
  <si>
    <t>Psco_661</t>
  </si>
  <si>
    <t>Psco_573</t>
  </si>
  <si>
    <t>Psco_669</t>
  </si>
  <si>
    <t>Psco_581</t>
  </si>
  <si>
    <t>Psco_677</t>
  </si>
  <si>
    <t>Psco_589</t>
  </si>
  <si>
    <t>Psco_685</t>
  </si>
  <si>
    <t>Psco_693</t>
  </si>
  <si>
    <t>Psco_802</t>
  </si>
  <si>
    <t>Psco_701</t>
  </si>
  <si>
    <t>Psco_810</t>
  </si>
  <si>
    <t>Psco_709</t>
  </si>
  <si>
    <t>Psco_818</t>
  </si>
  <si>
    <t>Psco_717</t>
  </si>
  <si>
    <t>Psco_826</t>
  </si>
  <si>
    <t>Psco_725_2</t>
  </si>
  <si>
    <t>Psco_834</t>
  </si>
  <si>
    <t>Psco_746</t>
  </si>
  <si>
    <t>Psco_842</t>
  </si>
  <si>
    <t>Psco_754</t>
  </si>
  <si>
    <t>Psco_850</t>
  </si>
  <si>
    <t>Psco_858</t>
  </si>
  <si>
    <t>Psco_770</t>
  </si>
  <si>
    <t>Psco_866</t>
  </si>
  <si>
    <t>Psco_778</t>
  </si>
  <si>
    <t>Psco_874</t>
  </si>
  <si>
    <t>Psco_786</t>
  </si>
  <si>
    <t>Psco_882</t>
  </si>
  <si>
    <t>Psco_794</t>
  </si>
  <si>
    <t>Psco_890</t>
  </si>
  <si>
    <t>Psco_502</t>
  </si>
  <si>
    <t>Psco_598</t>
  </si>
  <si>
    <t>Psco_510</t>
  </si>
  <si>
    <t>Psco_606</t>
  </si>
  <si>
    <t>Psco_518</t>
  </si>
  <si>
    <t>Psco_614</t>
  </si>
  <si>
    <t>Psco_526</t>
  </si>
  <si>
    <t>Psco_622</t>
  </si>
  <si>
    <t>Psco_534</t>
  </si>
  <si>
    <t>Psco_630</t>
  </si>
  <si>
    <t>Psco_542</t>
  </si>
  <si>
    <t>Psco_638</t>
  </si>
  <si>
    <t>Psco_550</t>
  </si>
  <si>
    <t>Psco_646</t>
  </si>
  <si>
    <t>Psco_558</t>
  </si>
  <si>
    <t>Psco_654</t>
  </si>
  <si>
    <t>Psco_566</t>
  </si>
  <si>
    <t>Psco_662</t>
  </si>
  <si>
    <t>Psco_574</t>
  </si>
  <si>
    <t>Psco_670</t>
  </si>
  <si>
    <t>Psco_582</t>
  </si>
  <si>
    <t>Psco_678</t>
  </si>
  <si>
    <t>Psco_590</t>
  </si>
  <si>
    <t>Psco_686</t>
  </si>
  <si>
    <t>Psco_694</t>
  </si>
  <si>
    <t>Psco_803</t>
  </si>
  <si>
    <t>Psco_702</t>
  </si>
  <si>
    <t>Psco_811</t>
  </si>
  <si>
    <t>Psco_710</t>
  </si>
  <si>
    <t>Psco_819</t>
  </si>
  <si>
    <t>Psco_718</t>
  </si>
  <si>
    <t>Psco_827</t>
  </si>
  <si>
    <t>Psco_726</t>
  </si>
  <si>
    <t>Psco_835</t>
  </si>
  <si>
    <t>Psco_747</t>
  </si>
  <si>
    <t>Psco_843</t>
  </si>
  <si>
    <t>Psco_755</t>
  </si>
  <si>
    <t>Psco_851</t>
  </si>
  <si>
    <t>Psco_763</t>
  </si>
  <si>
    <t>Psco_859</t>
  </si>
  <si>
    <t>Psco_771</t>
  </si>
  <si>
    <t>Psco_867</t>
  </si>
  <si>
    <t>Psco_779</t>
  </si>
  <si>
    <t>Psco_875</t>
  </si>
  <si>
    <t>Psco_787</t>
  </si>
  <si>
    <t>Psco_883</t>
  </si>
  <si>
    <t>Psco_795</t>
  </si>
  <si>
    <t>Psco_891</t>
  </si>
  <si>
    <t>Psco_503</t>
  </si>
  <si>
    <t>Psco_599</t>
  </si>
  <si>
    <t>Psco_511</t>
  </si>
  <si>
    <t>Psco_607</t>
  </si>
  <si>
    <t>Psco_519</t>
  </si>
  <si>
    <t>Psco_615</t>
  </si>
  <si>
    <t>Psco_527</t>
  </si>
  <si>
    <t>Psco_623</t>
  </si>
  <si>
    <t>Psco_535</t>
  </si>
  <si>
    <t>Psco_631</t>
  </si>
  <si>
    <t>Psco_543</t>
  </si>
  <si>
    <t>Psco_639</t>
  </si>
  <si>
    <t>Psco_551</t>
  </si>
  <si>
    <t>Psco_647</t>
  </si>
  <si>
    <t>Psco_559</t>
  </si>
  <si>
    <t>Psco_655</t>
  </si>
  <si>
    <t>Psco_567</t>
  </si>
  <si>
    <t>Psco_663</t>
  </si>
  <si>
    <t>Psco_575</t>
  </si>
  <si>
    <t>Psco_671</t>
  </si>
  <si>
    <t>Psco_583</t>
  </si>
  <si>
    <t>Psco_679</t>
  </si>
  <si>
    <t>Psco_591</t>
  </si>
  <si>
    <t>Psco_687</t>
  </si>
  <si>
    <t>Psco_695</t>
  </si>
  <si>
    <t>Psco_804</t>
  </si>
  <si>
    <t>Psco_703</t>
  </si>
  <si>
    <t>Psco_812</t>
  </si>
  <si>
    <t>Psco_711</t>
  </si>
  <si>
    <t>Psco_820</t>
  </si>
  <si>
    <t>Psco_719</t>
  </si>
  <si>
    <t>Psco_828</t>
  </si>
  <si>
    <t>Psco_727</t>
  </si>
  <si>
    <t>Psco_836</t>
  </si>
  <si>
    <t>Psco_748</t>
  </si>
  <si>
    <t>Psco_756</t>
  </si>
  <si>
    <t>Psco_852</t>
  </si>
  <si>
    <t>Psco_860</t>
  </si>
  <si>
    <t>Psco_772</t>
  </si>
  <si>
    <t>Psco_868</t>
  </si>
  <si>
    <t>Psco_780</t>
  </si>
  <si>
    <t>Psco_876</t>
  </si>
  <si>
    <t>Psco_788</t>
  </si>
  <si>
    <t>Psco_884</t>
  </si>
  <si>
    <t>Psco_796</t>
  </si>
  <si>
    <t>Psco_892</t>
  </si>
  <si>
    <t>ID</t>
  </si>
  <si>
    <t>EBV_daysSurv</t>
  </si>
  <si>
    <t>geno_order</t>
  </si>
  <si>
    <t>days_survived</t>
  </si>
  <si>
    <t>EBV_slope</t>
  </si>
  <si>
    <t>slope_bd</t>
  </si>
  <si>
    <t>EBV_maxLoad</t>
  </si>
  <si>
    <t>log_maxLoad</t>
  </si>
  <si>
    <t>wt_start</t>
  </si>
  <si>
    <t>bc_start</t>
  </si>
  <si>
    <t>infection_status</t>
  </si>
  <si>
    <t>EBV_infectionStatus</t>
  </si>
  <si>
    <t>4.2276e-05</t>
  </si>
  <si>
    <t>8.04309e-05</t>
  </si>
  <si>
    <t>EBV_wt</t>
  </si>
  <si>
    <t>EBV_bc</t>
  </si>
  <si>
    <t>zoo</t>
  </si>
  <si>
    <t>TZ</t>
  </si>
  <si>
    <t>MZ</t>
  </si>
  <si>
    <t>fam</t>
  </si>
  <si>
    <t>EBV_daysSurv_GCTA</t>
  </si>
  <si>
    <t>EBV_daysSurv_ASReml</t>
  </si>
  <si>
    <t>GCTA_zoo+age</t>
  </si>
  <si>
    <t>ASReml_zoo+age</t>
  </si>
  <si>
    <t>daysSurv_zoo+age</t>
  </si>
  <si>
    <t xml:space="preserve">Days survived </t>
  </si>
  <si>
    <t xml:space="preserve">Higher EBV = higher survival </t>
  </si>
  <si>
    <t>Slope Bd</t>
  </si>
  <si>
    <t>Lower EBV = lower infection slope increase</t>
  </si>
  <si>
    <t>TOP%_pop</t>
  </si>
  <si>
    <t xml:space="preserve">%pop </t>
  </si>
  <si>
    <t>No_families</t>
  </si>
  <si>
    <t>av_EBV_daysSurv</t>
  </si>
  <si>
    <t>%MZ</t>
  </si>
  <si>
    <t>%TZ</t>
  </si>
  <si>
    <t>age_start</t>
  </si>
  <si>
    <t>EBV_days_survived</t>
  </si>
  <si>
    <t>EBV_status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</si>
</sst>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8" fillId="0" borderId="0" xfId="0" applyFont="1"/>
    <xf numFmtId="164" fontId="19" fillId="0" borderId="0" xfId="0" applyNumberFormat="1" applyFont="1"/>
    <xf numFmtId="0" fontId="20" fillId="0" borderId="0" xfId="0" applyFont="1"/>
    <xf numFmtId="164" fontId="21" fillId="0" borderId="0" xfId="0" applyNumberFormat="1" applyFont="1"/>
    <xf numFmtId="2" fontId="21" fillId="0" borderId="0" xfId="0" applyNumberFormat="1" applyFont="1"/>
    <xf numFmtId="1" fontId="19" fillId="0" borderId="0" xfId="0" applyNumberFormat="1" applyFont="1"/>
    <xf numFmtId="164" fontId="0" fillId="0" borderId="0" xfId="0" quotePrefix="1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2" fillId="0" borderId="0" xfId="0" applyFont="1"/>
    <xf numFmtId="1" fontId="0" fillId="0" borderId="0" xfId="0" applyNumberFormat="1"/>
    <xf numFmtId="0" fontId="23" fillId="0" borderId="0" xfId="0" applyFont="1"/>
    <xf numFmtId="165" fontId="23" fillId="0" borderId="0" xfId="0" applyNumberFormat="1" applyFont="1"/>
    <xf numFmtId="11" fontId="0" fillId="0" borderId="0" xfId="0" applyNumberFormat="1"/>
    <xf numFmtId="0" fontId="24" fillId="0" borderId="0" xfId="0" applyFont="1"/>
    <xf numFmtId="0" fontId="19" fillId="0" borderId="0" xfId="0" applyFont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elbcloud-my.sharepoint.com/personal/davidson_m_unimelb_edu_au/Documents/psco/gParamaters/manuscript/data/Gpred-Animal-Info.xlsx" TargetMode="External"/><Relationship Id="rId1" Type="http://schemas.openxmlformats.org/officeDocument/2006/relationships/externalLinkPath" Target="/personal/davidson_m_unimelb_edu_au/Documents/psco/gParamaters/manuscript/data/Gpred-Animal-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enotypes-895"/>
      <sheetName val="895-passedQC"/>
      <sheetName val="Update-FAM"/>
      <sheetName val="918-exposed"/>
      <sheetName val="Families"/>
      <sheetName val="Sheet1"/>
    </sheetNames>
    <sheetDataSet>
      <sheetData sheetId="0">
        <row r="2">
          <cell r="A2" t="str">
            <v>Psco_191</v>
          </cell>
          <cell r="B2">
            <v>1</v>
          </cell>
          <cell r="C2">
            <v>1</v>
          </cell>
          <cell r="D2" t="str">
            <v>TZ</v>
          </cell>
          <cell r="E2">
            <v>13</v>
          </cell>
          <cell r="F2">
            <v>1</v>
          </cell>
          <cell r="G2">
            <v>56</v>
          </cell>
          <cell r="H2">
            <v>1</v>
          </cell>
          <cell r="I2">
            <v>0.77439726300663869</v>
          </cell>
        </row>
        <row r="3">
          <cell r="A3" t="str">
            <v>Psco_103</v>
          </cell>
          <cell r="B3">
            <v>2</v>
          </cell>
          <cell r="C3">
            <v>1</v>
          </cell>
          <cell r="D3" t="str">
            <v>MZ</v>
          </cell>
          <cell r="E3">
            <v>8</v>
          </cell>
          <cell r="F3">
            <v>0</v>
          </cell>
          <cell r="G3">
            <v>98</v>
          </cell>
          <cell r="H3">
            <v>1</v>
          </cell>
          <cell r="I3">
            <v>0.66202502642783101</v>
          </cell>
        </row>
        <row r="4">
          <cell r="A4" t="str">
            <v>Psco_199</v>
          </cell>
          <cell r="B4">
            <v>3</v>
          </cell>
          <cell r="C4">
            <v>1</v>
          </cell>
          <cell r="D4" t="str">
            <v>MZ</v>
          </cell>
          <cell r="E4">
            <v>8</v>
          </cell>
          <cell r="F4">
            <v>1</v>
          </cell>
          <cell r="G4">
            <v>76</v>
          </cell>
          <cell r="H4">
            <v>1</v>
          </cell>
          <cell r="I4">
            <v>0.47861021552976762</v>
          </cell>
        </row>
        <row r="5">
          <cell r="A5" t="str">
            <v>Psco_111</v>
          </cell>
          <cell r="B5">
            <v>4</v>
          </cell>
          <cell r="C5">
            <v>1</v>
          </cell>
          <cell r="D5" t="str">
            <v>TZ</v>
          </cell>
          <cell r="E5">
            <v>15</v>
          </cell>
          <cell r="F5">
            <v>1</v>
          </cell>
          <cell r="G5">
            <v>63</v>
          </cell>
          <cell r="H5">
            <v>1</v>
          </cell>
          <cell r="I5">
            <v>0.52285575481076052</v>
          </cell>
        </row>
        <row r="6">
          <cell r="A6" t="str">
            <v>Psco_207</v>
          </cell>
          <cell r="B6">
            <v>5</v>
          </cell>
          <cell r="C6">
            <v>1</v>
          </cell>
          <cell r="D6" t="str">
            <v>TZ</v>
          </cell>
          <cell r="E6">
            <v>13</v>
          </cell>
          <cell r="F6">
            <v>1</v>
          </cell>
          <cell r="G6">
            <v>62</v>
          </cell>
          <cell r="H6">
            <v>1</v>
          </cell>
          <cell r="I6">
            <v>0.81238212241432295</v>
          </cell>
        </row>
        <row r="7">
          <cell r="A7" t="str">
            <v>Psco_119</v>
          </cell>
          <cell r="B7">
            <v>6</v>
          </cell>
          <cell r="C7">
            <v>1</v>
          </cell>
          <cell r="D7" t="str">
            <v>MZ</v>
          </cell>
          <cell r="E7">
            <v>3</v>
          </cell>
          <cell r="F7">
            <v>1</v>
          </cell>
          <cell r="G7">
            <v>64</v>
          </cell>
          <cell r="H7">
            <v>1</v>
          </cell>
          <cell r="I7">
            <v>0.62049004308728328</v>
          </cell>
        </row>
        <row r="8">
          <cell r="A8" t="str">
            <v>Psco_215</v>
          </cell>
          <cell r="B8">
            <v>7</v>
          </cell>
          <cell r="C8">
            <v>1</v>
          </cell>
          <cell r="D8" t="str">
            <v>TZ</v>
          </cell>
          <cell r="E8">
            <v>16</v>
          </cell>
          <cell r="F8">
            <v>1</v>
          </cell>
          <cell r="G8">
            <v>53</v>
          </cell>
          <cell r="H8">
            <v>1</v>
          </cell>
          <cell r="I8">
            <v>0.64836246768186168</v>
          </cell>
        </row>
        <row r="9">
          <cell r="A9" t="str">
            <v>Psco_127</v>
          </cell>
          <cell r="B9">
            <v>8</v>
          </cell>
          <cell r="C9">
            <v>1</v>
          </cell>
          <cell r="D9" t="str">
            <v>MZ</v>
          </cell>
          <cell r="E9">
            <v>6</v>
          </cell>
          <cell r="F9">
            <v>0</v>
          </cell>
          <cell r="G9">
            <v>98</v>
          </cell>
          <cell r="H9">
            <v>1</v>
          </cell>
          <cell r="I9">
            <v>0.30843374879968127</v>
          </cell>
        </row>
        <row r="10">
          <cell r="A10" t="str">
            <v>Psco_223</v>
          </cell>
          <cell r="B10">
            <v>9</v>
          </cell>
          <cell r="C10">
            <v>1</v>
          </cell>
          <cell r="D10" t="str">
            <v>TZ</v>
          </cell>
          <cell r="E10">
            <v>12</v>
          </cell>
          <cell r="F10">
            <v>0</v>
          </cell>
          <cell r="G10">
            <v>98</v>
          </cell>
          <cell r="H10">
            <v>0</v>
          </cell>
          <cell r="I10">
            <v>0</v>
          </cell>
        </row>
        <row r="11">
          <cell r="A11" t="str">
            <v>Psco_135</v>
          </cell>
          <cell r="B11">
            <v>10</v>
          </cell>
          <cell r="C11">
            <v>1</v>
          </cell>
          <cell r="D11" t="str">
            <v>TZ</v>
          </cell>
          <cell r="E11">
            <v>12</v>
          </cell>
          <cell r="F11">
            <v>1</v>
          </cell>
          <cell r="G11">
            <v>62</v>
          </cell>
          <cell r="H11">
            <v>1</v>
          </cell>
          <cell r="I11">
            <v>0.45469205998757523</v>
          </cell>
        </row>
        <row r="12">
          <cell r="A12" t="str">
            <v>Psco_231</v>
          </cell>
          <cell r="B12">
            <v>11</v>
          </cell>
          <cell r="C12">
            <v>1</v>
          </cell>
          <cell r="D12" t="str">
            <v>MZ</v>
          </cell>
          <cell r="E12">
            <v>1</v>
          </cell>
          <cell r="F12">
            <v>1</v>
          </cell>
          <cell r="G12">
            <v>50</v>
          </cell>
          <cell r="H12">
            <v>1</v>
          </cell>
          <cell r="I12">
            <v>0.67107592117519688</v>
          </cell>
        </row>
        <row r="13">
          <cell r="A13" t="str">
            <v>Psco_143</v>
          </cell>
          <cell r="B13">
            <v>12</v>
          </cell>
          <cell r="C13">
            <v>1</v>
          </cell>
          <cell r="D13" t="str">
            <v>MZ</v>
          </cell>
          <cell r="E13">
            <v>5</v>
          </cell>
          <cell r="F13">
            <v>1</v>
          </cell>
          <cell r="G13">
            <v>60</v>
          </cell>
          <cell r="H13">
            <v>1</v>
          </cell>
          <cell r="I13">
            <v>0.74277738159844742</v>
          </cell>
        </row>
        <row r="14">
          <cell r="A14" t="str">
            <v>Psco_239</v>
          </cell>
          <cell r="B14">
            <v>13</v>
          </cell>
          <cell r="C14">
            <v>1</v>
          </cell>
          <cell r="D14" t="str">
            <v>MZ</v>
          </cell>
          <cell r="E14">
            <v>5</v>
          </cell>
          <cell r="F14">
            <v>0</v>
          </cell>
          <cell r="G14">
            <v>98</v>
          </cell>
          <cell r="H14">
            <v>0</v>
          </cell>
          <cell r="I14">
            <v>0</v>
          </cell>
        </row>
        <row r="15">
          <cell r="A15" t="str">
            <v>Psco_248</v>
          </cell>
          <cell r="B15">
            <v>14</v>
          </cell>
          <cell r="C15">
            <v>1</v>
          </cell>
          <cell r="D15" t="str">
            <v>MZ</v>
          </cell>
          <cell r="E15">
            <v>8</v>
          </cell>
          <cell r="F15">
            <v>1</v>
          </cell>
          <cell r="G15">
            <v>72</v>
          </cell>
          <cell r="H15">
            <v>1</v>
          </cell>
          <cell r="I15">
            <v>0.60575833896475673</v>
          </cell>
        </row>
        <row r="16">
          <cell r="A16" t="str">
            <v>Psco_159</v>
          </cell>
          <cell r="B16">
            <v>15</v>
          </cell>
          <cell r="C16">
            <v>1</v>
          </cell>
          <cell r="D16" t="str">
            <v>TZ</v>
          </cell>
          <cell r="E16">
            <v>9</v>
          </cell>
          <cell r="F16">
            <v>1</v>
          </cell>
          <cell r="G16">
            <v>53</v>
          </cell>
          <cell r="H16">
            <v>1</v>
          </cell>
          <cell r="I16">
            <v>0.71721434386483363</v>
          </cell>
        </row>
        <row r="17">
          <cell r="A17" t="str">
            <v>Psco_256</v>
          </cell>
          <cell r="B17">
            <v>16</v>
          </cell>
          <cell r="C17">
            <v>1</v>
          </cell>
          <cell r="D17" t="str">
            <v>MZ</v>
          </cell>
          <cell r="E17">
            <v>3</v>
          </cell>
          <cell r="F17">
            <v>0</v>
          </cell>
          <cell r="G17">
            <v>98</v>
          </cell>
          <cell r="H17">
            <v>0</v>
          </cell>
          <cell r="I17">
            <v>0</v>
          </cell>
        </row>
        <row r="18">
          <cell r="A18" t="str">
            <v>Psco_167</v>
          </cell>
          <cell r="B18">
            <v>17</v>
          </cell>
          <cell r="C18">
            <v>1</v>
          </cell>
          <cell r="D18" t="str">
            <v>MZ</v>
          </cell>
          <cell r="E18">
            <v>6</v>
          </cell>
          <cell r="F18">
            <v>1</v>
          </cell>
          <cell r="G18">
            <v>91</v>
          </cell>
          <cell r="H18">
            <v>1</v>
          </cell>
          <cell r="I18">
            <v>0.31495093555541009</v>
          </cell>
        </row>
        <row r="19">
          <cell r="A19" t="str">
            <v>Psco_265</v>
          </cell>
          <cell r="B19">
            <v>18</v>
          </cell>
          <cell r="C19">
            <v>1</v>
          </cell>
          <cell r="D19" t="str">
            <v>TZ</v>
          </cell>
          <cell r="E19">
            <v>9</v>
          </cell>
          <cell r="F19">
            <v>1</v>
          </cell>
          <cell r="G19">
            <v>46</v>
          </cell>
          <cell r="H19">
            <v>1</v>
          </cell>
          <cell r="I19">
            <v>0.53687773290176322</v>
          </cell>
        </row>
        <row r="20">
          <cell r="A20" t="str">
            <v>Psco_175</v>
          </cell>
          <cell r="B20">
            <v>19</v>
          </cell>
          <cell r="C20">
            <v>1</v>
          </cell>
          <cell r="D20" t="str">
            <v>TZ</v>
          </cell>
          <cell r="E20">
            <v>19</v>
          </cell>
          <cell r="F20">
            <v>1</v>
          </cell>
          <cell r="G20">
            <v>61</v>
          </cell>
          <cell r="H20">
            <v>1</v>
          </cell>
          <cell r="I20">
            <v>0.69943134771958115</v>
          </cell>
        </row>
        <row r="21">
          <cell r="A21" t="str">
            <v>Psco_273</v>
          </cell>
          <cell r="B21">
            <v>20</v>
          </cell>
          <cell r="C21">
            <v>1</v>
          </cell>
          <cell r="D21" t="str">
            <v>TZ</v>
          </cell>
          <cell r="E21">
            <v>15</v>
          </cell>
          <cell r="F21">
            <v>1</v>
          </cell>
          <cell r="G21">
            <v>61</v>
          </cell>
          <cell r="H21">
            <v>1</v>
          </cell>
          <cell r="I21">
            <v>0.62803426529259021</v>
          </cell>
        </row>
        <row r="22">
          <cell r="A22" t="str">
            <v>Psco_183</v>
          </cell>
          <cell r="B22">
            <v>21</v>
          </cell>
          <cell r="C22">
            <v>1</v>
          </cell>
          <cell r="D22" t="str">
            <v>TZ</v>
          </cell>
          <cell r="E22">
            <v>9</v>
          </cell>
          <cell r="F22">
            <v>0</v>
          </cell>
          <cell r="G22">
            <v>98</v>
          </cell>
          <cell r="H22">
            <v>0</v>
          </cell>
          <cell r="I22">
            <v>0</v>
          </cell>
        </row>
        <row r="23">
          <cell r="A23" t="str">
            <v>Psco_281</v>
          </cell>
          <cell r="B23">
            <v>22</v>
          </cell>
          <cell r="C23">
            <v>1</v>
          </cell>
          <cell r="D23" t="str">
            <v>MZ</v>
          </cell>
          <cell r="E23">
            <v>4</v>
          </cell>
          <cell r="F23">
            <v>1</v>
          </cell>
          <cell r="G23">
            <v>74</v>
          </cell>
          <cell r="H23">
            <v>1</v>
          </cell>
          <cell r="I23">
            <v>0.49917000408930562</v>
          </cell>
        </row>
        <row r="24">
          <cell r="A24" t="str">
            <v>Psco_289</v>
          </cell>
          <cell r="B24">
            <v>23</v>
          </cell>
          <cell r="C24">
            <v>1</v>
          </cell>
          <cell r="D24" t="str">
            <v>TZ</v>
          </cell>
          <cell r="E24">
            <v>19</v>
          </cell>
          <cell r="F24">
            <v>1</v>
          </cell>
          <cell r="G24">
            <v>51</v>
          </cell>
          <cell r="H24">
            <v>1</v>
          </cell>
          <cell r="I24">
            <v>1.349871520344176</v>
          </cell>
        </row>
        <row r="25">
          <cell r="A25" t="str">
            <v>Psco_385</v>
          </cell>
          <cell r="B25">
            <v>24</v>
          </cell>
          <cell r="C25">
            <v>1</v>
          </cell>
          <cell r="D25" t="str">
            <v>MZ</v>
          </cell>
          <cell r="E25">
            <v>1</v>
          </cell>
          <cell r="F25">
            <v>1</v>
          </cell>
          <cell r="G25">
            <v>50</v>
          </cell>
          <cell r="H25">
            <v>1</v>
          </cell>
          <cell r="I25">
            <v>1.1181101591097711</v>
          </cell>
        </row>
        <row r="26">
          <cell r="A26" t="str">
            <v>Psco_297</v>
          </cell>
          <cell r="B26">
            <v>25</v>
          </cell>
          <cell r="C26">
            <v>1</v>
          </cell>
          <cell r="D26" t="str">
            <v>TZ</v>
          </cell>
          <cell r="E26">
            <v>10</v>
          </cell>
          <cell r="F26">
            <v>1</v>
          </cell>
          <cell r="G26">
            <v>81</v>
          </cell>
          <cell r="H26">
            <v>1</v>
          </cell>
          <cell r="I26">
            <v>0.26475579525975851</v>
          </cell>
        </row>
        <row r="27">
          <cell r="A27" t="str">
            <v>Psco_393</v>
          </cell>
          <cell r="B27">
            <v>26</v>
          </cell>
          <cell r="C27">
            <v>1</v>
          </cell>
          <cell r="D27" t="str">
            <v>MZ</v>
          </cell>
          <cell r="E27">
            <v>6</v>
          </cell>
          <cell r="F27">
            <v>1</v>
          </cell>
          <cell r="G27">
            <v>58</v>
          </cell>
          <cell r="H27">
            <v>1</v>
          </cell>
          <cell r="I27">
            <v>0.37372472541365409</v>
          </cell>
        </row>
        <row r="28">
          <cell r="A28" t="str">
            <v>Psco_305</v>
          </cell>
          <cell r="B28">
            <v>27</v>
          </cell>
          <cell r="C28">
            <v>1</v>
          </cell>
          <cell r="D28" t="str">
            <v>TZ</v>
          </cell>
          <cell r="E28">
            <v>12</v>
          </cell>
          <cell r="F28">
            <v>0</v>
          </cell>
          <cell r="G28">
            <v>98</v>
          </cell>
          <cell r="H28">
            <v>0</v>
          </cell>
          <cell r="I28">
            <v>0</v>
          </cell>
        </row>
        <row r="29">
          <cell r="A29" t="str">
            <v>Psco_416</v>
          </cell>
          <cell r="B29">
            <v>28</v>
          </cell>
          <cell r="C29">
            <v>2</v>
          </cell>
          <cell r="D29" t="str">
            <v>MZ</v>
          </cell>
          <cell r="E29">
            <v>30</v>
          </cell>
          <cell r="F29">
            <v>0</v>
          </cell>
          <cell r="G29">
            <v>98</v>
          </cell>
          <cell r="H29">
            <v>0</v>
          </cell>
          <cell r="I29">
            <v>0</v>
          </cell>
        </row>
        <row r="30">
          <cell r="A30" t="str">
            <v>Psco_313</v>
          </cell>
          <cell r="B30">
            <v>29</v>
          </cell>
          <cell r="C30">
            <v>1</v>
          </cell>
          <cell r="D30" t="str">
            <v>MZ</v>
          </cell>
          <cell r="E30">
            <v>4</v>
          </cell>
          <cell r="F30">
            <v>1</v>
          </cell>
          <cell r="G30">
            <v>49</v>
          </cell>
          <cell r="H30">
            <v>1</v>
          </cell>
          <cell r="I30">
            <v>0.55289486269766575</v>
          </cell>
        </row>
        <row r="31">
          <cell r="A31" t="str">
            <v>Psco_424</v>
          </cell>
          <cell r="B31">
            <v>30</v>
          </cell>
          <cell r="C31">
            <v>2</v>
          </cell>
          <cell r="D31" t="str">
            <v>MZ</v>
          </cell>
          <cell r="E31">
            <v>24</v>
          </cell>
          <cell r="F31">
            <v>1</v>
          </cell>
          <cell r="G31">
            <v>76</v>
          </cell>
          <cell r="H31">
            <v>1</v>
          </cell>
          <cell r="I31">
            <v>0.48278121633469118</v>
          </cell>
        </row>
        <row r="32">
          <cell r="A32" t="str">
            <v>Psco_321</v>
          </cell>
          <cell r="B32">
            <v>31</v>
          </cell>
          <cell r="C32">
            <v>1</v>
          </cell>
          <cell r="D32" t="str">
            <v>TZ</v>
          </cell>
          <cell r="E32">
            <v>17</v>
          </cell>
          <cell r="F32">
            <v>1</v>
          </cell>
          <cell r="G32">
            <v>52</v>
          </cell>
          <cell r="H32">
            <v>1</v>
          </cell>
          <cell r="I32">
            <v>0.66095354723561628</v>
          </cell>
        </row>
        <row r="33">
          <cell r="A33" t="str">
            <v>Psco_432</v>
          </cell>
          <cell r="B33">
            <v>32</v>
          </cell>
          <cell r="C33">
            <v>2</v>
          </cell>
          <cell r="D33" t="str">
            <v>MZ</v>
          </cell>
          <cell r="E33">
            <v>21</v>
          </cell>
          <cell r="F33">
            <v>1</v>
          </cell>
          <cell r="G33">
            <v>70</v>
          </cell>
          <cell r="H33">
            <v>1</v>
          </cell>
          <cell r="I33">
            <v>0.54074270705863881</v>
          </cell>
        </row>
        <row r="34">
          <cell r="A34" t="str">
            <v>Psco_329</v>
          </cell>
          <cell r="B34">
            <v>33</v>
          </cell>
          <cell r="C34">
            <v>1</v>
          </cell>
          <cell r="D34" t="str">
            <v>TZ</v>
          </cell>
          <cell r="E34">
            <v>15</v>
          </cell>
          <cell r="F34">
            <v>1</v>
          </cell>
          <cell r="G34">
            <v>46</v>
          </cell>
          <cell r="H34">
            <v>1</v>
          </cell>
          <cell r="I34">
            <v>0.58547340714470253</v>
          </cell>
        </row>
        <row r="35">
          <cell r="A35" t="str">
            <v>Psco_440</v>
          </cell>
          <cell r="B35">
            <v>34</v>
          </cell>
          <cell r="C35">
            <v>2</v>
          </cell>
          <cell r="D35" t="str">
            <v>TZ</v>
          </cell>
          <cell r="E35">
            <v>50</v>
          </cell>
          <cell r="F35">
            <v>1</v>
          </cell>
          <cell r="G35">
            <v>62</v>
          </cell>
          <cell r="H35">
            <v>1</v>
          </cell>
          <cell r="I35">
            <v>0.54957624068581257</v>
          </cell>
        </row>
        <row r="36">
          <cell r="A36" t="str">
            <v>Psco_337</v>
          </cell>
          <cell r="B36">
            <v>35</v>
          </cell>
          <cell r="C36">
            <v>1</v>
          </cell>
          <cell r="D36" t="str">
            <v>TZ</v>
          </cell>
          <cell r="E36">
            <v>14</v>
          </cell>
          <cell r="F36">
            <v>1</v>
          </cell>
          <cell r="G36">
            <v>65</v>
          </cell>
          <cell r="H36">
            <v>1</v>
          </cell>
          <cell r="I36">
            <v>0.59130634211188182</v>
          </cell>
        </row>
        <row r="37">
          <cell r="A37" t="str">
            <v>Psco_448</v>
          </cell>
          <cell r="B37">
            <v>36</v>
          </cell>
          <cell r="C37">
            <v>2</v>
          </cell>
          <cell r="D37" t="str">
            <v>TZ</v>
          </cell>
          <cell r="E37">
            <v>44</v>
          </cell>
          <cell r="F37">
            <v>0</v>
          </cell>
          <cell r="G37">
            <v>98</v>
          </cell>
          <cell r="H37">
            <v>0</v>
          </cell>
          <cell r="I37">
            <v>0</v>
          </cell>
        </row>
        <row r="38">
          <cell r="A38" t="str">
            <v>Psco_345</v>
          </cell>
          <cell r="B38">
            <v>37</v>
          </cell>
          <cell r="C38">
            <v>1</v>
          </cell>
          <cell r="D38" t="str">
            <v>TZ</v>
          </cell>
          <cell r="E38">
            <v>11</v>
          </cell>
          <cell r="F38">
            <v>1</v>
          </cell>
          <cell r="G38">
            <v>63</v>
          </cell>
          <cell r="H38">
            <v>1</v>
          </cell>
          <cell r="I38">
            <v>0.53490725040789722</v>
          </cell>
        </row>
        <row r="39">
          <cell r="A39" t="str">
            <v>Psco_456</v>
          </cell>
          <cell r="B39">
            <v>38</v>
          </cell>
          <cell r="C39">
            <v>2</v>
          </cell>
          <cell r="D39" t="str">
            <v>TZ</v>
          </cell>
          <cell r="E39">
            <v>43</v>
          </cell>
          <cell r="F39">
            <v>1</v>
          </cell>
          <cell r="G39">
            <v>70</v>
          </cell>
          <cell r="H39">
            <v>1</v>
          </cell>
          <cell r="I39">
            <v>0.39741946747110651</v>
          </cell>
        </row>
        <row r="40">
          <cell r="A40" t="str">
            <v>Psco_353</v>
          </cell>
          <cell r="B40">
            <v>39</v>
          </cell>
          <cell r="C40">
            <v>1</v>
          </cell>
          <cell r="D40" t="str">
            <v>TZ</v>
          </cell>
          <cell r="E40">
            <v>17</v>
          </cell>
          <cell r="F40">
            <v>1</v>
          </cell>
          <cell r="G40">
            <v>76</v>
          </cell>
          <cell r="H40">
            <v>1</v>
          </cell>
          <cell r="I40">
            <v>0.32750185794187608</v>
          </cell>
        </row>
        <row r="41">
          <cell r="A41" t="str">
            <v>Psco_464</v>
          </cell>
          <cell r="B41">
            <v>40</v>
          </cell>
          <cell r="C41">
            <v>2</v>
          </cell>
          <cell r="D41" t="str">
            <v>MZ</v>
          </cell>
          <cell r="E41">
            <v>37</v>
          </cell>
          <cell r="F41">
            <v>1</v>
          </cell>
          <cell r="G41">
            <v>49</v>
          </cell>
          <cell r="H41">
            <v>1</v>
          </cell>
          <cell r="I41">
            <v>0.78039672242382041</v>
          </cell>
        </row>
        <row r="42">
          <cell r="A42" t="str">
            <v>Psco_361</v>
          </cell>
          <cell r="B42">
            <v>41</v>
          </cell>
          <cell r="C42">
            <v>1</v>
          </cell>
          <cell r="D42" t="str">
            <v>MZ</v>
          </cell>
          <cell r="E42">
            <v>6</v>
          </cell>
          <cell r="F42">
            <v>1</v>
          </cell>
          <cell r="G42">
            <v>60</v>
          </cell>
          <cell r="H42">
            <v>1</v>
          </cell>
          <cell r="I42">
            <v>0.58814379512376669</v>
          </cell>
        </row>
        <row r="43">
          <cell r="A43" t="str">
            <v>Psco_472</v>
          </cell>
          <cell r="B43">
            <v>42</v>
          </cell>
          <cell r="C43">
            <v>2</v>
          </cell>
          <cell r="D43" t="str">
            <v>MZ</v>
          </cell>
          <cell r="E43">
            <v>23</v>
          </cell>
          <cell r="F43">
            <v>1</v>
          </cell>
          <cell r="G43">
            <v>56</v>
          </cell>
          <cell r="H43">
            <v>1</v>
          </cell>
          <cell r="I43">
            <v>0.47606881852290062</v>
          </cell>
        </row>
        <row r="44">
          <cell r="A44" t="str">
            <v>Psco_369</v>
          </cell>
          <cell r="B44">
            <v>43</v>
          </cell>
          <cell r="C44">
            <v>1</v>
          </cell>
          <cell r="D44" t="str">
            <v>TZ</v>
          </cell>
          <cell r="E44">
            <v>15</v>
          </cell>
          <cell r="F44">
            <v>1</v>
          </cell>
          <cell r="G44">
            <v>78</v>
          </cell>
          <cell r="H44">
            <v>1</v>
          </cell>
          <cell r="I44">
            <v>0.37620425382109091</v>
          </cell>
        </row>
        <row r="45">
          <cell r="A45" t="str">
            <v>Psco_480</v>
          </cell>
          <cell r="B45">
            <v>44</v>
          </cell>
          <cell r="C45">
            <v>2</v>
          </cell>
          <cell r="D45" t="str">
            <v>MZ</v>
          </cell>
          <cell r="E45">
            <v>32</v>
          </cell>
          <cell r="F45">
            <v>1</v>
          </cell>
          <cell r="G45">
            <v>67</v>
          </cell>
          <cell r="H45">
            <v>1</v>
          </cell>
          <cell r="I45">
            <v>0.46892485816475382</v>
          </cell>
        </row>
        <row r="46">
          <cell r="A46" t="str">
            <v>Psco_377</v>
          </cell>
          <cell r="B46">
            <v>45</v>
          </cell>
          <cell r="C46">
            <v>1</v>
          </cell>
          <cell r="D46" t="str">
            <v>TZ</v>
          </cell>
          <cell r="E46">
            <v>20</v>
          </cell>
          <cell r="F46">
            <v>0</v>
          </cell>
          <cell r="G46">
            <v>98</v>
          </cell>
          <cell r="H46">
            <v>0</v>
          </cell>
          <cell r="I46">
            <v>0</v>
          </cell>
        </row>
        <row r="47">
          <cell r="A47" t="str">
            <v>Psco_488</v>
          </cell>
          <cell r="B47">
            <v>46</v>
          </cell>
          <cell r="C47">
            <v>2</v>
          </cell>
          <cell r="D47" t="str">
            <v>TZ</v>
          </cell>
          <cell r="E47">
            <v>48</v>
          </cell>
          <cell r="F47">
            <v>1</v>
          </cell>
          <cell r="G47">
            <v>67</v>
          </cell>
          <cell r="H47">
            <v>1</v>
          </cell>
          <cell r="I47">
            <v>0.43414309660345768</v>
          </cell>
        </row>
        <row r="48">
          <cell r="A48" t="str">
            <v>Psco_192</v>
          </cell>
          <cell r="B48">
            <v>47</v>
          </cell>
          <cell r="C48">
            <v>1</v>
          </cell>
          <cell r="D48" t="str">
            <v>MZ</v>
          </cell>
          <cell r="E48">
            <v>6</v>
          </cell>
          <cell r="F48">
            <v>1</v>
          </cell>
          <cell r="G48">
            <v>56</v>
          </cell>
          <cell r="H48">
            <v>1</v>
          </cell>
          <cell r="I48">
            <v>0.52238952232104696</v>
          </cell>
        </row>
        <row r="49">
          <cell r="A49" t="str">
            <v>Psco_104</v>
          </cell>
          <cell r="B49">
            <v>48</v>
          </cell>
          <cell r="C49">
            <v>1</v>
          </cell>
          <cell r="D49" t="str">
            <v>TZ</v>
          </cell>
          <cell r="E49">
            <v>16</v>
          </cell>
          <cell r="F49">
            <v>1</v>
          </cell>
          <cell r="G49">
            <v>61</v>
          </cell>
          <cell r="H49">
            <v>1</v>
          </cell>
          <cell r="I49">
            <v>0.63783437068837801</v>
          </cell>
        </row>
        <row r="50">
          <cell r="A50" t="str">
            <v>Psco_200</v>
          </cell>
          <cell r="B50">
            <v>49</v>
          </cell>
          <cell r="C50">
            <v>1</v>
          </cell>
          <cell r="D50" t="str">
            <v>TZ</v>
          </cell>
          <cell r="E50">
            <v>17</v>
          </cell>
          <cell r="F50">
            <v>1</v>
          </cell>
          <cell r="G50">
            <v>64</v>
          </cell>
          <cell r="H50">
            <v>1</v>
          </cell>
          <cell r="I50">
            <v>0.41851628470226632</v>
          </cell>
        </row>
        <row r="51">
          <cell r="A51" t="str">
            <v>Psco_112</v>
          </cell>
          <cell r="B51">
            <v>50</v>
          </cell>
          <cell r="C51">
            <v>1</v>
          </cell>
          <cell r="D51" t="str">
            <v>MZ</v>
          </cell>
          <cell r="E51">
            <v>6</v>
          </cell>
          <cell r="F51">
            <v>0</v>
          </cell>
          <cell r="G51">
            <v>98</v>
          </cell>
          <cell r="H51">
            <v>0</v>
          </cell>
          <cell r="I51">
            <v>0</v>
          </cell>
        </row>
        <row r="52">
          <cell r="A52" t="str">
            <v>Psco_208</v>
          </cell>
          <cell r="B52">
            <v>51</v>
          </cell>
          <cell r="C52">
            <v>1</v>
          </cell>
          <cell r="D52" t="str">
            <v>TZ</v>
          </cell>
          <cell r="E52">
            <v>11</v>
          </cell>
          <cell r="F52">
            <v>0</v>
          </cell>
          <cell r="G52">
            <v>98</v>
          </cell>
          <cell r="H52">
            <v>1</v>
          </cell>
          <cell r="I52">
            <v>0.28730367705543641</v>
          </cell>
        </row>
        <row r="53">
          <cell r="A53" t="str">
            <v>Psco_120</v>
          </cell>
          <cell r="B53">
            <v>52</v>
          </cell>
          <cell r="C53">
            <v>1</v>
          </cell>
          <cell r="D53" t="str">
            <v>TZ</v>
          </cell>
          <cell r="E53">
            <v>14</v>
          </cell>
          <cell r="F53">
            <v>1</v>
          </cell>
          <cell r="G53">
            <v>53</v>
          </cell>
          <cell r="H53">
            <v>1</v>
          </cell>
          <cell r="I53">
            <v>0.617581363785628</v>
          </cell>
        </row>
        <row r="54">
          <cell r="A54" t="str">
            <v>Psco_216</v>
          </cell>
          <cell r="B54">
            <v>53</v>
          </cell>
          <cell r="C54">
            <v>1</v>
          </cell>
          <cell r="D54" t="str">
            <v>TZ</v>
          </cell>
          <cell r="E54">
            <v>10</v>
          </cell>
          <cell r="F54">
            <v>0</v>
          </cell>
          <cell r="G54">
            <v>98</v>
          </cell>
          <cell r="H54">
            <v>0</v>
          </cell>
          <cell r="I54">
            <v>0</v>
          </cell>
        </row>
        <row r="55">
          <cell r="A55" t="str">
            <v>Psco_128</v>
          </cell>
          <cell r="B55">
            <v>54</v>
          </cell>
          <cell r="C55">
            <v>1</v>
          </cell>
          <cell r="D55" t="str">
            <v>MZ</v>
          </cell>
          <cell r="E55">
            <v>7</v>
          </cell>
          <cell r="F55">
            <v>1</v>
          </cell>
          <cell r="G55">
            <v>61</v>
          </cell>
          <cell r="H55">
            <v>1</v>
          </cell>
          <cell r="I55">
            <v>0.62277543621105924</v>
          </cell>
        </row>
        <row r="56">
          <cell r="A56" t="str">
            <v>Psco_224</v>
          </cell>
          <cell r="B56">
            <v>55</v>
          </cell>
          <cell r="C56">
            <v>1</v>
          </cell>
          <cell r="D56" t="str">
            <v>MZ</v>
          </cell>
          <cell r="E56">
            <v>3</v>
          </cell>
          <cell r="F56">
            <v>1</v>
          </cell>
          <cell r="G56">
            <v>55</v>
          </cell>
          <cell r="H56">
            <v>1</v>
          </cell>
          <cell r="I56">
            <v>0.77851569949699806</v>
          </cell>
        </row>
        <row r="57">
          <cell r="A57" t="str">
            <v>Psco_136</v>
          </cell>
          <cell r="B57">
            <v>56</v>
          </cell>
          <cell r="C57">
            <v>1</v>
          </cell>
          <cell r="D57" t="str">
            <v>TZ</v>
          </cell>
          <cell r="E57">
            <v>12</v>
          </cell>
          <cell r="F57">
            <v>1</v>
          </cell>
          <cell r="G57">
            <v>48</v>
          </cell>
          <cell r="H57">
            <v>1</v>
          </cell>
          <cell r="I57">
            <v>0.15858733705519409</v>
          </cell>
        </row>
        <row r="58">
          <cell r="A58" t="str">
            <v>Psco_232</v>
          </cell>
          <cell r="B58">
            <v>57</v>
          </cell>
          <cell r="C58">
            <v>1</v>
          </cell>
          <cell r="D58" t="str">
            <v>TZ</v>
          </cell>
          <cell r="E58">
            <v>15</v>
          </cell>
          <cell r="F58">
            <v>1</v>
          </cell>
          <cell r="G58">
            <v>45</v>
          </cell>
          <cell r="H58">
            <v>1</v>
          </cell>
          <cell r="I58">
            <v>0.95604867272690219</v>
          </cell>
        </row>
        <row r="59">
          <cell r="A59" t="str">
            <v>Psco_144</v>
          </cell>
          <cell r="B59">
            <v>58</v>
          </cell>
          <cell r="C59">
            <v>1</v>
          </cell>
          <cell r="D59" t="str">
            <v>MZ</v>
          </cell>
          <cell r="E59">
            <v>4</v>
          </cell>
          <cell r="F59">
            <v>1</v>
          </cell>
          <cell r="G59">
            <v>56</v>
          </cell>
          <cell r="H59">
            <v>1</v>
          </cell>
          <cell r="I59">
            <v>0.4695089446210447</v>
          </cell>
        </row>
        <row r="60">
          <cell r="A60" t="str">
            <v>Psco_240</v>
          </cell>
          <cell r="B60">
            <v>59</v>
          </cell>
          <cell r="C60">
            <v>1</v>
          </cell>
          <cell r="D60" t="str">
            <v>TZ</v>
          </cell>
          <cell r="E60">
            <v>17</v>
          </cell>
          <cell r="F60">
            <v>1</v>
          </cell>
          <cell r="G60">
            <v>51</v>
          </cell>
          <cell r="H60">
            <v>1</v>
          </cell>
          <cell r="I60">
            <v>0.55472764630679017</v>
          </cell>
        </row>
        <row r="61">
          <cell r="A61" t="str">
            <v>Psco_249</v>
          </cell>
          <cell r="B61">
            <v>60</v>
          </cell>
          <cell r="C61">
            <v>1</v>
          </cell>
          <cell r="D61" t="str">
            <v>TZ</v>
          </cell>
          <cell r="E61">
            <v>18</v>
          </cell>
          <cell r="F61">
            <v>1</v>
          </cell>
          <cell r="G61">
            <v>88</v>
          </cell>
          <cell r="H61">
            <v>1</v>
          </cell>
          <cell r="I61">
            <v>0.2183896245111589</v>
          </cell>
        </row>
        <row r="62">
          <cell r="A62" t="str">
            <v>Psco_257</v>
          </cell>
          <cell r="B62">
            <v>61</v>
          </cell>
          <cell r="C62">
            <v>1</v>
          </cell>
          <cell r="D62" t="str">
            <v>TZ</v>
          </cell>
          <cell r="E62">
            <v>19</v>
          </cell>
          <cell r="F62">
            <v>1</v>
          </cell>
          <cell r="G62">
            <v>74</v>
          </cell>
          <cell r="H62">
            <v>1</v>
          </cell>
          <cell r="I62">
            <v>0.48210567158959361</v>
          </cell>
        </row>
        <row r="63">
          <cell r="A63" t="str">
            <v>Psco_168</v>
          </cell>
          <cell r="B63">
            <v>62</v>
          </cell>
          <cell r="C63">
            <v>1</v>
          </cell>
          <cell r="D63" t="str">
            <v>TZ</v>
          </cell>
          <cell r="E63">
            <v>14</v>
          </cell>
          <cell r="F63">
            <v>1</v>
          </cell>
          <cell r="G63">
            <v>68</v>
          </cell>
          <cell r="H63">
            <v>1</v>
          </cell>
          <cell r="I63">
            <v>0.73619269938075327</v>
          </cell>
        </row>
        <row r="64">
          <cell r="A64" t="str">
            <v>Psco_266</v>
          </cell>
          <cell r="B64">
            <v>63</v>
          </cell>
          <cell r="C64">
            <v>1</v>
          </cell>
          <cell r="D64" t="str">
            <v>TZ</v>
          </cell>
          <cell r="E64">
            <v>11</v>
          </cell>
          <cell r="F64">
            <v>1</v>
          </cell>
          <cell r="G64">
            <v>53</v>
          </cell>
          <cell r="H64">
            <v>1</v>
          </cell>
          <cell r="I64">
            <v>0.66109492525625735</v>
          </cell>
        </row>
        <row r="65">
          <cell r="A65" t="str">
            <v>Psco_176</v>
          </cell>
          <cell r="B65">
            <v>64</v>
          </cell>
          <cell r="C65">
            <v>1</v>
          </cell>
          <cell r="D65" t="str">
            <v>MZ</v>
          </cell>
          <cell r="E65">
            <v>5</v>
          </cell>
          <cell r="F65">
            <v>0</v>
          </cell>
          <cell r="G65">
            <v>98</v>
          </cell>
          <cell r="H65">
            <v>1</v>
          </cell>
          <cell r="I65">
            <v>0.41321824859754669</v>
          </cell>
        </row>
        <row r="66">
          <cell r="A66" t="str">
            <v>Psco_184</v>
          </cell>
          <cell r="B66">
            <v>65</v>
          </cell>
          <cell r="C66">
            <v>1</v>
          </cell>
          <cell r="D66" t="str">
            <v>TZ</v>
          </cell>
          <cell r="E66">
            <v>12</v>
          </cell>
          <cell r="F66">
            <v>0</v>
          </cell>
          <cell r="G66">
            <v>98</v>
          </cell>
          <cell r="H66">
            <v>0</v>
          </cell>
          <cell r="I66">
            <v>0</v>
          </cell>
        </row>
        <row r="67">
          <cell r="A67" t="str">
            <v>Psco_282</v>
          </cell>
          <cell r="B67">
            <v>66</v>
          </cell>
          <cell r="C67">
            <v>1</v>
          </cell>
          <cell r="D67" t="str">
            <v>TZ</v>
          </cell>
          <cell r="E67">
            <v>19</v>
          </cell>
          <cell r="F67">
            <v>1</v>
          </cell>
          <cell r="G67">
            <v>72</v>
          </cell>
          <cell r="H67">
            <v>1</v>
          </cell>
          <cell r="I67">
            <v>0.56023602146200746</v>
          </cell>
        </row>
        <row r="68">
          <cell r="A68" t="str">
            <v>Psco_290</v>
          </cell>
          <cell r="B68">
            <v>67</v>
          </cell>
          <cell r="C68">
            <v>1</v>
          </cell>
          <cell r="D68" t="str">
            <v>TZ</v>
          </cell>
          <cell r="E68">
            <v>13</v>
          </cell>
          <cell r="F68">
            <v>1</v>
          </cell>
          <cell r="G68">
            <v>46</v>
          </cell>
          <cell r="H68">
            <v>1</v>
          </cell>
          <cell r="I68">
            <v>0.66137559614251251</v>
          </cell>
        </row>
        <row r="69">
          <cell r="A69" t="str">
            <v>Psco_386</v>
          </cell>
          <cell r="B69">
            <v>68</v>
          </cell>
          <cell r="C69">
            <v>1</v>
          </cell>
          <cell r="D69" t="str">
            <v>MZ</v>
          </cell>
          <cell r="E69">
            <v>2</v>
          </cell>
          <cell r="F69">
            <v>1</v>
          </cell>
          <cell r="G69">
            <v>74</v>
          </cell>
          <cell r="H69">
            <v>1</v>
          </cell>
          <cell r="I69">
            <v>0.67087147133961611</v>
          </cell>
        </row>
        <row r="70">
          <cell r="A70" t="str">
            <v>Psco_298</v>
          </cell>
          <cell r="B70">
            <v>69</v>
          </cell>
          <cell r="C70">
            <v>1</v>
          </cell>
          <cell r="D70" t="str">
            <v>TZ</v>
          </cell>
          <cell r="E70">
            <v>19</v>
          </cell>
          <cell r="F70">
            <v>1</v>
          </cell>
          <cell r="G70">
            <v>48</v>
          </cell>
          <cell r="H70">
            <v>1</v>
          </cell>
          <cell r="I70">
            <v>0.83059492705629911</v>
          </cell>
        </row>
        <row r="71">
          <cell r="A71" t="str">
            <v>Psco_394</v>
          </cell>
          <cell r="B71">
            <v>70</v>
          </cell>
          <cell r="C71">
            <v>1</v>
          </cell>
          <cell r="D71" t="str">
            <v>TZ</v>
          </cell>
          <cell r="E71">
            <v>13</v>
          </cell>
          <cell r="F71">
            <v>1</v>
          </cell>
          <cell r="G71">
            <v>54</v>
          </cell>
          <cell r="H71">
            <v>1</v>
          </cell>
          <cell r="I71">
            <v>0.70139043492104369</v>
          </cell>
        </row>
        <row r="72">
          <cell r="A72" t="str">
            <v>Psco_306</v>
          </cell>
          <cell r="B72">
            <v>71</v>
          </cell>
          <cell r="C72">
            <v>1</v>
          </cell>
          <cell r="D72" t="str">
            <v>TZ</v>
          </cell>
          <cell r="E72">
            <v>16</v>
          </cell>
          <cell r="F72">
            <v>0</v>
          </cell>
          <cell r="G72">
            <v>98</v>
          </cell>
          <cell r="H72">
            <v>0</v>
          </cell>
          <cell r="I72">
            <v>0</v>
          </cell>
        </row>
        <row r="73">
          <cell r="A73" t="str">
            <v>Psco_417</v>
          </cell>
          <cell r="B73">
            <v>72</v>
          </cell>
          <cell r="C73">
            <v>2</v>
          </cell>
          <cell r="D73" t="str">
            <v>MZ</v>
          </cell>
          <cell r="E73">
            <v>33</v>
          </cell>
          <cell r="F73">
            <v>1</v>
          </cell>
          <cell r="G73">
            <v>86</v>
          </cell>
          <cell r="H73">
            <v>1</v>
          </cell>
          <cell r="I73">
            <v>0.32520772064081138</v>
          </cell>
        </row>
        <row r="74">
          <cell r="A74" t="str">
            <v>Psco_314</v>
          </cell>
          <cell r="B74">
            <v>73</v>
          </cell>
          <cell r="C74">
            <v>1</v>
          </cell>
          <cell r="D74" t="str">
            <v>TZ</v>
          </cell>
          <cell r="E74">
            <v>19</v>
          </cell>
          <cell r="F74">
            <v>1</v>
          </cell>
          <cell r="G74">
            <v>48</v>
          </cell>
          <cell r="H74">
            <v>1</v>
          </cell>
          <cell r="I74">
            <v>1.109851524755191</v>
          </cell>
        </row>
        <row r="75">
          <cell r="A75" t="str">
            <v>Psco_425</v>
          </cell>
          <cell r="B75">
            <v>74</v>
          </cell>
          <cell r="C75">
            <v>2</v>
          </cell>
          <cell r="D75" t="str">
            <v>MZ</v>
          </cell>
          <cell r="E75">
            <v>21</v>
          </cell>
          <cell r="F75">
            <v>1</v>
          </cell>
          <cell r="G75">
            <v>59</v>
          </cell>
          <cell r="H75">
            <v>1</v>
          </cell>
          <cell r="I75">
            <v>0.53507924337900448</v>
          </cell>
        </row>
        <row r="76">
          <cell r="A76" t="str">
            <v>Psco_322</v>
          </cell>
          <cell r="B76">
            <v>75</v>
          </cell>
          <cell r="C76">
            <v>1</v>
          </cell>
          <cell r="D76" t="str">
            <v>MZ</v>
          </cell>
          <cell r="E76">
            <v>3</v>
          </cell>
          <cell r="F76">
            <v>1</v>
          </cell>
          <cell r="G76">
            <v>63</v>
          </cell>
          <cell r="H76">
            <v>1</v>
          </cell>
          <cell r="I76">
            <v>0.65320263519019406</v>
          </cell>
        </row>
        <row r="77">
          <cell r="A77" t="str">
            <v>Psco_433</v>
          </cell>
          <cell r="B77">
            <v>76</v>
          </cell>
          <cell r="C77">
            <v>2</v>
          </cell>
          <cell r="D77" t="str">
            <v>MZ</v>
          </cell>
          <cell r="E77">
            <v>25</v>
          </cell>
          <cell r="F77">
            <v>1</v>
          </cell>
          <cell r="G77">
            <v>80</v>
          </cell>
          <cell r="H77">
            <v>1</v>
          </cell>
          <cell r="I77">
            <v>0.37192802041278089</v>
          </cell>
        </row>
        <row r="78">
          <cell r="A78" t="str">
            <v>Psco_330</v>
          </cell>
          <cell r="B78">
            <v>77</v>
          </cell>
          <cell r="C78">
            <v>1</v>
          </cell>
          <cell r="D78" t="str">
            <v>TZ</v>
          </cell>
          <cell r="E78">
            <v>9</v>
          </cell>
          <cell r="F78">
            <v>0</v>
          </cell>
          <cell r="G78">
            <v>98</v>
          </cell>
          <cell r="H78">
            <v>0</v>
          </cell>
          <cell r="I78">
            <v>0</v>
          </cell>
        </row>
        <row r="79">
          <cell r="A79" t="str">
            <v>Psco_441</v>
          </cell>
          <cell r="B79">
            <v>78</v>
          </cell>
          <cell r="C79">
            <v>2</v>
          </cell>
          <cell r="D79" t="str">
            <v>MZ</v>
          </cell>
          <cell r="E79">
            <v>28</v>
          </cell>
          <cell r="F79">
            <v>1</v>
          </cell>
          <cell r="G79">
            <v>67</v>
          </cell>
          <cell r="H79">
            <v>1</v>
          </cell>
          <cell r="I79">
            <v>0.36051233755760348</v>
          </cell>
        </row>
        <row r="80">
          <cell r="A80" t="str">
            <v>Psco_338</v>
          </cell>
          <cell r="B80">
            <v>79</v>
          </cell>
          <cell r="C80">
            <v>1</v>
          </cell>
          <cell r="D80" t="str">
            <v>TZ</v>
          </cell>
          <cell r="E80">
            <v>18</v>
          </cell>
          <cell r="F80">
            <v>1</v>
          </cell>
          <cell r="G80">
            <v>81</v>
          </cell>
          <cell r="H80">
            <v>1</v>
          </cell>
          <cell r="I80">
            <v>0.44819026776004089</v>
          </cell>
        </row>
        <row r="81">
          <cell r="A81" t="str">
            <v>Psco_449</v>
          </cell>
          <cell r="B81">
            <v>80</v>
          </cell>
          <cell r="C81">
            <v>2</v>
          </cell>
          <cell r="D81" t="str">
            <v>TZ</v>
          </cell>
          <cell r="E81">
            <v>44</v>
          </cell>
          <cell r="F81">
            <v>1</v>
          </cell>
          <cell r="G81">
            <v>58</v>
          </cell>
          <cell r="H81">
            <v>1</v>
          </cell>
          <cell r="I81">
            <v>0.66500374408442009</v>
          </cell>
        </row>
        <row r="82">
          <cell r="A82" t="str">
            <v>Psco_346</v>
          </cell>
          <cell r="B82">
            <v>81</v>
          </cell>
          <cell r="C82">
            <v>1</v>
          </cell>
          <cell r="D82" t="str">
            <v>TZ</v>
          </cell>
          <cell r="E82">
            <v>12</v>
          </cell>
          <cell r="F82">
            <v>1</v>
          </cell>
          <cell r="G82">
            <v>72</v>
          </cell>
          <cell r="H82">
            <v>1</v>
          </cell>
          <cell r="I82">
            <v>0.74593822322571368</v>
          </cell>
        </row>
        <row r="83">
          <cell r="A83" t="str">
            <v>Psco_457</v>
          </cell>
          <cell r="B83">
            <v>82</v>
          </cell>
          <cell r="C83">
            <v>2</v>
          </cell>
          <cell r="D83" t="str">
            <v>MZ</v>
          </cell>
          <cell r="E83">
            <v>33</v>
          </cell>
          <cell r="F83">
            <v>1</v>
          </cell>
          <cell r="G83">
            <v>76</v>
          </cell>
          <cell r="H83">
            <v>1</v>
          </cell>
          <cell r="I83">
            <v>0.50390707719292005</v>
          </cell>
        </row>
        <row r="84">
          <cell r="A84" t="str">
            <v>Psco_354</v>
          </cell>
          <cell r="B84">
            <v>83</v>
          </cell>
          <cell r="C84">
            <v>1</v>
          </cell>
          <cell r="D84" t="str">
            <v>TZ</v>
          </cell>
          <cell r="E84">
            <v>10</v>
          </cell>
          <cell r="F84">
            <v>1</v>
          </cell>
          <cell r="G84">
            <v>54</v>
          </cell>
          <cell r="H84">
            <v>1</v>
          </cell>
          <cell r="I84">
            <v>0.69853593937428582</v>
          </cell>
        </row>
        <row r="85">
          <cell r="A85" t="str">
            <v>Psco_465</v>
          </cell>
          <cell r="B85">
            <v>84</v>
          </cell>
          <cell r="C85">
            <v>2</v>
          </cell>
          <cell r="D85" t="str">
            <v>MZ</v>
          </cell>
          <cell r="E85">
            <v>39</v>
          </cell>
          <cell r="F85">
            <v>1</v>
          </cell>
          <cell r="G85">
            <v>63</v>
          </cell>
          <cell r="H85">
            <v>1</v>
          </cell>
          <cell r="I85">
            <v>0.37659950478442888</v>
          </cell>
        </row>
        <row r="86">
          <cell r="A86" t="str">
            <v>Psco_362</v>
          </cell>
          <cell r="B86">
            <v>85</v>
          </cell>
          <cell r="C86">
            <v>1</v>
          </cell>
          <cell r="D86" t="str">
            <v>MZ</v>
          </cell>
          <cell r="E86">
            <v>8</v>
          </cell>
          <cell r="F86">
            <v>0</v>
          </cell>
          <cell r="G86">
            <v>98</v>
          </cell>
          <cell r="H86">
            <v>0</v>
          </cell>
          <cell r="I86">
            <v>0</v>
          </cell>
        </row>
        <row r="87">
          <cell r="A87" t="str">
            <v>Psco_473</v>
          </cell>
          <cell r="B87">
            <v>86</v>
          </cell>
          <cell r="C87">
            <v>2</v>
          </cell>
          <cell r="D87" t="str">
            <v>MZ</v>
          </cell>
          <cell r="E87">
            <v>36</v>
          </cell>
          <cell r="F87">
            <v>1</v>
          </cell>
          <cell r="G87">
            <v>73</v>
          </cell>
          <cell r="H87">
            <v>1</v>
          </cell>
          <cell r="I87">
            <v>0.25062426968364532</v>
          </cell>
        </row>
        <row r="88">
          <cell r="A88" t="str">
            <v>Psco_370</v>
          </cell>
          <cell r="B88">
            <v>87</v>
          </cell>
          <cell r="C88">
            <v>1</v>
          </cell>
          <cell r="D88" t="str">
            <v>MZ</v>
          </cell>
          <cell r="E88">
            <v>7</v>
          </cell>
          <cell r="F88">
            <v>1</v>
          </cell>
          <cell r="G88">
            <v>53</v>
          </cell>
          <cell r="H88">
            <v>1</v>
          </cell>
          <cell r="I88">
            <v>0.70287414888448785</v>
          </cell>
        </row>
        <row r="89">
          <cell r="A89" t="str">
            <v>Psco_481</v>
          </cell>
          <cell r="B89">
            <v>88</v>
          </cell>
          <cell r="C89">
            <v>2</v>
          </cell>
          <cell r="D89" t="str">
            <v>MZ</v>
          </cell>
          <cell r="E89">
            <v>27</v>
          </cell>
          <cell r="F89">
            <v>1</v>
          </cell>
          <cell r="G89">
            <v>89</v>
          </cell>
          <cell r="H89">
            <v>1</v>
          </cell>
          <cell r="I89">
            <v>0.4830157569598395</v>
          </cell>
        </row>
        <row r="90">
          <cell r="A90" t="str">
            <v>Psco_378</v>
          </cell>
          <cell r="B90">
            <v>89</v>
          </cell>
          <cell r="C90">
            <v>1</v>
          </cell>
          <cell r="D90" t="str">
            <v>TZ</v>
          </cell>
          <cell r="E90">
            <v>9</v>
          </cell>
          <cell r="F90">
            <v>0</v>
          </cell>
          <cell r="G90">
            <v>98</v>
          </cell>
          <cell r="H90">
            <v>0</v>
          </cell>
          <cell r="I90">
            <v>0</v>
          </cell>
        </row>
        <row r="91">
          <cell r="A91" t="str">
            <v>Psco_489</v>
          </cell>
          <cell r="B91">
            <v>90</v>
          </cell>
          <cell r="C91">
            <v>2</v>
          </cell>
          <cell r="D91" t="str">
            <v>TZ</v>
          </cell>
          <cell r="E91">
            <v>48</v>
          </cell>
          <cell r="F91">
            <v>0</v>
          </cell>
          <cell r="G91">
            <v>98</v>
          </cell>
          <cell r="H91">
            <v>0</v>
          </cell>
          <cell r="I91">
            <v>0</v>
          </cell>
        </row>
        <row r="92">
          <cell r="A92" t="str">
            <v>Psco_193</v>
          </cell>
          <cell r="B92">
            <v>91</v>
          </cell>
          <cell r="C92">
            <v>1</v>
          </cell>
          <cell r="D92" t="str">
            <v>MZ</v>
          </cell>
          <cell r="E92">
            <v>2</v>
          </cell>
          <cell r="F92">
            <v>0</v>
          </cell>
          <cell r="G92">
            <v>98</v>
          </cell>
          <cell r="H92">
            <v>0</v>
          </cell>
          <cell r="I92">
            <v>0</v>
          </cell>
        </row>
        <row r="93">
          <cell r="A93" t="str">
            <v>Psco_105</v>
          </cell>
          <cell r="B93">
            <v>92</v>
          </cell>
          <cell r="C93">
            <v>1</v>
          </cell>
          <cell r="D93" t="str">
            <v>MZ</v>
          </cell>
          <cell r="E93">
            <v>6</v>
          </cell>
          <cell r="F93">
            <v>1</v>
          </cell>
          <cell r="G93">
            <v>81</v>
          </cell>
          <cell r="H93">
            <v>1</v>
          </cell>
          <cell r="I93">
            <v>0.25195765927265013</v>
          </cell>
        </row>
        <row r="94">
          <cell r="A94" t="str">
            <v>Psco_201</v>
          </cell>
          <cell r="B94">
            <v>93</v>
          </cell>
          <cell r="C94">
            <v>1</v>
          </cell>
          <cell r="D94" t="str">
            <v>MZ</v>
          </cell>
          <cell r="E94">
            <v>6</v>
          </cell>
          <cell r="F94">
            <v>1</v>
          </cell>
          <cell r="G94">
            <v>82</v>
          </cell>
          <cell r="H94">
            <v>1</v>
          </cell>
          <cell r="I94">
            <v>0.550217751533291</v>
          </cell>
        </row>
        <row r="95">
          <cell r="A95" t="str">
            <v>Psco_113</v>
          </cell>
          <cell r="B95">
            <v>94</v>
          </cell>
          <cell r="C95">
            <v>1</v>
          </cell>
          <cell r="D95" t="str">
            <v>TZ</v>
          </cell>
          <cell r="E95">
            <v>9</v>
          </cell>
          <cell r="F95">
            <v>1</v>
          </cell>
          <cell r="G95">
            <v>56</v>
          </cell>
          <cell r="H95">
            <v>1</v>
          </cell>
          <cell r="I95">
            <v>0.92529456108382746</v>
          </cell>
        </row>
        <row r="96">
          <cell r="A96" t="str">
            <v>Psco_209</v>
          </cell>
          <cell r="B96">
            <v>95</v>
          </cell>
          <cell r="C96">
            <v>1</v>
          </cell>
          <cell r="D96" t="str">
            <v>MZ</v>
          </cell>
          <cell r="E96">
            <v>4</v>
          </cell>
          <cell r="F96">
            <v>1</v>
          </cell>
          <cell r="G96">
            <v>71</v>
          </cell>
          <cell r="H96">
            <v>1</v>
          </cell>
          <cell r="I96">
            <v>0.46480075863663167</v>
          </cell>
        </row>
        <row r="97">
          <cell r="A97" t="str">
            <v>Psco_121</v>
          </cell>
          <cell r="B97">
            <v>96</v>
          </cell>
          <cell r="C97">
            <v>1</v>
          </cell>
          <cell r="D97" t="str">
            <v>MZ</v>
          </cell>
          <cell r="E97">
            <v>2</v>
          </cell>
          <cell r="F97">
            <v>0</v>
          </cell>
          <cell r="G97">
            <v>98</v>
          </cell>
          <cell r="H97">
            <v>1</v>
          </cell>
          <cell r="I97">
            <v>0.28793992813580538</v>
          </cell>
        </row>
        <row r="98">
          <cell r="A98" t="str">
            <v>Psco_217</v>
          </cell>
          <cell r="B98">
            <v>97</v>
          </cell>
          <cell r="C98">
            <v>1</v>
          </cell>
          <cell r="D98" t="str">
            <v>TZ</v>
          </cell>
          <cell r="E98">
            <v>14</v>
          </cell>
          <cell r="F98">
            <v>1</v>
          </cell>
          <cell r="G98">
            <v>56</v>
          </cell>
          <cell r="H98">
            <v>1</v>
          </cell>
          <cell r="I98">
            <v>0.78697133263899322</v>
          </cell>
        </row>
        <row r="99">
          <cell r="A99" t="str">
            <v>Psco_129</v>
          </cell>
          <cell r="B99">
            <v>98</v>
          </cell>
          <cell r="C99">
            <v>1</v>
          </cell>
          <cell r="D99" t="str">
            <v>TZ</v>
          </cell>
          <cell r="E99">
            <v>9</v>
          </cell>
          <cell r="F99">
            <v>1</v>
          </cell>
          <cell r="G99">
            <v>84</v>
          </cell>
          <cell r="H99">
            <v>1</v>
          </cell>
          <cell r="I99">
            <v>0.38438895868802547</v>
          </cell>
        </row>
        <row r="100">
          <cell r="A100" t="str">
            <v>Psco_225</v>
          </cell>
          <cell r="B100">
            <v>99</v>
          </cell>
          <cell r="C100">
            <v>1</v>
          </cell>
          <cell r="D100" t="str">
            <v>TZ</v>
          </cell>
          <cell r="E100">
            <v>9</v>
          </cell>
          <cell r="F100">
            <v>1</v>
          </cell>
          <cell r="G100">
            <v>72</v>
          </cell>
          <cell r="H100">
            <v>1</v>
          </cell>
          <cell r="I100">
            <v>0.64380804184679585</v>
          </cell>
        </row>
        <row r="101">
          <cell r="A101" t="str">
            <v>Psco_137</v>
          </cell>
          <cell r="B101">
            <v>100</v>
          </cell>
          <cell r="C101">
            <v>1</v>
          </cell>
          <cell r="D101" t="str">
            <v>TZ</v>
          </cell>
          <cell r="E101">
            <v>13</v>
          </cell>
          <cell r="F101">
            <v>1</v>
          </cell>
          <cell r="G101">
            <v>46</v>
          </cell>
          <cell r="H101">
            <v>1</v>
          </cell>
          <cell r="I101">
            <v>0.79054348451110024</v>
          </cell>
        </row>
        <row r="102">
          <cell r="A102" t="str">
            <v>Psco_233</v>
          </cell>
          <cell r="B102">
            <v>101</v>
          </cell>
          <cell r="C102">
            <v>1</v>
          </cell>
          <cell r="D102" t="str">
            <v>TZ</v>
          </cell>
          <cell r="E102">
            <v>12</v>
          </cell>
          <cell r="F102">
            <v>0</v>
          </cell>
          <cell r="G102">
            <v>98</v>
          </cell>
          <cell r="H102">
            <v>0</v>
          </cell>
          <cell r="I102">
            <v>0</v>
          </cell>
        </row>
        <row r="103">
          <cell r="A103" t="str">
            <v>Psco_145</v>
          </cell>
          <cell r="B103">
            <v>102</v>
          </cell>
          <cell r="C103">
            <v>1</v>
          </cell>
          <cell r="D103" t="str">
            <v>TZ</v>
          </cell>
          <cell r="E103">
            <v>14</v>
          </cell>
          <cell r="F103">
            <v>1</v>
          </cell>
          <cell r="G103">
            <v>53</v>
          </cell>
          <cell r="H103">
            <v>1</v>
          </cell>
          <cell r="I103">
            <v>0.58933898304519339</v>
          </cell>
        </row>
        <row r="104">
          <cell r="A104" t="str">
            <v>Psco_241</v>
          </cell>
          <cell r="B104">
            <v>103</v>
          </cell>
          <cell r="C104">
            <v>1</v>
          </cell>
          <cell r="D104" t="str">
            <v>TZ</v>
          </cell>
          <cell r="E104">
            <v>11</v>
          </cell>
          <cell r="F104">
            <v>1</v>
          </cell>
          <cell r="G104">
            <v>58</v>
          </cell>
          <cell r="H104">
            <v>1</v>
          </cell>
          <cell r="I104">
            <v>0.37900188933105272</v>
          </cell>
        </row>
        <row r="105">
          <cell r="A105" t="str">
            <v>Psco_153</v>
          </cell>
          <cell r="B105">
            <v>104</v>
          </cell>
          <cell r="C105">
            <v>1</v>
          </cell>
          <cell r="D105" t="str">
            <v>MZ</v>
          </cell>
          <cell r="E105">
            <v>7</v>
          </cell>
          <cell r="F105">
            <v>1</v>
          </cell>
          <cell r="G105">
            <v>56</v>
          </cell>
          <cell r="H105">
            <v>1</v>
          </cell>
          <cell r="I105">
            <v>0.4255386853572875</v>
          </cell>
        </row>
        <row r="106">
          <cell r="A106" t="str">
            <v>Psco_250</v>
          </cell>
          <cell r="B106">
            <v>105</v>
          </cell>
          <cell r="C106">
            <v>1</v>
          </cell>
          <cell r="D106" t="str">
            <v>TZ</v>
          </cell>
          <cell r="E106">
            <v>19</v>
          </cell>
          <cell r="F106">
            <v>1</v>
          </cell>
          <cell r="G106">
            <v>56</v>
          </cell>
          <cell r="H106">
            <v>1</v>
          </cell>
          <cell r="I106">
            <v>0.60103254221443381</v>
          </cell>
        </row>
        <row r="107">
          <cell r="A107" t="str">
            <v>Psco_161</v>
          </cell>
          <cell r="B107">
            <v>106</v>
          </cell>
          <cell r="C107">
            <v>1</v>
          </cell>
          <cell r="D107" t="str">
            <v>TZ</v>
          </cell>
          <cell r="E107">
            <v>9</v>
          </cell>
          <cell r="F107">
            <v>1</v>
          </cell>
          <cell r="G107">
            <v>79</v>
          </cell>
          <cell r="H107">
            <v>1</v>
          </cell>
          <cell r="I107">
            <v>0.44931049465901751</v>
          </cell>
        </row>
        <row r="108">
          <cell r="A108" t="str">
            <v>Psco_258</v>
          </cell>
          <cell r="B108">
            <v>107</v>
          </cell>
          <cell r="C108">
            <v>1</v>
          </cell>
          <cell r="D108" t="str">
            <v>TZ</v>
          </cell>
          <cell r="E108">
            <v>17</v>
          </cell>
          <cell r="F108">
            <v>1</v>
          </cell>
          <cell r="G108">
            <v>44</v>
          </cell>
          <cell r="H108">
            <v>1</v>
          </cell>
          <cell r="I108">
            <v>0.67979602158903207</v>
          </cell>
        </row>
        <row r="109">
          <cell r="A109" t="str">
            <v>Psco_169</v>
          </cell>
          <cell r="B109">
            <v>108</v>
          </cell>
          <cell r="C109">
            <v>1</v>
          </cell>
          <cell r="D109" t="str">
            <v>MZ</v>
          </cell>
          <cell r="E109">
            <v>1</v>
          </cell>
          <cell r="F109">
            <v>0</v>
          </cell>
          <cell r="G109">
            <v>98</v>
          </cell>
          <cell r="H109">
            <v>0</v>
          </cell>
          <cell r="I109">
            <v>0</v>
          </cell>
        </row>
        <row r="110">
          <cell r="A110" t="str">
            <v>Psco_267</v>
          </cell>
          <cell r="B110">
            <v>109</v>
          </cell>
          <cell r="C110">
            <v>1</v>
          </cell>
          <cell r="D110" t="str">
            <v>TZ</v>
          </cell>
          <cell r="E110">
            <v>16</v>
          </cell>
          <cell r="F110">
            <v>1</v>
          </cell>
          <cell r="G110">
            <v>73</v>
          </cell>
          <cell r="H110">
            <v>1</v>
          </cell>
          <cell r="I110">
            <v>0.53792836389130605</v>
          </cell>
        </row>
        <row r="111">
          <cell r="A111" t="str">
            <v>Psco_177</v>
          </cell>
          <cell r="B111">
            <v>110</v>
          </cell>
          <cell r="C111">
            <v>1</v>
          </cell>
          <cell r="D111" t="str">
            <v>MZ</v>
          </cell>
          <cell r="E111">
            <v>1</v>
          </cell>
          <cell r="F111">
            <v>1</v>
          </cell>
          <cell r="G111">
            <v>76</v>
          </cell>
          <cell r="H111">
            <v>1</v>
          </cell>
          <cell r="I111">
            <v>0.3361838786892325</v>
          </cell>
        </row>
        <row r="112">
          <cell r="A112" t="str">
            <v>Psco_275</v>
          </cell>
          <cell r="B112">
            <v>111</v>
          </cell>
          <cell r="C112">
            <v>1</v>
          </cell>
          <cell r="D112" t="str">
            <v>MZ</v>
          </cell>
          <cell r="E112">
            <v>1</v>
          </cell>
          <cell r="F112">
            <v>0</v>
          </cell>
          <cell r="G112">
            <v>98</v>
          </cell>
          <cell r="H112">
            <v>0</v>
          </cell>
          <cell r="I112">
            <v>0</v>
          </cell>
        </row>
        <row r="113">
          <cell r="A113" t="str">
            <v>Psco_185</v>
          </cell>
          <cell r="B113">
            <v>112</v>
          </cell>
          <cell r="C113">
            <v>1</v>
          </cell>
          <cell r="D113" t="str">
            <v>TZ</v>
          </cell>
          <cell r="E113">
            <v>19</v>
          </cell>
          <cell r="F113">
            <v>1</v>
          </cell>
          <cell r="G113">
            <v>61</v>
          </cell>
          <cell r="H113">
            <v>1</v>
          </cell>
          <cell r="I113">
            <v>0.51129721426340724</v>
          </cell>
        </row>
        <row r="114">
          <cell r="A114" t="str">
            <v>Psco_283</v>
          </cell>
          <cell r="B114">
            <v>113</v>
          </cell>
          <cell r="C114">
            <v>1</v>
          </cell>
          <cell r="D114" t="str">
            <v>MZ</v>
          </cell>
          <cell r="E114">
            <v>4</v>
          </cell>
          <cell r="F114">
            <v>0</v>
          </cell>
          <cell r="G114">
            <v>98</v>
          </cell>
          <cell r="H114">
            <v>0</v>
          </cell>
          <cell r="I114">
            <v>0</v>
          </cell>
        </row>
        <row r="115">
          <cell r="A115" t="str">
            <v>Psco_387</v>
          </cell>
          <cell r="B115">
            <v>114</v>
          </cell>
          <cell r="C115">
            <v>1</v>
          </cell>
          <cell r="D115" t="str">
            <v>MZ</v>
          </cell>
          <cell r="E115">
            <v>5</v>
          </cell>
          <cell r="F115">
            <v>1</v>
          </cell>
          <cell r="G115">
            <v>56</v>
          </cell>
          <cell r="H115">
            <v>1</v>
          </cell>
          <cell r="I115">
            <v>0.46124236057327911</v>
          </cell>
        </row>
        <row r="116">
          <cell r="A116" t="str">
            <v>Psco_299</v>
          </cell>
          <cell r="B116">
            <v>115</v>
          </cell>
          <cell r="C116">
            <v>1</v>
          </cell>
          <cell r="D116" t="str">
            <v>MZ</v>
          </cell>
          <cell r="E116">
            <v>1</v>
          </cell>
          <cell r="F116">
            <v>0</v>
          </cell>
          <cell r="G116">
            <v>98</v>
          </cell>
          <cell r="H116">
            <v>0</v>
          </cell>
          <cell r="I116">
            <v>0</v>
          </cell>
        </row>
        <row r="117">
          <cell r="A117" t="str">
            <v>Psco_307</v>
          </cell>
          <cell r="B117">
            <v>116</v>
          </cell>
          <cell r="C117">
            <v>1</v>
          </cell>
          <cell r="D117" t="str">
            <v>MZ</v>
          </cell>
          <cell r="E117">
            <v>8</v>
          </cell>
          <cell r="F117">
            <v>0</v>
          </cell>
          <cell r="G117">
            <v>98</v>
          </cell>
          <cell r="H117">
            <v>1</v>
          </cell>
          <cell r="I117">
            <v>0.1152357926008398</v>
          </cell>
        </row>
        <row r="118">
          <cell r="A118" t="str">
            <v>Psco_418</v>
          </cell>
          <cell r="B118">
            <v>117</v>
          </cell>
          <cell r="C118">
            <v>2</v>
          </cell>
          <cell r="D118" t="str">
            <v>MZ</v>
          </cell>
          <cell r="E118">
            <v>36</v>
          </cell>
          <cell r="F118">
            <v>1</v>
          </cell>
          <cell r="G118">
            <v>70</v>
          </cell>
          <cell r="H118">
            <v>1</v>
          </cell>
          <cell r="I118">
            <v>0.29992931595850292</v>
          </cell>
        </row>
        <row r="119">
          <cell r="A119" t="str">
            <v>Psco_315</v>
          </cell>
          <cell r="B119">
            <v>118</v>
          </cell>
          <cell r="C119">
            <v>1</v>
          </cell>
          <cell r="D119" t="str">
            <v>TZ</v>
          </cell>
          <cell r="E119">
            <v>12</v>
          </cell>
          <cell r="F119">
            <v>0</v>
          </cell>
          <cell r="G119">
            <v>98</v>
          </cell>
          <cell r="H119">
            <v>0</v>
          </cell>
          <cell r="I119">
            <v>0</v>
          </cell>
        </row>
        <row r="120">
          <cell r="A120" t="str">
            <v>Psco_426</v>
          </cell>
          <cell r="B120">
            <v>119</v>
          </cell>
          <cell r="C120">
            <v>2</v>
          </cell>
          <cell r="D120" t="str">
            <v>TZ</v>
          </cell>
          <cell r="E120">
            <v>52</v>
          </cell>
          <cell r="F120">
            <v>0</v>
          </cell>
          <cell r="G120">
            <v>98</v>
          </cell>
          <cell r="H120">
            <v>0</v>
          </cell>
          <cell r="I120">
            <v>0</v>
          </cell>
        </row>
        <row r="121">
          <cell r="A121" t="str">
            <v>Psco_323</v>
          </cell>
          <cell r="B121">
            <v>120</v>
          </cell>
          <cell r="C121">
            <v>1</v>
          </cell>
          <cell r="D121" t="str">
            <v>TZ</v>
          </cell>
          <cell r="E121">
            <v>12</v>
          </cell>
          <cell r="F121">
            <v>1</v>
          </cell>
          <cell r="G121">
            <v>78</v>
          </cell>
          <cell r="H121">
            <v>1</v>
          </cell>
          <cell r="I121">
            <v>0.46311342261982968</v>
          </cell>
        </row>
        <row r="122">
          <cell r="A122" t="str">
            <v>Psco_434</v>
          </cell>
          <cell r="B122">
            <v>121</v>
          </cell>
          <cell r="C122">
            <v>2</v>
          </cell>
          <cell r="D122" t="str">
            <v>MZ</v>
          </cell>
          <cell r="E122">
            <v>37</v>
          </cell>
          <cell r="F122">
            <v>0</v>
          </cell>
          <cell r="G122">
            <v>98</v>
          </cell>
          <cell r="H122">
            <v>0</v>
          </cell>
          <cell r="I122">
            <v>0</v>
          </cell>
        </row>
        <row r="123">
          <cell r="A123" t="str">
            <v>Psco_331</v>
          </cell>
          <cell r="B123">
            <v>122</v>
          </cell>
          <cell r="C123">
            <v>1</v>
          </cell>
          <cell r="D123" t="str">
            <v>TZ</v>
          </cell>
          <cell r="E123">
            <v>12</v>
          </cell>
          <cell r="F123">
            <v>1</v>
          </cell>
          <cell r="G123">
            <v>58</v>
          </cell>
          <cell r="H123">
            <v>1</v>
          </cell>
          <cell r="I123">
            <v>0.7556240203986726</v>
          </cell>
        </row>
        <row r="124">
          <cell r="A124" t="str">
            <v>Psco_442</v>
          </cell>
          <cell r="B124">
            <v>123</v>
          </cell>
          <cell r="C124">
            <v>2</v>
          </cell>
          <cell r="D124" t="str">
            <v>MZ</v>
          </cell>
          <cell r="E124">
            <v>32</v>
          </cell>
          <cell r="F124">
            <v>1</v>
          </cell>
          <cell r="G124">
            <v>56</v>
          </cell>
          <cell r="H124">
            <v>1</v>
          </cell>
          <cell r="I124">
            <v>0.48409307075872599</v>
          </cell>
        </row>
        <row r="125">
          <cell r="A125" t="str">
            <v>Psco_339</v>
          </cell>
          <cell r="B125">
            <v>124</v>
          </cell>
          <cell r="C125">
            <v>1</v>
          </cell>
          <cell r="D125" t="str">
            <v>TZ</v>
          </cell>
          <cell r="E125">
            <v>16</v>
          </cell>
          <cell r="F125">
            <v>1</v>
          </cell>
          <cell r="G125">
            <v>53</v>
          </cell>
          <cell r="H125">
            <v>1</v>
          </cell>
          <cell r="I125">
            <v>0.59079346660221232</v>
          </cell>
        </row>
        <row r="126">
          <cell r="A126" t="str">
            <v>Psco_450</v>
          </cell>
          <cell r="B126">
            <v>125</v>
          </cell>
          <cell r="C126">
            <v>2</v>
          </cell>
          <cell r="D126" t="str">
            <v>MZ</v>
          </cell>
          <cell r="E126">
            <v>29</v>
          </cell>
          <cell r="F126">
            <v>1</v>
          </cell>
          <cell r="G126">
            <v>66</v>
          </cell>
          <cell r="H126">
            <v>1</v>
          </cell>
          <cell r="I126">
            <v>0.62725244726354012</v>
          </cell>
        </row>
        <row r="127">
          <cell r="A127" t="str">
            <v>Psco_347</v>
          </cell>
          <cell r="B127">
            <v>126</v>
          </cell>
          <cell r="C127">
            <v>1</v>
          </cell>
          <cell r="D127" t="str">
            <v>TZ</v>
          </cell>
          <cell r="E127">
            <v>13</v>
          </cell>
          <cell r="F127">
            <v>1</v>
          </cell>
          <cell r="G127">
            <v>51</v>
          </cell>
          <cell r="H127">
            <v>1</v>
          </cell>
          <cell r="I127">
            <v>1.025740934306592</v>
          </cell>
        </row>
        <row r="128">
          <cell r="A128" t="str">
            <v>Psco_458</v>
          </cell>
          <cell r="B128">
            <v>127</v>
          </cell>
          <cell r="C128">
            <v>2</v>
          </cell>
          <cell r="D128" t="str">
            <v>TZ</v>
          </cell>
          <cell r="E128">
            <v>49</v>
          </cell>
          <cell r="F128">
            <v>1</v>
          </cell>
          <cell r="G128">
            <v>59</v>
          </cell>
          <cell r="H128">
            <v>1</v>
          </cell>
          <cell r="I128">
            <v>0.5568100931002854</v>
          </cell>
        </row>
        <row r="129">
          <cell r="A129" t="str">
            <v>Psco_466</v>
          </cell>
          <cell r="B129">
            <v>128</v>
          </cell>
          <cell r="C129">
            <v>2</v>
          </cell>
          <cell r="D129" t="str">
            <v>TZ</v>
          </cell>
          <cell r="E129">
            <v>50</v>
          </cell>
          <cell r="F129">
            <v>0</v>
          </cell>
          <cell r="G129">
            <v>98</v>
          </cell>
          <cell r="H129">
            <v>1</v>
          </cell>
          <cell r="I129">
            <v>8.5934783720589214E-2</v>
          </cell>
        </row>
        <row r="130">
          <cell r="A130" t="str">
            <v>Psco_363</v>
          </cell>
          <cell r="B130">
            <v>129</v>
          </cell>
          <cell r="C130">
            <v>1</v>
          </cell>
          <cell r="D130" t="str">
            <v>TZ</v>
          </cell>
          <cell r="E130">
            <v>16</v>
          </cell>
          <cell r="F130">
            <v>0</v>
          </cell>
          <cell r="G130">
            <v>98</v>
          </cell>
          <cell r="H130">
            <v>0</v>
          </cell>
          <cell r="I130">
            <v>0</v>
          </cell>
        </row>
        <row r="131">
          <cell r="A131" t="str">
            <v>Psco_474</v>
          </cell>
          <cell r="B131">
            <v>130</v>
          </cell>
          <cell r="C131">
            <v>2</v>
          </cell>
          <cell r="D131" t="str">
            <v>TZ</v>
          </cell>
          <cell r="E131">
            <v>43</v>
          </cell>
          <cell r="F131">
            <v>1</v>
          </cell>
          <cell r="G131">
            <v>62</v>
          </cell>
          <cell r="H131">
            <v>1</v>
          </cell>
          <cell r="I131">
            <v>0.43729162839069269</v>
          </cell>
        </row>
        <row r="132">
          <cell r="A132" t="str">
            <v>Psco_371</v>
          </cell>
          <cell r="B132">
            <v>131</v>
          </cell>
          <cell r="C132">
            <v>1</v>
          </cell>
          <cell r="D132" t="str">
            <v>TZ</v>
          </cell>
          <cell r="E132">
            <v>11</v>
          </cell>
          <cell r="F132">
            <v>1</v>
          </cell>
          <cell r="G132">
            <v>64</v>
          </cell>
          <cell r="H132">
            <v>1</v>
          </cell>
          <cell r="I132">
            <v>0.53988884348835542</v>
          </cell>
        </row>
        <row r="133">
          <cell r="A133" t="str">
            <v>Psco_482</v>
          </cell>
          <cell r="B133">
            <v>132</v>
          </cell>
          <cell r="C133">
            <v>2</v>
          </cell>
          <cell r="D133" t="str">
            <v>MZ</v>
          </cell>
          <cell r="E133">
            <v>34</v>
          </cell>
          <cell r="F133">
            <v>1</v>
          </cell>
          <cell r="G133">
            <v>70</v>
          </cell>
          <cell r="H133">
            <v>1</v>
          </cell>
          <cell r="I133">
            <v>0.43577124260130368</v>
          </cell>
        </row>
        <row r="134">
          <cell r="A134" t="str">
            <v>Psco_379</v>
          </cell>
          <cell r="B134">
            <v>133</v>
          </cell>
          <cell r="C134">
            <v>1</v>
          </cell>
          <cell r="D134" t="str">
            <v>TZ</v>
          </cell>
          <cell r="E134">
            <v>10</v>
          </cell>
          <cell r="F134">
            <v>1</v>
          </cell>
          <cell r="G134">
            <v>71</v>
          </cell>
          <cell r="H134">
            <v>1</v>
          </cell>
          <cell r="I134">
            <v>0.85775221720956163</v>
          </cell>
        </row>
        <row r="135">
          <cell r="A135" t="str">
            <v>Psco_490</v>
          </cell>
          <cell r="B135">
            <v>134</v>
          </cell>
          <cell r="C135">
            <v>2</v>
          </cell>
          <cell r="D135" t="str">
            <v>MZ</v>
          </cell>
          <cell r="E135">
            <v>28</v>
          </cell>
          <cell r="F135">
            <v>0</v>
          </cell>
          <cell r="G135">
            <v>98</v>
          </cell>
          <cell r="H135">
            <v>0</v>
          </cell>
          <cell r="I135">
            <v>0</v>
          </cell>
        </row>
        <row r="136">
          <cell r="A136" t="str">
            <v>Psco_194</v>
          </cell>
          <cell r="B136">
            <v>135</v>
          </cell>
          <cell r="C136">
            <v>1</v>
          </cell>
          <cell r="D136" t="str">
            <v>TZ</v>
          </cell>
          <cell r="E136">
            <v>16</v>
          </cell>
          <cell r="F136">
            <v>1</v>
          </cell>
          <cell r="G136">
            <v>46</v>
          </cell>
          <cell r="H136">
            <v>1</v>
          </cell>
          <cell r="I136">
            <v>0.65761219145372096</v>
          </cell>
        </row>
        <row r="137">
          <cell r="A137" t="str">
            <v>Psco_106</v>
          </cell>
          <cell r="B137">
            <v>136</v>
          </cell>
          <cell r="C137">
            <v>1</v>
          </cell>
          <cell r="D137" t="str">
            <v>MZ</v>
          </cell>
          <cell r="E137">
            <v>3</v>
          </cell>
          <cell r="F137">
            <v>0</v>
          </cell>
          <cell r="G137">
            <v>98</v>
          </cell>
          <cell r="H137">
            <v>0</v>
          </cell>
          <cell r="I137">
            <v>0</v>
          </cell>
        </row>
        <row r="138">
          <cell r="A138" t="str">
            <v>Psco_202</v>
          </cell>
          <cell r="B138">
            <v>137</v>
          </cell>
          <cell r="C138">
            <v>1</v>
          </cell>
          <cell r="D138" t="str">
            <v>TZ</v>
          </cell>
          <cell r="E138">
            <v>13</v>
          </cell>
          <cell r="F138">
            <v>1</v>
          </cell>
          <cell r="G138">
            <v>60</v>
          </cell>
          <cell r="H138">
            <v>1</v>
          </cell>
          <cell r="I138">
            <v>0.66913082243754884</v>
          </cell>
        </row>
        <row r="139">
          <cell r="A139" t="str">
            <v>Psco_114</v>
          </cell>
          <cell r="B139">
            <v>138</v>
          </cell>
          <cell r="C139">
            <v>1</v>
          </cell>
          <cell r="D139" t="str">
            <v>MZ</v>
          </cell>
          <cell r="E139">
            <v>4</v>
          </cell>
          <cell r="F139">
            <v>1</v>
          </cell>
          <cell r="G139">
            <v>56</v>
          </cell>
          <cell r="H139">
            <v>1</v>
          </cell>
          <cell r="I139">
            <v>0.75930149335588026</v>
          </cell>
        </row>
        <row r="140">
          <cell r="A140" t="str">
            <v>Psco_210</v>
          </cell>
          <cell r="B140">
            <v>139</v>
          </cell>
          <cell r="C140">
            <v>1</v>
          </cell>
          <cell r="D140" t="str">
            <v>MZ</v>
          </cell>
          <cell r="E140">
            <v>2</v>
          </cell>
          <cell r="F140">
            <v>0</v>
          </cell>
          <cell r="G140">
            <v>98</v>
          </cell>
          <cell r="H140">
            <v>1</v>
          </cell>
          <cell r="I140">
            <v>0.24951321841215501</v>
          </cell>
        </row>
        <row r="141">
          <cell r="A141" t="str">
            <v>Psco_122</v>
          </cell>
          <cell r="B141">
            <v>140</v>
          </cell>
          <cell r="C141">
            <v>1</v>
          </cell>
          <cell r="D141" t="str">
            <v>TZ</v>
          </cell>
          <cell r="E141">
            <v>16</v>
          </cell>
          <cell r="F141">
            <v>1</v>
          </cell>
          <cell r="G141">
            <v>49</v>
          </cell>
          <cell r="H141">
            <v>1</v>
          </cell>
          <cell r="I141">
            <v>0.22744885067149409</v>
          </cell>
        </row>
        <row r="142">
          <cell r="A142" t="str">
            <v>Psco_218</v>
          </cell>
          <cell r="B142">
            <v>141</v>
          </cell>
          <cell r="C142">
            <v>1</v>
          </cell>
          <cell r="D142" t="str">
            <v>MZ</v>
          </cell>
          <cell r="E142">
            <v>5</v>
          </cell>
          <cell r="F142">
            <v>1</v>
          </cell>
          <cell r="G142">
            <v>51</v>
          </cell>
          <cell r="H142">
            <v>1</v>
          </cell>
          <cell r="I142">
            <v>0.71214496479996525</v>
          </cell>
        </row>
        <row r="143">
          <cell r="A143" t="str">
            <v>Psco_130</v>
          </cell>
          <cell r="B143">
            <v>142</v>
          </cell>
          <cell r="C143">
            <v>1</v>
          </cell>
          <cell r="D143" t="str">
            <v>MZ</v>
          </cell>
          <cell r="E143">
            <v>8</v>
          </cell>
          <cell r="F143">
            <v>0</v>
          </cell>
          <cell r="G143">
            <v>98</v>
          </cell>
          <cell r="H143">
            <v>0</v>
          </cell>
          <cell r="I143">
            <v>0</v>
          </cell>
        </row>
        <row r="144">
          <cell r="A144" t="str">
            <v>Psco_226</v>
          </cell>
          <cell r="B144">
            <v>143</v>
          </cell>
          <cell r="C144">
            <v>1</v>
          </cell>
          <cell r="D144" t="str">
            <v>TZ</v>
          </cell>
          <cell r="E144">
            <v>14</v>
          </cell>
          <cell r="F144">
            <v>1</v>
          </cell>
          <cell r="G144">
            <v>56</v>
          </cell>
          <cell r="H144">
            <v>1</v>
          </cell>
          <cell r="I144">
            <v>0.66194170661746199</v>
          </cell>
        </row>
        <row r="145">
          <cell r="A145" t="str">
            <v>Psco_138</v>
          </cell>
          <cell r="B145">
            <v>144</v>
          </cell>
          <cell r="C145">
            <v>1</v>
          </cell>
          <cell r="D145" t="str">
            <v>TZ</v>
          </cell>
          <cell r="E145">
            <v>9</v>
          </cell>
          <cell r="F145">
            <v>1</v>
          </cell>
          <cell r="G145">
            <v>49</v>
          </cell>
          <cell r="H145">
            <v>1</v>
          </cell>
          <cell r="I145">
            <v>0.59848458582444208</v>
          </cell>
        </row>
        <row r="146">
          <cell r="A146" t="str">
            <v>Psco_234</v>
          </cell>
          <cell r="B146">
            <v>145</v>
          </cell>
          <cell r="C146">
            <v>1</v>
          </cell>
          <cell r="D146" t="str">
            <v>TZ</v>
          </cell>
          <cell r="E146">
            <v>15</v>
          </cell>
          <cell r="F146">
            <v>1</v>
          </cell>
          <cell r="G146">
            <v>61</v>
          </cell>
          <cell r="H146">
            <v>1</v>
          </cell>
          <cell r="I146">
            <v>0.73445195047834488</v>
          </cell>
        </row>
        <row r="147">
          <cell r="A147" t="str">
            <v>Psco_146</v>
          </cell>
          <cell r="B147">
            <v>146</v>
          </cell>
          <cell r="C147">
            <v>1</v>
          </cell>
          <cell r="D147" t="str">
            <v>TZ</v>
          </cell>
          <cell r="E147">
            <v>9</v>
          </cell>
          <cell r="F147">
            <v>1</v>
          </cell>
          <cell r="G147">
            <v>54</v>
          </cell>
          <cell r="H147">
            <v>1</v>
          </cell>
          <cell r="I147">
            <v>0.7167894735979794</v>
          </cell>
        </row>
        <row r="148">
          <cell r="A148" t="str">
            <v>Psco_154</v>
          </cell>
          <cell r="B148">
            <v>147</v>
          </cell>
          <cell r="C148">
            <v>1</v>
          </cell>
          <cell r="D148" t="str">
            <v>TZ</v>
          </cell>
          <cell r="E148">
            <v>10</v>
          </cell>
          <cell r="F148">
            <v>1</v>
          </cell>
          <cell r="G148">
            <v>61</v>
          </cell>
          <cell r="H148">
            <v>1</v>
          </cell>
          <cell r="I148">
            <v>0.55712136389412936</v>
          </cell>
        </row>
        <row r="149">
          <cell r="A149" t="str">
            <v>Psco_251</v>
          </cell>
          <cell r="B149">
            <v>148</v>
          </cell>
          <cell r="C149">
            <v>1</v>
          </cell>
          <cell r="D149" t="str">
            <v>MZ</v>
          </cell>
          <cell r="E149">
            <v>4</v>
          </cell>
          <cell r="F149">
            <v>0</v>
          </cell>
          <cell r="G149">
            <v>98</v>
          </cell>
          <cell r="H149">
            <v>0</v>
          </cell>
          <cell r="I149">
            <v>0</v>
          </cell>
        </row>
        <row r="150">
          <cell r="A150" t="str">
            <v>Psco_162</v>
          </cell>
          <cell r="B150">
            <v>149</v>
          </cell>
          <cell r="C150">
            <v>1</v>
          </cell>
          <cell r="D150" t="str">
            <v>TZ</v>
          </cell>
          <cell r="E150">
            <v>9</v>
          </cell>
          <cell r="F150">
            <v>1</v>
          </cell>
          <cell r="G150">
            <v>62</v>
          </cell>
          <cell r="H150">
            <v>1</v>
          </cell>
          <cell r="I150">
            <v>0.35852083900042242</v>
          </cell>
        </row>
        <row r="151">
          <cell r="A151" t="str">
            <v>Psco_259</v>
          </cell>
          <cell r="B151">
            <v>150</v>
          </cell>
          <cell r="C151">
            <v>1</v>
          </cell>
          <cell r="D151" t="str">
            <v>TZ</v>
          </cell>
          <cell r="E151">
            <v>15</v>
          </cell>
          <cell r="F151">
            <v>1</v>
          </cell>
          <cell r="G151">
            <v>56</v>
          </cell>
          <cell r="H151">
            <v>1</v>
          </cell>
          <cell r="I151">
            <v>9.1427884652714911E-2</v>
          </cell>
        </row>
        <row r="152">
          <cell r="A152" t="str">
            <v>Psco_170</v>
          </cell>
          <cell r="B152">
            <v>151</v>
          </cell>
          <cell r="C152">
            <v>1</v>
          </cell>
          <cell r="D152" t="str">
            <v>TZ</v>
          </cell>
          <cell r="E152">
            <v>12</v>
          </cell>
          <cell r="F152">
            <v>0</v>
          </cell>
          <cell r="G152">
            <v>98</v>
          </cell>
          <cell r="H152">
            <v>1</v>
          </cell>
          <cell r="I152">
            <v>0.26250305666094143</v>
          </cell>
        </row>
        <row r="153">
          <cell r="A153" t="str">
            <v>Psco_268</v>
          </cell>
          <cell r="B153">
            <v>152</v>
          </cell>
          <cell r="C153">
            <v>1</v>
          </cell>
          <cell r="D153" t="str">
            <v>MZ</v>
          </cell>
          <cell r="E153">
            <v>5</v>
          </cell>
          <cell r="F153">
            <v>1</v>
          </cell>
          <cell r="G153">
            <v>72</v>
          </cell>
          <cell r="H153">
            <v>1</v>
          </cell>
          <cell r="I153">
            <v>0.54847298287713875</v>
          </cell>
        </row>
        <row r="154">
          <cell r="A154" t="str">
            <v>Psco_178</v>
          </cell>
          <cell r="B154">
            <v>153</v>
          </cell>
          <cell r="C154">
            <v>1</v>
          </cell>
          <cell r="D154" t="str">
            <v>TZ</v>
          </cell>
          <cell r="E154">
            <v>15</v>
          </cell>
          <cell r="F154">
            <v>0</v>
          </cell>
          <cell r="G154">
            <v>98</v>
          </cell>
          <cell r="H154">
            <v>0</v>
          </cell>
          <cell r="I154">
            <v>0</v>
          </cell>
        </row>
        <row r="155">
          <cell r="A155" t="str">
            <v>Psco_276</v>
          </cell>
          <cell r="B155">
            <v>154</v>
          </cell>
          <cell r="C155">
            <v>1</v>
          </cell>
          <cell r="D155" t="str">
            <v>MZ</v>
          </cell>
          <cell r="E155">
            <v>1</v>
          </cell>
          <cell r="F155">
            <v>1</v>
          </cell>
          <cell r="G155">
            <v>57</v>
          </cell>
          <cell r="H155">
            <v>1</v>
          </cell>
          <cell r="I155">
            <v>0.5035731514677666</v>
          </cell>
        </row>
        <row r="156">
          <cell r="A156" t="str">
            <v>Psco_186</v>
          </cell>
          <cell r="B156">
            <v>155</v>
          </cell>
          <cell r="C156">
            <v>1</v>
          </cell>
          <cell r="D156" t="str">
            <v>MZ</v>
          </cell>
          <cell r="E156">
            <v>5</v>
          </cell>
          <cell r="F156">
            <v>1</v>
          </cell>
          <cell r="G156">
            <v>56</v>
          </cell>
          <cell r="H156">
            <v>1</v>
          </cell>
          <cell r="I156">
            <v>0.57201737743233916</v>
          </cell>
        </row>
        <row r="157">
          <cell r="A157" t="str">
            <v>Psco_284</v>
          </cell>
          <cell r="B157">
            <v>156</v>
          </cell>
          <cell r="C157">
            <v>1</v>
          </cell>
          <cell r="D157" t="str">
            <v>MZ</v>
          </cell>
          <cell r="E157">
            <v>6</v>
          </cell>
          <cell r="F157">
            <v>1</v>
          </cell>
          <cell r="G157">
            <v>75</v>
          </cell>
          <cell r="H157">
            <v>1</v>
          </cell>
          <cell r="I157">
            <v>0.4544613636412333</v>
          </cell>
        </row>
        <row r="158">
          <cell r="A158" t="str">
            <v>Psco_292</v>
          </cell>
          <cell r="B158">
            <v>157</v>
          </cell>
          <cell r="C158">
            <v>1</v>
          </cell>
          <cell r="D158" t="str">
            <v>TZ</v>
          </cell>
          <cell r="E158">
            <v>10</v>
          </cell>
          <cell r="F158">
            <v>0</v>
          </cell>
          <cell r="G158">
            <v>98</v>
          </cell>
          <cell r="H158">
            <v>0</v>
          </cell>
          <cell r="I158">
            <v>0</v>
          </cell>
        </row>
        <row r="159">
          <cell r="A159" t="str">
            <v>Psco_388</v>
          </cell>
          <cell r="B159">
            <v>158</v>
          </cell>
          <cell r="C159">
            <v>1</v>
          </cell>
          <cell r="D159" t="str">
            <v>MZ</v>
          </cell>
          <cell r="E159">
            <v>6</v>
          </cell>
          <cell r="F159">
            <v>1</v>
          </cell>
          <cell r="G159">
            <v>53</v>
          </cell>
          <cell r="H159">
            <v>1</v>
          </cell>
          <cell r="I159">
            <v>0.8541249592698581</v>
          </cell>
        </row>
        <row r="160">
          <cell r="A160" t="str">
            <v>Psco_300</v>
          </cell>
          <cell r="B160">
            <v>159</v>
          </cell>
          <cell r="C160">
            <v>1</v>
          </cell>
          <cell r="D160" t="str">
            <v>TZ</v>
          </cell>
          <cell r="E160">
            <v>12</v>
          </cell>
          <cell r="F160">
            <v>1</v>
          </cell>
          <cell r="G160">
            <v>62</v>
          </cell>
          <cell r="H160">
            <v>1</v>
          </cell>
          <cell r="I160">
            <v>0.46351028782100562</v>
          </cell>
        </row>
        <row r="161">
          <cell r="A161" t="str">
            <v>Psco_308</v>
          </cell>
          <cell r="B161">
            <v>160</v>
          </cell>
          <cell r="C161">
            <v>1</v>
          </cell>
          <cell r="D161" t="str">
            <v>MZ</v>
          </cell>
          <cell r="E161">
            <v>1</v>
          </cell>
          <cell r="F161">
            <v>0</v>
          </cell>
          <cell r="G161">
            <v>98</v>
          </cell>
          <cell r="H161">
            <v>0</v>
          </cell>
          <cell r="I161">
            <v>0</v>
          </cell>
        </row>
        <row r="162">
          <cell r="A162" t="str">
            <v>Psco_419</v>
          </cell>
          <cell r="B162">
            <v>161</v>
          </cell>
          <cell r="C162">
            <v>2</v>
          </cell>
          <cell r="D162" t="str">
            <v>MZ</v>
          </cell>
          <cell r="E162">
            <v>27</v>
          </cell>
          <cell r="F162">
            <v>1</v>
          </cell>
          <cell r="G162">
            <v>70</v>
          </cell>
          <cell r="H162">
            <v>1</v>
          </cell>
          <cell r="I162">
            <v>0.33647397106245619</v>
          </cell>
        </row>
        <row r="163">
          <cell r="A163" t="str">
            <v>Psco_316</v>
          </cell>
          <cell r="B163">
            <v>162</v>
          </cell>
          <cell r="C163">
            <v>1</v>
          </cell>
          <cell r="D163" t="str">
            <v>MZ</v>
          </cell>
          <cell r="E163">
            <v>3</v>
          </cell>
          <cell r="F163">
            <v>1</v>
          </cell>
          <cell r="G163">
            <v>76</v>
          </cell>
          <cell r="H163">
            <v>1</v>
          </cell>
          <cell r="I163">
            <v>0.52569144514061839</v>
          </cell>
        </row>
        <row r="164">
          <cell r="A164" t="str">
            <v>Psco_427</v>
          </cell>
          <cell r="B164">
            <v>163</v>
          </cell>
          <cell r="C164">
            <v>2</v>
          </cell>
          <cell r="D164" t="str">
            <v>TZ</v>
          </cell>
          <cell r="E164">
            <v>50</v>
          </cell>
          <cell r="F164">
            <v>1</v>
          </cell>
          <cell r="G164">
            <v>60</v>
          </cell>
          <cell r="H164">
            <v>1</v>
          </cell>
          <cell r="I164">
            <v>0.5039825658814967</v>
          </cell>
        </row>
        <row r="165">
          <cell r="A165" t="str">
            <v>Psco_324</v>
          </cell>
          <cell r="B165">
            <v>164</v>
          </cell>
          <cell r="C165">
            <v>1</v>
          </cell>
          <cell r="D165" t="str">
            <v>MZ</v>
          </cell>
          <cell r="E165">
            <v>6</v>
          </cell>
          <cell r="F165">
            <v>1</v>
          </cell>
          <cell r="G165">
            <v>58</v>
          </cell>
          <cell r="H165">
            <v>1</v>
          </cell>
          <cell r="I165">
            <v>0.63239517286135161</v>
          </cell>
        </row>
        <row r="166">
          <cell r="A166" t="str">
            <v>Psco_435</v>
          </cell>
          <cell r="B166">
            <v>165</v>
          </cell>
          <cell r="C166">
            <v>2</v>
          </cell>
          <cell r="D166" t="str">
            <v>TZ</v>
          </cell>
          <cell r="E166">
            <v>50</v>
          </cell>
          <cell r="F166">
            <v>0</v>
          </cell>
          <cell r="G166">
            <v>98</v>
          </cell>
          <cell r="H166">
            <v>0</v>
          </cell>
          <cell r="I166">
            <v>0</v>
          </cell>
        </row>
        <row r="167">
          <cell r="A167" t="str">
            <v>Psco_332</v>
          </cell>
          <cell r="B167">
            <v>166</v>
          </cell>
          <cell r="C167">
            <v>1</v>
          </cell>
          <cell r="D167" t="str">
            <v>MZ</v>
          </cell>
          <cell r="E167">
            <v>6</v>
          </cell>
          <cell r="F167">
            <v>1</v>
          </cell>
          <cell r="G167">
            <v>57</v>
          </cell>
          <cell r="H167">
            <v>1</v>
          </cell>
          <cell r="I167">
            <v>0.43945433688148638</v>
          </cell>
        </row>
        <row r="168">
          <cell r="A168" t="str">
            <v>Psco_443</v>
          </cell>
          <cell r="B168">
            <v>167</v>
          </cell>
          <cell r="C168">
            <v>2</v>
          </cell>
          <cell r="D168" t="str">
            <v>MZ</v>
          </cell>
          <cell r="E168">
            <v>38</v>
          </cell>
          <cell r="F168">
            <v>1</v>
          </cell>
          <cell r="G168">
            <v>86</v>
          </cell>
          <cell r="H168">
            <v>1</v>
          </cell>
          <cell r="I168">
            <v>0.41542962180520049</v>
          </cell>
        </row>
        <row r="169">
          <cell r="A169" t="str">
            <v>Psco_340</v>
          </cell>
          <cell r="B169">
            <v>168</v>
          </cell>
          <cell r="C169">
            <v>1</v>
          </cell>
          <cell r="D169" t="str">
            <v>TZ</v>
          </cell>
          <cell r="E169">
            <v>12</v>
          </cell>
          <cell r="F169">
            <v>1</v>
          </cell>
          <cell r="G169">
            <v>51</v>
          </cell>
          <cell r="H169">
            <v>1</v>
          </cell>
          <cell r="I169">
            <v>0.8367874047947097</v>
          </cell>
        </row>
        <row r="170">
          <cell r="A170" t="str">
            <v>Psco_451</v>
          </cell>
          <cell r="B170">
            <v>169</v>
          </cell>
          <cell r="C170">
            <v>2</v>
          </cell>
          <cell r="D170" t="str">
            <v>MZ</v>
          </cell>
          <cell r="E170">
            <v>24</v>
          </cell>
          <cell r="F170">
            <v>1</v>
          </cell>
          <cell r="G170">
            <v>63</v>
          </cell>
          <cell r="H170">
            <v>1</v>
          </cell>
          <cell r="I170">
            <v>0.42024864010366958</v>
          </cell>
        </row>
        <row r="171">
          <cell r="A171" t="str">
            <v>Psco_348</v>
          </cell>
          <cell r="B171">
            <v>170</v>
          </cell>
          <cell r="C171">
            <v>1</v>
          </cell>
          <cell r="D171" t="str">
            <v>MZ</v>
          </cell>
          <cell r="E171">
            <v>8</v>
          </cell>
          <cell r="F171">
            <v>0</v>
          </cell>
          <cell r="G171">
            <v>98</v>
          </cell>
          <cell r="H171">
            <v>0</v>
          </cell>
          <cell r="I171">
            <v>0</v>
          </cell>
        </row>
        <row r="172">
          <cell r="A172" t="str">
            <v>Psco_459</v>
          </cell>
          <cell r="B172">
            <v>171</v>
          </cell>
          <cell r="C172">
            <v>2</v>
          </cell>
          <cell r="D172" t="str">
            <v>TZ</v>
          </cell>
          <cell r="E172">
            <v>53</v>
          </cell>
          <cell r="F172">
            <v>1</v>
          </cell>
          <cell r="G172">
            <v>84</v>
          </cell>
          <cell r="H172">
            <v>1</v>
          </cell>
          <cell r="I172">
            <v>0.37175684313114349</v>
          </cell>
        </row>
        <row r="173">
          <cell r="A173" t="str">
            <v>Psco_356</v>
          </cell>
          <cell r="B173">
            <v>172</v>
          </cell>
          <cell r="C173">
            <v>1</v>
          </cell>
          <cell r="D173" t="str">
            <v>TZ</v>
          </cell>
          <cell r="E173">
            <v>11</v>
          </cell>
          <cell r="F173">
            <v>0</v>
          </cell>
          <cell r="G173">
            <v>98</v>
          </cell>
          <cell r="H173">
            <v>0</v>
          </cell>
          <cell r="I173">
            <v>0</v>
          </cell>
        </row>
        <row r="174">
          <cell r="A174" t="str">
            <v>Psco_467</v>
          </cell>
          <cell r="B174">
            <v>173</v>
          </cell>
          <cell r="C174">
            <v>2</v>
          </cell>
          <cell r="D174" t="str">
            <v>MZ</v>
          </cell>
          <cell r="E174">
            <v>29</v>
          </cell>
          <cell r="F174">
            <v>0</v>
          </cell>
          <cell r="G174">
            <v>98</v>
          </cell>
          <cell r="H174">
            <v>0</v>
          </cell>
          <cell r="I174">
            <v>0</v>
          </cell>
        </row>
        <row r="175">
          <cell r="A175" t="str">
            <v>Psco_364</v>
          </cell>
          <cell r="B175">
            <v>174</v>
          </cell>
          <cell r="C175">
            <v>1</v>
          </cell>
          <cell r="D175" t="str">
            <v>TZ</v>
          </cell>
          <cell r="E175">
            <v>9</v>
          </cell>
          <cell r="F175">
            <v>1</v>
          </cell>
          <cell r="G175">
            <v>72</v>
          </cell>
          <cell r="H175">
            <v>1</v>
          </cell>
          <cell r="I175">
            <v>0.77186303312170845</v>
          </cell>
        </row>
        <row r="176">
          <cell r="A176" t="str">
            <v>Psco_475</v>
          </cell>
          <cell r="B176">
            <v>175</v>
          </cell>
          <cell r="C176">
            <v>2</v>
          </cell>
          <cell r="D176" t="str">
            <v>MZ</v>
          </cell>
          <cell r="E176">
            <v>30</v>
          </cell>
          <cell r="F176">
            <v>1</v>
          </cell>
          <cell r="G176">
            <v>75</v>
          </cell>
          <cell r="H176">
            <v>1</v>
          </cell>
          <cell r="I176">
            <v>0.47689084862973963</v>
          </cell>
        </row>
        <row r="177">
          <cell r="A177" t="str">
            <v>Psco_372</v>
          </cell>
          <cell r="B177">
            <v>176</v>
          </cell>
          <cell r="C177">
            <v>1</v>
          </cell>
          <cell r="D177" t="str">
            <v>MZ</v>
          </cell>
          <cell r="E177">
            <v>4</v>
          </cell>
          <cell r="F177">
            <v>0</v>
          </cell>
          <cell r="G177">
            <v>98</v>
          </cell>
          <cell r="H177">
            <v>1</v>
          </cell>
          <cell r="I177">
            <v>0.15415137003496551</v>
          </cell>
        </row>
        <row r="178">
          <cell r="A178" t="str">
            <v>Psco_483</v>
          </cell>
          <cell r="B178">
            <v>177</v>
          </cell>
          <cell r="C178">
            <v>2</v>
          </cell>
          <cell r="D178" t="str">
            <v>TZ</v>
          </cell>
          <cell r="E178">
            <v>49</v>
          </cell>
          <cell r="F178">
            <v>0</v>
          </cell>
          <cell r="G178">
            <v>98</v>
          </cell>
          <cell r="H178">
            <v>0</v>
          </cell>
          <cell r="I178">
            <v>0</v>
          </cell>
        </row>
        <row r="179">
          <cell r="A179" t="str">
            <v>Psco_380</v>
          </cell>
          <cell r="B179">
            <v>178</v>
          </cell>
          <cell r="C179">
            <v>1</v>
          </cell>
          <cell r="D179" t="str">
            <v>TZ</v>
          </cell>
          <cell r="E179">
            <v>18</v>
          </cell>
          <cell r="F179">
            <v>1</v>
          </cell>
          <cell r="G179">
            <v>63</v>
          </cell>
          <cell r="H179">
            <v>1</v>
          </cell>
          <cell r="I179">
            <v>0.82242629895435904</v>
          </cell>
        </row>
        <row r="180">
          <cell r="A180" t="str">
            <v>Psco_491</v>
          </cell>
          <cell r="B180">
            <v>179</v>
          </cell>
          <cell r="C180">
            <v>2</v>
          </cell>
          <cell r="D180" t="str">
            <v>MZ</v>
          </cell>
          <cell r="E180">
            <v>28</v>
          </cell>
          <cell r="F180">
            <v>0</v>
          </cell>
          <cell r="G180">
            <v>98</v>
          </cell>
          <cell r="H180">
            <v>0</v>
          </cell>
          <cell r="I180">
            <v>0</v>
          </cell>
        </row>
        <row r="181">
          <cell r="A181" t="str">
            <v>Psco_195</v>
          </cell>
          <cell r="B181">
            <v>180</v>
          </cell>
          <cell r="C181">
            <v>1</v>
          </cell>
          <cell r="D181" t="str">
            <v>TZ</v>
          </cell>
          <cell r="E181">
            <v>11</v>
          </cell>
          <cell r="F181">
            <v>1</v>
          </cell>
          <cell r="G181">
            <v>66</v>
          </cell>
          <cell r="H181">
            <v>1</v>
          </cell>
          <cell r="I181">
            <v>0.69533963054544068</v>
          </cell>
        </row>
        <row r="182">
          <cell r="A182" t="str">
            <v>Psco_107</v>
          </cell>
          <cell r="B182">
            <v>181</v>
          </cell>
          <cell r="C182">
            <v>1</v>
          </cell>
          <cell r="D182" t="str">
            <v>MZ</v>
          </cell>
          <cell r="E182">
            <v>3</v>
          </cell>
          <cell r="F182">
            <v>1</v>
          </cell>
          <cell r="G182">
            <v>66</v>
          </cell>
          <cell r="H182">
            <v>1</v>
          </cell>
          <cell r="I182">
            <v>0.64360113518564455</v>
          </cell>
        </row>
        <row r="183">
          <cell r="A183" t="str">
            <v>Psco_203</v>
          </cell>
          <cell r="B183">
            <v>182</v>
          </cell>
          <cell r="C183">
            <v>1</v>
          </cell>
          <cell r="D183" t="str">
            <v>TZ</v>
          </cell>
          <cell r="E183">
            <v>10</v>
          </cell>
          <cell r="F183">
            <v>1</v>
          </cell>
          <cell r="G183">
            <v>54</v>
          </cell>
          <cell r="H183">
            <v>1</v>
          </cell>
          <cell r="I183">
            <v>0.71213141788172796</v>
          </cell>
        </row>
        <row r="184">
          <cell r="A184" t="str">
            <v>Psco_115</v>
          </cell>
          <cell r="B184">
            <v>183</v>
          </cell>
          <cell r="C184">
            <v>1</v>
          </cell>
          <cell r="D184" t="str">
            <v>MZ</v>
          </cell>
          <cell r="E184">
            <v>3</v>
          </cell>
          <cell r="F184">
            <v>1</v>
          </cell>
          <cell r="G184">
            <v>53</v>
          </cell>
          <cell r="H184">
            <v>1</v>
          </cell>
          <cell r="I184">
            <v>0.46977258590345861</v>
          </cell>
        </row>
        <row r="185">
          <cell r="A185" t="str">
            <v>Psco_211</v>
          </cell>
          <cell r="B185">
            <v>184</v>
          </cell>
          <cell r="C185">
            <v>1</v>
          </cell>
          <cell r="D185" t="str">
            <v>MZ</v>
          </cell>
          <cell r="E185">
            <v>6</v>
          </cell>
          <cell r="F185">
            <v>1</v>
          </cell>
          <cell r="G185">
            <v>62</v>
          </cell>
          <cell r="H185">
            <v>1</v>
          </cell>
          <cell r="I185">
            <v>0.83068484773323059</v>
          </cell>
        </row>
        <row r="186">
          <cell r="A186" t="str">
            <v>Psco_123</v>
          </cell>
          <cell r="B186">
            <v>185</v>
          </cell>
          <cell r="C186">
            <v>1</v>
          </cell>
          <cell r="D186" t="str">
            <v>TZ</v>
          </cell>
          <cell r="E186">
            <v>11</v>
          </cell>
          <cell r="F186">
            <v>1</v>
          </cell>
          <cell r="G186">
            <v>66</v>
          </cell>
          <cell r="H186">
            <v>1</v>
          </cell>
          <cell r="I186">
            <v>0.35530055812993111</v>
          </cell>
        </row>
        <row r="187">
          <cell r="A187" t="str">
            <v>Psco_219</v>
          </cell>
          <cell r="B187">
            <v>186</v>
          </cell>
          <cell r="C187">
            <v>1</v>
          </cell>
          <cell r="D187" t="str">
            <v>MZ</v>
          </cell>
          <cell r="E187">
            <v>5</v>
          </cell>
          <cell r="F187">
            <v>1</v>
          </cell>
          <cell r="G187">
            <v>55</v>
          </cell>
          <cell r="H187">
            <v>1</v>
          </cell>
          <cell r="I187">
            <v>0.39796718731070962</v>
          </cell>
        </row>
        <row r="188">
          <cell r="A188" t="str">
            <v>Psco_131</v>
          </cell>
          <cell r="B188">
            <v>187</v>
          </cell>
          <cell r="C188">
            <v>1</v>
          </cell>
          <cell r="D188" t="str">
            <v>TZ</v>
          </cell>
          <cell r="E188">
            <v>13</v>
          </cell>
          <cell r="F188">
            <v>1</v>
          </cell>
          <cell r="G188">
            <v>64</v>
          </cell>
          <cell r="H188">
            <v>1</v>
          </cell>
          <cell r="I188">
            <v>0.67275585841447516</v>
          </cell>
        </row>
        <row r="189">
          <cell r="A189" t="str">
            <v>Psco_227</v>
          </cell>
          <cell r="B189">
            <v>188</v>
          </cell>
          <cell r="C189">
            <v>1</v>
          </cell>
          <cell r="D189" t="str">
            <v>TZ</v>
          </cell>
          <cell r="E189">
            <v>14</v>
          </cell>
          <cell r="F189">
            <v>1</v>
          </cell>
          <cell r="G189">
            <v>69</v>
          </cell>
          <cell r="H189">
            <v>1</v>
          </cell>
          <cell r="I189">
            <v>0.73395805018863025</v>
          </cell>
        </row>
        <row r="190">
          <cell r="A190" t="str">
            <v>Psco_139</v>
          </cell>
          <cell r="B190">
            <v>189</v>
          </cell>
          <cell r="C190">
            <v>1</v>
          </cell>
          <cell r="D190" t="str">
            <v>TZ</v>
          </cell>
          <cell r="E190">
            <v>16</v>
          </cell>
          <cell r="F190">
            <v>1</v>
          </cell>
          <cell r="G190">
            <v>49</v>
          </cell>
          <cell r="H190">
            <v>1</v>
          </cell>
          <cell r="I190">
            <v>0.41439098272489489</v>
          </cell>
        </row>
        <row r="191">
          <cell r="A191" t="str">
            <v>Psco_235</v>
          </cell>
          <cell r="B191">
            <v>190</v>
          </cell>
          <cell r="C191">
            <v>1</v>
          </cell>
          <cell r="D191" t="str">
            <v>MZ</v>
          </cell>
          <cell r="E191">
            <v>3</v>
          </cell>
          <cell r="F191">
            <v>1</v>
          </cell>
          <cell r="G191">
            <v>62</v>
          </cell>
          <cell r="H191">
            <v>1</v>
          </cell>
          <cell r="I191">
            <v>0.80825010197047331</v>
          </cell>
        </row>
        <row r="192">
          <cell r="A192" t="str">
            <v>Psco_147</v>
          </cell>
          <cell r="B192">
            <v>191</v>
          </cell>
          <cell r="C192">
            <v>1</v>
          </cell>
          <cell r="D192" t="str">
            <v>MZ</v>
          </cell>
          <cell r="E192">
            <v>6</v>
          </cell>
          <cell r="F192">
            <v>1</v>
          </cell>
          <cell r="G192">
            <v>56</v>
          </cell>
          <cell r="H192">
            <v>1</v>
          </cell>
          <cell r="I192">
            <v>0.40089330164004228</v>
          </cell>
        </row>
        <row r="193">
          <cell r="A193" t="str">
            <v>Psco_243</v>
          </cell>
          <cell r="B193">
            <v>192</v>
          </cell>
          <cell r="C193">
            <v>1</v>
          </cell>
          <cell r="D193" t="str">
            <v>MZ</v>
          </cell>
          <cell r="E193">
            <v>8</v>
          </cell>
          <cell r="F193">
            <v>0</v>
          </cell>
          <cell r="G193">
            <v>98</v>
          </cell>
          <cell r="H193">
            <v>0</v>
          </cell>
          <cell r="I193">
            <v>0</v>
          </cell>
        </row>
        <row r="194">
          <cell r="A194" t="str">
            <v>Psco_155</v>
          </cell>
          <cell r="B194">
            <v>193</v>
          </cell>
          <cell r="C194">
            <v>1</v>
          </cell>
          <cell r="D194" t="str">
            <v>MZ</v>
          </cell>
          <cell r="E194">
            <v>6</v>
          </cell>
          <cell r="F194">
            <v>0</v>
          </cell>
          <cell r="G194">
            <v>98</v>
          </cell>
          <cell r="H194">
            <v>0</v>
          </cell>
          <cell r="I194">
            <v>0</v>
          </cell>
        </row>
        <row r="195">
          <cell r="A195" t="str">
            <v>Psco_252</v>
          </cell>
          <cell r="B195">
            <v>194</v>
          </cell>
          <cell r="C195">
            <v>1</v>
          </cell>
          <cell r="D195" t="str">
            <v>MZ</v>
          </cell>
          <cell r="E195">
            <v>4</v>
          </cell>
          <cell r="F195">
            <v>1</v>
          </cell>
          <cell r="G195">
            <v>61</v>
          </cell>
          <cell r="H195">
            <v>1</v>
          </cell>
          <cell r="I195">
            <v>0.4811223625587262</v>
          </cell>
        </row>
        <row r="196">
          <cell r="A196" t="str">
            <v>Psco_163</v>
          </cell>
          <cell r="B196">
            <v>195</v>
          </cell>
          <cell r="C196">
            <v>1</v>
          </cell>
          <cell r="D196" t="str">
            <v>TZ</v>
          </cell>
          <cell r="E196">
            <v>16</v>
          </cell>
          <cell r="F196">
            <v>1</v>
          </cell>
          <cell r="G196">
            <v>76</v>
          </cell>
          <cell r="H196">
            <v>1</v>
          </cell>
          <cell r="I196">
            <v>0.45640119186613021</v>
          </cell>
        </row>
        <row r="197">
          <cell r="A197" t="str">
            <v>Psco_261</v>
          </cell>
          <cell r="B197">
            <v>196</v>
          </cell>
          <cell r="C197">
            <v>1</v>
          </cell>
          <cell r="D197" t="str">
            <v>MZ</v>
          </cell>
          <cell r="E197">
            <v>5</v>
          </cell>
          <cell r="F197">
            <v>1</v>
          </cell>
          <cell r="G197">
            <v>55</v>
          </cell>
          <cell r="H197">
            <v>1</v>
          </cell>
          <cell r="I197">
            <v>0.36356569107383502</v>
          </cell>
        </row>
        <row r="198">
          <cell r="A198" t="str">
            <v>Psco_171</v>
          </cell>
          <cell r="B198">
            <v>197</v>
          </cell>
          <cell r="C198">
            <v>1</v>
          </cell>
          <cell r="D198" t="str">
            <v>MZ</v>
          </cell>
          <cell r="E198">
            <v>6</v>
          </cell>
          <cell r="F198">
            <v>0</v>
          </cell>
          <cell r="G198">
            <v>98</v>
          </cell>
          <cell r="H198">
            <v>0</v>
          </cell>
          <cell r="I198">
            <v>0</v>
          </cell>
        </row>
        <row r="199">
          <cell r="A199" t="str">
            <v>Psco_269</v>
          </cell>
          <cell r="B199">
            <v>198</v>
          </cell>
          <cell r="C199">
            <v>1</v>
          </cell>
          <cell r="D199" t="str">
            <v>TZ</v>
          </cell>
          <cell r="E199">
            <v>19</v>
          </cell>
          <cell r="F199">
            <v>1</v>
          </cell>
          <cell r="G199">
            <v>51</v>
          </cell>
          <cell r="H199">
            <v>1</v>
          </cell>
          <cell r="I199">
            <v>0.75940997917832842</v>
          </cell>
        </row>
        <row r="200">
          <cell r="A200" t="str">
            <v>Psco_179</v>
          </cell>
          <cell r="B200">
            <v>199</v>
          </cell>
          <cell r="C200">
            <v>1</v>
          </cell>
          <cell r="D200" t="str">
            <v>MZ</v>
          </cell>
          <cell r="E200">
            <v>3</v>
          </cell>
          <cell r="F200">
            <v>0</v>
          </cell>
          <cell r="G200">
            <v>98</v>
          </cell>
          <cell r="H200">
            <v>0</v>
          </cell>
          <cell r="I200">
            <v>0</v>
          </cell>
        </row>
        <row r="201">
          <cell r="A201" t="str">
            <v>Psco_277</v>
          </cell>
          <cell r="B201">
            <v>200</v>
          </cell>
          <cell r="C201">
            <v>1</v>
          </cell>
          <cell r="D201" t="str">
            <v>TZ</v>
          </cell>
          <cell r="E201">
            <v>13</v>
          </cell>
          <cell r="F201">
            <v>1</v>
          </cell>
          <cell r="G201">
            <v>50</v>
          </cell>
          <cell r="H201">
            <v>1</v>
          </cell>
          <cell r="I201">
            <v>0.47868223191367992</v>
          </cell>
        </row>
        <row r="202">
          <cell r="A202" t="str">
            <v>Psco_187</v>
          </cell>
          <cell r="B202">
            <v>201</v>
          </cell>
          <cell r="C202">
            <v>1</v>
          </cell>
          <cell r="D202" t="str">
            <v>TZ</v>
          </cell>
          <cell r="E202">
            <v>18</v>
          </cell>
          <cell r="F202">
            <v>1</v>
          </cell>
          <cell r="G202">
            <v>65</v>
          </cell>
          <cell r="H202">
            <v>1</v>
          </cell>
          <cell r="I202">
            <v>0.74877726520606713</v>
          </cell>
        </row>
        <row r="203">
          <cell r="A203" t="str">
            <v>Psco_285</v>
          </cell>
          <cell r="B203">
            <v>202</v>
          </cell>
          <cell r="C203">
            <v>1</v>
          </cell>
          <cell r="D203" t="str">
            <v>TZ</v>
          </cell>
          <cell r="E203">
            <v>11</v>
          </cell>
          <cell r="F203">
            <v>1</v>
          </cell>
          <cell r="G203">
            <v>65</v>
          </cell>
          <cell r="H203">
            <v>1</v>
          </cell>
          <cell r="I203">
            <v>0.52991817725808943</v>
          </cell>
        </row>
        <row r="204">
          <cell r="A204" t="str">
            <v>Psco_293</v>
          </cell>
          <cell r="B204">
            <v>203</v>
          </cell>
          <cell r="C204">
            <v>1</v>
          </cell>
          <cell r="D204" t="str">
            <v>MZ</v>
          </cell>
          <cell r="E204">
            <v>8</v>
          </cell>
          <cell r="F204">
            <v>1</v>
          </cell>
          <cell r="G204">
            <v>76</v>
          </cell>
          <cell r="H204">
            <v>1</v>
          </cell>
          <cell r="I204">
            <v>0.51072135173809396</v>
          </cell>
        </row>
        <row r="205">
          <cell r="A205" t="str">
            <v>Psco_389</v>
          </cell>
          <cell r="B205">
            <v>204</v>
          </cell>
          <cell r="C205">
            <v>1</v>
          </cell>
          <cell r="D205" t="str">
            <v>TZ</v>
          </cell>
          <cell r="E205">
            <v>17</v>
          </cell>
          <cell r="F205">
            <v>1</v>
          </cell>
          <cell r="G205">
            <v>43</v>
          </cell>
          <cell r="H205">
            <v>1</v>
          </cell>
          <cell r="I205">
            <v>1.3150984457736561</v>
          </cell>
        </row>
        <row r="206">
          <cell r="A206" t="str">
            <v>Psco_301</v>
          </cell>
          <cell r="B206">
            <v>205</v>
          </cell>
          <cell r="C206">
            <v>1</v>
          </cell>
          <cell r="D206" t="str">
            <v>TZ</v>
          </cell>
          <cell r="E206">
            <v>11</v>
          </cell>
          <cell r="F206">
            <v>1</v>
          </cell>
          <cell r="G206">
            <v>65</v>
          </cell>
          <cell r="H206">
            <v>1</v>
          </cell>
          <cell r="I206">
            <v>0.70405034620549289</v>
          </cell>
        </row>
        <row r="207">
          <cell r="A207" t="str">
            <v>Psco_412</v>
          </cell>
          <cell r="B207">
            <v>206</v>
          </cell>
          <cell r="C207">
            <v>2</v>
          </cell>
          <cell r="D207" t="str">
            <v>MZ</v>
          </cell>
          <cell r="E207">
            <v>36</v>
          </cell>
          <cell r="F207">
            <v>1</v>
          </cell>
          <cell r="G207">
            <v>58</v>
          </cell>
          <cell r="H207">
            <v>1</v>
          </cell>
          <cell r="I207">
            <v>0.63493169338399846</v>
          </cell>
        </row>
        <row r="208">
          <cell r="A208" t="str">
            <v>Psco_309</v>
          </cell>
          <cell r="B208">
            <v>207</v>
          </cell>
          <cell r="C208">
            <v>1</v>
          </cell>
          <cell r="D208" t="str">
            <v>MZ</v>
          </cell>
          <cell r="E208">
            <v>3</v>
          </cell>
          <cell r="F208">
            <v>1</v>
          </cell>
          <cell r="G208">
            <v>65</v>
          </cell>
          <cell r="H208">
            <v>1</v>
          </cell>
          <cell r="I208">
            <v>0.60866268922610522</v>
          </cell>
        </row>
        <row r="209">
          <cell r="A209" t="str">
            <v>Psco_420</v>
          </cell>
          <cell r="B209">
            <v>208</v>
          </cell>
          <cell r="C209">
            <v>2</v>
          </cell>
          <cell r="D209" t="str">
            <v>TZ</v>
          </cell>
          <cell r="E209">
            <v>52</v>
          </cell>
          <cell r="F209">
            <v>1</v>
          </cell>
          <cell r="G209">
            <v>57</v>
          </cell>
          <cell r="H209">
            <v>1</v>
          </cell>
          <cell r="I209">
            <v>0.59961618689660712</v>
          </cell>
        </row>
        <row r="210">
          <cell r="A210" t="str">
            <v>Psco_317</v>
          </cell>
          <cell r="B210">
            <v>209</v>
          </cell>
          <cell r="C210">
            <v>1</v>
          </cell>
          <cell r="D210" t="str">
            <v>MZ</v>
          </cell>
          <cell r="E210">
            <v>2</v>
          </cell>
          <cell r="F210">
            <v>0</v>
          </cell>
          <cell r="G210">
            <v>98</v>
          </cell>
          <cell r="H210">
            <v>0</v>
          </cell>
          <cell r="I210">
            <v>0</v>
          </cell>
        </row>
        <row r="211">
          <cell r="A211" t="str">
            <v>Psco_428</v>
          </cell>
          <cell r="B211">
            <v>210</v>
          </cell>
          <cell r="C211">
            <v>2</v>
          </cell>
          <cell r="D211" t="str">
            <v>TZ</v>
          </cell>
          <cell r="E211">
            <v>50</v>
          </cell>
          <cell r="F211">
            <v>1</v>
          </cell>
          <cell r="G211">
            <v>74</v>
          </cell>
          <cell r="H211">
            <v>1</v>
          </cell>
          <cell r="I211">
            <v>0.4532622341019194</v>
          </cell>
        </row>
        <row r="212">
          <cell r="A212" t="str">
            <v>Psco_325</v>
          </cell>
          <cell r="B212">
            <v>211</v>
          </cell>
          <cell r="C212">
            <v>1</v>
          </cell>
          <cell r="D212" t="str">
            <v>TZ</v>
          </cell>
          <cell r="E212">
            <v>9</v>
          </cell>
          <cell r="F212">
            <v>1</v>
          </cell>
          <cell r="G212">
            <v>56</v>
          </cell>
          <cell r="H212">
            <v>1</v>
          </cell>
          <cell r="I212">
            <v>0.67204845375246147</v>
          </cell>
        </row>
        <row r="213">
          <cell r="A213" t="str">
            <v>Psco_436</v>
          </cell>
          <cell r="B213">
            <v>212</v>
          </cell>
          <cell r="C213">
            <v>2</v>
          </cell>
          <cell r="D213" t="str">
            <v>TZ</v>
          </cell>
          <cell r="E213">
            <v>50</v>
          </cell>
          <cell r="F213">
            <v>1</v>
          </cell>
          <cell r="G213">
            <v>59</v>
          </cell>
          <cell r="H213">
            <v>1</v>
          </cell>
          <cell r="I213">
            <v>0.27785569284034273</v>
          </cell>
        </row>
        <row r="214">
          <cell r="A214" t="str">
            <v>Psco_333</v>
          </cell>
          <cell r="B214">
            <v>213</v>
          </cell>
          <cell r="C214">
            <v>1</v>
          </cell>
          <cell r="D214" t="str">
            <v>MZ</v>
          </cell>
          <cell r="E214">
            <v>5</v>
          </cell>
          <cell r="F214">
            <v>1</v>
          </cell>
          <cell r="G214">
            <v>65</v>
          </cell>
          <cell r="H214">
            <v>1</v>
          </cell>
          <cell r="I214">
            <v>0.68609735157297924</v>
          </cell>
        </row>
        <row r="215">
          <cell r="A215" t="str">
            <v>Psco_444</v>
          </cell>
          <cell r="B215">
            <v>214</v>
          </cell>
          <cell r="C215">
            <v>2</v>
          </cell>
          <cell r="D215" t="str">
            <v>TZ</v>
          </cell>
          <cell r="E215">
            <v>54</v>
          </cell>
          <cell r="F215">
            <v>1</v>
          </cell>
          <cell r="G215">
            <v>70</v>
          </cell>
          <cell r="H215">
            <v>1</v>
          </cell>
          <cell r="I215">
            <v>0.43246765794932129</v>
          </cell>
        </row>
        <row r="216">
          <cell r="A216" t="str">
            <v>Psco_341</v>
          </cell>
          <cell r="B216">
            <v>215</v>
          </cell>
          <cell r="C216">
            <v>1</v>
          </cell>
          <cell r="D216" t="str">
            <v>MZ</v>
          </cell>
          <cell r="E216">
            <v>7</v>
          </cell>
          <cell r="F216">
            <v>0</v>
          </cell>
          <cell r="G216">
            <v>98</v>
          </cell>
          <cell r="H216">
            <v>0</v>
          </cell>
          <cell r="I216">
            <v>0</v>
          </cell>
        </row>
        <row r="217">
          <cell r="A217" t="str">
            <v>Psco_452</v>
          </cell>
          <cell r="B217">
            <v>216</v>
          </cell>
          <cell r="C217">
            <v>2</v>
          </cell>
          <cell r="D217" t="str">
            <v>TZ</v>
          </cell>
          <cell r="E217">
            <v>44</v>
          </cell>
          <cell r="F217">
            <v>1</v>
          </cell>
          <cell r="G217">
            <v>62</v>
          </cell>
          <cell r="H217">
            <v>1</v>
          </cell>
          <cell r="I217">
            <v>0.34912474985027531</v>
          </cell>
        </row>
        <row r="218">
          <cell r="A218" t="str">
            <v>Psco_349</v>
          </cell>
          <cell r="B218">
            <v>217</v>
          </cell>
          <cell r="C218">
            <v>1</v>
          </cell>
          <cell r="D218" t="str">
            <v>TZ</v>
          </cell>
          <cell r="E218">
            <v>12</v>
          </cell>
          <cell r="F218">
            <v>1</v>
          </cell>
          <cell r="G218">
            <v>63</v>
          </cell>
          <cell r="H218">
            <v>1</v>
          </cell>
          <cell r="I218">
            <v>0.35320872323592922</v>
          </cell>
        </row>
        <row r="219">
          <cell r="A219" t="str">
            <v>Psco_460</v>
          </cell>
          <cell r="B219">
            <v>218</v>
          </cell>
          <cell r="C219">
            <v>2</v>
          </cell>
          <cell r="D219" t="str">
            <v>TZ</v>
          </cell>
          <cell r="E219">
            <v>49</v>
          </cell>
          <cell r="F219">
            <v>1</v>
          </cell>
          <cell r="G219">
            <v>54</v>
          </cell>
          <cell r="H219">
            <v>1</v>
          </cell>
          <cell r="I219">
            <v>0.6272656898419221</v>
          </cell>
        </row>
        <row r="220">
          <cell r="A220" t="str">
            <v>Psco_357</v>
          </cell>
          <cell r="B220">
            <v>219</v>
          </cell>
          <cell r="C220">
            <v>1</v>
          </cell>
          <cell r="D220" t="str">
            <v>MZ</v>
          </cell>
          <cell r="E220">
            <v>1</v>
          </cell>
          <cell r="F220">
            <v>0</v>
          </cell>
          <cell r="G220">
            <v>98</v>
          </cell>
          <cell r="H220">
            <v>0</v>
          </cell>
          <cell r="I220">
            <v>0</v>
          </cell>
        </row>
        <row r="221">
          <cell r="A221" t="str">
            <v>Psco_468</v>
          </cell>
          <cell r="B221">
            <v>220</v>
          </cell>
          <cell r="C221">
            <v>2</v>
          </cell>
          <cell r="D221" t="str">
            <v>TZ</v>
          </cell>
          <cell r="E221">
            <v>50</v>
          </cell>
          <cell r="F221">
            <v>0</v>
          </cell>
          <cell r="G221">
            <v>98</v>
          </cell>
          <cell r="H221">
            <v>1</v>
          </cell>
          <cell r="I221">
            <v>-5.6640886440455099E-3</v>
          </cell>
        </row>
        <row r="222">
          <cell r="A222" t="str">
            <v>Psco_365</v>
          </cell>
          <cell r="B222">
            <v>221</v>
          </cell>
          <cell r="C222">
            <v>1</v>
          </cell>
          <cell r="D222" t="str">
            <v>TZ</v>
          </cell>
          <cell r="E222">
            <v>11</v>
          </cell>
          <cell r="F222">
            <v>0</v>
          </cell>
          <cell r="G222">
            <v>98</v>
          </cell>
          <cell r="H222">
            <v>0</v>
          </cell>
          <cell r="I222">
            <v>0</v>
          </cell>
        </row>
        <row r="223">
          <cell r="A223" t="str">
            <v>Psco_476</v>
          </cell>
          <cell r="B223">
            <v>222</v>
          </cell>
          <cell r="C223">
            <v>2</v>
          </cell>
          <cell r="D223" t="str">
            <v>TZ</v>
          </cell>
          <cell r="E223">
            <v>46</v>
          </cell>
          <cell r="F223">
            <v>1</v>
          </cell>
          <cell r="G223">
            <v>70</v>
          </cell>
          <cell r="H223">
            <v>1</v>
          </cell>
          <cell r="I223">
            <v>0.39052613315988732</v>
          </cell>
        </row>
        <row r="224">
          <cell r="A224" t="str">
            <v>Psco_373</v>
          </cell>
          <cell r="B224">
            <v>223</v>
          </cell>
          <cell r="C224">
            <v>1</v>
          </cell>
          <cell r="D224" t="str">
            <v>MZ</v>
          </cell>
          <cell r="E224">
            <v>1</v>
          </cell>
          <cell r="F224">
            <v>0</v>
          </cell>
          <cell r="G224">
            <v>98</v>
          </cell>
          <cell r="H224">
            <v>0</v>
          </cell>
          <cell r="I224">
            <v>0</v>
          </cell>
        </row>
        <row r="225">
          <cell r="A225" t="str">
            <v>Psco_484</v>
          </cell>
          <cell r="B225">
            <v>224</v>
          </cell>
          <cell r="C225">
            <v>2</v>
          </cell>
          <cell r="D225" t="str">
            <v>MZ</v>
          </cell>
          <cell r="E225">
            <v>31</v>
          </cell>
          <cell r="F225">
            <v>0</v>
          </cell>
          <cell r="G225">
            <v>98</v>
          </cell>
          <cell r="H225">
            <v>0</v>
          </cell>
          <cell r="I225">
            <v>0</v>
          </cell>
        </row>
        <row r="226">
          <cell r="A226" t="str">
            <v>Psco_381</v>
          </cell>
          <cell r="B226">
            <v>225</v>
          </cell>
          <cell r="C226">
            <v>1</v>
          </cell>
          <cell r="D226" t="str">
            <v>MZ</v>
          </cell>
          <cell r="E226">
            <v>6</v>
          </cell>
          <cell r="F226">
            <v>1</v>
          </cell>
          <cell r="G226">
            <v>64</v>
          </cell>
          <cell r="H226">
            <v>1</v>
          </cell>
          <cell r="I226">
            <v>0.5805199057213003</v>
          </cell>
        </row>
        <row r="227">
          <cell r="A227" t="str">
            <v>Psco_492</v>
          </cell>
          <cell r="B227">
            <v>226</v>
          </cell>
          <cell r="C227">
            <v>2</v>
          </cell>
          <cell r="D227" t="str">
            <v>MZ</v>
          </cell>
          <cell r="E227">
            <v>25</v>
          </cell>
          <cell r="F227">
            <v>0</v>
          </cell>
          <cell r="G227">
            <v>98</v>
          </cell>
          <cell r="H227">
            <v>0</v>
          </cell>
          <cell r="I227">
            <v>0</v>
          </cell>
        </row>
        <row r="228">
          <cell r="A228" t="str">
            <v>Psco_196</v>
          </cell>
          <cell r="B228">
            <v>227</v>
          </cell>
          <cell r="C228">
            <v>1</v>
          </cell>
          <cell r="D228" t="str">
            <v>MZ</v>
          </cell>
          <cell r="E228">
            <v>8</v>
          </cell>
          <cell r="F228">
            <v>0</v>
          </cell>
          <cell r="G228">
            <v>98</v>
          </cell>
          <cell r="H228">
            <v>0</v>
          </cell>
          <cell r="I228">
            <v>0</v>
          </cell>
        </row>
        <row r="229">
          <cell r="A229" t="str">
            <v>Psco_108</v>
          </cell>
          <cell r="B229">
            <v>228</v>
          </cell>
          <cell r="C229">
            <v>1</v>
          </cell>
          <cell r="D229" t="str">
            <v>MZ</v>
          </cell>
          <cell r="E229">
            <v>4</v>
          </cell>
          <cell r="F229">
            <v>1</v>
          </cell>
          <cell r="G229">
            <v>80</v>
          </cell>
          <cell r="H229">
            <v>1</v>
          </cell>
          <cell r="I229">
            <v>0.42925459009842798</v>
          </cell>
        </row>
        <row r="230">
          <cell r="A230" t="str">
            <v>Psco_204</v>
          </cell>
          <cell r="B230">
            <v>229</v>
          </cell>
          <cell r="C230">
            <v>1</v>
          </cell>
          <cell r="D230" t="str">
            <v>TZ</v>
          </cell>
          <cell r="E230">
            <v>15</v>
          </cell>
          <cell r="F230">
            <v>1</v>
          </cell>
          <cell r="G230">
            <v>58</v>
          </cell>
          <cell r="H230">
            <v>1</v>
          </cell>
          <cell r="I230">
            <v>0.58560218401414244</v>
          </cell>
        </row>
        <row r="231">
          <cell r="A231" t="str">
            <v>Psco_116</v>
          </cell>
          <cell r="B231">
            <v>230</v>
          </cell>
          <cell r="C231">
            <v>1</v>
          </cell>
          <cell r="D231" t="str">
            <v>TZ</v>
          </cell>
          <cell r="E231">
            <v>13</v>
          </cell>
          <cell r="F231">
            <v>0</v>
          </cell>
          <cell r="G231">
            <v>98</v>
          </cell>
          <cell r="H231">
            <v>0</v>
          </cell>
          <cell r="I231">
            <v>0</v>
          </cell>
        </row>
        <row r="232">
          <cell r="A232" t="str">
            <v>Psco_212</v>
          </cell>
          <cell r="B232">
            <v>231</v>
          </cell>
          <cell r="C232">
            <v>1</v>
          </cell>
          <cell r="D232" t="str">
            <v>TZ</v>
          </cell>
          <cell r="E232">
            <v>11</v>
          </cell>
          <cell r="F232">
            <v>0</v>
          </cell>
          <cell r="G232">
            <v>98</v>
          </cell>
          <cell r="H232">
            <v>0</v>
          </cell>
          <cell r="I232">
            <v>0</v>
          </cell>
        </row>
        <row r="233">
          <cell r="A233" t="str">
            <v>Psco_124</v>
          </cell>
          <cell r="B233">
            <v>232</v>
          </cell>
          <cell r="C233">
            <v>1</v>
          </cell>
          <cell r="D233" t="str">
            <v>MZ</v>
          </cell>
          <cell r="E233">
            <v>2</v>
          </cell>
          <cell r="F233">
            <v>1</v>
          </cell>
          <cell r="G233">
            <v>63</v>
          </cell>
          <cell r="H233">
            <v>1</v>
          </cell>
          <cell r="I233">
            <v>0.66339835064417807</v>
          </cell>
        </row>
        <row r="234">
          <cell r="A234" t="str">
            <v>Psco_132</v>
          </cell>
          <cell r="B234">
            <v>233</v>
          </cell>
          <cell r="C234">
            <v>1</v>
          </cell>
          <cell r="D234" t="str">
            <v>TZ</v>
          </cell>
          <cell r="E234">
            <v>14</v>
          </cell>
          <cell r="F234">
            <v>1</v>
          </cell>
          <cell r="G234">
            <v>84</v>
          </cell>
          <cell r="H234">
            <v>1</v>
          </cell>
          <cell r="I234">
            <v>0.65149567589687207</v>
          </cell>
        </row>
        <row r="235">
          <cell r="A235" t="str">
            <v>Psco_228</v>
          </cell>
          <cell r="B235">
            <v>234</v>
          </cell>
          <cell r="C235">
            <v>1</v>
          </cell>
          <cell r="D235" t="str">
            <v>TZ</v>
          </cell>
          <cell r="E235">
            <v>17</v>
          </cell>
          <cell r="F235">
            <v>0</v>
          </cell>
          <cell r="G235">
            <v>98</v>
          </cell>
          <cell r="H235">
            <v>0</v>
          </cell>
          <cell r="I235">
            <v>0</v>
          </cell>
        </row>
        <row r="236">
          <cell r="A236" t="str">
            <v>Psco_140</v>
          </cell>
          <cell r="B236">
            <v>235</v>
          </cell>
          <cell r="C236">
            <v>1</v>
          </cell>
          <cell r="D236" t="str">
            <v>TZ</v>
          </cell>
          <cell r="E236">
            <v>19</v>
          </cell>
          <cell r="F236">
            <v>1</v>
          </cell>
          <cell r="G236">
            <v>61</v>
          </cell>
          <cell r="H236">
            <v>1</v>
          </cell>
          <cell r="I236">
            <v>0.66369570974112091</v>
          </cell>
        </row>
        <row r="237">
          <cell r="A237" t="str">
            <v>Psco_236</v>
          </cell>
          <cell r="B237">
            <v>236</v>
          </cell>
          <cell r="C237">
            <v>1</v>
          </cell>
          <cell r="D237" t="str">
            <v>TZ</v>
          </cell>
          <cell r="E237">
            <v>14</v>
          </cell>
          <cell r="F237">
            <v>1</v>
          </cell>
          <cell r="G237">
            <v>72</v>
          </cell>
          <cell r="H237">
            <v>1</v>
          </cell>
          <cell r="I237">
            <v>0.46949732501741182</v>
          </cell>
        </row>
        <row r="238">
          <cell r="A238" t="str">
            <v>Psco_148</v>
          </cell>
          <cell r="B238">
            <v>237</v>
          </cell>
          <cell r="C238">
            <v>1</v>
          </cell>
          <cell r="D238" t="str">
            <v>TZ</v>
          </cell>
          <cell r="E238">
            <v>10</v>
          </cell>
          <cell r="F238">
            <v>1</v>
          </cell>
          <cell r="G238">
            <v>79</v>
          </cell>
          <cell r="H238">
            <v>1</v>
          </cell>
          <cell r="I238">
            <v>0.46535768470886302</v>
          </cell>
        </row>
        <row r="239">
          <cell r="A239" t="str">
            <v>Psco_156</v>
          </cell>
          <cell r="B239">
            <v>238</v>
          </cell>
          <cell r="C239">
            <v>1</v>
          </cell>
          <cell r="D239" t="str">
            <v>TZ</v>
          </cell>
          <cell r="E239">
            <v>17</v>
          </cell>
          <cell r="F239">
            <v>1</v>
          </cell>
          <cell r="G239">
            <v>63</v>
          </cell>
          <cell r="H239">
            <v>1</v>
          </cell>
          <cell r="I239">
            <v>0.57482991442699716</v>
          </cell>
        </row>
        <row r="240">
          <cell r="A240" t="str">
            <v>Psco_253</v>
          </cell>
          <cell r="B240">
            <v>239</v>
          </cell>
          <cell r="C240">
            <v>1</v>
          </cell>
          <cell r="D240" t="str">
            <v>MZ</v>
          </cell>
          <cell r="E240">
            <v>2</v>
          </cell>
          <cell r="F240">
            <v>1</v>
          </cell>
          <cell r="G240">
            <v>53</v>
          </cell>
          <cell r="H240">
            <v>1</v>
          </cell>
          <cell r="I240">
            <v>0.89489157359405158</v>
          </cell>
        </row>
        <row r="241">
          <cell r="A241" t="str">
            <v>Psco_164</v>
          </cell>
          <cell r="B241">
            <v>240</v>
          </cell>
          <cell r="C241">
            <v>1</v>
          </cell>
          <cell r="D241" t="str">
            <v>MZ</v>
          </cell>
          <cell r="E241">
            <v>6</v>
          </cell>
          <cell r="F241">
            <v>0</v>
          </cell>
          <cell r="G241">
            <v>98</v>
          </cell>
          <cell r="H241">
            <v>0</v>
          </cell>
          <cell r="I241">
            <v>0</v>
          </cell>
        </row>
        <row r="242">
          <cell r="A242" t="str">
            <v>Psco_262</v>
          </cell>
          <cell r="B242">
            <v>241</v>
          </cell>
          <cell r="C242">
            <v>1</v>
          </cell>
          <cell r="D242" t="str">
            <v>TZ</v>
          </cell>
          <cell r="E242">
            <v>19</v>
          </cell>
          <cell r="F242">
            <v>1</v>
          </cell>
          <cell r="G242">
            <v>71</v>
          </cell>
          <cell r="H242">
            <v>1</v>
          </cell>
          <cell r="I242">
            <v>0.66152435613078975</v>
          </cell>
        </row>
        <row r="243">
          <cell r="A243" t="str">
            <v>Psco_172</v>
          </cell>
          <cell r="B243">
            <v>242</v>
          </cell>
          <cell r="C243">
            <v>1</v>
          </cell>
          <cell r="D243" t="str">
            <v>TZ</v>
          </cell>
          <cell r="E243">
            <v>12</v>
          </cell>
          <cell r="F243">
            <v>1</v>
          </cell>
          <cell r="G243">
            <v>69</v>
          </cell>
          <cell r="H243">
            <v>1</v>
          </cell>
          <cell r="I243">
            <v>0.32526641533594902</v>
          </cell>
        </row>
        <row r="244">
          <cell r="A244" t="str">
            <v>Psco_270</v>
          </cell>
          <cell r="B244">
            <v>243</v>
          </cell>
          <cell r="C244">
            <v>1</v>
          </cell>
          <cell r="D244" t="str">
            <v>MZ</v>
          </cell>
          <cell r="E244">
            <v>2</v>
          </cell>
          <cell r="F244">
            <v>0</v>
          </cell>
          <cell r="G244">
            <v>98</v>
          </cell>
          <cell r="H244">
            <v>1</v>
          </cell>
          <cell r="I244">
            <v>0.11706170685381841</v>
          </cell>
        </row>
        <row r="245">
          <cell r="A245" t="str">
            <v>Psco_180</v>
          </cell>
          <cell r="B245">
            <v>244</v>
          </cell>
          <cell r="C245">
            <v>1</v>
          </cell>
          <cell r="D245" t="str">
            <v>MZ</v>
          </cell>
          <cell r="E245">
            <v>5</v>
          </cell>
          <cell r="F245">
            <v>0</v>
          </cell>
          <cell r="G245">
            <v>98</v>
          </cell>
          <cell r="H245">
            <v>0</v>
          </cell>
          <cell r="I245">
            <v>0</v>
          </cell>
        </row>
        <row r="246">
          <cell r="A246" t="str">
            <v>Psco_278</v>
          </cell>
          <cell r="B246">
            <v>245</v>
          </cell>
          <cell r="C246">
            <v>1</v>
          </cell>
          <cell r="D246" t="str">
            <v>TZ</v>
          </cell>
          <cell r="E246">
            <v>18</v>
          </cell>
          <cell r="F246">
            <v>1</v>
          </cell>
          <cell r="G246">
            <v>63</v>
          </cell>
          <cell r="H246">
            <v>1</v>
          </cell>
          <cell r="I246">
            <v>0.42373054936072457</v>
          </cell>
        </row>
        <row r="247">
          <cell r="A247" t="str">
            <v>Psco_188</v>
          </cell>
          <cell r="B247">
            <v>246</v>
          </cell>
          <cell r="C247">
            <v>1</v>
          </cell>
          <cell r="D247" t="str">
            <v>MZ</v>
          </cell>
          <cell r="E247">
            <v>6</v>
          </cell>
          <cell r="F247">
            <v>1</v>
          </cell>
          <cell r="G247">
            <v>60</v>
          </cell>
          <cell r="H247">
            <v>1</v>
          </cell>
          <cell r="I247">
            <v>0.71843523625025318</v>
          </cell>
        </row>
        <row r="248">
          <cell r="A248" t="str">
            <v>Psco_286</v>
          </cell>
          <cell r="B248">
            <v>247</v>
          </cell>
          <cell r="C248">
            <v>1</v>
          </cell>
          <cell r="D248" t="str">
            <v>MZ</v>
          </cell>
          <cell r="E248">
            <v>1</v>
          </cell>
          <cell r="F248">
            <v>0</v>
          </cell>
          <cell r="G248">
            <v>98</v>
          </cell>
          <cell r="H248">
            <v>0</v>
          </cell>
          <cell r="I248">
            <v>0</v>
          </cell>
        </row>
        <row r="249">
          <cell r="A249" t="str">
            <v>Psco_294</v>
          </cell>
          <cell r="B249">
            <v>248</v>
          </cell>
          <cell r="C249">
            <v>1</v>
          </cell>
          <cell r="D249" t="str">
            <v>TZ</v>
          </cell>
          <cell r="E249">
            <v>10</v>
          </cell>
          <cell r="F249">
            <v>0</v>
          </cell>
          <cell r="G249">
            <v>98</v>
          </cell>
          <cell r="H249">
            <v>0</v>
          </cell>
          <cell r="I249">
            <v>0</v>
          </cell>
        </row>
        <row r="250">
          <cell r="A250" t="str">
            <v>Psco_390</v>
          </cell>
          <cell r="B250">
            <v>249</v>
          </cell>
          <cell r="C250">
            <v>1</v>
          </cell>
          <cell r="D250" t="str">
            <v>TZ</v>
          </cell>
          <cell r="E250">
            <v>10</v>
          </cell>
          <cell r="F250">
            <v>1</v>
          </cell>
          <cell r="G250">
            <v>56</v>
          </cell>
          <cell r="H250">
            <v>1</v>
          </cell>
          <cell r="I250">
            <v>0.68766411038741349</v>
          </cell>
        </row>
        <row r="251">
          <cell r="A251" t="str">
            <v>Psco_302</v>
          </cell>
          <cell r="B251">
            <v>250</v>
          </cell>
          <cell r="C251">
            <v>1</v>
          </cell>
          <cell r="D251" t="str">
            <v>TZ</v>
          </cell>
          <cell r="E251">
            <v>16</v>
          </cell>
          <cell r="F251">
            <v>1</v>
          </cell>
          <cell r="G251">
            <v>64</v>
          </cell>
          <cell r="H251">
            <v>1</v>
          </cell>
          <cell r="I251">
            <v>0.28997610319978723</v>
          </cell>
        </row>
        <row r="252">
          <cell r="A252" t="str">
            <v>Psco_413</v>
          </cell>
          <cell r="B252">
            <v>251</v>
          </cell>
          <cell r="C252">
            <v>2</v>
          </cell>
          <cell r="D252" t="str">
            <v>MZ</v>
          </cell>
          <cell r="E252">
            <v>34</v>
          </cell>
          <cell r="F252">
            <v>1</v>
          </cell>
          <cell r="G252">
            <v>47</v>
          </cell>
          <cell r="H252">
            <v>1</v>
          </cell>
          <cell r="I252">
            <v>0.52658517556608109</v>
          </cell>
        </row>
        <row r="253">
          <cell r="A253" t="str">
            <v>Psco_310</v>
          </cell>
          <cell r="B253">
            <v>252</v>
          </cell>
          <cell r="C253">
            <v>1</v>
          </cell>
          <cell r="D253" t="str">
            <v>MZ</v>
          </cell>
          <cell r="E253">
            <v>1</v>
          </cell>
          <cell r="F253">
            <v>1</v>
          </cell>
          <cell r="G253">
            <v>63</v>
          </cell>
          <cell r="H253">
            <v>1</v>
          </cell>
          <cell r="I253">
            <v>0.46377998181136831</v>
          </cell>
        </row>
        <row r="254">
          <cell r="A254" t="str">
            <v>Psco_421</v>
          </cell>
          <cell r="B254">
            <v>253</v>
          </cell>
          <cell r="C254">
            <v>2</v>
          </cell>
          <cell r="D254" t="str">
            <v>MZ</v>
          </cell>
          <cell r="E254">
            <v>22</v>
          </cell>
          <cell r="F254">
            <v>0</v>
          </cell>
          <cell r="G254">
            <v>98</v>
          </cell>
          <cell r="H254">
            <v>1</v>
          </cell>
          <cell r="I254">
            <v>0.19214702532238001</v>
          </cell>
        </row>
        <row r="255">
          <cell r="A255" t="str">
            <v>Psco_318</v>
          </cell>
          <cell r="B255">
            <v>254</v>
          </cell>
          <cell r="C255">
            <v>1</v>
          </cell>
          <cell r="D255" t="str">
            <v>TZ</v>
          </cell>
          <cell r="E255">
            <v>11</v>
          </cell>
          <cell r="F255">
            <v>1</v>
          </cell>
          <cell r="G255">
            <v>51</v>
          </cell>
          <cell r="H255">
            <v>1</v>
          </cell>
          <cell r="I255">
            <v>1.025104350006776</v>
          </cell>
        </row>
        <row r="256">
          <cell r="A256" t="str">
            <v>Psco_429</v>
          </cell>
          <cell r="B256">
            <v>255</v>
          </cell>
          <cell r="C256">
            <v>2</v>
          </cell>
          <cell r="D256" t="str">
            <v>TZ</v>
          </cell>
          <cell r="E256">
            <v>50</v>
          </cell>
          <cell r="F256">
            <v>1</v>
          </cell>
          <cell r="G256">
            <v>79</v>
          </cell>
          <cell r="H256">
            <v>1</v>
          </cell>
          <cell r="I256">
            <v>0.37626339438349948</v>
          </cell>
        </row>
        <row r="257">
          <cell r="A257" t="str">
            <v>Psco_326</v>
          </cell>
          <cell r="B257">
            <v>256</v>
          </cell>
          <cell r="C257">
            <v>1</v>
          </cell>
          <cell r="D257" t="str">
            <v>MZ</v>
          </cell>
          <cell r="E257">
            <v>2</v>
          </cell>
          <cell r="F257">
            <v>1</v>
          </cell>
          <cell r="G257">
            <v>62</v>
          </cell>
          <cell r="H257">
            <v>1</v>
          </cell>
          <cell r="I257">
            <v>0.42146495464343858</v>
          </cell>
        </row>
        <row r="258">
          <cell r="A258" t="str">
            <v>Psco_437</v>
          </cell>
          <cell r="B258">
            <v>257</v>
          </cell>
          <cell r="C258">
            <v>2</v>
          </cell>
          <cell r="D258" t="str">
            <v>TZ</v>
          </cell>
          <cell r="E258">
            <v>50</v>
          </cell>
          <cell r="F258">
            <v>1</v>
          </cell>
          <cell r="G258">
            <v>62</v>
          </cell>
          <cell r="H258">
            <v>1</v>
          </cell>
          <cell r="I258">
            <v>0.71146380600912995</v>
          </cell>
        </row>
        <row r="259">
          <cell r="A259" t="str">
            <v>Psco_334</v>
          </cell>
          <cell r="B259">
            <v>258</v>
          </cell>
          <cell r="C259">
            <v>1</v>
          </cell>
          <cell r="D259" t="str">
            <v>TZ</v>
          </cell>
          <cell r="E259">
            <v>17</v>
          </cell>
          <cell r="F259">
            <v>1</v>
          </cell>
          <cell r="G259">
            <v>67</v>
          </cell>
          <cell r="H259">
            <v>1</v>
          </cell>
          <cell r="I259">
            <v>0.55020075004894831</v>
          </cell>
        </row>
        <row r="260">
          <cell r="A260" t="str">
            <v>Psco_445</v>
          </cell>
          <cell r="B260">
            <v>259</v>
          </cell>
          <cell r="C260">
            <v>2</v>
          </cell>
          <cell r="D260" t="str">
            <v>MZ</v>
          </cell>
          <cell r="E260">
            <v>24</v>
          </cell>
          <cell r="F260">
            <v>1</v>
          </cell>
          <cell r="G260">
            <v>84</v>
          </cell>
          <cell r="H260">
            <v>1</v>
          </cell>
          <cell r="I260">
            <v>0.38393768946419782</v>
          </cell>
        </row>
        <row r="261">
          <cell r="A261" t="str">
            <v>Psco_342</v>
          </cell>
          <cell r="B261">
            <v>260</v>
          </cell>
          <cell r="C261">
            <v>1</v>
          </cell>
          <cell r="D261" t="str">
            <v>TZ</v>
          </cell>
          <cell r="E261">
            <v>11</v>
          </cell>
          <cell r="F261">
            <v>1</v>
          </cell>
          <cell r="G261">
            <v>59</v>
          </cell>
          <cell r="H261">
            <v>1</v>
          </cell>
          <cell r="I261">
            <v>0.59548673170893951</v>
          </cell>
        </row>
        <row r="262">
          <cell r="A262" t="str">
            <v>Psco_453</v>
          </cell>
          <cell r="B262">
            <v>261</v>
          </cell>
          <cell r="C262">
            <v>2</v>
          </cell>
          <cell r="D262" t="str">
            <v>TZ</v>
          </cell>
          <cell r="E262">
            <v>42</v>
          </cell>
          <cell r="F262">
            <v>1</v>
          </cell>
          <cell r="G262">
            <v>71</v>
          </cell>
          <cell r="H262">
            <v>1</v>
          </cell>
          <cell r="I262">
            <v>0.34823437310703781</v>
          </cell>
        </row>
        <row r="263">
          <cell r="A263" t="str">
            <v>Psco_350</v>
          </cell>
          <cell r="B263">
            <v>262</v>
          </cell>
          <cell r="C263">
            <v>1</v>
          </cell>
          <cell r="D263" t="str">
            <v>TZ</v>
          </cell>
          <cell r="E263">
            <v>14</v>
          </cell>
          <cell r="F263">
            <v>1</v>
          </cell>
          <cell r="G263">
            <v>63</v>
          </cell>
          <cell r="H263">
            <v>1</v>
          </cell>
          <cell r="I263">
            <v>0.50788005342434228</v>
          </cell>
        </row>
        <row r="264">
          <cell r="A264" t="str">
            <v>Psco_461</v>
          </cell>
          <cell r="B264">
            <v>263</v>
          </cell>
          <cell r="C264">
            <v>2</v>
          </cell>
          <cell r="D264" t="str">
            <v>MZ</v>
          </cell>
          <cell r="E264">
            <v>34</v>
          </cell>
          <cell r="F264">
            <v>1</v>
          </cell>
          <cell r="G264">
            <v>77</v>
          </cell>
          <cell r="H264">
            <v>1</v>
          </cell>
          <cell r="I264">
            <v>0.36143051899493928</v>
          </cell>
        </row>
        <row r="265">
          <cell r="A265" t="str">
            <v>Psco_358</v>
          </cell>
          <cell r="B265">
            <v>264</v>
          </cell>
          <cell r="C265">
            <v>1</v>
          </cell>
          <cell r="D265" t="str">
            <v>TZ</v>
          </cell>
          <cell r="E265">
            <v>15</v>
          </cell>
          <cell r="F265">
            <v>1</v>
          </cell>
          <cell r="G265">
            <v>53</v>
          </cell>
          <cell r="H265">
            <v>1</v>
          </cell>
          <cell r="I265">
            <v>0.61783577930092148</v>
          </cell>
        </row>
        <row r="266">
          <cell r="A266" t="str">
            <v>Psco_469</v>
          </cell>
          <cell r="B266">
            <v>265</v>
          </cell>
          <cell r="C266">
            <v>2</v>
          </cell>
          <cell r="D266" t="str">
            <v>TZ</v>
          </cell>
          <cell r="E266">
            <v>47</v>
          </cell>
          <cell r="F266">
            <v>0</v>
          </cell>
          <cell r="G266">
            <v>98</v>
          </cell>
          <cell r="H266">
            <v>0</v>
          </cell>
          <cell r="I266">
            <v>0</v>
          </cell>
        </row>
        <row r="267">
          <cell r="A267" t="str">
            <v>Psco_366</v>
          </cell>
          <cell r="B267">
            <v>266</v>
          </cell>
          <cell r="C267">
            <v>1</v>
          </cell>
          <cell r="D267" t="str">
            <v>TZ</v>
          </cell>
          <cell r="E267">
            <v>10</v>
          </cell>
          <cell r="F267">
            <v>1</v>
          </cell>
          <cell r="G267">
            <v>50</v>
          </cell>
          <cell r="H267">
            <v>1</v>
          </cell>
          <cell r="I267">
            <v>0.66806726144838735</v>
          </cell>
        </row>
        <row r="268">
          <cell r="A268" t="str">
            <v>Psco_477</v>
          </cell>
          <cell r="B268">
            <v>267</v>
          </cell>
          <cell r="C268">
            <v>2</v>
          </cell>
          <cell r="D268" t="str">
            <v>TZ</v>
          </cell>
          <cell r="E268">
            <v>43</v>
          </cell>
          <cell r="F268">
            <v>1</v>
          </cell>
          <cell r="G268">
            <v>54</v>
          </cell>
          <cell r="H268">
            <v>1</v>
          </cell>
          <cell r="I268">
            <v>0.45742718271281813</v>
          </cell>
        </row>
        <row r="269">
          <cell r="A269" t="str">
            <v>Psco_374</v>
          </cell>
          <cell r="B269">
            <v>268</v>
          </cell>
          <cell r="C269">
            <v>1</v>
          </cell>
          <cell r="D269" t="str">
            <v>TZ</v>
          </cell>
          <cell r="E269">
            <v>19</v>
          </cell>
          <cell r="F269">
            <v>1</v>
          </cell>
          <cell r="G269">
            <v>50</v>
          </cell>
          <cell r="H269">
            <v>1</v>
          </cell>
          <cell r="I269">
            <v>0.68452788146554511</v>
          </cell>
        </row>
        <row r="270">
          <cell r="A270" t="str">
            <v>Psco_485</v>
          </cell>
          <cell r="B270">
            <v>269</v>
          </cell>
          <cell r="C270">
            <v>2</v>
          </cell>
          <cell r="D270" t="str">
            <v>TZ</v>
          </cell>
          <cell r="E270">
            <v>50</v>
          </cell>
          <cell r="F270">
            <v>1</v>
          </cell>
          <cell r="G270">
            <v>76</v>
          </cell>
          <cell r="H270">
            <v>1</v>
          </cell>
          <cell r="I270">
            <v>0.29095147118619358</v>
          </cell>
        </row>
        <row r="271">
          <cell r="A271" t="str">
            <v>Psco_382</v>
          </cell>
          <cell r="B271">
            <v>270</v>
          </cell>
          <cell r="C271">
            <v>1</v>
          </cell>
          <cell r="D271" t="str">
            <v>TZ</v>
          </cell>
          <cell r="E271">
            <v>19</v>
          </cell>
          <cell r="F271">
            <v>1</v>
          </cell>
          <cell r="G271">
            <v>56</v>
          </cell>
          <cell r="H271">
            <v>1</v>
          </cell>
          <cell r="I271">
            <v>0.66582769620079896</v>
          </cell>
        </row>
        <row r="272">
          <cell r="A272" t="str">
            <v>Psco_493</v>
          </cell>
          <cell r="B272">
            <v>271</v>
          </cell>
          <cell r="C272">
            <v>2</v>
          </cell>
          <cell r="D272" t="str">
            <v>MZ</v>
          </cell>
          <cell r="E272">
            <v>32</v>
          </cell>
          <cell r="F272">
            <v>0</v>
          </cell>
          <cell r="G272">
            <v>98</v>
          </cell>
          <cell r="H272">
            <v>0</v>
          </cell>
          <cell r="I272">
            <v>0</v>
          </cell>
        </row>
        <row r="273">
          <cell r="A273" t="str">
            <v>Psco_197</v>
          </cell>
          <cell r="B273">
            <v>272</v>
          </cell>
          <cell r="C273">
            <v>1</v>
          </cell>
          <cell r="D273" t="str">
            <v>TZ</v>
          </cell>
          <cell r="E273">
            <v>19</v>
          </cell>
          <cell r="F273">
            <v>1</v>
          </cell>
          <cell r="G273">
            <v>60</v>
          </cell>
          <cell r="H273">
            <v>1</v>
          </cell>
          <cell r="I273">
            <v>0.71254982300451652</v>
          </cell>
        </row>
        <row r="274">
          <cell r="A274" t="str">
            <v>Psco_109</v>
          </cell>
          <cell r="B274">
            <v>273</v>
          </cell>
          <cell r="C274">
            <v>1</v>
          </cell>
          <cell r="D274" t="str">
            <v>MZ</v>
          </cell>
          <cell r="E274">
            <v>5</v>
          </cell>
          <cell r="F274">
            <v>1</v>
          </cell>
          <cell r="G274">
            <v>50</v>
          </cell>
          <cell r="H274">
            <v>1</v>
          </cell>
          <cell r="I274">
            <v>0.47431674025472531</v>
          </cell>
        </row>
        <row r="275">
          <cell r="A275" t="str">
            <v>Psco_205</v>
          </cell>
          <cell r="B275">
            <v>274</v>
          </cell>
          <cell r="C275">
            <v>1</v>
          </cell>
          <cell r="D275" t="str">
            <v>MZ</v>
          </cell>
          <cell r="E275">
            <v>2</v>
          </cell>
          <cell r="F275">
            <v>0</v>
          </cell>
          <cell r="G275">
            <v>98</v>
          </cell>
          <cell r="H275">
            <v>0</v>
          </cell>
          <cell r="I275">
            <v>0</v>
          </cell>
        </row>
        <row r="276">
          <cell r="A276" t="str">
            <v>Psco_117</v>
          </cell>
          <cell r="B276">
            <v>275</v>
          </cell>
          <cell r="C276">
            <v>1</v>
          </cell>
          <cell r="D276" t="str">
            <v>MZ</v>
          </cell>
          <cell r="E276">
            <v>2</v>
          </cell>
          <cell r="F276">
            <v>1</v>
          </cell>
          <cell r="G276">
            <v>56</v>
          </cell>
          <cell r="H276">
            <v>1</v>
          </cell>
          <cell r="I276">
            <v>0.65878464627212963</v>
          </cell>
        </row>
        <row r="277">
          <cell r="A277" t="str">
            <v>Psco_213</v>
          </cell>
          <cell r="B277">
            <v>276</v>
          </cell>
          <cell r="C277">
            <v>1</v>
          </cell>
          <cell r="D277" t="str">
            <v>MZ</v>
          </cell>
          <cell r="E277">
            <v>6</v>
          </cell>
          <cell r="F277">
            <v>0</v>
          </cell>
          <cell r="G277">
            <v>98</v>
          </cell>
          <cell r="H277">
            <v>0</v>
          </cell>
          <cell r="I277">
            <v>0</v>
          </cell>
        </row>
        <row r="278">
          <cell r="A278" t="str">
            <v>Psco_125</v>
          </cell>
          <cell r="B278">
            <v>277</v>
          </cell>
          <cell r="C278">
            <v>1</v>
          </cell>
          <cell r="D278" t="str">
            <v>TZ</v>
          </cell>
          <cell r="E278">
            <v>10</v>
          </cell>
          <cell r="F278">
            <v>1</v>
          </cell>
          <cell r="G278">
            <v>56</v>
          </cell>
          <cell r="H278">
            <v>1</v>
          </cell>
          <cell r="I278">
            <v>1.330735699880909</v>
          </cell>
        </row>
        <row r="279">
          <cell r="A279" t="str">
            <v>Psco_221</v>
          </cell>
          <cell r="B279">
            <v>278</v>
          </cell>
          <cell r="C279">
            <v>1</v>
          </cell>
          <cell r="D279" t="str">
            <v>MZ</v>
          </cell>
          <cell r="E279">
            <v>5</v>
          </cell>
          <cell r="F279">
            <v>1</v>
          </cell>
          <cell r="G279">
            <v>70</v>
          </cell>
          <cell r="H279">
            <v>1</v>
          </cell>
          <cell r="I279">
            <v>0.48615090252016407</v>
          </cell>
        </row>
        <row r="280">
          <cell r="A280" t="str">
            <v>Psco_133</v>
          </cell>
          <cell r="B280">
            <v>279</v>
          </cell>
          <cell r="C280">
            <v>1</v>
          </cell>
          <cell r="D280" t="str">
            <v>TZ</v>
          </cell>
          <cell r="E280">
            <v>17</v>
          </cell>
          <cell r="F280">
            <v>1</v>
          </cell>
          <cell r="G280">
            <v>68</v>
          </cell>
          <cell r="H280">
            <v>1</v>
          </cell>
          <cell r="I280">
            <v>0.58479368088096073</v>
          </cell>
        </row>
        <row r="281">
          <cell r="A281" t="str">
            <v>Psco_229</v>
          </cell>
          <cell r="B281">
            <v>280</v>
          </cell>
          <cell r="C281">
            <v>1</v>
          </cell>
          <cell r="D281" t="str">
            <v>MZ</v>
          </cell>
          <cell r="E281">
            <v>6</v>
          </cell>
          <cell r="F281">
            <v>1</v>
          </cell>
          <cell r="G281">
            <v>57</v>
          </cell>
          <cell r="H281">
            <v>1</v>
          </cell>
          <cell r="I281">
            <v>0.8333522836363757</v>
          </cell>
        </row>
        <row r="282">
          <cell r="A282" t="str">
            <v>Psco_141</v>
          </cell>
          <cell r="B282">
            <v>281</v>
          </cell>
          <cell r="C282">
            <v>1</v>
          </cell>
          <cell r="D282" t="str">
            <v>MZ</v>
          </cell>
          <cell r="E282">
            <v>2</v>
          </cell>
          <cell r="F282">
            <v>0</v>
          </cell>
          <cell r="G282">
            <v>98</v>
          </cell>
          <cell r="H282">
            <v>0</v>
          </cell>
          <cell r="I282">
            <v>0</v>
          </cell>
        </row>
        <row r="283">
          <cell r="A283" t="str">
            <v>Psco_237</v>
          </cell>
          <cell r="B283">
            <v>282</v>
          </cell>
          <cell r="C283">
            <v>1</v>
          </cell>
          <cell r="D283" t="str">
            <v>MZ</v>
          </cell>
          <cell r="E283">
            <v>7</v>
          </cell>
          <cell r="F283">
            <v>1</v>
          </cell>
          <cell r="G283">
            <v>62</v>
          </cell>
          <cell r="H283">
            <v>1</v>
          </cell>
          <cell r="I283">
            <v>0.86700831812415358</v>
          </cell>
        </row>
        <row r="284">
          <cell r="A284" t="str">
            <v>Psco_149</v>
          </cell>
          <cell r="B284">
            <v>283</v>
          </cell>
          <cell r="C284">
            <v>1</v>
          </cell>
          <cell r="D284" t="str">
            <v>TZ</v>
          </cell>
          <cell r="E284">
            <v>17</v>
          </cell>
          <cell r="F284">
            <v>1</v>
          </cell>
          <cell r="G284">
            <v>53</v>
          </cell>
          <cell r="H284">
            <v>1</v>
          </cell>
          <cell r="I284">
            <v>0.63881363650217138</v>
          </cell>
        </row>
        <row r="285">
          <cell r="A285" t="str">
            <v>Psco_246</v>
          </cell>
          <cell r="B285">
            <v>284</v>
          </cell>
          <cell r="C285">
            <v>1</v>
          </cell>
          <cell r="D285" t="str">
            <v>TZ</v>
          </cell>
          <cell r="E285">
            <v>16</v>
          </cell>
          <cell r="F285">
            <v>1</v>
          </cell>
          <cell r="G285">
            <v>66</v>
          </cell>
          <cell r="H285">
            <v>1</v>
          </cell>
          <cell r="I285">
            <v>0.69574401436468014</v>
          </cell>
        </row>
        <row r="286">
          <cell r="A286" t="str">
            <v>Psco_157</v>
          </cell>
          <cell r="B286">
            <v>285</v>
          </cell>
          <cell r="C286">
            <v>1</v>
          </cell>
          <cell r="D286" t="str">
            <v>MZ</v>
          </cell>
          <cell r="E286">
            <v>6</v>
          </cell>
          <cell r="F286">
            <v>0</v>
          </cell>
          <cell r="G286">
            <v>98</v>
          </cell>
          <cell r="H286">
            <v>1</v>
          </cell>
          <cell r="I286">
            <v>0.30411630405400403</v>
          </cell>
        </row>
        <row r="287">
          <cell r="A287" t="str">
            <v>Psco_254</v>
          </cell>
          <cell r="B287">
            <v>286</v>
          </cell>
          <cell r="C287">
            <v>1</v>
          </cell>
          <cell r="D287" t="str">
            <v>TZ</v>
          </cell>
          <cell r="E287">
            <v>11</v>
          </cell>
          <cell r="F287">
            <v>0</v>
          </cell>
          <cell r="G287">
            <v>98</v>
          </cell>
          <cell r="H287">
            <v>0</v>
          </cell>
          <cell r="I287">
            <v>0</v>
          </cell>
        </row>
        <row r="288">
          <cell r="A288" t="str">
            <v>Psco_165</v>
          </cell>
          <cell r="B288">
            <v>287</v>
          </cell>
          <cell r="C288">
            <v>1</v>
          </cell>
          <cell r="D288" t="str">
            <v>MZ</v>
          </cell>
          <cell r="E288">
            <v>1</v>
          </cell>
          <cell r="F288">
            <v>1</v>
          </cell>
          <cell r="G288">
            <v>49</v>
          </cell>
          <cell r="H288">
            <v>1</v>
          </cell>
          <cell r="I288">
            <v>0.97213710893449101</v>
          </cell>
        </row>
        <row r="289">
          <cell r="A289" t="str">
            <v>Psco_263</v>
          </cell>
          <cell r="B289">
            <v>288</v>
          </cell>
          <cell r="C289">
            <v>1</v>
          </cell>
          <cell r="D289" t="str">
            <v>MZ</v>
          </cell>
          <cell r="E289">
            <v>6</v>
          </cell>
          <cell r="F289">
            <v>1</v>
          </cell>
          <cell r="G289">
            <v>57</v>
          </cell>
          <cell r="H289">
            <v>1</v>
          </cell>
          <cell r="I289">
            <v>0.75169597272059152</v>
          </cell>
        </row>
        <row r="290">
          <cell r="A290" t="str">
            <v>Psco_173</v>
          </cell>
          <cell r="B290">
            <v>289</v>
          </cell>
          <cell r="C290">
            <v>1</v>
          </cell>
          <cell r="D290" t="str">
            <v>MZ</v>
          </cell>
          <cell r="E290">
            <v>2</v>
          </cell>
          <cell r="F290">
            <v>1</v>
          </cell>
          <cell r="G290">
            <v>53</v>
          </cell>
          <cell r="H290">
            <v>1</v>
          </cell>
          <cell r="I290">
            <v>0.1138967568041892</v>
          </cell>
        </row>
        <row r="291">
          <cell r="A291" t="str">
            <v>Psco_271</v>
          </cell>
          <cell r="B291">
            <v>290</v>
          </cell>
          <cell r="C291">
            <v>1</v>
          </cell>
          <cell r="D291" t="str">
            <v>MZ</v>
          </cell>
          <cell r="E291">
            <v>5</v>
          </cell>
          <cell r="F291">
            <v>1</v>
          </cell>
          <cell r="G291">
            <v>66</v>
          </cell>
          <cell r="H291">
            <v>1</v>
          </cell>
          <cell r="I291">
            <v>0.58362553787209381</v>
          </cell>
        </row>
        <row r="292">
          <cell r="A292" t="str">
            <v>Psco_181</v>
          </cell>
          <cell r="B292">
            <v>291</v>
          </cell>
          <cell r="C292">
            <v>1</v>
          </cell>
          <cell r="D292" t="str">
            <v>TZ</v>
          </cell>
          <cell r="E292">
            <v>16</v>
          </cell>
          <cell r="F292">
            <v>0</v>
          </cell>
          <cell r="G292">
            <v>98</v>
          </cell>
          <cell r="H292">
            <v>0</v>
          </cell>
          <cell r="I292">
            <v>0</v>
          </cell>
        </row>
        <row r="293">
          <cell r="A293" t="str">
            <v>Psco_279</v>
          </cell>
          <cell r="B293">
            <v>292</v>
          </cell>
          <cell r="C293">
            <v>1</v>
          </cell>
          <cell r="D293" t="str">
            <v>MZ</v>
          </cell>
          <cell r="E293">
            <v>7</v>
          </cell>
          <cell r="F293">
            <v>1</v>
          </cell>
          <cell r="G293">
            <v>79</v>
          </cell>
          <cell r="H293">
            <v>1</v>
          </cell>
          <cell r="I293">
            <v>0.32221652757726299</v>
          </cell>
        </row>
        <row r="294">
          <cell r="A294" t="str">
            <v>Psco_189</v>
          </cell>
          <cell r="B294">
            <v>293</v>
          </cell>
          <cell r="C294">
            <v>1</v>
          </cell>
          <cell r="D294" t="str">
            <v>MZ</v>
          </cell>
          <cell r="E294">
            <v>7</v>
          </cell>
          <cell r="F294">
            <v>0</v>
          </cell>
          <cell r="G294">
            <v>98</v>
          </cell>
          <cell r="H294">
            <v>0</v>
          </cell>
          <cell r="I294">
            <v>0</v>
          </cell>
        </row>
        <row r="295">
          <cell r="A295" t="str">
            <v>Psco_287</v>
          </cell>
          <cell r="B295">
            <v>294</v>
          </cell>
          <cell r="C295">
            <v>1</v>
          </cell>
          <cell r="D295" t="str">
            <v>TZ</v>
          </cell>
          <cell r="E295">
            <v>15</v>
          </cell>
          <cell r="F295">
            <v>1</v>
          </cell>
          <cell r="G295">
            <v>58</v>
          </cell>
          <cell r="H295">
            <v>1</v>
          </cell>
          <cell r="I295">
            <v>0.45297007794661193</v>
          </cell>
        </row>
        <row r="296">
          <cell r="A296" t="str">
            <v>Psco_295</v>
          </cell>
          <cell r="B296">
            <v>295</v>
          </cell>
          <cell r="C296">
            <v>1</v>
          </cell>
          <cell r="D296" t="str">
            <v>TZ</v>
          </cell>
          <cell r="E296">
            <v>15</v>
          </cell>
          <cell r="F296">
            <v>0</v>
          </cell>
          <cell r="G296">
            <v>98</v>
          </cell>
          <cell r="H296">
            <v>0</v>
          </cell>
          <cell r="I296">
            <v>0</v>
          </cell>
        </row>
        <row r="297">
          <cell r="A297" t="str">
            <v>Psco_391</v>
          </cell>
          <cell r="B297">
            <v>296</v>
          </cell>
          <cell r="C297">
            <v>1</v>
          </cell>
          <cell r="D297" t="str">
            <v>TZ</v>
          </cell>
          <cell r="E297">
            <v>14</v>
          </cell>
          <cell r="F297">
            <v>1</v>
          </cell>
          <cell r="G297">
            <v>43</v>
          </cell>
          <cell r="H297">
            <v>1</v>
          </cell>
          <cell r="I297">
            <v>0.7379126414265067</v>
          </cell>
        </row>
        <row r="298">
          <cell r="A298" t="str">
            <v>Psco_303</v>
          </cell>
          <cell r="B298">
            <v>297</v>
          </cell>
          <cell r="C298">
            <v>1</v>
          </cell>
          <cell r="D298" t="str">
            <v>MZ</v>
          </cell>
          <cell r="E298">
            <v>4</v>
          </cell>
          <cell r="F298">
            <v>1</v>
          </cell>
          <cell r="G298">
            <v>72</v>
          </cell>
          <cell r="H298">
            <v>1</v>
          </cell>
          <cell r="I298">
            <v>0.48002874348890329</v>
          </cell>
        </row>
        <row r="299">
          <cell r="A299" t="str">
            <v>Psco_414</v>
          </cell>
          <cell r="B299">
            <v>298</v>
          </cell>
          <cell r="C299">
            <v>2</v>
          </cell>
          <cell r="D299" t="str">
            <v>TZ</v>
          </cell>
          <cell r="E299">
            <v>50</v>
          </cell>
          <cell r="F299">
            <v>1</v>
          </cell>
          <cell r="G299">
            <v>62</v>
          </cell>
          <cell r="H299">
            <v>1</v>
          </cell>
          <cell r="I299">
            <v>0.87229554056219671</v>
          </cell>
        </row>
        <row r="300">
          <cell r="A300" t="str">
            <v>Psco_311</v>
          </cell>
          <cell r="B300">
            <v>299</v>
          </cell>
          <cell r="C300">
            <v>1</v>
          </cell>
          <cell r="D300" t="str">
            <v>TZ</v>
          </cell>
          <cell r="E300">
            <v>10</v>
          </cell>
          <cell r="F300">
            <v>1</v>
          </cell>
          <cell r="G300">
            <v>45</v>
          </cell>
          <cell r="H300">
            <v>1</v>
          </cell>
          <cell r="I300">
            <v>0.70931451044688476</v>
          </cell>
        </row>
        <row r="301">
          <cell r="A301" t="str">
            <v>Psco_422</v>
          </cell>
          <cell r="B301">
            <v>300</v>
          </cell>
          <cell r="C301">
            <v>2</v>
          </cell>
          <cell r="D301" t="str">
            <v>TZ</v>
          </cell>
          <cell r="E301">
            <v>50</v>
          </cell>
          <cell r="F301">
            <v>1</v>
          </cell>
          <cell r="G301">
            <v>59</v>
          </cell>
          <cell r="H301">
            <v>1</v>
          </cell>
          <cell r="I301">
            <v>0.71260350728704991</v>
          </cell>
        </row>
        <row r="302">
          <cell r="A302" t="str">
            <v>Psco_430</v>
          </cell>
          <cell r="B302">
            <v>301</v>
          </cell>
          <cell r="C302">
            <v>2</v>
          </cell>
          <cell r="D302" t="str">
            <v>MZ</v>
          </cell>
          <cell r="E302">
            <v>24</v>
          </cell>
          <cell r="F302">
            <v>1</v>
          </cell>
          <cell r="G302">
            <v>76</v>
          </cell>
          <cell r="H302">
            <v>1</v>
          </cell>
          <cell r="I302">
            <v>0.31330125540792497</v>
          </cell>
        </row>
        <row r="303">
          <cell r="A303" t="str">
            <v>Psco_327</v>
          </cell>
          <cell r="B303">
            <v>302</v>
          </cell>
          <cell r="C303">
            <v>1</v>
          </cell>
          <cell r="D303" t="str">
            <v>TZ</v>
          </cell>
          <cell r="E303">
            <v>13</v>
          </cell>
          <cell r="F303">
            <v>0</v>
          </cell>
          <cell r="G303">
            <v>98</v>
          </cell>
          <cell r="H303">
            <v>0</v>
          </cell>
          <cell r="I303">
            <v>0</v>
          </cell>
        </row>
        <row r="304">
          <cell r="A304" t="str">
            <v>Psco_438</v>
          </cell>
          <cell r="B304">
            <v>303</v>
          </cell>
          <cell r="C304">
            <v>2</v>
          </cell>
          <cell r="D304" t="str">
            <v>MZ</v>
          </cell>
          <cell r="E304">
            <v>34</v>
          </cell>
          <cell r="F304">
            <v>1</v>
          </cell>
          <cell r="G304">
            <v>68</v>
          </cell>
          <cell r="H304">
            <v>1</v>
          </cell>
          <cell r="I304">
            <v>0.41632482500624518</v>
          </cell>
        </row>
        <row r="305">
          <cell r="A305" t="str">
            <v>Psco_335</v>
          </cell>
          <cell r="B305">
            <v>304</v>
          </cell>
          <cell r="C305">
            <v>1</v>
          </cell>
          <cell r="D305" t="str">
            <v>TZ</v>
          </cell>
          <cell r="E305">
            <v>13</v>
          </cell>
          <cell r="F305">
            <v>1</v>
          </cell>
          <cell r="G305">
            <v>49</v>
          </cell>
          <cell r="H305">
            <v>1</v>
          </cell>
          <cell r="I305">
            <v>0.2422044093016861</v>
          </cell>
        </row>
        <row r="306">
          <cell r="A306" t="str">
            <v>Psco_446</v>
          </cell>
          <cell r="B306">
            <v>305</v>
          </cell>
          <cell r="C306">
            <v>2</v>
          </cell>
          <cell r="D306" t="str">
            <v>MZ</v>
          </cell>
          <cell r="E306">
            <v>37</v>
          </cell>
          <cell r="F306">
            <v>0</v>
          </cell>
          <cell r="G306">
            <v>98</v>
          </cell>
          <cell r="H306">
            <v>1</v>
          </cell>
          <cell r="I306">
            <v>0.26829546031869628</v>
          </cell>
        </row>
        <row r="307">
          <cell r="A307" t="str">
            <v>Psco_343</v>
          </cell>
          <cell r="B307">
            <v>306</v>
          </cell>
          <cell r="C307">
            <v>1</v>
          </cell>
          <cell r="D307" t="str">
            <v>MZ</v>
          </cell>
          <cell r="E307">
            <v>8</v>
          </cell>
          <cell r="F307">
            <v>1</v>
          </cell>
          <cell r="G307">
            <v>76</v>
          </cell>
          <cell r="H307">
            <v>1</v>
          </cell>
          <cell r="I307">
            <v>0.52263500706659838</v>
          </cell>
        </row>
        <row r="308">
          <cell r="A308" t="str">
            <v>Psco_454</v>
          </cell>
          <cell r="B308">
            <v>307</v>
          </cell>
          <cell r="C308">
            <v>2</v>
          </cell>
          <cell r="D308" t="str">
            <v>TZ</v>
          </cell>
          <cell r="E308">
            <v>49</v>
          </cell>
          <cell r="F308">
            <v>1</v>
          </cell>
          <cell r="G308">
            <v>67</v>
          </cell>
          <cell r="H308">
            <v>1</v>
          </cell>
          <cell r="I308">
            <v>0.60070910991735649</v>
          </cell>
        </row>
        <row r="309">
          <cell r="A309" t="str">
            <v>Psco_351</v>
          </cell>
          <cell r="B309">
            <v>308</v>
          </cell>
          <cell r="C309">
            <v>1</v>
          </cell>
          <cell r="D309" t="str">
            <v>MZ</v>
          </cell>
          <cell r="E309">
            <v>7</v>
          </cell>
          <cell r="F309">
            <v>0</v>
          </cell>
          <cell r="G309">
            <v>98</v>
          </cell>
          <cell r="H309">
            <v>0</v>
          </cell>
          <cell r="I309">
            <v>0</v>
          </cell>
        </row>
        <row r="310">
          <cell r="A310" t="str">
            <v>Psco_462</v>
          </cell>
          <cell r="B310">
            <v>309</v>
          </cell>
          <cell r="C310">
            <v>2</v>
          </cell>
          <cell r="D310" t="str">
            <v>TZ</v>
          </cell>
          <cell r="E310">
            <v>51</v>
          </cell>
          <cell r="F310">
            <v>1</v>
          </cell>
          <cell r="G310">
            <v>59</v>
          </cell>
          <cell r="H310">
            <v>1</v>
          </cell>
          <cell r="I310">
            <v>0.41977623231238748</v>
          </cell>
        </row>
        <row r="311">
          <cell r="A311" t="str">
            <v>Psco_470</v>
          </cell>
          <cell r="B311">
            <v>310</v>
          </cell>
          <cell r="C311">
            <v>2</v>
          </cell>
          <cell r="D311" t="str">
            <v>TZ</v>
          </cell>
          <cell r="E311">
            <v>48</v>
          </cell>
          <cell r="F311">
            <v>1</v>
          </cell>
          <cell r="G311">
            <v>79</v>
          </cell>
          <cell r="H311">
            <v>1</v>
          </cell>
          <cell r="I311">
            <v>0.41153212886919738</v>
          </cell>
        </row>
        <row r="312">
          <cell r="A312" t="str">
            <v>Psco_367</v>
          </cell>
          <cell r="B312">
            <v>311</v>
          </cell>
          <cell r="C312">
            <v>1</v>
          </cell>
          <cell r="D312" t="str">
            <v>MZ</v>
          </cell>
          <cell r="E312">
            <v>1</v>
          </cell>
          <cell r="F312">
            <v>1</v>
          </cell>
          <cell r="G312">
            <v>37</v>
          </cell>
          <cell r="H312">
            <v>1</v>
          </cell>
          <cell r="I312">
            <v>1.100893570923599</v>
          </cell>
        </row>
        <row r="313">
          <cell r="A313" t="str">
            <v>Psco_478</v>
          </cell>
          <cell r="B313">
            <v>312</v>
          </cell>
          <cell r="C313">
            <v>2</v>
          </cell>
          <cell r="D313" t="str">
            <v>MZ</v>
          </cell>
          <cell r="E313">
            <v>22</v>
          </cell>
          <cell r="F313">
            <v>1</v>
          </cell>
          <cell r="G313">
            <v>61</v>
          </cell>
          <cell r="H313">
            <v>1</v>
          </cell>
          <cell r="I313">
            <v>0.61586817346381106</v>
          </cell>
        </row>
        <row r="314">
          <cell r="A314" t="str">
            <v>Psco_375</v>
          </cell>
          <cell r="B314">
            <v>313</v>
          </cell>
          <cell r="C314">
            <v>1</v>
          </cell>
          <cell r="D314" t="str">
            <v>MZ</v>
          </cell>
          <cell r="E314">
            <v>3</v>
          </cell>
          <cell r="F314">
            <v>1</v>
          </cell>
          <cell r="G314">
            <v>50</v>
          </cell>
          <cell r="H314">
            <v>1</v>
          </cell>
          <cell r="I314">
            <v>0.82672457465486371</v>
          </cell>
        </row>
        <row r="315">
          <cell r="A315" t="str">
            <v>Psco_486</v>
          </cell>
          <cell r="B315">
            <v>314</v>
          </cell>
          <cell r="C315">
            <v>2</v>
          </cell>
          <cell r="D315" t="str">
            <v>MZ</v>
          </cell>
          <cell r="E315">
            <v>39</v>
          </cell>
          <cell r="F315">
            <v>0</v>
          </cell>
          <cell r="G315">
            <v>98</v>
          </cell>
          <cell r="H315">
            <v>0</v>
          </cell>
          <cell r="I315">
            <v>0</v>
          </cell>
        </row>
        <row r="316">
          <cell r="A316" t="str">
            <v>Psco_383</v>
          </cell>
          <cell r="B316">
            <v>315</v>
          </cell>
          <cell r="C316">
            <v>1</v>
          </cell>
          <cell r="D316" t="str">
            <v>MZ</v>
          </cell>
          <cell r="E316">
            <v>5</v>
          </cell>
          <cell r="F316">
            <v>0</v>
          </cell>
          <cell r="G316">
            <v>98</v>
          </cell>
          <cell r="H316">
            <v>0</v>
          </cell>
          <cell r="I316">
            <v>0</v>
          </cell>
        </row>
        <row r="317">
          <cell r="A317" t="str">
            <v>Psco_494</v>
          </cell>
          <cell r="B317">
            <v>316</v>
          </cell>
          <cell r="C317">
            <v>2</v>
          </cell>
          <cell r="D317" t="str">
            <v>MZ</v>
          </cell>
          <cell r="E317">
            <v>40</v>
          </cell>
          <cell r="F317">
            <v>1</v>
          </cell>
          <cell r="G317">
            <v>68</v>
          </cell>
          <cell r="H317">
            <v>1</v>
          </cell>
          <cell r="I317">
            <v>0.50289665903625924</v>
          </cell>
        </row>
        <row r="318">
          <cell r="A318" t="str">
            <v>Psco_198</v>
          </cell>
          <cell r="B318">
            <v>317</v>
          </cell>
          <cell r="C318">
            <v>1</v>
          </cell>
          <cell r="D318" t="str">
            <v>TZ</v>
          </cell>
          <cell r="E318">
            <v>16</v>
          </cell>
          <cell r="F318">
            <v>1</v>
          </cell>
          <cell r="G318">
            <v>49</v>
          </cell>
          <cell r="H318">
            <v>1</v>
          </cell>
          <cell r="I318">
            <v>0.62137223526769214</v>
          </cell>
        </row>
        <row r="319">
          <cell r="A319" t="str">
            <v>Psco_110</v>
          </cell>
          <cell r="B319">
            <v>318</v>
          </cell>
          <cell r="C319">
            <v>1</v>
          </cell>
          <cell r="D319" t="str">
            <v>TZ</v>
          </cell>
          <cell r="E319">
            <v>9</v>
          </cell>
          <cell r="F319">
            <v>0</v>
          </cell>
          <cell r="G319">
            <v>98</v>
          </cell>
          <cell r="H319">
            <v>0</v>
          </cell>
          <cell r="I319">
            <v>0</v>
          </cell>
        </row>
        <row r="320">
          <cell r="A320" t="str">
            <v>Psco_206</v>
          </cell>
          <cell r="B320">
            <v>319</v>
          </cell>
          <cell r="C320">
            <v>1</v>
          </cell>
          <cell r="D320" t="str">
            <v>MZ</v>
          </cell>
          <cell r="E320">
            <v>3</v>
          </cell>
          <cell r="F320">
            <v>1</v>
          </cell>
          <cell r="G320">
            <v>64</v>
          </cell>
          <cell r="H320">
            <v>1</v>
          </cell>
          <cell r="I320">
            <v>0.74614334795276205</v>
          </cell>
        </row>
        <row r="321">
          <cell r="A321" t="str">
            <v>Psco_118</v>
          </cell>
          <cell r="B321">
            <v>320</v>
          </cell>
          <cell r="C321">
            <v>1</v>
          </cell>
          <cell r="D321" t="str">
            <v>MZ</v>
          </cell>
          <cell r="E321">
            <v>8</v>
          </cell>
          <cell r="F321">
            <v>0</v>
          </cell>
          <cell r="G321">
            <v>98</v>
          </cell>
          <cell r="H321">
            <v>1</v>
          </cell>
          <cell r="I321">
            <v>0.31580077526682099</v>
          </cell>
        </row>
        <row r="322">
          <cell r="A322" t="str">
            <v>Psco_214</v>
          </cell>
          <cell r="B322">
            <v>321</v>
          </cell>
          <cell r="C322">
            <v>1</v>
          </cell>
          <cell r="D322" t="str">
            <v>TZ</v>
          </cell>
          <cell r="E322">
            <v>20</v>
          </cell>
          <cell r="F322">
            <v>1</v>
          </cell>
          <cell r="G322">
            <v>72</v>
          </cell>
          <cell r="H322">
            <v>1</v>
          </cell>
          <cell r="I322">
            <v>0.60340133589288314</v>
          </cell>
        </row>
        <row r="323">
          <cell r="A323" t="str">
            <v>Psco_126</v>
          </cell>
          <cell r="B323">
            <v>322</v>
          </cell>
          <cell r="C323">
            <v>1</v>
          </cell>
          <cell r="D323" t="str">
            <v>TZ</v>
          </cell>
          <cell r="E323">
            <v>11</v>
          </cell>
          <cell r="F323">
            <v>1</v>
          </cell>
          <cell r="G323">
            <v>53</v>
          </cell>
          <cell r="H323">
            <v>1</v>
          </cell>
          <cell r="I323">
            <v>9.8324846625533993E-2</v>
          </cell>
        </row>
        <row r="324">
          <cell r="A324" t="str">
            <v>Psco_222</v>
          </cell>
          <cell r="B324">
            <v>323</v>
          </cell>
          <cell r="C324">
            <v>1</v>
          </cell>
          <cell r="D324" t="str">
            <v>MZ</v>
          </cell>
          <cell r="E324">
            <v>4</v>
          </cell>
          <cell r="F324">
            <v>0</v>
          </cell>
          <cell r="G324">
            <v>98</v>
          </cell>
          <cell r="H324">
            <v>0</v>
          </cell>
          <cell r="I324">
            <v>0</v>
          </cell>
        </row>
        <row r="325">
          <cell r="A325" t="str">
            <v>Psco_134</v>
          </cell>
          <cell r="B325">
            <v>324</v>
          </cell>
          <cell r="C325">
            <v>1</v>
          </cell>
          <cell r="D325" t="str">
            <v>MZ</v>
          </cell>
          <cell r="E325">
            <v>8</v>
          </cell>
          <cell r="F325">
            <v>1</v>
          </cell>
          <cell r="G325">
            <v>53</v>
          </cell>
          <cell r="H325">
            <v>1</v>
          </cell>
          <cell r="I325">
            <v>0.43929368558964349</v>
          </cell>
        </row>
        <row r="326">
          <cell r="A326" t="str">
            <v>Psco_230</v>
          </cell>
          <cell r="B326">
            <v>325</v>
          </cell>
          <cell r="C326">
            <v>1</v>
          </cell>
          <cell r="D326" t="str">
            <v>MZ</v>
          </cell>
          <cell r="E326">
            <v>5</v>
          </cell>
          <cell r="F326">
            <v>1</v>
          </cell>
          <cell r="G326">
            <v>57</v>
          </cell>
          <cell r="H326">
            <v>1</v>
          </cell>
          <cell r="I326">
            <v>0.86795962397042892</v>
          </cell>
        </row>
        <row r="327">
          <cell r="A327" t="str">
            <v>Psco_142</v>
          </cell>
          <cell r="B327">
            <v>326</v>
          </cell>
          <cell r="C327">
            <v>1</v>
          </cell>
          <cell r="D327" t="str">
            <v>TZ</v>
          </cell>
          <cell r="E327">
            <v>16</v>
          </cell>
          <cell r="F327">
            <v>1</v>
          </cell>
          <cell r="G327">
            <v>61</v>
          </cell>
          <cell r="H327">
            <v>1</v>
          </cell>
          <cell r="I327">
            <v>0.4228228987715944</v>
          </cell>
        </row>
        <row r="328">
          <cell r="A328" t="str">
            <v>Psco_238</v>
          </cell>
          <cell r="B328">
            <v>327</v>
          </cell>
          <cell r="C328">
            <v>1</v>
          </cell>
          <cell r="D328" t="str">
            <v>TZ</v>
          </cell>
          <cell r="E328">
            <v>17</v>
          </cell>
          <cell r="F328">
            <v>1</v>
          </cell>
          <cell r="G328">
            <v>53</v>
          </cell>
          <cell r="H328">
            <v>1</v>
          </cell>
          <cell r="I328">
            <v>0.72993978729152365</v>
          </cell>
        </row>
        <row r="329">
          <cell r="A329" t="str">
            <v>Psco_150</v>
          </cell>
          <cell r="B329">
            <v>328</v>
          </cell>
          <cell r="C329">
            <v>1</v>
          </cell>
          <cell r="D329" t="str">
            <v>MZ</v>
          </cell>
          <cell r="E329">
            <v>5</v>
          </cell>
          <cell r="F329">
            <v>1</v>
          </cell>
          <cell r="G329">
            <v>62</v>
          </cell>
          <cell r="H329">
            <v>1</v>
          </cell>
          <cell r="I329">
            <v>0.5703746497584119</v>
          </cell>
        </row>
        <row r="330">
          <cell r="A330" t="str">
            <v>Psco_247</v>
          </cell>
          <cell r="B330">
            <v>329</v>
          </cell>
          <cell r="C330">
            <v>1</v>
          </cell>
          <cell r="D330" t="str">
            <v>TZ</v>
          </cell>
          <cell r="E330">
            <v>13</v>
          </cell>
          <cell r="F330">
            <v>0</v>
          </cell>
          <cell r="G330">
            <v>98</v>
          </cell>
          <cell r="H330">
            <v>0</v>
          </cell>
          <cell r="I330">
            <v>0</v>
          </cell>
        </row>
        <row r="331">
          <cell r="A331" t="str">
            <v>Psco_158</v>
          </cell>
          <cell r="B331">
            <v>330</v>
          </cell>
          <cell r="C331">
            <v>1</v>
          </cell>
          <cell r="D331" t="str">
            <v>MZ</v>
          </cell>
          <cell r="E331">
            <v>1</v>
          </cell>
          <cell r="F331">
            <v>1</v>
          </cell>
          <cell r="G331">
            <v>48</v>
          </cell>
          <cell r="H331">
            <v>1</v>
          </cell>
          <cell r="I331">
            <v>1.0710173662461711</v>
          </cell>
        </row>
        <row r="332">
          <cell r="A332" t="str">
            <v>Psco_255</v>
          </cell>
          <cell r="B332">
            <v>331</v>
          </cell>
          <cell r="C332">
            <v>1</v>
          </cell>
          <cell r="D332" t="str">
            <v>TZ</v>
          </cell>
          <cell r="E332">
            <v>9</v>
          </cell>
          <cell r="F332">
            <v>0</v>
          </cell>
          <cell r="G332">
            <v>98</v>
          </cell>
          <cell r="H332">
            <v>0</v>
          </cell>
          <cell r="I332">
            <v>0</v>
          </cell>
        </row>
        <row r="333">
          <cell r="A333" t="str">
            <v>Psco_166</v>
          </cell>
          <cell r="B333">
            <v>332</v>
          </cell>
          <cell r="C333">
            <v>1</v>
          </cell>
          <cell r="D333" t="str">
            <v>MZ</v>
          </cell>
          <cell r="E333">
            <v>5</v>
          </cell>
          <cell r="F333">
            <v>1</v>
          </cell>
          <cell r="G333">
            <v>51</v>
          </cell>
          <cell r="H333">
            <v>1</v>
          </cell>
          <cell r="I333">
            <v>1.0324640095030371</v>
          </cell>
        </row>
        <row r="334">
          <cell r="A334" t="str">
            <v>Psco_264</v>
          </cell>
          <cell r="B334">
            <v>333</v>
          </cell>
          <cell r="C334">
            <v>1</v>
          </cell>
          <cell r="D334" t="str">
            <v>MZ</v>
          </cell>
          <cell r="E334">
            <v>4</v>
          </cell>
          <cell r="F334">
            <v>1</v>
          </cell>
          <cell r="G334">
            <v>62</v>
          </cell>
          <cell r="H334">
            <v>1</v>
          </cell>
          <cell r="I334">
            <v>0.67764593981273813</v>
          </cell>
        </row>
        <row r="335">
          <cell r="A335" t="str">
            <v>Psco_174</v>
          </cell>
          <cell r="B335">
            <v>334</v>
          </cell>
          <cell r="C335">
            <v>1</v>
          </cell>
          <cell r="D335" t="str">
            <v>MZ</v>
          </cell>
          <cell r="E335">
            <v>4</v>
          </cell>
          <cell r="F335">
            <v>1</v>
          </cell>
          <cell r="G335">
            <v>80</v>
          </cell>
          <cell r="H335">
            <v>1</v>
          </cell>
          <cell r="I335">
            <v>0.537522350885279</v>
          </cell>
        </row>
        <row r="336">
          <cell r="A336" t="str">
            <v>Psco_272</v>
          </cell>
          <cell r="B336">
            <v>335</v>
          </cell>
          <cell r="C336">
            <v>1</v>
          </cell>
          <cell r="D336" t="str">
            <v>MZ</v>
          </cell>
          <cell r="E336">
            <v>4</v>
          </cell>
          <cell r="F336">
            <v>1</v>
          </cell>
          <cell r="G336">
            <v>63</v>
          </cell>
          <cell r="H336">
            <v>1</v>
          </cell>
          <cell r="I336">
            <v>0.53417939535017722</v>
          </cell>
        </row>
        <row r="337">
          <cell r="A337" t="str">
            <v>Psco_182</v>
          </cell>
          <cell r="B337">
            <v>336</v>
          </cell>
          <cell r="C337">
            <v>1</v>
          </cell>
          <cell r="D337" t="str">
            <v>MZ</v>
          </cell>
          <cell r="E337">
            <v>4</v>
          </cell>
          <cell r="F337">
            <v>0</v>
          </cell>
          <cell r="G337">
            <v>98</v>
          </cell>
          <cell r="H337">
            <v>0</v>
          </cell>
          <cell r="I337">
            <v>0</v>
          </cell>
        </row>
        <row r="338">
          <cell r="A338" t="str">
            <v>Psco_280</v>
          </cell>
          <cell r="B338">
            <v>337</v>
          </cell>
          <cell r="C338">
            <v>1</v>
          </cell>
          <cell r="D338" t="str">
            <v>MZ</v>
          </cell>
          <cell r="E338">
            <v>6</v>
          </cell>
          <cell r="F338">
            <v>0</v>
          </cell>
          <cell r="G338">
            <v>98</v>
          </cell>
          <cell r="H338">
            <v>1</v>
          </cell>
          <cell r="I338">
            <v>0.44270525626822033</v>
          </cell>
        </row>
        <row r="339">
          <cell r="A339" t="str">
            <v>Psco_190</v>
          </cell>
          <cell r="B339">
            <v>338</v>
          </cell>
          <cell r="C339">
            <v>1</v>
          </cell>
          <cell r="D339" t="str">
            <v>MZ</v>
          </cell>
          <cell r="E339">
            <v>8</v>
          </cell>
          <cell r="F339">
            <v>1</v>
          </cell>
          <cell r="G339">
            <v>76</v>
          </cell>
          <cell r="H339">
            <v>1</v>
          </cell>
          <cell r="I339">
            <v>0.54720250965131378</v>
          </cell>
        </row>
        <row r="340">
          <cell r="A340" t="str">
            <v>Psco_288</v>
          </cell>
          <cell r="B340">
            <v>339</v>
          </cell>
          <cell r="C340">
            <v>1</v>
          </cell>
          <cell r="D340" t="str">
            <v>MZ</v>
          </cell>
          <cell r="E340">
            <v>4</v>
          </cell>
          <cell r="F340">
            <v>1</v>
          </cell>
          <cell r="G340">
            <v>62</v>
          </cell>
          <cell r="H340">
            <v>1</v>
          </cell>
          <cell r="I340">
            <v>0.41425091534577269</v>
          </cell>
        </row>
        <row r="341">
          <cell r="A341" t="str">
            <v>Psco_296</v>
          </cell>
          <cell r="B341">
            <v>340</v>
          </cell>
          <cell r="C341">
            <v>1</v>
          </cell>
          <cell r="D341" t="str">
            <v>TZ</v>
          </cell>
          <cell r="E341">
            <v>14</v>
          </cell>
          <cell r="F341">
            <v>1</v>
          </cell>
          <cell r="G341">
            <v>74</v>
          </cell>
          <cell r="H341">
            <v>1</v>
          </cell>
          <cell r="I341">
            <v>0.48207852557501141</v>
          </cell>
        </row>
        <row r="342">
          <cell r="A342" t="str">
            <v>Psco_392</v>
          </cell>
          <cell r="B342">
            <v>341</v>
          </cell>
          <cell r="C342">
            <v>1</v>
          </cell>
          <cell r="D342" t="str">
            <v>MZ</v>
          </cell>
          <cell r="E342">
            <v>3</v>
          </cell>
          <cell r="F342">
            <v>1</v>
          </cell>
          <cell r="G342">
            <v>57</v>
          </cell>
          <cell r="H342">
            <v>1</v>
          </cell>
          <cell r="I342">
            <v>0.86479627211175369</v>
          </cell>
        </row>
        <row r="343">
          <cell r="A343" t="str">
            <v>Psco_304</v>
          </cell>
          <cell r="B343">
            <v>342</v>
          </cell>
          <cell r="C343">
            <v>1</v>
          </cell>
          <cell r="D343" t="str">
            <v>TZ</v>
          </cell>
          <cell r="E343">
            <v>11</v>
          </cell>
          <cell r="F343">
            <v>0</v>
          </cell>
          <cell r="G343">
            <v>98</v>
          </cell>
          <cell r="H343">
            <v>0</v>
          </cell>
          <cell r="I343">
            <v>0</v>
          </cell>
        </row>
        <row r="344">
          <cell r="A344" t="str">
            <v>Psco_312</v>
          </cell>
          <cell r="B344">
            <v>343</v>
          </cell>
          <cell r="C344">
            <v>1</v>
          </cell>
          <cell r="D344" t="str">
            <v>MZ</v>
          </cell>
          <cell r="E344">
            <v>2</v>
          </cell>
          <cell r="F344">
            <v>0</v>
          </cell>
          <cell r="G344">
            <v>98</v>
          </cell>
          <cell r="H344">
            <v>0</v>
          </cell>
          <cell r="I344">
            <v>0</v>
          </cell>
        </row>
        <row r="345">
          <cell r="A345" t="str">
            <v>Psco_423</v>
          </cell>
          <cell r="B345">
            <v>344</v>
          </cell>
          <cell r="C345">
            <v>2</v>
          </cell>
          <cell r="D345" t="str">
            <v>TZ</v>
          </cell>
          <cell r="E345">
            <v>50</v>
          </cell>
          <cell r="F345">
            <v>0</v>
          </cell>
          <cell r="G345">
            <v>98</v>
          </cell>
          <cell r="H345">
            <v>1</v>
          </cell>
          <cell r="I345">
            <v>0.22800800991986911</v>
          </cell>
        </row>
        <row r="346">
          <cell r="A346" t="str">
            <v>Psco_431</v>
          </cell>
          <cell r="B346">
            <v>345</v>
          </cell>
          <cell r="C346">
            <v>2</v>
          </cell>
          <cell r="D346" t="str">
            <v>MZ</v>
          </cell>
          <cell r="E346">
            <v>27</v>
          </cell>
          <cell r="F346">
            <v>1</v>
          </cell>
          <cell r="G346">
            <v>86</v>
          </cell>
          <cell r="H346">
            <v>1</v>
          </cell>
          <cell r="I346">
            <v>0.41730737134161322</v>
          </cell>
        </row>
        <row r="347">
          <cell r="A347" t="str">
            <v>Psco_328</v>
          </cell>
          <cell r="B347">
            <v>346</v>
          </cell>
          <cell r="C347">
            <v>1</v>
          </cell>
          <cell r="D347" t="str">
            <v>TZ</v>
          </cell>
          <cell r="E347">
            <v>13</v>
          </cell>
          <cell r="F347">
            <v>1</v>
          </cell>
          <cell r="G347">
            <v>91</v>
          </cell>
          <cell r="H347">
            <v>1</v>
          </cell>
          <cell r="I347">
            <v>1.1932585995025251</v>
          </cell>
        </row>
        <row r="348">
          <cell r="A348" t="str">
            <v>Psco_439</v>
          </cell>
          <cell r="B348">
            <v>347</v>
          </cell>
          <cell r="C348">
            <v>2</v>
          </cell>
          <cell r="D348" t="str">
            <v>TZ</v>
          </cell>
          <cell r="E348">
            <v>53</v>
          </cell>
          <cell r="F348">
            <v>1</v>
          </cell>
          <cell r="G348">
            <v>60</v>
          </cell>
          <cell r="H348">
            <v>1</v>
          </cell>
          <cell r="I348">
            <v>0.43753051231149392</v>
          </cell>
        </row>
        <row r="349">
          <cell r="A349" t="str">
            <v>Psco_447</v>
          </cell>
          <cell r="B349">
            <v>348</v>
          </cell>
          <cell r="C349">
            <v>2</v>
          </cell>
          <cell r="D349" t="str">
            <v>MZ</v>
          </cell>
          <cell r="E349">
            <v>36</v>
          </cell>
          <cell r="F349">
            <v>1</v>
          </cell>
          <cell r="G349">
            <v>84</v>
          </cell>
          <cell r="H349">
            <v>1</v>
          </cell>
          <cell r="I349">
            <v>0.17469240795962321</v>
          </cell>
        </row>
        <row r="350">
          <cell r="A350" t="str">
            <v>Psco_344</v>
          </cell>
          <cell r="B350">
            <v>349</v>
          </cell>
          <cell r="C350">
            <v>1</v>
          </cell>
          <cell r="D350" t="str">
            <v>TZ</v>
          </cell>
          <cell r="E350">
            <v>15</v>
          </cell>
          <cell r="F350">
            <v>1</v>
          </cell>
          <cell r="G350">
            <v>64</v>
          </cell>
          <cell r="H350">
            <v>1</v>
          </cell>
          <cell r="I350">
            <v>0.34330930334171861</v>
          </cell>
        </row>
        <row r="351">
          <cell r="A351" t="str">
            <v>Psco_455</v>
          </cell>
          <cell r="B351">
            <v>350</v>
          </cell>
          <cell r="C351">
            <v>2</v>
          </cell>
          <cell r="D351" t="str">
            <v>MZ</v>
          </cell>
          <cell r="E351">
            <v>39</v>
          </cell>
          <cell r="F351">
            <v>1</v>
          </cell>
          <cell r="G351">
            <v>67</v>
          </cell>
          <cell r="H351">
            <v>1</v>
          </cell>
          <cell r="I351">
            <v>0.44689365797959357</v>
          </cell>
        </row>
        <row r="352">
          <cell r="A352" t="str">
            <v>Psco_352</v>
          </cell>
          <cell r="B352">
            <v>351</v>
          </cell>
          <cell r="C352">
            <v>1</v>
          </cell>
          <cell r="D352" t="str">
            <v>TZ</v>
          </cell>
          <cell r="E352">
            <v>13</v>
          </cell>
          <cell r="F352">
            <v>1</v>
          </cell>
          <cell r="G352">
            <v>71</v>
          </cell>
          <cell r="H352">
            <v>1</v>
          </cell>
          <cell r="I352">
            <v>0.69498003061479674</v>
          </cell>
        </row>
        <row r="353">
          <cell r="A353" t="str">
            <v>Psco_463</v>
          </cell>
          <cell r="B353">
            <v>352</v>
          </cell>
          <cell r="C353">
            <v>2</v>
          </cell>
          <cell r="D353" t="str">
            <v>TZ</v>
          </cell>
          <cell r="E353">
            <v>44</v>
          </cell>
          <cell r="F353">
            <v>0</v>
          </cell>
          <cell r="G353">
            <v>98</v>
          </cell>
          <cell r="H353">
            <v>1</v>
          </cell>
          <cell r="I353">
            <v>0.25395060260870539</v>
          </cell>
        </row>
        <row r="354">
          <cell r="A354" t="str">
            <v>Psco_360</v>
          </cell>
          <cell r="B354">
            <v>353</v>
          </cell>
          <cell r="C354">
            <v>1</v>
          </cell>
          <cell r="D354" t="str">
            <v>MZ</v>
          </cell>
          <cell r="E354">
            <v>6</v>
          </cell>
          <cell r="F354">
            <v>1</v>
          </cell>
          <cell r="G354">
            <v>53</v>
          </cell>
          <cell r="H354">
            <v>1</v>
          </cell>
          <cell r="I354">
            <v>0.77088649508646234</v>
          </cell>
        </row>
        <row r="355">
          <cell r="A355" t="str">
            <v>Psco_471</v>
          </cell>
          <cell r="B355">
            <v>354</v>
          </cell>
          <cell r="C355">
            <v>2</v>
          </cell>
          <cell r="D355" t="str">
            <v>TZ</v>
          </cell>
          <cell r="E355">
            <v>53</v>
          </cell>
          <cell r="F355">
            <v>1</v>
          </cell>
          <cell r="G355">
            <v>62</v>
          </cell>
          <cell r="H355">
            <v>1</v>
          </cell>
          <cell r="I355">
            <v>0.51399173358109262</v>
          </cell>
        </row>
        <row r="356">
          <cell r="A356" t="str">
            <v>Psco_368</v>
          </cell>
          <cell r="B356">
            <v>355</v>
          </cell>
          <cell r="C356">
            <v>1</v>
          </cell>
          <cell r="D356" t="str">
            <v>MZ</v>
          </cell>
          <cell r="E356">
            <v>6</v>
          </cell>
          <cell r="F356">
            <v>0</v>
          </cell>
          <cell r="G356">
            <v>98</v>
          </cell>
          <cell r="H356">
            <v>0</v>
          </cell>
          <cell r="I356">
            <v>0</v>
          </cell>
        </row>
        <row r="357">
          <cell r="A357" t="str">
            <v>Psco_479</v>
          </cell>
          <cell r="B357">
            <v>356</v>
          </cell>
          <cell r="C357">
            <v>2</v>
          </cell>
          <cell r="D357" t="str">
            <v>MZ</v>
          </cell>
          <cell r="E357">
            <v>35</v>
          </cell>
          <cell r="F357">
            <v>1</v>
          </cell>
          <cell r="G357">
            <v>42</v>
          </cell>
          <cell r="H357">
            <v>1</v>
          </cell>
          <cell r="I357">
            <v>0.78746786455792162</v>
          </cell>
        </row>
        <row r="358">
          <cell r="A358" t="str">
            <v>Psco_376</v>
          </cell>
          <cell r="B358">
            <v>357</v>
          </cell>
          <cell r="C358">
            <v>1</v>
          </cell>
          <cell r="D358" t="str">
            <v>MZ</v>
          </cell>
          <cell r="E358">
            <v>6</v>
          </cell>
          <cell r="F358">
            <v>1</v>
          </cell>
          <cell r="G358">
            <v>69</v>
          </cell>
          <cell r="H358">
            <v>1</v>
          </cell>
          <cell r="I358">
            <v>0.7425631321857985</v>
          </cell>
        </row>
        <row r="359">
          <cell r="A359" t="str">
            <v>Psco_487</v>
          </cell>
          <cell r="B359">
            <v>358</v>
          </cell>
          <cell r="C359">
            <v>2</v>
          </cell>
          <cell r="D359" t="str">
            <v>MZ</v>
          </cell>
          <cell r="E359">
            <v>40</v>
          </cell>
          <cell r="F359">
            <v>1</v>
          </cell>
          <cell r="G359">
            <v>49</v>
          </cell>
          <cell r="H359">
            <v>1</v>
          </cell>
          <cell r="I359">
            <v>0.54361293637451347</v>
          </cell>
        </row>
        <row r="360">
          <cell r="A360" t="str">
            <v>Psco_384</v>
          </cell>
          <cell r="B360">
            <v>359</v>
          </cell>
          <cell r="C360">
            <v>1</v>
          </cell>
          <cell r="D360" t="str">
            <v>MZ</v>
          </cell>
          <cell r="E360">
            <v>2</v>
          </cell>
          <cell r="F360">
            <v>1</v>
          </cell>
          <cell r="G360">
            <v>42</v>
          </cell>
          <cell r="H360">
            <v>1</v>
          </cell>
          <cell r="I360">
            <v>0.77294805650484089</v>
          </cell>
        </row>
        <row r="361">
          <cell r="A361" t="str">
            <v>Psco_495</v>
          </cell>
          <cell r="B361">
            <v>360</v>
          </cell>
          <cell r="C361">
            <v>2</v>
          </cell>
          <cell r="D361" t="str">
            <v>MZ</v>
          </cell>
          <cell r="E361">
            <v>27</v>
          </cell>
          <cell r="F361">
            <v>0</v>
          </cell>
          <cell r="G361">
            <v>98</v>
          </cell>
          <cell r="H361">
            <v>0</v>
          </cell>
          <cell r="I361">
            <v>0</v>
          </cell>
        </row>
        <row r="362">
          <cell r="A362" t="str">
            <v>Psco_990</v>
          </cell>
          <cell r="B362">
            <v>361</v>
          </cell>
          <cell r="C362">
            <v>3</v>
          </cell>
          <cell r="D362" t="str">
            <v>TZ</v>
          </cell>
          <cell r="E362">
            <v>52</v>
          </cell>
          <cell r="F362">
            <v>1</v>
          </cell>
          <cell r="G362">
            <v>94</v>
          </cell>
          <cell r="H362">
            <v>1</v>
          </cell>
          <cell r="I362">
            <v>0.26619509269243991</v>
          </cell>
        </row>
        <row r="363">
          <cell r="A363" t="str">
            <v>Psco_902</v>
          </cell>
          <cell r="B363">
            <v>362</v>
          </cell>
          <cell r="C363">
            <v>3</v>
          </cell>
          <cell r="D363" t="str">
            <v>MZ</v>
          </cell>
          <cell r="E363">
            <v>36</v>
          </cell>
          <cell r="F363">
            <v>0</v>
          </cell>
          <cell r="G363">
            <v>98</v>
          </cell>
          <cell r="H363">
            <v>0</v>
          </cell>
          <cell r="I363">
            <v>0</v>
          </cell>
        </row>
        <row r="364">
          <cell r="A364" t="str">
            <v>Psco_998</v>
          </cell>
          <cell r="B364">
            <v>363</v>
          </cell>
          <cell r="C364">
            <v>3</v>
          </cell>
          <cell r="D364" t="str">
            <v>TZ</v>
          </cell>
          <cell r="E364">
            <v>42</v>
          </cell>
          <cell r="F364">
            <v>1</v>
          </cell>
          <cell r="G364">
            <v>76</v>
          </cell>
          <cell r="H364">
            <v>0</v>
          </cell>
          <cell r="I364">
            <v>0</v>
          </cell>
        </row>
        <row r="365">
          <cell r="A365" t="str">
            <v>Psco_910</v>
          </cell>
          <cell r="B365">
            <v>364</v>
          </cell>
          <cell r="C365">
            <v>3</v>
          </cell>
          <cell r="D365" t="str">
            <v>TZ</v>
          </cell>
          <cell r="E365">
            <v>44</v>
          </cell>
          <cell r="F365">
            <v>0</v>
          </cell>
          <cell r="G365">
            <v>98</v>
          </cell>
          <cell r="H365">
            <v>1</v>
          </cell>
          <cell r="I365">
            <v>0.37036318738735963</v>
          </cell>
        </row>
        <row r="366">
          <cell r="A366" t="str">
            <v>Psco_1006</v>
          </cell>
          <cell r="B366">
            <v>365</v>
          </cell>
          <cell r="C366">
            <v>3</v>
          </cell>
          <cell r="D366" t="str">
            <v>TZ</v>
          </cell>
          <cell r="E366">
            <v>50</v>
          </cell>
          <cell r="F366">
            <v>0</v>
          </cell>
          <cell r="G366">
            <v>98</v>
          </cell>
          <cell r="H366">
            <v>0</v>
          </cell>
          <cell r="I366">
            <v>0</v>
          </cell>
        </row>
        <row r="367">
          <cell r="A367" t="str">
            <v>Psco_918</v>
          </cell>
          <cell r="B367">
            <v>366</v>
          </cell>
          <cell r="C367">
            <v>3</v>
          </cell>
          <cell r="D367" t="str">
            <v>TZ</v>
          </cell>
          <cell r="E367">
            <v>50</v>
          </cell>
          <cell r="F367">
            <v>0</v>
          </cell>
          <cell r="G367">
            <v>98</v>
          </cell>
          <cell r="H367">
            <v>0</v>
          </cell>
          <cell r="I367">
            <v>0</v>
          </cell>
        </row>
        <row r="368">
          <cell r="A368" t="str">
            <v>Psco_1014</v>
          </cell>
          <cell r="B368">
            <v>367</v>
          </cell>
          <cell r="C368">
            <v>3</v>
          </cell>
          <cell r="D368" t="str">
            <v>TZ</v>
          </cell>
          <cell r="E368">
            <v>44</v>
          </cell>
          <cell r="F368">
            <v>1</v>
          </cell>
          <cell r="G368">
            <v>69</v>
          </cell>
          <cell r="H368">
            <v>1</v>
          </cell>
          <cell r="I368">
            <v>0.39518613381022388</v>
          </cell>
        </row>
        <row r="369">
          <cell r="A369" t="str">
            <v>Psco_926</v>
          </cell>
          <cell r="B369">
            <v>368</v>
          </cell>
          <cell r="C369">
            <v>3</v>
          </cell>
          <cell r="D369" t="str">
            <v>TZ</v>
          </cell>
          <cell r="E369">
            <v>44</v>
          </cell>
          <cell r="F369">
            <v>1</v>
          </cell>
          <cell r="G369">
            <v>66</v>
          </cell>
          <cell r="H369">
            <v>1</v>
          </cell>
          <cell r="I369">
            <v>0.6672785933429265</v>
          </cell>
        </row>
        <row r="370">
          <cell r="A370" t="str">
            <v>Psco_1022</v>
          </cell>
          <cell r="B370">
            <v>369</v>
          </cell>
          <cell r="C370">
            <v>3</v>
          </cell>
          <cell r="D370" t="str">
            <v>TZ</v>
          </cell>
          <cell r="E370">
            <v>42</v>
          </cell>
          <cell r="F370">
            <v>1</v>
          </cell>
          <cell r="G370">
            <v>70</v>
          </cell>
          <cell r="H370">
            <v>1</v>
          </cell>
          <cell r="I370">
            <v>0.44665291465256041</v>
          </cell>
        </row>
        <row r="371">
          <cell r="A371" t="str">
            <v>Psco_1030</v>
          </cell>
          <cell r="B371">
            <v>370</v>
          </cell>
          <cell r="C371">
            <v>3</v>
          </cell>
          <cell r="D371" t="str">
            <v>TZ</v>
          </cell>
          <cell r="E371">
            <v>46</v>
          </cell>
          <cell r="F371">
            <v>1</v>
          </cell>
          <cell r="G371">
            <v>62</v>
          </cell>
          <cell r="H371">
            <v>1</v>
          </cell>
          <cell r="I371">
            <v>0.50024925095262962</v>
          </cell>
        </row>
        <row r="372">
          <cell r="A372" t="str">
            <v>Psco_942</v>
          </cell>
          <cell r="B372">
            <v>371</v>
          </cell>
          <cell r="C372">
            <v>3</v>
          </cell>
          <cell r="D372" t="str">
            <v>TZ</v>
          </cell>
          <cell r="E372">
            <v>50</v>
          </cell>
          <cell r="F372">
            <v>1</v>
          </cell>
          <cell r="G372">
            <v>48</v>
          </cell>
          <cell r="H372">
            <v>1</v>
          </cell>
          <cell r="I372">
            <v>0.86946343400805515</v>
          </cell>
        </row>
        <row r="373">
          <cell r="A373" t="str">
            <v>Psco_1038</v>
          </cell>
          <cell r="B373">
            <v>372</v>
          </cell>
          <cell r="C373">
            <v>3</v>
          </cell>
          <cell r="D373" t="str">
            <v>TZ</v>
          </cell>
          <cell r="E373">
            <v>48</v>
          </cell>
          <cell r="F373">
            <v>1</v>
          </cell>
          <cell r="G373">
            <v>74</v>
          </cell>
          <cell r="H373">
            <v>1</v>
          </cell>
          <cell r="I373">
            <v>0.27668230419449352</v>
          </cell>
        </row>
        <row r="374">
          <cell r="A374" t="str">
            <v>Psco_950</v>
          </cell>
          <cell r="B374">
            <v>373</v>
          </cell>
          <cell r="C374">
            <v>3</v>
          </cell>
          <cell r="D374" t="str">
            <v>TZ</v>
          </cell>
          <cell r="E374">
            <v>50</v>
          </cell>
          <cell r="F374">
            <v>0</v>
          </cell>
          <cell r="G374">
            <v>98</v>
          </cell>
          <cell r="H374">
            <v>0</v>
          </cell>
          <cell r="I374">
            <v>0</v>
          </cell>
        </row>
        <row r="375">
          <cell r="A375" t="str">
            <v>Psco_1046</v>
          </cell>
          <cell r="B375">
            <v>374</v>
          </cell>
          <cell r="C375">
            <v>3</v>
          </cell>
          <cell r="D375" t="str">
            <v>TZ</v>
          </cell>
          <cell r="E375">
            <v>48</v>
          </cell>
          <cell r="F375">
            <v>0</v>
          </cell>
          <cell r="G375">
            <v>98</v>
          </cell>
          <cell r="H375">
            <v>1</v>
          </cell>
          <cell r="I375">
            <v>0.14735983806021399</v>
          </cell>
        </row>
        <row r="376">
          <cell r="A376" t="str">
            <v>Psco_958</v>
          </cell>
          <cell r="B376">
            <v>375</v>
          </cell>
          <cell r="C376">
            <v>3</v>
          </cell>
          <cell r="D376" t="str">
            <v>TZ</v>
          </cell>
          <cell r="E376">
            <v>44</v>
          </cell>
          <cell r="F376">
            <v>1</v>
          </cell>
          <cell r="G376">
            <v>62</v>
          </cell>
          <cell r="H376">
            <v>1</v>
          </cell>
          <cell r="I376">
            <v>0.50464716534979481</v>
          </cell>
        </row>
        <row r="377">
          <cell r="A377" t="str">
            <v>Psco_1054</v>
          </cell>
          <cell r="B377">
            <v>376</v>
          </cell>
          <cell r="C377">
            <v>3</v>
          </cell>
          <cell r="D377" t="str">
            <v>TZ</v>
          </cell>
          <cell r="E377">
            <v>49</v>
          </cell>
          <cell r="F377">
            <v>1</v>
          </cell>
          <cell r="G377">
            <v>88</v>
          </cell>
          <cell r="H377">
            <v>1</v>
          </cell>
          <cell r="I377">
            <v>0.28324506065152011</v>
          </cell>
        </row>
        <row r="378">
          <cell r="A378" t="str">
            <v>Psco_966</v>
          </cell>
          <cell r="B378">
            <v>377</v>
          </cell>
          <cell r="C378">
            <v>3</v>
          </cell>
          <cell r="D378" t="str">
            <v>TZ</v>
          </cell>
          <cell r="E378">
            <v>41</v>
          </cell>
          <cell r="F378">
            <v>0</v>
          </cell>
          <cell r="G378">
            <v>98</v>
          </cell>
          <cell r="H378">
            <v>0</v>
          </cell>
          <cell r="I378">
            <v>0</v>
          </cell>
        </row>
        <row r="379">
          <cell r="A379" t="str">
            <v>Psco_974</v>
          </cell>
          <cell r="B379">
            <v>378</v>
          </cell>
          <cell r="C379">
            <v>3</v>
          </cell>
          <cell r="D379" t="str">
            <v>TZ</v>
          </cell>
          <cell r="E379">
            <v>50</v>
          </cell>
          <cell r="F379">
            <v>0</v>
          </cell>
          <cell r="G379">
            <v>98</v>
          </cell>
          <cell r="H379">
            <v>0</v>
          </cell>
          <cell r="I379">
            <v>0</v>
          </cell>
        </row>
        <row r="380">
          <cell r="A380" t="str">
            <v>Psco_982</v>
          </cell>
          <cell r="B380">
            <v>379</v>
          </cell>
          <cell r="C380">
            <v>3</v>
          </cell>
          <cell r="D380" t="str">
            <v>TZ</v>
          </cell>
          <cell r="E380">
            <v>44</v>
          </cell>
          <cell r="F380">
            <v>0</v>
          </cell>
          <cell r="G380">
            <v>98</v>
          </cell>
          <cell r="H380">
            <v>1</v>
          </cell>
          <cell r="I380">
            <v>0.1241983564244911</v>
          </cell>
        </row>
        <row r="381">
          <cell r="A381" t="str">
            <v>Psco_895</v>
          </cell>
          <cell r="B381">
            <v>380</v>
          </cell>
          <cell r="C381">
            <v>3</v>
          </cell>
          <cell r="D381" t="str">
            <v>MZ</v>
          </cell>
          <cell r="E381">
            <v>36</v>
          </cell>
          <cell r="F381">
            <v>0</v>
          </cell>
          <cell r="G381">
            <v>98</v>
          </cell>
          <cell r="H381">
            <v>0</v>
          </cell>
          <cell r="I381">
            <v>0</v>
          </cell>
        </row>
        <row r="382">
          <cell r="A382" t="str">
            <v>Psco_991</v>
          </cell>
          <cell r="B382">
            <v>381</v>
          </cell>
          <cell r="C382">
            <v>3</v>
          </cell>
          <cell r="D382" t="str">
            <v>TZ</v>
          </cell>
          <cell r="E382">
            <v>50</v>
          </cell>
          <cell r="F382">
            <v>0</v>
          </cell>
          <cell r="G382">
            <v>98</v>
          </cell>
          <cell r="H382">
            <v>1</v>
          </cell>
          <cell r="I382">
            <v>1.831630831520601E-2</v>
          </cell>
        </row>
        <row r="383">
          <cell r="A383" t="str">
            <v>Psco_903</v>
          </cell>
          <cell r="B383">
            <v>382</v>
          </cell>
          <cell r="C383">
            <v>3</v>
          </cell>
          <cell r="D383" t="str">
            <v>MZ</v>
          </cell>
          <cell r="E383">
            <v>27</v>
          </cell>
          <cell r="F383">
            <v>1</v>
          </cell>
          <cell r="G383">
            <v>61</v>
          </cell>
          <cell r="H383">
            <v>1</v>
          </cell>
          <cell r="I383">
            <v>0.41698989880547832</v>
          </cell>
        </row>
        <row r="384">
          <cell r="A384" t="str">
            <v>Psco_999</v>
          </cell>
          <cell r="B384">
            <v>383</v>
          </cell>
          <cell r="C384">
            <v>3</v>
          </cell>
          <cell r="D384" t="str">
            <v>TZ</v>
          </cell>
          <cell r="E384">
            <v>49</v>
          </cell>
          <cell r="F384">
            <v>1</v>
          </cell>
          <cell r="G384">
            <v>57</v>
          </cell>
          <cell r="H384">
            <v>1</v>
          </cell>
          <cell r="I384">
            <v>0.79910497564815675</v>
          </cell>
        </row>
        <row r="385">
          <cell r="A385" t="str">
            <v>Psco_911</v>
          </cell>
          <cell r="B385">
            <v>384</v>
          </cell>
          <cell r="C385">
            <v>3</v>
          </cell>
          <cell r="D385" t="str">
            <v>TZ</v>
          </cell>
          <cell r="E385">
            <v>46</v>
          </cell>
          <cell r="F385">
            <v>1</v>
          </cell>
          <cell r="G385">
            <v>89</v>
          </cell>
          <cell r="H385">
            <v>1</v>
          </cell>
          <cell r="I385">
            <v>0.42608856428626002</v>
          </cell>
        </row>
        <row r="386">
          <cell r="A386" t="str">
            <v>Psco_1007</v>
          </cell>
          <cell r="B386">
            <v>385</v>
          </cell>
          <cell r="C386">
            <v>3</v>
          </cell>
          <cell r="D386" t="str">
            <v>TZ</v>
          </cell>
          <cell r="E386">
            <v>49</v>
          </cell>
          <cell r="F386">
            <v>1</v>
          </cell>
          <cell r="G386">
            <v>51</v>
          </cell>
          <cell r="H386">
            <v>1</v>
          </cell>
          <cell r="I386">
            <v>0.47706729141631071</v>
          </cell>
        </row>
        <row r="387">
          <cell r="A387" t="str">
            <v>Psco_919</v>
          </cell>
          <cell r="B387">
            <v>386</v>
          </cell>
          <cell r="C387">
            <v>3</v>
          </cell>
          <cell r="D387" t="str">
            <v>TZ</v>
          </cell>
          <cell r="E387">
            <v>49</v>
          </cell>
          <cell r="F387">
            <v>1</v>
          </cell>
          <cell r="G387">
            <v>75</v>
          </cell>
          <cell r="H387">
            <v>1</v>
          </cell>
          <cell r="I387">
            <v>0.38408471675958578</v>
          </cell>
        </row>
        <row r="388">
          <cell r="A388" t="str">
            <v>Psco_1015</v>
          </cell>
          <cell r="B388">
            <v>387</v>
          </cell>
          <cell r="C388">
            <v>3</v>
          </cell>
          <cell r="D388" t="str">
            <v>TZ</v>
          </cell>
          <cell r="E388">
            <v>44</v>
          </cell>
          <cell r="F388">
            <v>0</v>
          </cell>
          <cell r="G388">
            <v>98</v>
          </cell>
          <cell r="H388">
            <v>1</v>
          </cell>
          <cell r="I388">
            <v>0.1857198399293801</v>
          </cell>
        </row>
        <row r="389">
          <cell r="A389" t="str">
            <v>Psco_927</v>
          </cell>
          <cell r="B389">
            <v>388</v>
          </cell>
          <cell r="C389">
            <v>3</v>
          </cell>
          <cell r="D389" t="str">
            <v>TZ</v>
          </cell>
          <cell r="E389">
            <v>52</v>
          </cell>
          <cell r="F389">
            <v>0</v>
          </cell>
          <cell r="G389">
            <v>98</v>
          </cell>
          <cell r="H389">
            <v>0</v>
          </cell>
          <cell r="I389">
            <v>0</v>
          </cell>
        </row>
        <row r="390">
          <cell r="A390" t="str">
            <v>Psco_1023</v>
          </cell>
          <cell r="B390">
            <v>389</v>
          </cell>
          <cell r="C390">
            <v>3</v>
          </cell>
          <cell r="D390" t="str">
            <v>TZ</v>
          </cell>
          <cell r="E390">
            <v>50</v>
          </cell>
          <cell r="F390">
            <v>0</v>
          </cell>
          <cell r="G390">
            <v>98</v>
          </cell>
          <cell r="H390">
            <v>0</v>
          </cell>
          <cell r="I390">
            <v>0</v>
          </cell>
        </row>
        <row r="391">
          <cell r="A391" t="str">
            <v>Psco_935</v>
          </cell>
          <cell r="B391">
            <v>390</v>
          </cell>
          <cell r="C391">
            <v>3</v>
          </cell>
          <cell r="D391" t="str">
            <v>TZ</v>
          </cell>
          <cell r="E391">
            <v>42</v>
          </cell>
          <cell r="F391">
            <v>0</v>
          </cell>
          <cell r="G391">
            <v>98</v>
          </cell>
          <cell r="H391">
            <v>1</v>
          </cell>
          <cell r="I391">
            <v>0.14182569204914641</v>
          </cell>
        </row>
        <row r="392">
          <cell r="A392" t="str">
            <v>Psco_1031</v>
          </cell>
          <cell r="B392">
            <v>391</v>
          </cell>
          <cell r="C392">
            <v>3</v>
          </cell>
          <cell r="D392" t="str">
            <v>TZ</v>
          </cell>
          <cell r="E392">
            <v>44</v>
          </cell>
          <cell r="F392">
            <v>0</v>
          </cell>
          <cell r="G392">
            <v>98</v>
          </cell>
          <cell r="H392">
            <v>0</v>
          </cell>
          <cell r="I392">
            <v>0</v>
          </cell>
        </row>
        <row r="393">
          <cell r="A393" t="str">
            <v>Psco_943</v>
          </cell>
          <cell r="B393">
            <v>392</v>
          </cell>
          <cell r="C393">
            <v>3</v>
          </cell>
          <cell r="D393" t="str">
            <v>TZ</v>
          </cell>
          <cell r="E393">
            <v>49</v>
          </cell>
          <cell r="F393">
            <v>0</v>
          </cell>
          <cell r="G393">
            <v>98</v>
          </cell>
          <cell r="H393">
            <v>0</v>
          </cell>
          <cell r="I393">
            <v>0</v>
          </cell>
        </row>
        <row r="394">
          <cell r="A394" t="str">
            <v>Psco_1039</v>
          </cell>
          <cell r="B394">
            <v>393</v>
          </cell>
          <cell r="C394">
            <v>3</v>
          </cell>
          <cell r="D394" t="str">
            <v>TZ</v>
          </cell>
          <cell r="E394">
            <v>54</v>
          </cell>
          <cell r="F394">
            <v>1</v>
          </cell>
          <cell r="G394">
            <v>76</v>
          </cell>
          <cell r="H394">
            <v>1</v>
          </cell>
          <cell r="I394">
            <v>0.3526359334354604</v>
          </cell>
        </row>
        <row r="395">
          <cell r="A395" t="str">
            <v>Psco_951</v>
          </cell>
          <cell r="B395">
            <v>394</v>
          </cell>
          <cell r="C395">
            <v>3</v>
          </cell>
          <cell r="D395" t="str">
            <v>TZ</v>
          </cell>
          <cell r="E395">
            <v>42</v>
          </cell>
          <cell r="F395">
            <v>0</v>
          </cell>
          <cell r="G395">
            <v>98</v>
          </cell>
          <cell r="H395">
            <v>0</v>
          </cell>
          <cell r="I395">
            <v>0</v>
          </cell>
        </row>
        <row r="396">
          <cell r="A396" t="str">
            <v>Psco_1047</v>
          </cell>
          <cell r="B396">
            <v>395</v>
          </cell>
          <cell r="C396">
            <v>3</v>
          </cell>
          <cell r="D396" t="str">
            <v>TZ</v>
          </cell>
          <cell r="E396">
            <v>44</v>
          </cell>
          <cell r="F396">
            <v>0</v>
          </cell>
          <cell r="G396">
            <v>98</v>
          </cell>
          <cell r="H396">
            <v>1</v>
          </cell>
          <cell r="I396">
            <v>0.31689774972064633</v>
          </cell>
        </row>
        <row r="397">
          <cell r="A397" t="str">
            <v>Psco_959</v>
          </cell>
          <cell r="B397">
            <v>396</v>
          </cell>
          <cell r="C397">
            <v>3</v>
          </cell>
          <cell r="D397" t="str">
            <v>TZ</v>
          </cell>
          <cell r="E397">
            <v>49</v>
          </cell>
          <cell r="F397">
            <v>1</v>
          </cell>
          <cell r="G397">
            <v>60</v>
          </cell>
          <cell r="H397">
            <v>1</v>
          </cell>
          <cell r="I397">
            <v>0.70397788139823203</v>
          </cell>
        </row>
        <row r="398">
          <cell r="A398" t="str">
            <v>Psco_1055</v>
          </cell>
          <cell r="B398">
            <v>397</v>
          </cell>
          <cell r="C398">
            <v>3</v>
          </cell>
          <cell r="D398" t="str">
            <v>TZ</v>
          </cell>
          <cell r="E398">
            <v>50</v>
          </cell>
          <cell r="F398">
            <v>1</v>
          </cell>
          <cell r="G398">
            <v>61</v>
          </cell>
          <cell r="H398">
            <v>1</v>
          </cell>
          <cell r="I398">
            <v>0.5347646244119485</v>
          </cell>
        </row>
        <row r="399">
          <cell r="A399" t="str">
            <v>Psco_967</v>
          </cell>
          <cell r="B399">
            <v>398</v>
          </cell>
          <cell r="C399">
            <v>3</v>
          </cell>
          <cell r="D399" t="str">
            <v>TZ</v>
          </cell>
          <cell r="E399">
            <v>43</v>
          </cell>
          <cell r="F399">
            <v>1</v>
          </cell>
          <cell r="G399">
            <v>69</v>
          </cell>
          <cell r="H399">
            <v>1</v>
          </cell>
          <cell r="I399">
            <v>0.5311977171190454</v>
          </cell>
        </row>
        <row r="400">
          <cell r="A400" t="str">
            <v>Psco_975</v>
          </cell>
          <cell r="B400">
            <v>399</v>
          </cell>
          <cell r="C400">
            <v>3</v>
          </cell>
          <cell r="D400" t="str">
            <v>TZ</v>
          </cell>
          <cell r="E400">
            <v>50</v>
          </cell>
          <cell r="F400">
            <v>1</v>
          </cell>
          <cell r="G400">
            <v>92</v>
          </cell>
          <cell r="H400">
            <v>1</v>
          </cell>
          <cell r="I400">
            <v>0.28507182691149408</v>
          </cell>
        </row>
        <row r="401">
          <cell r="A401" t="str">
            <v>Psco_983</v>
          </cell>
          <cell r="B401">
            <v>400</v>
          </cell>
          <cell r="C401">
            <v>3</v>
          </cell>
          <cell r="D401" t="str">
            <v>TZ</v>
          </cell>
          <cell r="E401">
            <v>50</v>
          </cell>
          <cell r="F401">
            <v>0</v>
          </cell>
          <cell r="G401">
            <v>98</v>
          </cell>
          <cell r="H401">
            <v>0</v>
          </cell>
          <cell r="I401">
            <v>0</v>
          </cell>
        </row>
        <row r="402">
          <cell r="A402" t="str">
            <v>Psco_896</v>
          </cell>
          <cell r="B402">
            <v>401</v>
          </cell>
          <cell r="C402">
            <v>3</v>
          </cell>
          <cell r="D402" t="str">
            <v>MZ</v>
          </cell>
          <cell r="E402">
            <v>35</v>
          </cell>
          <cell r="F402">
            <v>0</v>
          </cell>
          <cell r="G402">
            <v>98</v>
          </cell>
          <cell r="H402">
            <v>0</v>
          </cell>
          <cell r="I402">
            <v>0</v>
          </cell>
        </row>
        <row r="403">
          <cell r="A403" t="str">
            <v>Psco_992</v>
          </cell>
          <cell r="B403">
            <v>402</v>
          </cell>
          <cell r="C403">
            <v>3</v>
          </cell>
          <cell r="D403" t="str">
            <v>TZ</v>
          </cell>
          <cell r="E403">
            <v>50</v>
          </cell>
          <cell r="F403">
            <v>1</v>
          </cell>
          <cell r="G403">
            <v>75</v>
          </cell>
          <cell r="H403">
            <v>1</v>
          </cell>
          <cell r="I403">
            <v>0.42170859123947341</v>
          </cell>
        </row>
        <row r="404">
          <cell r="A404" t="str">
            <v>Psco_904</v>
          </cell>
          <cell r="B404">
            <v>403</v>
          </cell>
          <cell r="C404">
            <v>3</v>
          </cell>
          <cell r="D404" t="str">
            <v>MZ</v>
          </cell>
          <cell r="E404">
            <v>34</v>
          </cell>
          <cell r="F404">
            <v>1</v>
          </cell>
          <cell r="G404">
            <v>69</v>
          </cell>
          <cell r="H404">
            <v>1</v>
          </cell>
          <cell r="I404">
            <v>0.36484829942014002</v>
          </cell>
        </row>
        <row r="405">
          <cell r="A405" t="str">
            <v>Psco_1000</v>
          </cell>
          <cell r="B405">
            <v>404</v>
          </cell>
          <cell r="C405">
            <v>3</v>
          </cell>
          <cell r="D405" t="str">
            <v>TZ</v>
          </cell>
          <cell r="E405">
            <v>49</v>
          </cell>
          <cell r="F405">
            <v>1</v>
          </cell>
          <cell r="G405">
            <v>66</v>
          </cell>
          <cell r="H405">
            <v>1</v>
          </cell>
          <cell r="I405">
            <v>0.49514226384138538</v>
          </cell>
        </row>
        <row r="406">
          <cell r="A406" t="str">
            <v>Psco_912</v>
          </cell>
          <cell r="B406">
            <v>405</v>
          </cell>
          <cell r="C406">
            <v>3</v>
          </cell>
          <cell r="D406" t="str">
            <v>TZ</v>
          </cell>
          <cell r="E406">
            <v>48</v>
          </cell>
          <cell r="F406">
            <v>0</v>
          </cell>
          <cell r="G406">
            <v>98</v>
          </cell>
          <cell r="H406">
            <v>0</v>
          </cell>
          <cell r="I406">
            <v>0</v>
          </cell>
        </row>
        <row r="407">
          <cell r="A407" t="str">
            <v>Psco_1008</v>
          </cell>
          <cell r="B407">
            <v>406</v>
          </cell>
          <cell r="C407">
            <v>3</v>
          </cell>
          <cell r="D407" t="str">
            <v>TZ</v>
          </cell>
          <cell r="E407">
            <v>50</v>
          </cell>
          <cell r="F407">
            <v>1</v>
          </cell>
          <cell r="G407">
            <v>56</v>
          </cell>
          <cell r="H407">
            <v>1</v>
          </cell>
          <cell r="I407">
            <v>0.71694040126932501</v>
          </cell>
        </row>
        <row r="408">
          <cell r="A408" t="str">
            <v>Psco_920</v>
          </cell>
          <cell r="B408">
            <v>407</v>
          </cell>
          <cell r="C408">
            <v>3</v>
          </cell>
          <cell r="D408" t="str">
            <v>TZ</v>
          </cell>
          <cell r="E408">
            <v>51</v>
          </cell>
          <cell r="F408">
            <v>1</v>
          </cell>
          <cell r="G408">
            <v>65</v>
          </cell>
          <cell r="H408">
            <v>1</v>
          </cell>
          <cell r="I408">
            <v>0.71538550640195719</v>
          </cell>
        </row>
        <row r="409">
          <cell r="A409" t="str">
            <v>Psco_1016</v>
          </cell>
          <cell r="B409">
            <v>408</v>
          </cell>
          <cell r="C409">
            <v>3</v>
          </cell>
          <cell r="D409" t="str">
            <v>TZ</v>
          </cell>
          <cell r="E409">
            <v>49</v>
          </cell>
          <cell r="F409">
            <v>1</v>
          </cell>
          <cell r="G409">
            <v>60</v>
          </cell>
          <cell r="H409">
            <v>1</v>
          </cell>
          <cell r="I409">
            <v>0.74572475496682089</v>
          </cell>
        </row>
        <row r="410">
          <cell r="A410" t="str">
            <v>Psco_928</v>
          </cell>
          <cell r="B410">
            <v>409</v>
          </cell>
          <cell r="C410">
            <v>3</v>
          </cell>
          <cell r="D410" t="str">
            <v>TZ</v>
          </cell>
          <cell r="E410">
            <v>51</v>
          </cell>
          <cell r="F410">
            <v>0</v>
          </cell>
          <cell r="G410">
            <v>98</v>
          </cell>
          <cell r="H410">
            <v>0</v>
          </cell>
          <cell r="I410">
            <v>0</v>
          </cell>
        </row>
        <row r="411">
          <cell r="A411" t="str">
            <v>Psco_1024</v>
          </cell>
          <cell r="B411">
            <v>410</v>
          </cell>
          <cell r="C411">
            <v>3</v>
          </cell>
          <cell r="D411" t="str">
            <v>TZ</v>
          </cell>
          <cell r="E411">
            <v>50</v>
          </cell>
          <cell r="F411">
            <v>1</v>
          </cell>
          <cell r="G411">
            <v>54</v>
          </cell>
          <cell r="H411">
            <v>1</v>
          </cell>
          <cell r="I411">
            <v>0.63237694319242466</v>
          </cell>
        </row>
        <row r="412">
          <cell r="A412" t="str">
            <v>Psco_936</v>
          </cell>
          <cell r="B412">
            <v>411</v>
          </cell>
          <cell r="C412">
            <v>3</v>
          </cell>
          <cell r="D412" t="str">
            <v>TZ</v>
          </cell>
          <cell r="E412">
            <v>50</v>
          </cell>
          <cell r="F412">
            <v>0</v>
          </cell>
          <cell r="G412">
            <v>98</v>
          </cell>
          <cell r="H412">
            <v>1</v>
          </cell>
          <cell r="I412">
            <v>0.13357018118390851</v>
          </cell>
        </row>
        <row r="413">
          <cell r="A413" t="str">
            <v>Psco_1032</v>
          </cell>
          <cell r="B413">
            <v>412</v>
          </cell>
          <cell r="C413">
            <v>3</v>
          </cell>
          <cell r="D413" t="str">
            <v>TZ</v>
          </cell>
          <cell r="E413">
            <v>53</v>
          </cell>
          <cell r="F413">
            <v>0</v>
          </cell>
          <cell r="G413">
            <v>98</v>
          </cell>
          <cell r="H413">
            <v>0</v>
          </cell>
          <cell r="I413">
            <v>0</v>
          </cell>
        </row>
        <row r="414">
          <cell r="A414" t="str">
            <v>Psco_944</v>
          </cell>
          <cell r="B414">
            <v>413</v>
          </cell>
          <cell r="C414">
            <v>3</v>
          </cell>
          <cell r="D414" t="str">
            <v>TZ</v>
          </cell>
          <cell r="E414">
            <v>49</v>
          </cell>
          <cell r="F414">
            <v>0</v>
          </cell>
          <cell r="G414">
            <v>98</v>
          </cell>
          <cell r="H414">
            <v>1</v>
          </cell>
          <cell r="I414">
            <v>8.5190822896124438E-2</v>
          </cell>
        </row>
        <row r="415">
          <cell r="A415" t="str">
            <v>Psco_1040</v>
          </cell>
          <cell r="B415">
            <v>414</v>
          </cell>
          <cell r="C415">
            <v>3</v>
          </cell>
          <cell r="D415" t="str">
            <v>TZ</v>
          </cell>
          <cell r="E415">
            <v>50</v>
          </cell>
          <cell r="F415">
            <v>1</v>
          </cell>
          <cell r="G415">
            <v>89</v>
          </cell>
          <cell r="H415">
            <v>1</v>
          </cell>
          <cell r="I415">
            <v>0.26229790073755899</v>
          </cell>
        </row>
        <row r="416">
          <cell r="A416" t="str">
            <v>Psco_952</v>
          </cell>
          <cell r="B416">
            <v>415</v>
          </cell>
          <cell r="C416">
            <v>3</v>
          </cell>
          <cell r="D416" t="str">
            <v>TZ</v>
          </cell>
          <cell r="E416">
            <v>48</v>
          </cell>
          <cell r="F416">
            <v>1</v>
          </cell>
          <cell r="G416">
            <v>91</v>
          </cell>
          <cell r="H416">
            <v>1</v>
          </cell>
          <cell r="I416">
            <v>0.28778066498586757</v>
          </cell>
        </row>
        <row r="417">
          <cell r="A417" t="str">
            <v>Psco_1048</v>
          </cell>
          <cell r="B417">
            <v>416</v>
          </cell>
          <cell r="C417">
            <v>3</v>
          </cell>
          <cell r="D417" t="str">
            <v>TZ</v>
          </cell>
          <cell r="E417">
            <v>45</v>
          </cell>
          <cell r="F417">
            <v>0</v>
          </cell>
          <cell r="G417">
            <v>98</v>
          </cell>
          <cell r="H417">
            <v>0</v>
          </cell>
          <cell r="I417">
            <v>0</v>
          </cell>
        </row>
        <row r="418">
          <cell r="A418" t="str">
            <v>Psco_960</v>
          </cell>
          <cell r="B418">
            <v>417</v>
          </cell>
          <cell r="C418">
            <v>3</v>
          </cell>
          <cell r="D418" t="str">
            <v>TZ</v>
          </cell>
          <cell r="E418">
            <v>42</v>
          </cell>
          <cell r="F418">
            <v>1</v>
          </cell>
          <cell r="G418">
            <v>88</v>
          </cell>
          <cell r="H418">
            <v>1</v>
          </cell>
          <cell r="I418">
            <v>0.79607722163630112</v>
          </cell>
        </row>
        <row r="419">
          <cell r="A419" t="str">
            <v>Psco_1056</v>
          </cell>
          <cell r="B419">
            <v>418</v>
          </cell>
          <cell r="C419">
            <v>3</v>
          </cell>
          <cell r="D419" t="str">
            <v>TZ</v>
          </cell>
          <cell r="E419">
            <v>42</v>
          </cell>
          <cell r="F419">
            <v>0</v>
          </cell>
          <cell r="G419">
            <v>98</v>
          </cell>
          <cell r="H419">
            <v>0</v>
          </cell>
          <cell r="I419">
            <v>0</v>
          </cell>
        </row>
        <row r="420">
          <cell r="A420" t="str">
            <v>Psco_968</v>
          </cell>
          <cell r="B420">
            <v>419</v>
          </cell>
          <cell r="C420">
            <v>3</v>
          </cell>
          <cell r="D420" t="str">
            <v>TZ</v>
          </cell>
          <cell r="E420">
            <v>54</v>
          </cell>
          <cell r="F420">
            <v>0</v>
          </cell>
          <cell r="G420">
            <v>98</v>
          </cell>
          <cell r="H420">
            <v>0</v>
          </cell>
          <cell r="I420">
            <v>0</v>
          </cell>
        </row>
        <row r="421">
          <cell r="A421" t="str">
            <v>Psco_976</v>
          </cell>
          <cell r="B421">
            <v>420</v>
          </cell>
          <cell r="C421">
            <v>3</v>
          </cell>
          <cell r="D421" t="str">
            <v>TZ</v>
          </cell>
          <cell r="E421">
            <v>53</v>
          </cell>
          <cell r="F421">
            <v>0</v>
          </cell>
          <cell r="G421">
            <v>98</v>
          </cell>
          <cell r="H421">
            <v>0</v>
          </cell>
          <cell r="I421">
            <v>0</v>
          </cell>
        </row>
        <row r="422">
          <cell r="A422" t="str">
            <v>Psco_984</v>
          </cell>
          <cell r="B422">
            <v>421</v>
          </cell>
          <cell r="C422">
            <v>3</v>
          </cell>
          <cell r="D422" t="str">
            <v>TZ</v>
          </cell>
          <cell r="E422">
            <v>42</v>
          </cell>
          <cell r="F422">
            <v>0</v>
          </cell>
          <cell r="G422">
            <v>98</v>
          </cell>
          <cell r="H422">
            <v>0</v>
          </cell>
          <cell r="I422">
            <v>0</v>
          </cell>
        </row>
        <row r="423">
          <cell r="A423" t="str">
            <v>Psco_897</v>
          </cell>
          <cell r="B423">
            <v>422</v>
          </cell>
          <cell r="C423">
            <v>3</v>
          </cell>
          <cell r="D423" t="str">
            <v>MZ</v>
          </cell>
          <cell r="E423">
            <v>31</v>
          </cell>
          <cell r="F423">
            <v>1</v>
          </cell>
          <cell r="G423">
            <v>64</v>
          </cell>
          <cell r="H423">
            <v>1</v>
          </cell>
          <cell r="I423">
            <v>0.52242804952731026</v>
          </cell>
        </row>
        <row r="424">
          <cell r="A424" t="str">
            <v>Psco_993</v>
          </cell>
          <cell r="B424">
            <v>423</v>
          </cell>
          <cell r="C424">
            <v>3</v>
          </cell>
          <cell r="D424" t="str">
            <v>TZ</v>
          </cell>
          <cell r="E424">
            <v>48</v>
          </cell>
          <cell r="F424">
            <v>1</v>
          </cell>
          <cell r="G424">
            <v>58</v>
          </cell>
          <cell r="H424">
            <v>1</v>
          </cell>
          <cell r="I424">
            <v>0.52025797629535142</v>
          </cell>
        </row>
        <row r="425">
          <cell r="A425" t="str">
            <v>Psco_905</v>
          </cell>
          <cell r="B425">
            <v>424</v>
          </cell>
          <cell r="C425">
            <v>3</v>
          </cell>
          <cell r="D425" t="str">
            <v>MZ</v>
          </cell>
          <cell r="E425">
            <v>29</v>
          </cell>
          <cell r="F425">
            <v>0</v>
          </cell>
          <cell r="G425">
            <v>98</v>
          </cell>
          <cell r="H425">
            <v>0</v>
          </cell>
          <cell r="I425">
            <v>0</v>
          </cell>
        </row>
        <row r="426">
          <cell r="A426" t="str">
            <v>Psco_1001</v>
          </cell>
          <cell r="B426">
            <v>425</v>
          </cell>
          <cell r="C426">
            <v>3</v>
          </cell>
          <cell r="D426" t="str">
            <v>TZ</v>
          </cell>
          <cell r="E426">
            <v>52</v>
          </cell>
          <cell r="F426">
            <v>1</v>
          </cell>
          <cell r="G426">
            <v>57</v>
          </cell>
          <cell r="H426">
            <v>1</v>
          </cell>
          <cell r="I426">
            <v>0.59139519201014545</v>
          </cell>
        </row>
        <row r="427">
          <cell r="A427" t="str">
            <v>Psco_913</v>
          </cell>
          <cell r="B427">
            <v>426</v>
          </cell>
          <cell r="C427">
            <v>3</v>
          </cell>
          <cell r="D427" t="str">
            <v>TZ</v>
          </cell>
          <cell r="E427">
            <v>50</v>
          </cell>
          <cell r="F427">
            <v>0</v>
          </cell>
          <cell r="G427">
            <v>98</v>
          </cell>
          <cell r="H427">
            <v>0</v>
          </cell>
          <cell r="I427">
            <v>0</v>
          </cell>
        </row>
        <row r="428">
          <cell r="A428" t="str">
            <v>Psco_1009</v>
          </cell>
          <cell r="B428">
            <v>427</v>
          </cell>
          <cell r="C428">
            <v>3</v>
          </cell>
          <cell r="D428" t="str">
            <v>TZ</v>
          </cell>
          <cell r="E428">
            <v>49</v>
          </cell>
          <cell r="F428">
            <v>1</v>
          </cell>
          <cell r="G428">
            <v>63</v>
          </cell>
          <cell r="H428">
            <v>1</v>
          </cell>
          <cell r="I428">
            <v>0.59446887674050219</v>
          </cell>
        </row>
        <row r="429">
          <cell r="A429" t="str">
            <v>Psco_921</v>
          </cell>
          <cell r="B429">
            <v>428</v>
          </cell>
          <cell r="C429">
            <v>3</v>
          </cell>
          <cell r="D429" t="str">
            <v>TZ</v>
          </cell>
          <cell r="E429">
            <v>53</v>
          </cell>
          <cell r="F429">
            <v>1</v>
          </cell>
          <cell r="G429">
            <v>62</v>
          </cell>
          <cell r="H429">
            <v>1</v>
          </cell>
          <cell r="I429">
            <v>0.6113882003560962</v>
          </cell>
        </row>
        <row r="430">
          <cell r="A430" t="str">
            <v>Psco_1017</v>
          </cell>
          <cell r="B430">
            <v>429</v>
          </cell>
          <cell r="C430">
            <v>3</v>
          </cell>
          <cell r="D430" t="str">
            <v>TZ</v>
          </cell>
          <cell r="E430">
            <v>50</v>
          </cell>
          <cell r="F430">
            <v>0</v>
          </cell>
          <cell r="G430">
            <v>98</v>
          </cell>
          <cell r="H430">
            <v>0</v>
          </cell>
          <cell r="I430">
            <v>0</v>
          </cell>
        </row>
        <row r="431">
          <cell r="A431" t="str">
            <v>Psco_929</v>
          </cell>
          <cell r="B431">
            <v>430</v>
          </cell>
          <cell r="C431">
            <v>3</v>
          </cell>
          <cell r="D431" t="str">
            <v>TZ</v>
          </cell>
          <cell r="E431">
            <v>43</v>
          </cell>
          <cell r="F431">
            <v>1</v>
          </cell>
          <cell r="G431">
            <v>68</v>
          </cell>
          <cell r="H431">
            <v>1</v>
          </cell>
          <cell r="I431">
            <v>0.34623126851598851</v>
          </cell>
        </row>
        <row r="432">
          <cell r="A432" t="str">
            <v>Psco_1025</v>
          </cell>
          <cell r="B432">
            <v>431</v>
          </cell>
          <cell r="C432">
            <v>3</v>
          </cell>
          <cell r="D432" t="str">
            <v>TZ</v>
          </cell>
          <cell r="E432">
            <v>42</v>
          </cell>
          <cell r="F432">
            <v>1</v>
          </cell>
          <cell r="G432">
            <v>65</v>
          </cell>
          <cell r="H432">
            <v>1</v>
          </cell>
          <cell r="I432">
            <v>0.68762767900822208</v>
          </cell>
        </row>
        <row r="433">
          <cell r="A433" t="str">
            <v>Psco_937</v>
          </cell>
          <cell r="B433">
            <v>432</v>
          </cell>
          <cell r="C433">
            <v>3</v>
          </cell>
          <cell r="D433" t="str">
            <v>TZ</v>
          </cell>
          <cell r="E433">
            <v>50</v>
          </cell>
          <cell r="F433">
            <v>0</v>
          </cell>
          <cell r="G433">
            <v>98</v>
          </cell>
          <cell r="H433">
            <v>0</v>
          </cell>
          <cell r="I433">
            <v>0</v>
          </cell>
        </row>
        <row r="434">
          <cell r="A434" t="str">
            <v>Psco_1033</v>
          </cell>
          <cell r="B434">
            <v>433</v>
          </cell>
          <cell r="C434">
            <v>3</v>
          </cell>
          <cell r="D434" t="str">
            <v>TZ</v>
          </cell>
          <cell r="E434">
            <v>45</v>
          </cell>
          <cell r="F434">
            <v>0</v>
          </cell>
          <cell r="G434">
            <v>98</v>
          </cell>
          <cell r="H434">
            <v>0</v>
          </cell>
          <cell r="I434">
            <v>0</v>
          </cell>
        </row>
        <row r="435">
          <cell r="A435" t="str">
            <v>Psco_945</v>
          </cell>
          <cell r="B435">
            <v>434</v>
          </cell>
          <cell r="C435">
            <v>3</v>
          </cell>
          <cell r="D435" t="str">
            <v>TZ</v>
          </cell>
          <cell r="E435">
            <v>42</v>
          </cell>
          <cell r="F435">
            <v>0</v>
          </cell>
          <cell r="G435">
            <v>98</v>
          </cell>
          <cell r="H435">
            <v>0</v>
          </cell>
          <cell r="I435">
            <v>0</v>
          </cell>
        </row>
        <row r="436">
          <cell r="A436" t="str">
            <v>Psco_1041</v>
          </cell>
          <cell r="B436">
            <v>435</v>
          </cell>
          <cell r="C436">
            <v>3</v>
          </cell>
          <cell r="D436" t="str">
            <v>TZ</v>
          </cell>
          <cell r="E436">
            <v>42</v>
          </cell>
          <cell r="F436">
            <v>0</v>
          </cell>
          <cell r="G436">
            <v>98</v>
          </cell>
          <cell r="H436">
            <v>1</v>
          </cell>
          <cell r="I436">
            <v>-3.5212525183069478E-2</v>
          </cell>
        </row>
        <row r="437">
          <cell r="A437" t="str">
            <v>Psco_953</v>
          </cell>
          <cell r="B437">
            <v>436</v>
          </cell>
          <cell r="C437">
            <v>3</v>
          </cell>
          <cell r="D437" t="str">
            <v>TZ</v>
          </cell>
          <cell r="E437">
            <v>41</v>
          </cell>
          <cell r="F437">
            <v>0</v>
          </cell>
          <cell r="G437">
            <v>98</v>
          </cell>
          <cell r="H437">
            <v>0</v>
          </cell>
          <cell r="I437">
            <v>0</v>
          </cell>
        </row>
        <row r="438">
          <cell r="A438" t="str">
            <v>Psco_1049</v>
          </cell>
          <cell r="B438">
            <v>437</v>
          </cell>
          <cell r="C438">
            <v>3</v>
          </cell>
          <cell r="D438" t="str">
            <v>TZ</v>
          </cell>
          <cell r="E438">
            <v>49</v>
          </cell>
          <cell r="F438">
            <v>0</v>
          </cell>
          <cell r="G438">
            <v>98</v>
          </cell>
          <cell r="H438">
            <v>0</v>
          </cell>
          <cell r="I438">
            <v>0</v>
          </cell>
        </row>
        <row r="439">
          <cell r="A439" t="str">
            <v>Psco_961</v>
          </cell>
          <cell r="B439">
            <v>438</v>
          </cell>
          <cell r="C439">
            <v>3</v>
          </cell>
          <cell r="D439" t="str">
            <v>TZ</v>
          </cell>
          <cell r="E439">
            <v>50</v>
          </cell>
          <cell r="F439">
            <v>1</v>
          </cell>
          <cell r="G439">
            <v>88</v>
          </cell>
          <cell r="H439">
            <v>1</v>
          </cell>
          <cell r="I439">
            <v>0.50451818731149667</v>
          </cell>
        </row>
        <row r="440">
          <cell r="A440" t="str">
            <v>Psco_1057</v>
          </cell>
          <cell r="B440">
            <v>439</v>
          </cell>
          <cell r="C440">
            <v>3</v>
          </cell>
          <cell r="D440" t="str">
            <v>TZ</v>
          </cell>
          <cell r="E440">
            <v>54</v>
          </cell>
          <cell r="F440">
            <v>0</v>
          </cell>
          <cell r="G440">
            <v>98</v>
          </cell>
          <cell r="H440">
            <v>1</v>
          </cell>
          <cell r="I440">
            <v>0.20915257419901809</v>
          </cell>
        </row>
        <row r="441">
          <cell r="A441" t="str">
            <v>Psco_985</v>
          </cell>
          <cell r="B441">
            <v>440</v>
          </cell>
          <cell r="C441">
            <v>3</v>
          </cell>
          <cell r="D441" t="str">
            <v>TZ</v>
          </cell>
          <cell r="E441">
            <v>52</v>
          </cell>
          <cell r="F441">
            <v>0</v>
          </cell>
          <cell r="G441">
            <v>98</v>
          </cell>
          <cell r="H441">
            <v>0</v>
          </cell>
          <cell r="I441">
            <v>0</v>
          </cell>
        </row>
        <row r="442">
          <cell r="A442" t="str">
            <v>Psco_898</v>
          </cell>
          <cell r="B442">
            <v>441</v>
          </cell>
          <cell r="C442">
            <v>3</v>
          </cell>
          <cell r="D442" t="str">
            <v>MZ</v>
          </cell>
          <cell r="E442">
            <v>40</v>
          </cell>
          <cell r="F442">
            <v>0</v>
          </cell>
          <cell r="G442">
            <v>98</v>
          </cell>
          <cell r="H442">
            <v>0</v>
          </cell>
          <cell r="I442">
            <v>0</v>
          </cell>
        </row>
        <row r="443">
          <cell r="A443" t="str">
            <v>Psco_994</v>
          </cell>
          <cell r="B443">
            <v>442</v>
          </cell>
          <cell r="C443">
            <v>3</v>
          </cell>
          <cell r="D443" t="str">
            <v>TZ</v>
          </cell>
          <cell r="E443">
            <v>50</v>
          </cell>
          <cell r="F443">
            <v>0</v>
          </cell>
          <cell r="G443">
            <v>98</v>
          </cell>
          <cell r="H443">
            <v>0</v>
          </cell>
          <cell r="I443">
            <v>0</v>
          </cell>
        </row>
        <row r="444">
          <cell r="A444" t="str">
            <v>Psco_906</v>
          </cell>
          <cell r="B444">
            <v>443</v>
          </cell>
          <cell r="C444">
            <v>3</v>
          </cell>
          <cell r="D444" t="str">
            <v>MZ</v>
          </cell>
          <cell r="E444">
            <v>29</v>
          </cell>
          <cell r="F444">
            <v>0</v>
          </cell>
          <cell r="G444">
            <v>98</v>
          </cell>
          <cell r="H444">
            <v>0</v>
          </cell>
          <cell r="I444">
            <v>0</v>
          </cell>
        </row>
        <row r="445">
          <cell r="A445" t="str">
            <v>Psco_1002</v>
          </cell>
          <cell r="B445">
            <v>444</v>
          </cell>
          <cell r="C445">
            <v>3</v>
          </cell>
          <cell r="D445" t="str">
            <v>TZ</v>
          </cell>
          <cell r="E445">
            <v>46</v>
          </cell>
          <cell r="F445">
            <v>1</v>
          </cell>
          <cell r="G445">
            <v>60</v>
          </cell>
          <cell r="H445">
            <v>1</v>
          </cell>
          <cell r="I445">
            <v>0.6553511908771541</v>
          </cell>
        </row>
        <row r="446">
          <cell r="A446" t="str">
            <v>Psco_914</v>
          </cell>
          <cell r="B446">
            <v>445</v>
          </cell>
          <cell r="C446">
            <v>3</v>
          </cell>
          <cell r="D446" t="str">
            <v>TZ</v>
          </cell>
          <cell r="E446">
            <v>52</v>
          </cell>
          <cell r="F446">
            <v>1</v>
          </cell>
          <cell r="G446">
            <v>85</v>
          </cell>
          <cell r="H446">
            <v>1</v>
          </cell>
          <cell r="I446">
            <v>0.43567405445917678</v>
          </cell>
        </row>
        <row r="447">
          <cell r="A447" t="str">
            <v>Psco_1010</v>
          </cell>
          <cell r="B447">
            <v>446</v>
          </cell>
          <cell r="C447">
            <v>3</v>
          </cell>
          <cell r="D447" t="str">
            <v>TZ</v>
          </cell>
          <cell r="E447">
            <v>46</v>
          </cell>
          <cell r="F447">
            <v>0</v>
          </cell>
          <cell r="G447">
            <v>98</v>
          </cell>
          <cell r="H447">
            <v>1</v>
          </cell>
          <cell r="I447">
            <v>0.29567061265411188</v>
          </cell>
        </row>
        <row r="448">
          <cell r="A448" t="str">
            <v>Psco_922</v>
          </cell>
          <cell r="B448">
            <v>447</v>
          </cell>
          <cell r="C448">
            <v>3</v>
          </cell>
          <cell r="D448" t="str">
            <v>TZ</v>
          </cell>
          <cell r="E448">
            <v>50</v>
          </cell>
          <cell r="F448">
            <v>1</v>
          </cell>
          <cell r="G448">
            <v>60</v>
          </cell>
          <cell r="H448">
            <v>1</v>
          </cell>
          <cell r="I448">
            <v>0.53292449514216755</v>
          </cell>
        </row>
        <row r="449">
          <cell r="A449" t="str">
            <v>Psco_1018</v>
          </cell>
          <cell r="B449">
            <v>448</v>
          </cell>
          <cell r="C449">
            <v>3</v>
          </cell>
          <cell r="D449" t="str">
            <v>TZ</v>
          </cell>
          <cell r="E449">
            <v>42</v>
          </cell>
          <cell r="F449">
            <v>1</v>
          </cell>
          <cell r="G449">
            <v>55</v>
          </cell>
          <cell r="H449">
            <v>1</v>
          </cell>
          <cell r="I449">
            <v>1.0331257608294371</v>
          </cell>
        </row>
        <row r="450">
          <cell r="A450" t="str">
            <v>Psco_930</v>
          </cell>
          <cell r="B450">
            <v>449</v>
          </cell>
          <cell r="C450">
            <v>3</v>
          </cell>
          <cell r="D450" t="str">
            <v>TZ</v>
          </cell>
          <cell r="E450">
            <v>53</v>
          </cell>
          <cell r="F450">
            <v>0</v>
          </cell>
          <cell r="G450">
            <v>98</v>
          </cell>
          <cell r="H450">
            <v>0</v>
          </cell>
          <cell r="I450">
            <v>0</v>
          </cell>
        </row>
        <row r="451">
          <cell r="A451" t="str">
            <v>Psco_1026</v>
          </cell>
          <cell r="B451">
            <v>450</v>
          </cell>
          <cell r="C451">
            <v>3</v>
          </cell>
          <cell r="D451" t="str">
            <v>TZ</v>
          </cell>
          <cell r="E451">
            <v>49</v>
          </cell>
          <cell r="F451">
            <v>0</v>
          </cell>
          <cell r="G451">
            <v>98</v>
          </cell>
          <cell r="H451">
            <v>1</v>
          </cell>
          <cell r="I451">
            <v>0.20481069001820909</v>
          </cell>
        </row>
        <row r="452">
          <cell r="A452" t="str">
            <v>Psco_938</v>
          </cell>
          <cell r="B452">
            <v>451</v>
          </cell>
          <cell r="C452">
            <v>3</v>
          </cell>
          <cell r="D452" t="str">
            <v>TZ</v>
          </cell>
          <cell r="E452">
            <v>44</v>
          </cell>
          <cell r="F452">
            <v>1</v>
          </cell>
          <cell r="G452">
            <v>67</v>
          </cell>
          <cell r="H452">
            <v>1</v>
          </cell>
          <cell r="I452">
            <v>0.43011052081406997</v>
          </cell>
        </row>
        <row r="453">
          <cell r="A453" t="str">
            <v>Psco_1034</v>
          </cell>
          <cell r="B453">
            <v>452</v>
          </cell>
          <cell r="C453">
            <v>3</v>
          </cell>
          <cell r="D453" t="str">
            <v>TZ</v>
          </cell>
          <cell r="E453">
            <v>42</v>
          </cell>
          <cell r="F453">
            <v>1</v>
          </cell>
          <cell r="G453">
            <v>88</v>
          </cell>
          <cell r="H453">
            <v>1</v>
          </cell>
          <cell r="I453">
            <v>0.43476362544890063</v>
          </cell>
        </row>
        <row r="454">
          <cell r="A454" t="str">
            <v>Psco_946</v>
          </cell>
          <cell r="B454">
            <v>453</v>
          </cell>
          <cell r="C454">
            <v>3</v>
          </cell>
          <cell r="D454" t="str">
            <v>TZ</v>
          </cell>
          <cell r="E454">
            <v>53</v>
          </cell>
          <cell r="F454">
            <v>0</v>
          </cell>
          <cell r="G454">
            <v>98</v>
          </cell>
          <cell r="H454">
            <v>0</v>
          </cell>
          <cell r="I454">
            <v>0</v>
          </cell>
        </row>
        <row r="455">
          <cell r="A455" t="str">
            <v>Psco_1042</v>
          </cell>
          <cell r="B455">
            <v>454</v>
          </cell>
          <cell r="C455">
            <v>3</v>
          </cell>
          <cell r="D455" t="str">
            <v>TZ</v>
          </cell>
          <cell r="E455">
            <v>45</v>
          </cell>
          <cell r="F455">
            <v>1</v>
          </cell>
          <cell r="G455">
            <v>74</v>
          </cell>
          <cell r="H455">
            <v>1</v>
          </cell>
          <cell r="I455">
            <v>0.56082689734711177</v>
          </cell>
        </row>
        <row r="456">
          <cell r="A456" t="str">
            <v>Psco_954</v>
          </cell>
          <cell r="B456">
            <v>455</v>
          </cell>
          <cell r="C456">
            <v>3</v>
          </cell>
          <cell r="D456" t="str">
            <v>TZ</v>
          </cell>
          <cell r="E456">
            <v>48</v>
          </cell>
          <cell r="F456">
            <v>1</v>
          </cell>
          <cell r="G456">
            <v>81</v>
          </cell>
          <cell r="H456">
            <v>1</v>
          </cell>
          <cell r="I456">
            <v>0.40816151134575918</v>
          </cell>
        </row>
        <row r="457">
          <cell r="A457" t="str">
            <v>Psco_1050</v>
          </cell>
          <cell r="B457">
            <v>456</v>
          </cell>
          <cell r="C457">
            <v>3</v>
          </cell>
          <cell r="D457" t="str">
            <v>TZ</v>
          </cell>
          <cell r="E457">
            <v>53</v>
          </cell>
          <cell r="F457">
            <v>0</v>
          </cell>
          <cell r="G457">
            <v>98</v>
          </cell>
          <cell r="H457">
            <v>0</v>
          </cell>
          <cell r="I457">
            <v>0</v>
          </cell>
        </row>
        <row r="458">
          <cell r="A458" t="str">
            <v>Psco_962</v>
          </cell>
          <cell r="B458">
            <v>457</v>
          </cell>
          <cell r="C458">
            <v>3</v>
          </cell>
          <cell r="D458" t="str">
            <v>TZ</v>
          </cell>
          <cell r="E458">
            <v>45</v>
          </cell>
          <cell r="F458">
            <v>0</v>
          </cell>
          <cell r="G458">
            <v>98</v>
          </cell>
          <cell r="H458">
            <v>0</v>
          </cell>
          <cell r="I458">
            <v>0</v>
          </cell>
        </row>
        <row r="459">
          <cell r="A459" t="str">
            <v>Psco_1058</v>
          </cell>
          <cell r="B459">
            <v>458</v>
          </cell>
          <cell r="C459">
            <v>3</v>
          </cell>
          <cell r="D459" t="str">
            <v>TZ</v>
          </cell>
          <cell r="E459">
            <v>50</v>
          </cell>
          <cell r="F459">
            <v>1</v>
          </cell>
          <cell r="G459">
            <v>57</v>
          </cell>
          <cell r="H459">
            <v>1</v>
          </cell>
          <cell r="I459">
            <v>0.478677828572941</v>
          </cell>
        </row>
        <row r="460">
          <cell r="A460" t="str">
            <v>Psco_970</v>
          </cell>
          <cell r="B460">
            <v>459</v>
          </cell>
          <cell r="C460">
            <v>3</v>
          </cell>
          <cell r="D460" t="str">
            <v>TZ</v>
          </cell>
          <cell r="E460">
            <v>47</v>
          </cell>
          <cell r="F460">
            <v>1</v>
          </cell>
          <cell r="G460">
            <v>66</v>
          </cell>
          <cell r="H460">
            <v>1</v>
          </cell>
          <cell r="I460">
            <v>0.41262008460922378</v>
          </cell>
        </row>
        <row r="461">
          <cell r="A461" t="str">
            <v>Psco_978</v>
          </cell>
          <cell r="B461">
            <v>460</v>
          </cell>
          <cell r="C461">
            <v>3</v>
          </cell>
          <cell r="D461" t="str">
            <v>TZ</v>
          </cell>
          <cell r="E461">
            <v>50</v>
          </cell>
          <cell r="F461">
            <v>1</v>
          </cell>
          <cell r="G461">
            <v>63</v>
          </cell>
          <cell r="H461">
            <v>1</v>
          </cell>
          <cell r="I461">
            <v>0.48061059610620949</v>
          </cell>
        </row>
        <row r="462">
          <cell r="A462" t="str">
            <v>Psco_986</v>
          </cell>
          <cell r="B462">
            <v>461</v>
          </cell>
          <cell r="C462">
            <v>3</v>
          </cell>
          <cell r="D462" t="str">
            <v>TZ</v>
          </cell>
          <cell r="E462">
            <v>51</v>
          </cell>
          <cell r="F462">
            <v>1</v>
          </cell>
          <cell r="G462">
            <v>86</v>
          </cell>
          <cell r="H462">
            <v>1</v>
          </cell>
          <cell r="I462">
            <v>0.67488361160730048</v>
          </cell>
        </row>
        <row r="463">
          <cell r="A463" t="str">
            <v>Psco_899</v>
          </cell>
          <cell r="B463">
            <v>462</v>
          </cell>
          <cell r="C463">
            <v>3</v>
          </cell>
          <cell r="D463" t="str">
            <v>MZ</v>
          </cell>
          <cell r="E463">
            <v>32</v>
          </cell>
          <cell r="F463">
            <v>1</v>
          </cell>
          <cell r="G463">
            <v>89</v>
          </cell>
          <cell r="H463">
            <v>1</v>
          </cell>
          <cell r="I463">
            <v>0.5606740979658148</v>
          </cell>
        </row>
        <row r="464">
          <cell r="A464" t="str">
            <v>Psco_995</v>
          </cell>
          <cell r="B464">
            <v>463</v>
          </cell>
          <cell r="C464">
            <v>3</v>
          </cell>
          <cell r="D464" t="str">
            <v>TZ</v>
          </cell>
          <cell r="E464">
            <v>44</v>
          </cell>
          <cell r="F464">
            <v>1</v>
          </cell>
          <cell r="G464">
            <v>52</v>
          </cell>
          <cell r="H464">
            <v>1</v>
          </cell>
          <cell r="I464">
            <v>0.47229540729825342</v>
          </cell>
        </row>
        <row r="465">
          <cell r="A465" t="str">
            <v>Psco_907</v>
          </cell>
          <cell r="B465">
            <v>464</v>
          </cell>
          <cell r="C465">
            <v>3</v>
          </cell>
          <cell r="D465" t="str">
            <v>MZ</v>
          </cell>
          <cell r="E465">
            <v>21</v>
          </cell>
          <cell r="F465">
            <v>0</v>
          </cell>
          <cell r="G465">
            <v>98</v>
          </cell>
          <cell r="H465">
            <v>0</v>
          </cell>
          <cell r="I465">
            <v>0</v>
          </cell>
        </row>
        <row r="466">
          <cell r="A466" t="str">
            <v>Psco_1003</v>
          </cell>
          <cell r="B466">
            <v>465</v>
          </cell>
          <cell r="C466">
            <v>3</v>
          </cell>
          <cell r="D466" t="str">
            <v>TZ</v>
          </cell>
          <cell r="E466">
            <v>52</v>
          </cell>
          <cell r="F466">
            <v>0</v>
          </cell>
          <cell r="G466">
            <v>98</v>
          </cell>
          <cell r="H466">
            <v>0</v>
          </cell>
          <cell r="I466">
            <v>0</v>
          </cell>
        </row>
        <row r="467">
          <cell r="A467" t="str">
            <v>Psco_915</v>
          </cell>
          <cell r="B467">
            <v>466</v>
          </cell>
          <cell r="C467">
            <v>3</v>
          </cell>
          <cell r="D467" t="str">
            <v>TZ</v>
          </cell>
          <cell r="E467">
            <v>54</v>
          </cell>
          <cell r="F467">
            <v>0</v>
          </cell>
          <cell r="G467">
            <v>98</v>
          </cell>
          <cell r="H467">
            <v>1</v>
          </cell>
          <cell r="I467">
            <v>1.0718164304846629E-2</v>
          </cell>
        </row>
        <row r="468">
          <cell r="A468" t="str">
            <v>Psco_1011</v>
          </cell>
          <cell r="B468">
            <v>467</v>
          </cell>
          <cell r="C468">
            <v>3</v>
          </cell>
          <cell r="D468" t="str">
            <v>TZ</v>
          </cell>
          <cell r="E468">
            <v>42</v>
          </cell>
          <cell r="F468">
            <v>0</v>
          </cell>
          <cell r="G468">
            <v>98</v>
          </cell>
          <cell r="H468">
            <v>0</v>
          </cell>
          <cell r="I468">
            <v>0</v>
          </cell>
        </row>
        <row r="469">
          <cell r="A469" t="str">
            <v>Psco_923</v>
          </cell>
          <cell r="B469">
            <v>468</v>
          </cell>
          <cell r="C469">
            <v>3</v>
          </cell>
          <cell r="D469" t="str">
            <v>TZ</v>
          </cell>
          <cell r="E469">
            <v>44</v>
          </cell>
          <cell r="F469">
            <v>0</v>
          </cell>
          <cell r="G469">
            <v>98</v>
          </cell>
          <cell r="H469">
            <v>0</v>
          </cell>
          <cell r="I469">
            <v>0</v>
          </cell>
        </row>
        <row r="470">
          <cell r="A470" t="str">
            <v>Psco_1019</v>
          </cell>
          <cell r="B470">
            <v>469</v>
          </cell>
          <cell r="C470">
            <v>3</v>
          </cell>
          <cell r="D470" t="str">
            <v>TZ</v>
          </cell>
          <cell r="E470">
            <v>47</v>
          </cell>
          <cell r="F470">
            <v>1</v>
          </cell>
          <cell r="G470">
            <v>60</v>
          </cell>
          <cell r="H470">
            <v>1</v>
          </cell>
          <cell r="I470">
            <v>0.92852109022929741</v>
          </cell>
        </row>
        <row r="471">
          <cell r="A471" t="str">
            <v>Psco_931</v>
          </cell>
          <cell r="B471">
            <v>470</v>
          </cell>
          <cell r="C471">
            <v>3</v>
          </cell>
          <cell r="D471" t="str">
            <v>TZ</v>
          </cell>
          <cell r="E471">
            <v>49</v>
          </cell>
          <cell r="F471">
            <v>0</v>
          </cell>
          <cell r="G471">
            <v>98</v>
          </cell>
          <cell r="H471">
            <v>0</v>
          </cell>
          <cell r="I471">
            <v>0</v>
          </cell>
        </row>
        <row r="472">
          <cell r="A472" t="str">
            <v>Psco_1027</v>
          </cell>
          <cell r="B472">
            <v>471</v>
          </cell>
          <cell r="C472">
            <v>3</v>
          </cell>
          <cell r="D472" t="str">
            <v>TZ</v>
          </cell>
          <cell r="E472">
            <v>54</v>
          </cell>
          <cell r="F472">
            <v>0</v>
          </cell>
          <cell r="G472">
            <v>98</v>
          </cell>
          <cell r="H472">
            <v>0</v>
          </cell>
          <cell r="I472">
            <v>0</v>
          </cell>
        </row>
        <row r="473">
          <cell r="A473" t="str">
            <v>Psco_939</v>
          </cell>
          <cell r="B473">
            <v>472</v>
          </cell>
          <cell r="C473">
            <v>3</v>
          </cell>
          <cell r="D473" t="str">
            <v>TZ</v>
          </cell>
          <cell r="E473">
            <v>46</v>
          </cell>
          <cell r="F473">
            <v>0</v>
          </cell>
          <cell r="G473">
            <v>98</v>
          </cell>
          <cell r="H473">
            <v>0</v>
          </cell>
          <cell r="I473">
            <v>0</v>
          </cell>
        </row>
        <row r="474">
          <cell r="A474" t="str">
            <v>Psco_1035</v>
          </cell>
          <cell r="B474">
            <v>473</v>
          </cell>
          <cell r="C474">
            <v>3</v>
          </cell>
          <cell r="D474" t="str">
            <v>TZ</v>
          </cell>
          <cell r="E474">
            <v>51</v>
          </cell>
          <cell r="F474">
            <v>0</v>
          </cell>
          <cell r="G474">
            <v>98</v>
          </cell>
          <cell r="H474">
            <v>0</v>
          </cell>
          <cell r="I474">
            <v>0</v>
          </cell>
        </row>
        <row r="475">
          <cell r="A475" t="str">
            <v>Psco_947</v>
          </cell>
          <cell r="B475">
            <v>474</v>
          </cell>
          <cell r="C475">
            <v>3</v>
          </cell>
          <cell r="D475" t="str">
            <v>TZ</v>
          </cell>
          <cell r="E475">
            <v>54</v>
          </cell>
          <cell r="F475">
            <v>0</v>
          </cell>
          <cell r="G475">
            <v>98</v>
          </cell>
          <cell r="H475">
            <v>0</v>
          </cell>
          <cell r="I475">
            <v>0</v>
          </cell>
        </row>
        <row r="476">
          <cell r="A476" t="str">
            <v>Psco_1043</v>
          </cell>
          <cell r="B476">
            <v>475</v>
          </cell>
          <cell r="C476">
            <v>3</v>
          </cell>
          <cell r="D476" t="str">
            <v>TZ</v>
          </cell>
          <cell r="E476">
            <v>44</v>
          </cell>
          <cell r="F476">
            <v>1</v>
          </cell>
          <cell r="G476">
            <v>58</v>
          </cell>
          <cell r="H476">
            <v>1</v>
          </cell>
          <cell r="I476">
            <v>0.50888489903448875</v>
          </cell>
        </row>
        <row r="477">
          <cell r="A477" t="str">
            <v>Psco_955</v>
          </cell>
          <cell r="B477">
            <v>476</v>
          </cell>
          <cell r="C477">
            <v>3</v>
          </cell>
          <cell r="D477" t="str">
            <v>TZ</v>
          </cell>
          <cell r="E477">
            <v>45</v>
          </cell>
          <cell r="F477">
            <v>1</v>
          </cell>
          <cell r="G477">
            <v>86</v>
          </cell>
          <cell r="H477">
            <v>1</v>
          </cell>
          <cell r="I477">
            <v>0.27797389052317528</v>
          </cell>
        </row>
        <row r="478">
          <cell r="A478" t="str">
            <v>Psco_963</v>
          </cell>
          <cell r="B478">
            <v>477</v>
          </cell>
          <cell r="C478">
            <v>3</v>
          </cell>
          <cell r="D478" t="str">
            <v>TZ</v>
          </cell>
          <cell r="E478">
            <v>49</v>
          </cell>
          <cell r="F478">
            <v>0</v>
          </cell>
          <cell r="G478">
            <v>98</v>
          </cell>
          <cell r="H478">
            <v>0</v>
          </cell>
          <cell r="I478">
            <v>0</v>
          </cell>
        </row>
        <row r="479">
          <cell r="A479" t="str">
            <v>Psco_971</v>
          </cell>
          <cell r="B479">
            <v>478</v>
          </cell>
          <cell r="C479">
            <v>3</v>
          </cell>
          <cell r="D479" t="str">
            <v>TZ</v>
          </cell>
          <cell r="E479">
            <v>42</v>
          </cell>
          <cell r="F479">
            <v>1</v>
          </cell>
          <cell r="G479">
            <v>66</v>
          </cell>
          <cell r="H479">
            <v>1</v>
          </cell>
          <cell r="I479">
            <v>0.49838214966526018</v>
          </cell>
        </row>
        <row r="480">
          <cell r="A480" t="str">
            <v>Psco_979</v>
          </cell>
          <cell r="B480">
            <v>479</v>
          </cell>
          <cell r="C480">
            <v>3</v>
          </cell>
          <cell r="D480" t="str">
            <v>TZ</v>
          </cell>
          <cell r="E480">
            <v>54</v>
          </cell>
          <cell r="F480">
            <v>1</v>
          </cell>
          <cell r="G480">
            <v>62</v>
          </cell>
          <cell r="H480">
            <v>1</v>
          </cell>
          <cell r="I480">
            <v>0.48273821698342489</v>
          </cell>
        </row>
        <row r="481">
          <cell r="A481" t="str">
            <v>Psco_987</v>
          </cell>
          <cell r="B481">
            <v>480</v>
          </cell>
          <cell r="C481">
            <v>3</v>
          </cell>
          <cell r="D481" t="str">
            <v>TZ</v>
          </cell>
          <cell r="E481">
            <v>53</v>
          </cell>
          <cell r="F481">
            <v>0</v>
          </cell>
          <cell r="G481">
            <v>98</v>
          </cell>
          <cell r="H481">
            <v>0</v>
          </cell>
          <cell r="I481">
            <v>0</v>
          </cell>
        </row>
        <row r="482">
          <cell r="A482" t="str">
            <v>Psco_900</v>
          </cell>
          <cell r="B482">
            <v>481</v>
          </cell>
          <cell r="C482">
            <v>3</v>
          </cell>
          <cell r="D482" t="str">
            <v>MZ</v>
          </cell>
          <cell r="E482">
            <v>34</v>
          </cell>
          <cell r="F482">
            <v>0</v>
          </cell>
          <cell r="G482">
            <v>98</v>
          </cell>
          <cell r="H482">
            <v>0</v>
          </cell>
          <cell r="I482">
            <v>0</v>
          </cell>
        </row>
        <row r="483">
          <cell r="A483" t="str">
            <v>Psco_996</v>
          </cell>
          <cell r="B483">
            <v>482</v>
          </cell>
          <cell r="C483">
            <v>3</v>
          </cell>
          <cell r="D483" t="str">
            <v>TZ</v>
          </cell>
          <cell r="E483">
            <v>50</v>
          </cell>
          <cell r="F483">
            <v>1</v>
          </cell>
          <cell r="G483">
            <v>82</v>
          </cell>
          <cell r="H483">
            <v>1</v>
          </cell>
          <cell r="I483">
            <v>0.23711824840899359</v>
          </cell>
        </row>
        <row r="484">
          <cell r="A484" t="str">
            <v>Psco_908</v>
          </cell>
          <cell r="B484">
            <v>483</v>
          </cell>
          <cell r="C484">
            <v>3</v>
          </cell>
          <cell r="D484" t="str">
            <v>MZ</v>
          </cell>
          <cell r="E484">
            <v>36</v>
          </cell>
          <cell r="F484">
            <v>1</v>
          </cell>
          <cell r="G484">
            <v>57</v>
          </cell>
          <cell r="H484">
            <v>1</v>
          </cell>
          <cell r="I484">
            <v>0.57215239015916219</v>
          </cell>
        </row>
        <row r="485">
          <cell r="A485" t="str">
            <v>Psco_1004</v>
          </cell>
          <cell r="B485">
            <v>484</v>
          </cell>
          <cell r="C485">
            <v>3</v>
          </cell>
          <cell r="D485" t="str">
            <v>TZ</v>
          </cell>
          <cell r="E485">
            <v>50</v>
          </cell>
          <cell r="F485">
            <v>1</v>
          </cell>
          <cell r="G485">
            <v>69</v>
          </cell>
          <cell r="H485">
            <v>1</v>
          </cell>
          <cell r="I485">
            <v>0.56757725202521947</v>
          </cell>
        </row>
        <row r="486">
          <cell r="A486" t="str">
            <v>Psco_916</v>
          </cell>
          <cell r="B486">
            <v>485</v>
          </cell>
          <cell r="C486">
            <v>3</v>
          </cell>
          <cell r="D486" t="str">
            <v>TZ</v>
          </cell>
          <cell r="E486">
            <v>50</v>
          </cell>
          <cell r="F486">
            <v>1</v>
          </cell>
          <cell r="G486">
            <v>92</v>
          </cell>
          <cell r="H486">
            <v>1</v>
          </cell>
          <cell r="I486">
            <v>0.40008184512920753</v>
          </cell>
        </row>
        <row r="487">
          <cell r="A487" t="str">
            <v>Psco_1012</v>
          </cell>
          <cell r="B487">
            <v>486</v>
          </cell>
          <cell r="C487">
            <v>3</v>
          </cell>
          <cell r="D487" t="str">
            <v>TZ</v>
          </cell>
          <cell r="E487">
            <v>50</v>
          </cell>
          <cell r="F487">
            <v>1</v>
          </cell>
          <cell r="G487">
            <v>64</v>
          </cell>
          <cell r="H487">
            <v>1</v>
          </cell>
          <cell r="I487">
            <v>0.47528606609770813</v>
          </cell>
        </row>
        <row r="488">
          <cell r="A488" t="str">
            <v>Psco_924</v>
          </cell>
          <cell r="B488">
            <v>487</v>
          </cell>
          <cell r="C488">
            <v>3</v>
          </cell>
          <cell r="D488" t="str">
            <v>TZ</v>
          </cell>
          <cell r="E488">
            <v>48</v>
          </cell>
          <cell r="F488">
            <v>0</v>
          </cell>
          <cell r="G488">
            <v>98</v>
          </cell>
          <cell r="H488">
            <v>1</v>
          </cell>
          <cell r="I488">
            <v>0.26625446186625967</v>
          </cell>
        </row>
        <row r="489">
          <cell r="A489" t="str">
            <v>Psco_1020</v>
          </cell>
          <cell r="B489">
            <v>488</v>
          </cell>
          <cell r="C489">
            <v>3</v>
          </cell>
          <cell r="D489" t="str">
            <v>TZ</v>
          </cell>
          <cell r="E489">
            <v>46</v>
          </cell>
          <cell r="F489">
            <v>1</v>
          </cell>
          <cell r="G489">
            <v>69</v>
          </cell>
          <cell r="H489">
            <v>1</v>
          </cell>
          <cell r="I489">
            <v>0.36462028121904733</v>
          </cell>
        </row>
        <row r="490">
          <cell r="A490" t="str">
            <v>Psco_932</v>
          </cell>
          <cell r="B490">
            <v>489</v>
          </cell>
          <cell r="C490">
            <v>3</v>
          </cell>
          <cell r="D490" t="str">
            <v>TZ</v>
          </cell>
          <cell r="E490">
            <v>50</v>
          </cell>
          <cell r="F490">
            <v>1</v>
          </cell>
          <cell r="G490">
            <v>69</v>
          </cell>
          <cell r="H490">
            <v>1</v>
          </cell>
          <cell r="I490">
            <v>0.6598322222044869</v>
          </cell>
        </row>
        <row r="491">
          <cell r="A491" t="str">
            <v>Psco_1028</v>
          </cell>
          <cell r="B491">
            <v>490</v>
          </cell>
          <cell r="C491">
            <v>3</v>
          </cell>
          <cell r="D491" t="str">
            <v>TZ</v>
          </cell>
          <cell r="E491">
            <v>46</v>
          </cell>
          <cell r="F491">
            <v>0</v>
          </cell>
          <cell r="G491">
            <v>98</v>
          </cell>
          <cell r="H491">
            <v>0</v>
          </cell>
          <cell r="I491">
            <v>0</v>
          </cell>
        </row>
        <row r="492">
          <cell r="A492" t="str">
            <v>Psco_940</v>
          </cell>
          <cell r="B492">
            <v>491</v>
          </cell>
          <cell r="C492">
            <v>3</v>
          </cell>
          <cell r="D492" t="str">
            <v>TZ</v>
          </cell>
          <cell r="E492">
            <v>46</v>
          </cell>
          <cell r="F492">
            <v>1</v>
          </cell>
          <cell r="G492">
            <v>80</v>
          </cell>
          <cell r="H492">
            <v>1</v>
          </cell>
          <cell r="I492">
            <v>0.37776790423792428</v>
          </cell>
        </row>
        <row r="493">
          <cell r="A493" t="str">
            <v>Psco_1036</v>
          </cell>
          <cell r="B493">
            <v>492</v>
          </cell>
          <cell r="C493">
            <v>3</v>
          </cell>
          <cell r="D493" t="str">
            <v>TZ</v>
          </cell>
          <cell r="E493">
            <v>48</v>
          </cell>
          <cell r="F493">
            <v>0</v>
          </cell>
          <cell r="G493">
            <v>98</v>
          </cell>
          <cell r="H493">
            <v>0</v>
          </cell>
          <cell r="I493">
            <v>0</v>
          </cell>
        </row>
        <row r="494">
          <cell r="A494" t="str">
            <v>Psco_948</v>
          </cell>
          <cell r="B494">
            <v>493</v>
          </cell>
          <cell r="C494">
            <v>3</v>
          </cell>
          <cell r="D494" t="str">
            <v>TZ</v>
          </cell>
          <cell r="E494">
            <v>50</v>
          </cell>
          <cell r="F494">
            <v>0</v>
          </cell>
          <cell r="G494">
            <v>98</v>
          </cell>
          <cell r="H494">
            <v>0</v>
          </cell>
          <cell r="I494">
            <v>0</v>
          </cell>
        </row>
        <row r="495">
          <cell r="A495" t="str">
            <v>Psco_1044</v>
          </cell>
          <cell r="B495">
            <v>494</v>
          </cell>
          <cell r="C495">
            <v>3</v>
          </cell>
          <cell r="D495" t="str">
            <v>TZ</v>
          </cell>
          <cell r="E495">
            <v>47</v>
          </cell>
          <cell r="F495">
            <v>1</v>
          </cell>
          <cell r="G495">
            <v>90</v>
          </cell>
          <cell r="H495">
            <v>1</v>
          </cell>
          <cell r="I495">
            <v>0.32422905662581408</v>
          </cell>
        </row>
        <row r="496">
          <cell r="A496" t="str">
            <v>Psco_956</v>
          </cell>
          <cell r="B496">
            <v>495</v>
          </cell>
          <cell r="C496">
            <v>3</v>
          </cell>
          <cell r="D496" t="str">
            <v>TZ</v>
          </cell>
          <cell r="E496">
            <v>50</v>
          </cell>
          <cell r="F496">
            <v>1</v>
          </cell>
          <cell r="G496">
            <v>57</v>
          </cell>
          <cell r="H496">
            <v>1</v>
          </cell>
          <cell r="I496">
            <v>0.54346705526806416</v>
          </cell>
        </row>
        <row r="497">
          <cell r="A497" t="str">
            <v>Psco_964</v>
          </cell>
          <cell r="B497">
            <v>496</v>
          </cell>
          <cell r="C497">
            <v>3</v>
          </cell>
          <cell r="D497" t="str">
            <v>TZ</v>
          </cell>
          <cell r="E497">
            <v>45</v>
          </cell>
          <cell r="F497">
            <v>1</v>
          </cell>
          <cell r="G497">
            <v>74</v>
          </cell>
          <cell r="H497">
            <v>1</v>
          </cell>
          <cell r="I497">
            <v>0.44364013343238401</v>
          </cell>
        </row>
        <row r="498">
          <cell r="A498" t="str">
            <v>Psco_972</v>
          </cell>
          <cell r="B498">
            <v>497</v>
          </cell>
          <cell r="C498">
            <v>3</v>
          </cell>
          <cell r="D498" t="str">
            <v>TZ</v>
          </cell>
          <cell r="E498">
            <v>54</v>
          </cell>
          <cell r="F498">
            <v>0</v>
          </cell>
          <cell r="G498">
            <v>98</v>
          </cell>
          <cell r="H498">
            <v>0</v>
          </cell>
          <cell r="I498">
            <v>0</v>
          </cell>
        </row>
        <row r="499">
          <cell r="A499" t="str">
            <v>Psco_980</v>
          </cell>
          <cell r="B499">
            <v>498</v>
          </cell>
          <cell r="C499">
            <v>3</v>
          </cell>
          <cell r="D499" t="str">
            <v>TZ</v>
          </cell>
          <cell r="E499">
            <v>49</v>
          </cell>
          <cell r="F499">
            <v>0</v>
          </cell>
          <cell r="G499">
            <v>98</v>
          </cell>
          <cell r="H499">
            <v>0</v>
          </cell>
          <cell r="I499">
            <v>0</v>
          </cell>
        </row>
        <row r="500">
          <cell r="A500" t="str">
            <v>Psco_988</v>
          </cell>
          <cell r="B500">
            <v>499</v>
          </cell>
          <cell r="C500">
            <v>3</v>
          </cell>
          <cell r="D500" t="str">
            <v>TZ</v>
          </cell>
          <cell r="E500">
            <v>53</v>
          </cell>
          <cell r="F500">
            <v>0</v>
          </cell>
          <cell r="G500">
            <v>98</v>
          </cell>
          <cell r="H500">
            <v>0</v>
          </cell>
          <cell r="I500">
            <v>0</v>
          </cell>
        </row>
        <row r="501">
          <cell r="A501" t="str">
            <v>Psco_901</v>
          </cell>
          <cell r="B501">
            <v>500</v>
          </cell>
          <cell r="C501">
            <v>3</v>
          </cell>
          <cell r="D501" t="str">
            <v>MZ</v>
          </cell>
          <cell r="E501">
            <v>36</v>
          </cell>
          <cell r="F501">
            <v>1</v>
          </cell>
          <cell r="G501">
            <v>55</v>
          </cell>
          <cell r="H501">
            <v>1</v>
          </cell>
          <cell r="I501">
            <v>0.67558723381326735</v>
          </cell>
        </row>
        <row r="502">
          <cell r="A502" t="str">
            <v>Psco_997</v>
          </cell>
          <cell r="B502">
            <v>501</v>
          </cell>
          <cell r="C502">
            <v>3</v>
          </cell>
          <cell r="D502" t="str">
            <v>TZ</v>
          </cell>
          <cell r="E502">
            <v>49</v>
          </cell>
          <cell r="F502">
            <v>0</v>
          </cell>
          <cell r="G502">
            <v>98</v>
          </cell>
          <cell r="H502">
            <v>0</v>
          </cell>
          <cell r="I502">
            <v>0</v>
          </cell>
        </row>
        <row r="503">
          <cell r="A503" t="str">
            <v>Psco_1005</v>
          </cell>
          <cell r="B503">
            <v>502</v>
          </cell>
          <cell r="C503">
            <v>3</v>
          </cell>
          <cell r="D503" t="str">
            <v>TZ</v>
          </cell>
          <cell r="E503">
            <v>42</v>
          </cell>
          <cell r="F503">
            <v>1</v>
          </cell>
          <cell r="G503">
            <v>74</v>
          </cell>
          <cell r="H503">
            <v>1</v>
          </cell>
          <cell r="I503">
            <v>0.35506103435840092</v>
          </cell>
        </row>
        <row r="504">
          <cell r="A504" t="str">
            <v>Psco_917</v>
          </cell>
          <cell r="B504">
            <v>503</v>
          </cell>
          <cell r="C504">
            <v>3</v>
          </cell>
          <cell r="D504" t="str">
            <v>TZ</v>
          </cell>
          <cell r="E504">
            <v>52</v>
          </cell>
          <cell r="F504">
            <v>1</v>
          </cell>
          <cell r="G504">
            <v>83</v>
          </cell>
          <cell r="H504">
            <v>1</v>
          </cell>
          <cell r="I504">
            <v>0.61705930084459315</v>
          </cell>
        </row>
        <row r="505">
          <cell r="A505" t="str">
            <v>Psco_1013</v>
          </cell>
          <cell r="B505">
            <v>504</v>
          </cell>
          <cell r="C505">
            <v>3</v>
          </cell>
          <cell r="D505" t="str">
            <v>TZ</v>
          </cell>
          <cell r="E505">
            <v>50</v>
          </cell>
          <cell r="F505">
            <v>0</v>
          </cell>
          <cell r="G505">
            <v>98</v>
          </cell>
          <cell r="H505">
            <v>0</v>
          </cell>
          <cell r="I505">
            <v>0</v>
          </cell>
        </row>
        <row r="506">
          <cell r="A506" t="str">
            <v>Psco_925</v>
          </cell>
          <cell r="B506">
            <v>505</v>
          </cell>
          <cell r="C506">
            <v>3</v>
          </cell>
          <cell r="D506" t="str">
            <v>TZ</v>
          </cell>
          <cell r="E506">
            <v>44</v>
          </cell>
          <cell r="F506">
            <v>0</v>
          </cell>
          <cell r="G506">
            <v>98</v>
          </cell>
          <cell r="H506">
            <v>0</v>
          </cell>
          <cell r="I506">
            <v>0</v>
          </cell>
        </row>
        <row r="507">
          <cell r="A507" t="str">
            <v>Psco_1021</v>
          </cell>
          <cell r="B507">
            <v>506</v>
          </cell>
          <cell r="C507">
            <v>3</v>
          </cell>
          <cell r="D507" t="str">
            <v>TZ</v>
          </cell>
          <cell r="E507">
            <v>42</v>
          </cell>
          <cell r="F507">
            <v>0</v>
          </cell>
          <cell r="G507">
            <v>98</v>
          </cell>
          <cell r="H507">
            <v>1</v>
          </cell>
          <cell r="I507">
            <v>0.16353899662058621</v>
          </cell>
        </row>
        <row r="508">
          <cell r="A508" t="str">
            <v>Psco_933</v>
          </cell>
          <cell r="B508">
            <v>507</v>
          </cell>
          <cell r="C508">
            <v>3</v>
          </cell>
          <cell r="D508" t="str">
            <v>TZ</v>
          </cell>
          <cell r="E508">
            <v>46</v>
          </cell>
          <cell r="F508">
            <v>1</v>
          </cell>
          <cell r="G508">
            <v>75</v>
          </cell>
          <cell r="H508">
            <v>1</v>
          </cell>
          <cell r="I508">
            <v>0.47484904126418542</v>
          </cell>
        </row>
        <row r="509">
          <cell r="A509" t="str">
            <v>Psco_1029</v>
          </cell>
          <cell r="B509">
            <v>508</v>
          </cell>
          <cell r="C509">
            <v>3</v>
          </cell>
          <cell r="D509" t="str">
            <v>TZ</v>
          </cell>
          <cell r="E509">
            <v>50</v>
          </cell>
          <cell r="F509">
            <v>1</v>
          </cell>
          <cell r="G509">
            <v>62</v>
          </cell>
          <cell r="H509">
            <v>1</v>
          </cell>
          <cell r="I509">
            <v>0.53962423578912122</v>
          </cell>
        </row>
        <row r="510">
          <cell r="A510" t="str">
            <v>Psco_941</v>
          </cell>
          <cell r="B510">
            <v>509</v>
          </cell>
          <cell r="C510">
            <v>3</v>
          </cell>
          <cell r="D510" t="str">
            <v>TZ</v>
          </cell>
          <cell r="E510">
            <v>45</v>
          </cell>
          <cell r="F510">
            <v>1</v>
          </cell>
          <cell r="G510">
            <v>41</v>
          </cell>
          <cell r="H510">
            <v>1</v>
          </cell>
          <cell r="I510">
            <v>0.72293106256798434</v>
          </cell>
        </row>
        <row r="511">
          <cell r="A511" t="str">
            <v>Psco_1037</v>
          </cell>
          <cell r="B511">
            <v>510</v>
          </cell>
          <cell r="C511">
            <v>3</v>
          </cell>
          <cell r="D511" t="str">
            <v>TZ</v>
          </cell>
          <cell r="E511">
            <v>49</v>
          </cell>
          <cell r="F511">
            <v>0</v>
          </cell>
          <cell r="G511">
            <v>98</v>
          </cell>
          <cell r="H511">
            <v>0</v>
          </cell>
          <cell r="I511">
            <v>0</v>
          </cell>
        </row>
        <row r="512">
          <cell r="A512" t="str">
            <v>Psco_949</v>
          </cell>
          <cell r="B512">
            <v>511</v>
          </cell>
          <cell r="C512">
            <v>3</v>
          </cell>
          <cell r="D512" t="str">
            <v>TZ</v>
          </cell>
          <cell r="E512">
            <v>54</v>
          </cell>
          <cell r="F512">
            <v>0</v>
          </cell>
          <cell r="G512">
            <v>98</v>
          </cell>
          <cell r="H512">
            <v>1</v>
          </cell>
          <cell r="I512">
            <v>7.8209320067116256E-2</v>
          </cell>
        </row>
        <row r="513">
          <cell r="A513" t="str">
            <v>Psco_1045</v>
          </cell>
          <cell r="B513">
            <v>512</v>
          </cell>
          <cell r="C513">
            <v>3</v>
          </cell>
          <cell r="D513" t="str">
            <v>TZ</v>
          </cell>
          <cell r="E513">
            <v>50</v>
          </cell>
          <cell r="F513">
            <v>1</v>
          </cell>
          <cell r="G513">
            <v>44</v>
          </cell>
          <cell r="H513">
            <v>1</v>
          </cell>
          <cell r="I513">
            <v>1.0246960631572031</v>
          </cell>
        </row>
        <row r="514">
          <cell r="A514" t="str">
            <v>Psco_957</v>
          </cell>
          <cell r="B514">
            <v>513</v>
          </cell>
          <cell r="C514">
            <v>3</v>
          </cell>
          <cell r="D514" t="str">
            <v>TZ</v>
          </cell>
          <cell r="E514">
            <v>42</v>
          </cell>
          <cell r="F514">
            <v>0</v>
          </cell>
          <cell r="G514">
            <v>98</v>
          </cell>
          <cell r="H514">
            <v>1</v>
          </cell>
          <cell r="I514">
            <v>1.824894109261746E-2</v>
          </cell>
        </row>
        <row r="515">
          <cell r="A515" t="str">
            <v>Psco_1053</v>
          </cell>
          <cell r="B515">
            <v>514</v>
          </cell>
          <cell r="C515">
            <v>3</v>
          </cell>
          <cell r="D515" t="str">
            <v>TZ</v>
          </cell>
          <cell r="E515">
            <v>50</v>
          </cell>
          <cell r="F515">
            <v>1</v>
          </cell>
          <cell r="G515">
            <v>74</v>
          </cell>
          <cell r="H515">
            <v>1</v>
          </cell>
          <cell r="I515">
            <v>0.38550771961244712</v>
          </cell>
        </row>
        <row r="516">
          <cell r="A516" t="str">
            <v>Psco_965</v>
          </cell>
          <cell r="B516">
            <v>515</v>
          </cell>
          <cell r="C516">
            <v>3</v>
          </cell>
          <cell r="D516" t="str">
            <v>TZ</v>
          </cell>
          <cell r="E516">
            <v>54</v>
          </cell>
          <cell r="F516">
            <v>1</v>
          </cell>
          <cell r="G516">
            <v>81</v>
          </cell>
          <cell r="H516">
            <v>1</v>
          </cell>
          <cell r="I516">
            <v>0.38451780302030703</v>
          </cell>
        </row>
        <row r="517">
          <cell r="A517" t="str">
            <v>Psco_973</v>
          </cell>
          <cell r="B517">
            <v>516</v>
          </cell>
          <cell r="C517">
            <v>3</v>
          </cell>
          <cell r="D517" t="str">
            <v>TZ</v>
          </cell>
          <cell r="E517">
            <v>44</v>
          </cell>
          <cell r="F517">
            <v>0</v>
          </cell>
          <cell r="G517">
            <v>98</v>
          </cell>
          <cell r="H517">
            <v>0</v>
          </cell>
          <cell r="I517">
            <v>0</v>
          </cell>
        </row>
        <row r="518">
          <cell r="A518" t="str">
            <v>Psco_981</v>
          </cell>
          <cell r="B518">
            <v>517</v>
          </cell>
          <cell r="C518">
            <v>3</v>
          </cell>
          <cell r="D518" t="str">
            <v>TZ</v>
          </cell>
          <cell r="E518">
            <v>49</v>
          </cell>
          <cell r="F518">
            <v>0</v>
          </cell>
          <cell r="G518">
            <v>98</v>
          </cell>
          <cell r="H518">
            <v>0</v>
          </cell>
          <cell r="I518">
            <v>0</v>
          </cell>
        </row>
        <row r="519">
          <cell r="A519" t="str">
            <v>Psco_989</v>
          </cell>
          <cell r="B519">
            <v>518</v>
          </cell>
          <cell r="C519">
            <v>3</v>
          </cell>
          <cell r="D519" t="str">
            <v>TZ</v>
          </cell>
          <cell r="E519">
            <v>53</v>
          </cell>
          <cell r="F519">
            <v>0</v>
          </cell>
          <cell r="G519">
            <v>98</v>
          </cell>
          <cell r="H519">
            <v>1</v>
          </cell>
          <cell r="I519">
            <v>0.3442565004826042</v>
          </cell>
        </row>
        <row r="520">
          <cell r="A520" t="str">
            <v>Psco_291</v>
          </cell>
          <cell r="B520">
            <v>519</v>
          </cell>
          <cell r="C520">
            <v>1</v>
          </cell>
          <cell r="D520" t="str">
            <v>TZ</v>
          </cell>
          <cell r="E520">
            <v>16</v>
          </cell>
          <cell r="F520">
            <v>1</v>
          </cell>
          <cell r="G520">
            <v>44</v>
          </cell>
          <cell r="H520">
            <v>1</v>
          </cell>
          <cell r="I520">
            <v>0.86362896203480544</v>
          </cell>
        </row>
        <row r="521">
          <cell r="A521" t="str">
            <v>Psco_319</v>
          </cell>
          <cell r="B521">
            <v>520</v>
          </cell>
          <cell r="C521">
            <v>1</v>
          </cell>
          <cell r="D521" t="str">
            <v>MZ</v>
          </cell>
          <cell r="E521">
            <v>3</v>
          </cell>
          <cell r="F521">
            <v>1</v>
          </cell>
          <cell r="G521">
            <v>72</v>
          </cell>
          <cell r="H521">
            <v>1</v>
          </cell>
          <cell r="I521">
            <v>0.48648053766222882</v>
          </cell>
        </row>
        <row r="522">
          <cell r="A522" t="str">
            <v>Psco_415</v>
          </cell>
          <cell r="B522">
            <v>521</v>
          </cell>
          <cell r="C522">
            <v>2</v>
          </cell>
          <cell r="D522" t="str">
            <v>MZ</v>
          </cell>
          <cell r="E522">
            <v>21</v>
          </cell>
          <cell r="F522">
            <v>1</v>
          </cell>
          <cell r="G522">
            <v>49</v>
          </cell>
          <cell r="H522">
            <v>1</v>
          </cell>
          <cell r="I522">
            <v>0.87375047620571211</v>
          </cell>
        </row>
        <row r="523">
          <cell r="A523" t="str">
            <v>Psco_320</v>
          </cell>
          <cell r="B523">
            <v>522</v>
          </cell>
          <cell r="C523">
            <v>1</v>
          </cell>
          <cell r="D523" t="str">
            <v>MZ</v>
          </cell>
          <cell r="E523">
            <v>3</v>
          </cell>
          <cell r="F523">
            <v>0</v>
          </cell>
          <cell r="G523">
            <v>98</v>
          </cell>
          <cell r="H523">
            <v>1</v>
          </cell>
          <cell r="I523">
            <v>0.1196515212122779</v>
          </cell>
        </row>
        <row r="524">
          <cell r="A524" t="str">
            <v>Psco_336</v>
          </cell>
          <cell r="B524">
            <v>523</v>
          </cell>
          <cell r="C524">
            <v>1</v>
          </cell>
          <cell r="D524" t="str">
            <v>MZ</v>
          </cell>
          <cell r="E524">
            <v>3</v>
          </cell>
          <cell r="F524">
            <v>1</v>
          </cell>
          <cell r="G524">
            <v>74</v>
          </cell>
          <cell r="H524">
            <v>1</v>
          </cell>
          <cell r="I524">
            <v>0.53039986528419802</v>
          </cell>
        </row>
        <row r="525">
          <cell r="A525" t="str">
            <v>Psco_496</v>
          </cell>
          <cell r="B525">
            <v>524</v>
          </cell>
          <cell r="C525">
            <v>2</v>
          </cell>
          <cell r="D525" t="str">
            <v>MZ</v>
          </cell>
          <cell r="E525">
            <v>30</v>
          </cell>
          <cell r="F525">
            <v>0</v>
          </cell>
          <cell r="G525">
            <v>98</v>
          </cell>
          <cell r="H525">
            <v>0</v>
          </cell>
          <cell r="I525">
            <v>0</v>
          </cell>
        </row>
        <row r="526">
          <cell r="A526" t="str">
            <v>Psco_592</v>
          </cell>
          <cell r="B526">
            <v>525</v>
          </cell>
          <cell r="C526">
            <v>2</v>
          </cell>
          <cell r="D526" t="str">
            <v>MZ</v>
          </cell>
          <cell r="E526">
            <v>24</v>
          </cell>
          <cell r="F526">
            <v>1</v>
          </cell>
          <cell r="G526">
            <v>62</v>
          </cell>
          <cell r="H526">
            <v>1</v>
          </cell>
          <cell r="I526">
            <v>0.41753379067693758</v>
          </cell>
        </row>
        <row r="527">
          <cell r="A527" t="str">
            <v>Psco_504</v>
          </cell>
          <cell r="B527">
            <v>526</v>
          </cell>
          <cell r="C527">
            <v>2</v>
          </cell>
          <cell r="D527" t="str">
            <v>MZ</v>
          </cell>
          <cell r="E527">
            <v>30</v>
          </cell>
          <cell r="F527">
            <v>0</v>
          </cell>
          <cell r="G527">
            <v>98</v>
          </cell>
          <cell r="H527">
            <v>0</v>
          </cell>
          <cell r="I527">
            <v>0</v>
          </cell>
        </row>
        <row r="528">
          <cell r="A528" t="str">
            <v>Psco_600</v>
          </cell>
          <cell r="B528">
            <v>527</v>
          </cell>
          <cell r="C528">
            <v>2</v>
          </cell>
          <cell r="D528" t="str">
            <v>MZ</v>
          </cell>
          <cell r="E528">
            <v>26</v>
          </cell>
          <cell r="F528">
            <v>1</v>
          </cell>
          <cell r="G528">
            <v>68</v>
          </cell>
          <cell r="H528">
            <v>1</v>
          </cell>
          <cell r="I528">
            <v>0.60562034307865975</v>
          </cell>
        </row>
        <row r="529">
          <cell r="A529" t="str">
            <v>Psco_512</v>
          </cell>
          <cell r="B529">
            <v>528</v>
          </cell>
          <cell r="C529">
            <v>2</v>
          </cell>
          <cell r="D529" t="str">
            <v>TZ</v>
          </cell>
          <cell r="E529">
            <v>49</v>
          </cell>
          <cell r="F529">
            <v>1</v>
          </cell>
          <cell r="G529">
            <v>78</v>
          </cell>
          <cell r="H529">
            <v>1</v>
          </cell>
          <cell r="I529">
            <v>0.32520575458984591</v>
          </cell>
        </row>
        <row r="530">
          <cell r="A530" t="str">
            <v>Psco_608</v>
          </cell>
          <cell r="B530">
            <v>529</v>
          </cell>
          <cell r="C530">
            <v>2</v>
          </cell>
          <cell r="D530" t="str">
            <v>TZ</v>
          </cell>
          <cell r="E530">
            <v>49</v>
          </cell>
          <cell r="F530">
            <v>1</v>
          </cell>
          <cell r="G530">
            <v>72</v>
          </cell>
          <cell r="H530">
            <v>1</v>
          </cell>
          <cell r="I530">
            <v>0.49668662869003372</v>
          </cell>
        </row>
        <row r="531">
          <cell r="A531" t="str">
            <v>Psco_520</v>
          </cell>
          <cell r="B531">
            <v>530</v>
          </cell>
          <cell r="C531">
            <v>2</v>
          </cell>
          <cell r="D531" t="str">
            <v>MZ</v>
          </cell>
          <cell r="E531">
            <v>33</v>
          </cell>
          <cell r="F531">
            <v>1</v>
          </cell>
          <cell r="G531">
            <v>75</v>
          </cell>
          <cell r="H531">
            <v>1</v>
          </cell>
          <cell r="I531">
            <v>0.48441107644156328</v>
          </cell>
        </row>
        <row r="532">
          <cell r="A532" t="str">
            <v>Psco_616</v>
          </cell>
          <cell r="B532">
            <v>531</v>
          </cell>
          <cell r="C532">
            <v>2</v>
          </cell>
          <cell r="D532" t="str">
            <v>MZ</v>
          </cell>
          <cell r="E532">
            <v>34</v>
          </cell>
          <cell r="F532">
            <v>1</v>
          </cell>
          <cell r="G532">
            <v>58</v>
          </cell>
          <cell r="H532">
            <v>1</v>
          </cell>
          <cell r="I532">
            <v>1.227401315433529</v>
          </cell>
        </row>
        <row r="533">
          <cell r="A533" t="str">
            <v>Psco_528</v>
          </cell>
          <cell r="B533">
            <v>532</v>
          </cell>
          <cell r="C533">
            <v>2</v>
          </cell>
          <cell r="D533" t="str">
            <v>TZ</v>
          </cell>
          <cell r="E533">
            <v>44</v>
          </cell>
          <cell r="F533">
            <v>1</v>
          </cell>
          <cell r="G533">
            <v>77</v>
          </cell>
          <cell r="H533">
            <v>1</v>
          </cell>
          <cell r="I533">
            <v>0.48214645177698878</v>
          </cell>
        </row>
        <row r="534">
          <cell r="A534" t="str">
            <v>Psco_624</v>
          </cell>
          <cell r="B534">
            <v>533</v>
          </cell>
          <cell r="C534">
            <v>2</v>
          </cell>
          <cell r="D534" t="str">
            <v>TZ</v>
          </cell>
          <cell r="E534">
            <v>42</v>
          </cell>
          <cell r="F534">
            <v>1</v>
          </cell>
          <cell r="G534">
            <v>40</v>
          </cell>
          <cell r="H534">
            <v>1</v>
          </cell>
          <cell r="I534">
            <v>0.69118734316310648</v>
          </cell>
        </row>
        <row r="535">
          <cell r="A535" t="str">
            <v>Psco_536</v>
          </cell>
          <cell r="B535">
            <v>534</v>
          </cell>
          <cell r="C535">
            <v>2</v>
          </cell>
          <cell r="D535" t="str">
            <v>MZ</v>
          </cell>
          <cell r="E535">
            <v>31</v>
          </cell>
          <cell r="F535">
            <v>1</v>
          </cell>
          <cell r="G535">
            <v>64</v>
          </cell>
          <cell r="H535">
            <v>1</v>
          </cell>
          <cell r="I535">
            <v>0.48787629957041778</v>
          </cell>
        </row>
        <row r="536">
          <cell r="A536" t="str">
            <v>Psco_632</v>
          </cell>
          <cell r="B536">
            <v>535</v>
          </cell>
          <cell r="C536">
            <v>2</v>
          </cell>
          <cell r="D536" t="str">
            <v>MZ</v>
          </cell>
          <cell r="E536">
            <v>36</v>
          </cell>
          <cell r="F536">
            <v>0</v>
          </cell>
          <cell r="G536">
            <v>98</v>
          </cell>
          <cell r="H536">
            <v>0</v>
          </cell>
          <cell r="I536">
            <v>0</v>
          </cell>
        </row>
        <row r="537">
          <cell r="A537" t="str">
            <v>Psco_544</v>
          </cell>
          <cell r="B537">
            <v>536</v>
          </cell>
          <cell r="C537">
            <v>2</v>
          </cell>
          <cell r="D537" t="str">
            <v>MZ</v>
          </cell>
          <cell r="E537">
            <v>40</v>
          </cell>
          <cell r="F537">
            <v>1</v>
          </cell>
          <cell r="G537">
            <v>68</v>
          </cell>
          <cell r="H537">
            <v>1</v>
          </cell>
          <cell r="I537">
            <v>0.51009052026907786</v>
          </cell>
        </row>
        <row r="538">
          <cell r="A538" t="str">
            <v>Psco_640</v>
          </cell>
          <cell r="B538">
            <v>537</v>
          </cell>
          <cell r="C538">
            <v>2</v>
          </cell>
          <cell r="D538" t="str">
            <v>MZ</v>
          </cell>
          <cell r="E538">
            <v>26</v>
          </cell>
          <cell r="F538">
            <v>1</v>
          </cell>
          <cell r="G538">
            <v>85</v>
          </cell>
          <cell r="H538">
            <v>1</v>
          </cell>
          <cell r="I538">
            <v>0.41887490970767421</v>
          </cell>
        </row>
        <row r="539">
          <cell r="A539" t="str">
            <v>Psco_552</v>
          </cell>
          <cell r="B539">
            <v>538</v>
          </cell>
          <cell r="C539">
            <v>2</v>
          </cell>
          <cell r="D539" t="str">
            <v>MZ</v>
          </cell>
          <cell r="E539">
            <v>25</v>
          </cell>
          <cell r="F539">
            <v>0</v>
          </cell>
          <cell r="G539">
            <v>98</v>
          </cell>
          <cell r="H539">
            <v>0</v>
          </cell>
          <cell r="I539">
            <v>0</v>
          </cell>
        </row>
        <row r="540">
          <cell r="A540" t="str">
            <v>Psco_648</v>
          </cell>
          <cell r="B540">
            <v>539</v>
          </cell>
          <cell r="C540">
            <v>2</v>
          </cell>
          <cell r="D540" t="str">
            <v>TZ</v>
          </cell>
          <cell r="E540">
            <v>49</v>
          </cell>
          <cell r="F540">
            <v>1</v>
          </cell>
          <cell r="G540">
            <v>56</v>
          </cell>
          <cell r="H540">
            <v>1</v>
          </cell>
          <cell r="I540">
            <v>0.53939802144809701</v>
          </cell>
        </row>
        <row r="541">
          <cell r="A541" t="str">
            <v>Psco_560</v>
          </cell>
          <cell r="B541">
            <v>540</v>
          </cell>
          <cell r="C541">
            <v>2</v>
          </cell>
          <cell r="D541" t="str">
            <v>MZ</v>
          </cell>
          <cell r="E541">
            <v>26</v>
          </cell>
          <cell r="F541">
            <v>1</v>
          </cell>
          <cell r="G541">
            <v>67</v>
          </cell>
          <cell r="H541">
            <v>1</v>
          </cell>
          <cell r="I541">
            <v>0.50599359288076795</v>
          </cell>
        </row>
        <row r="542">
          <cell r="A542" t="str">
            <v>Psco_656</v>
          </cell>
          <cell r="B542">
            <v>541</v>
          </cell>
          <cell r="C542">
            <v>2</v>
          </cell>
          <cell r="D542" t="str">
            <v>TZ</v>
          </cell>
          <cell r="E542">
            <v>45</v>
          </cell>
          <cell r="F542">
            <v>1</v>
          </cell>
          <cell r="G542">
            <v>65</v>
          </cell>
          <cell r="H542">
            <v>1</v>
          </cell>
          <cell r="I542">
            <v>0.42846263072252838</v>
          </cell>
        </row>
        <row r="543">
          <cell r="A543" t="str">
            <v>Psco_568</v>
          </cell>
          <cell r="B543">
            <v>542</v>
          </cell>
          <cell r="C543">
            <v>2</v>
          </cell>
          <cell r="D543" t="str">
            <v>TZ</v>
          </cell>
          <cell r="E543">
            <v>53</v>
          </cell>
          <cell r="F543">
            <v>1</v>
          </cell>
          <cell r="G543">
            <v>70</v>
          </cell>
          <cell r="H543">
            <v>1</v>
          </cell>
          <cell r="I543">
            <v>0.42606773001157328</v>
          </cell>
        </row>
        <row r="544">
          <cell r="A544" t="str">
            <v>Psco_664</v>
          </cell>
          <cell r="B544">
            <v>543</v>
          </cell>
          <cell r="C544">
            <v>2</v>
          </cell>
          <cell r="D544" t="str">
            <v>TZ</v>
          </cell>
          <cell r="E544">
            <v>53</v>
          </cell>
          <cell r="F544">
            <v>0</v>
          </cell>
          <cell r="G544">
            <v>98</v>
          </cell>
          <cell r="H544">
            <v>1</v>
          </cell>
          <cell r="I544">
            <v>0.1701991631895976</v>
          </cell>
        </row>
        <row r="545">
          <cell r="A545" t="str">
            <v>Psco_576</v>
          </cell>
          <cell r="B545">
            <v>544</v>
          </cell>
          <cell r="C545">
            <v>2</v>
          </cell>
          <cell r="D545" t="str">
            <v>MZ</v>
          </cell>
          <cell r="E545">
            <v>39</v>
          </cell>
          <cell r="F545">
            <v>0</v>
          </cell>
          <cell r="G545">
            <v>98</v>
          </cell>
          <cell r="H545">
            <v>1</v>
          </cell>
          <cell r="I545">
            <v>0.32642503497008207</v>
          </cell>
        </row>
        <row r="546">
          <cell r="A546" t="str">
            <v>Psco_672</v>
          </cell>
          <cell r="B546">
            <v>545</v>
          </cell>
          <cell r="C546">
            <v>2</v>
          </cell>
          <cell r="D546" t="str">
            <v>MZ</v>
          </cell>
          <cell r="E546">
            <v>28</v>
          </cell>
          <cell r="F546">
            <v>1</v>
          </cell>
          <cell r="G546">
            <v>62</v>
          </cell>
          <cell r="H546">
            <v>1</v>
          </cell>
          <cell r="I546">
            <v>0.55241002264314154</v>
          </cell>
        </row>
        <row r="547">
          <cell r="A547" t="str">
            <v>Psco_584</v>
          </cell>
          <cell r="B547">
            <v>546</v>
          </cell>
          <cell r="C547">
            <v>2</v>
          </cell>
          <cell r="D547" t="str">
            <v>TZ</v>
          </cell>
          <cell r="E547">
            <v>54</v>
          </cell>
          <cell r="F547">
            <v>0</v>
          </cell>
          <cell r="G547">
            <v>98</v>
          </cell>
          <cell r="H547">
            <v>0</v>
          </cell>
          <cell r="I547">
            <v>0</v>
          </cell>
        </row>
        <row r="548">
          <cell r="A548" t="str">
            <v>Psco_680</v>
          </cell>
          <cell r="B548">
            <v>547</v>
          </cell>
          <cell r="C548">
            <v>2</v>
          </cell>
          <cell r="D548" t="str">
            <v>TZ</v>
          </cell>
          <cell r="E548">
            <v>45</v>
          </cell>
          <cell r="F548">
            <v>1</v>
          </cell>
          <cell r="G548">
            <v>77</v>
          </cell>
          <cell r="H548">
            <v>1</v>
          </cell>
          <cell r="I548">
            <v>0.45895124451300728</v>
          </cell>
        </row>
        <row r="549">
          <cell r="A549" t="str">
            <v>Psco_688</v>
          </cell>
          <cell r="B549">
            <v>548</v>
          </cell>
          <cell r="C549">
            <v>2</v>
          </cell>
          <cell r="D549" t="str">
            <v>TZ</v>
          </cell>
          <cell r="E549">
            <v>44</v>
          </cell>
          <cell r="F549">
            <v>1</v>
          </cell>
          <cell r="G549">
            <v>54</v>
          </cell>
          <cell r="H549">
            <v>1</v>
          </cell>
          <cell r="I549">
            <v>0.92881484540637682</v>
          </cell>
        </row>
        <row r="550">
          <cell r="A550" t="str">
            <v>Psco_797</v>
          </cell>
          <cell r="B550">
            <v>549</v>
          </cell>
          <cell r="C550">
            <v>3</v>
          </cell>
          <cell r="D550" t="str">
            <v>MZ</v>
          </cell>
          <cell r="E550">
            <v>39</v>
          </cell>
          <cell r="F550">
            <v>0</v>
          </cell>
          <cell r="G550">
            <v>98</v>
          </cell>
          <cell r="H550">
            <v>0</v>
          </cell>
          <cell r="I550">
            <v>0</v>
          </cell>
        </row>
        <row r="551">
          <cell r="A551" t="str">
            <v>Psco_696</v>
          </cell>
          <cell r="B551">
            <v>550</v>
          </cell>
          <cell r="C551">
            <v>2</v>
          </cell>
          <cell r="D551" t="str">
            <v>TZ</v>
          </cell>
          <cell r="E551">
            <v>44</v>
          </cell>
          <cell r="F551">
            <v>1</v>
          </cell>
          <cell r="G551">
            <v>45</v>
          </cell>
          <cell r="H551">
            <v>1</v>
          </cell>
          <cell r="I551">
            <v>0.55555181405248388</v>
          </cell>
        </row>
        <row r="552">
          <cell r="A552" t="str">
            <v>Psco_805</v>
          </cell>
          <cell r="B552">
            <v>551</v>
          </cell>
          <cell r="C552">
            <v>3</v>
          </cell>
          <cell r="D552" t="str">
            <v>MZ</v>
          </cell>
          <cell r="E552">
            <v>33</v>
          </cell>
          <cell r="F552">
            <v>1</v>
          </cell>
          <cell r="G552">
            <v>63</v>
          </cell>
          <cell r="H552">
            <v>1</v>
          </cell>
          <cell r="I552">
            <v>0.51266580993662769</v>
          </cell>
        </row>
        <row r="553">
          <cell r="A553" t="str">
            <v>Psco_704</v>
          </cell>
          <cell r="B553">
            <v>552</v>
          </cell>
          <cell r="C553">
            <v>2</v>
          </cell>
          <cell r="D553" t="str">
            <v>TZ</v>
          </cell>
          <cell r="E553">
            <v>50</v>
          </cell>
          <cell r="F553">
            <v>1</v>
          </cell>
          <cell r="G553">
            <v>48</v>
          </cell>
          <cell r="H553">
            <v>1</v>
          </cell>
          <cell r="I553">
            <v>0.23665228157271931</v>
          </cell>
        </row>
        <row r="554">
          <cell r="A554" t="str">
            <v>Psco_813</v>
          </cell>
          <cell r="B554">
            <v>553</v>
          </cell>
          <cell r="C554">
            <v>3</v>
          </cell>
          <cell r="D554" t="str">
            <v>MZ</v>
          </cell>
          <cell r="E554">
            <v>25</v>
          </cell>
          <cell r="F554">
            <v>0</v>
          </cell>
          <cell r="G554">
            <v>98</v>
          </cell>
          <cell r="H554">
            <v>0</v>
          </cell>
          <cell r="I554">
            <v>0</v>
          </cell>
        </row>
        <row r="555">
          <cell r="A555" t="str">
            <v>Psco_712</v>
          </cell>
          <cell r="B555">
            <v>554</v>
          </cell>
          <cell r="C555">
            <v>2</v>
          </cell>
          <cell r="D555" t="str">
            <v>MZ</v>
          </cell>
          <cell r="E555">
            <v>33</v>
          </cell>
          <cell r="F555">
            <v>1</v>
          </cell>
          <cell r="G555">
            <v>83</v>
          </cell>
          <cell r="H555">
            <v>1</v>
          </cell>
          <cell r="I555">
            <v>0.3244976241025363</v>
          </cell>
        </row>
        <row r="556">
          <cell r="A556" t="str">
            <v>Psco_821</v>
          </cell>
          <cell r="B556">
            <v>555</v>
          </cell>
          <cell r="C556">
            <v>3</v>
          </cell>
          <cell r="D556" t="str">
            <v>MZ</v>
          </cell>
          <cell r="E556">
            <v>39</v>
          </cell>
          <cell r="F556">
            <v>0</v>
          </cell>
          <cell r="G556">
            <v>98</v>
          </cell>
          <cell r="H556">
            <v>0</v>
          </cell>
          <cell r="I556">
            <v>0</v>
          </cell>
        </row>
        <row r="557">
          <cell r="A557" t="str">
            <v>Psco_720</v>
          </cell>
          <cell r="B557">
            <v>556</v>
          </cell>
          <cell r="C557">
            <v>2</v>
          </cell>
          <cell r="D557" t="str">
            <v>TZ</v>
          </cell>
          <cell r="E557">
            <v>42</v>
          </cell>
          <cell r="F557">
            <v>1</v>
          </cell>
          <cell r="G557">
            <v>62</v>
          </cell>
          <cell r="H557">
            <v>1</v>
          </cell>
          <cell r="I557">
            <v>0.80072438469310359</v>
          </cell>
        </row>
        <row r="558">
          <cell r="A558" t="str">
            <v>Psco_829</v>
          </cell>
          <cell r="B558">
            <v>557</v>
          </cell>
          <cell r="C558">
            <v>3</v>
          </cell>
          <cell r="D558" t="str">
            <v>MZ</v>
          </cell>
          <cell r="E558">
            <v>33</v>
          </cell>
          <cell r="F558">
            <v>0</v>
          </cell>
          <cell r="G558">
            <v>98</v>
          </cell>
          <cell r="H558">
            <v>0</v>
          </cell>
          <cell r="I558">
            <v>0</v>
          </cell>
        </row>
        <row r="559">
          <cell r="A559" t="str">
            <v>Psco_837</v>
          </cell>
          <cell r="B559">
            <v>558</v>
          </cell>
          <cell r="C559">
            <v>3</v>
          </cell>
          <cell r="D559" t="str">
            <v>MZ</v>
          </cell>
          <cell r="E559">
            <v>39</v>
          </cell>
          <cell r="F559">
            <v>1</v>
          </cell>
          <cell r="G559">
            <v>78</v>
          </cell>
          <cell r="H559">
            <v>1</v>
          </cell>
          <cell r="I559">
            <v>0.67290026975515405</v>
          </cell>
        </row>
        <row r="560">
          <cell r="A560" t="str">
            <v>Psco_749</v>
          </cell>
          <cell r="B560">
            <v>559</v>
          </cell>
          <cell r="C560">
            <v>3</v>
          </cell>
          <cell r="D560" t="str">
            <v>MZ</v>
          </cell>
          <cell r="E560">
            <v>26</v>
          </cell>
          <cell r="F560">
            <v>0</v>
          </cell>
          <cell r="G560">
            <v>98</v>
          </cell>
          <cell r="H560">
            <v>0</v>
          </cell>
          <cell r="I560">
            <v>0</v>
          </cell>
        </row>
        <row r="561">
          <cell r="A561" t="str">
            <v>Psco_845</v>
          </cell>
          <cell r="B561">
            <v>560</v>
          </cell>
          <cell r="C561">
            <v>3</v>
          </cell>
          <cell r="D561" t="str">
            <v>MZ</v>
          </cell>
          <cell r="E561">
            <v>32</v>
          </cell>
          <cell r="F561">
            <v>0</v>
          </cell>
          <cell r="G561">
            <v>98</v>
          </cell>
          <cell r="H561">
            <v>1</v>
          </cell>
          <cell r="I561">
            <v>0.12203769227491509</v>
          </cell>
        </row>
        <row r="562">
          <cell r="A562" t="str">
            <v>Psco_757</v>
          </cell>
          <cell r="B562">
            <v>561</v>
          </cell>
          <cell r="C562">
            <v>3</v>
          </cell>
          <cell r="D562" t="str">
            <v>MZ</v>
          </cell>
          <cell r="E562">
            <v>23</v>
          </cell>
          <cell r="F562">
            <v>0</v>
          </cell>
          <cell r="G562">
            <v>98</v>
          </cell>
          <cell r="H562">
            <v>0</v>
          </cell>
          <cell r="I562">
            <v>0</v>
          </cell>
        </row>
        <row r="563">
          <cell r="A563" t="str">
            <v>Psco_853</v>
          </cell>
          <cell r="B563">
            <v>562</v>
          </cell>
          <cell r="C563">
            <v>3</v>
          </cell>
          <cell r="D563" t="str">
            <v>MZ</v>
          </cell>
          <cell r="E563">
            <v>39</v>
          </cell>
          <cell r="F563">
            <v>0</v>
          </cell>
          <cell r="G563">
            <v>98</v>
          </cell>
          <cell r="H563">
            <v>0</v>
          </cell>
          <cell r="I563">
            <v>0</v>
          </cell>
        </row>
        <row r="564">
          <cell r="A564" t="str">
            <v>Psco_765</v>
          </cell>
          <cell r="B564">
            <v>563</v>
          </cell>
          <cell r="C564">
            <v>3</v>
          </cell>
          <cell r="D564" t="str">
            <v>MZ</v>
          </cell>
          <cell r="E564">
            <v>26</v>
          </cell>
          <cell r="F564">
            <v>0</v>
          </cell>
          <cell r="G564">
            <v>98</v>
          </cell>
          <cell r="H564">
            <v>0</v>
          </cell>
          <cell r="I564">
            <v>0</v>
          </cell>
        </row>
        <row r="565">
          <cell r="A565" t="str">
            <v>Psco_861</v>
          </cell>
          <cell r="B565">
            <v>564</v>
          </cell>
          <cell r="C565">
            <v>3</v>
          </cell>
          <cell r="D565" t="str">
            <v>MZ</v>
          </cell>
          <cell r="E565">
            <v>34</v>
          </cell>
          <cell r="F565">
            <v>0</v>
          </cell>
          <cell r="G565">
            <v>98</v>
          </cell>
          <cell r="H565">
            <v>1</v>
          </cell>
          <cell r="I565">
            <v>0.46101890394980688</v>
          </cell>
        </row>
        <row r="566">
          <cell r="A566" t="str">
            <v>Psco_773</v>
          </cell>
          <cell r="B566">
            <v>565</v>
          </cell>
          <cell r="C566">
            <v>3</v>
          </cell>
          <cell r="D566" t="str">
            <v>MZ</v>
          </cell>
          <cell r="E566">
            <v>32</v>
          </cell>
          <cell r="F566">
            <v>0</v>
          </cell>
          <cell r="G566">
            <v>98</v>
          </cell>
          <cell r="H566">
            <v>0</v>
          </cell>
          <cell r="I566">
            <v>0</v>
          </cell>
        </row>
        <row r="567">
          <cell r="A567" t="str">
            <v>Psco_869</v>
          </cell>
          <cell r="B567">
            <v>566</v>
          </cell>
          <cell r="C567">
            <v>3</v>
          </cell>
          <cell r="D567" t="str">
            <v>MZ</v>
          </cell>
          <cell r="E567">
            <v>21</v>
          </cell>
          <cell r="F567">
            <v>1</v>
          </cell>
          <cell r="G567">
            <v>85</v>
          </cell>
          <cell r="H567">
            <v>1</v>
          </cell>
          <cell r="I567">
            <v>0.34114483675986779</v>
          </cell>
        </row>
        <row r="568">
          <cell r="A568" t="str">
            <v>Psco_781</v>
          </cell>
          <cell r="B568">
            <v>567</v>
          </cell>
          <cell r="C568">
            <v>3</v>
          </cell>
          <cell r="D568" t="str">
            <v>MZ</v>
          </cell>
          <cell r="E568">
            <v>35</v>
          </cell>
          <cell r="F568">
            <v>0</v>
          </cell>
          <cell r="G568">
            <v>98</v>
          </cell>
          <cell r="H568">
            <v>0</v>
          </cell>
          <cell r="I568">
            <v>0</v>
          </cell>
        </row>
        <row r="569">
          <cell r="A569" t="str">
            <v>Psco_877</v>
          </cell>
          <cell r="B569">
            <v>568</v>
          </cell>
          <cell r="C569">
            <v>3</v>
          </cell>
          <cell r="D569" t="str">
            <v>MZ</v>
          </cell>
          <cell r="E569">
            <v>40</v>
          </cell>
          <cell r="F569">
            <v>0</v>
          </cell>
          <cell r="G569">
            <v>98</v>
          </cell>
          <cell r="H569">
            <v>0</v>
          </cell>
          <cell r="I569">
            <v>0</v>
          </cell>
        </row>
        <row r="570">
          <cell r="A570" t="str">
            <v>Psco_789</v>
          </cell>
          <cell r="B570">
            <v>569</v>
          </cell>
          <cell r="C570">
            <v>3</v>
          </cell>
          <cell r="D570" t="str">
            <v>MZ</v>
          </cell>
          <cell r="E570">
            <v>40</v>
          </cell>
          <cell r="F570">
            <v>0</v>
          </cell>
          <cell r="G570">
            <v>98</v>
          </cell>
          <cell r="H570">
            <v>0</v>
          </cell>
          <cell r="I570">
            <v>0</v>
          </cell>
        </row>
        <row r="571">
          <cell r="A571" t="str">
            <v>Psco_885</v>
          </cell>
          <cell r="B571">
            <v>570</v>
          </cell>
          <cell r="C571">
            <v>3</v>
          </cell>
          <cell r="D571" t="str">
            <v>MZ</v>
          </cell>
          <cell r="E571">
            <v>33</v>
          </cell>
          <cell r="F571">
            <v>0</v>
          </cell>
          <cell r="G571">
            <v>98</v>
          </cell>
          <cell r="H571">
            <v>1</v>
          </cell>
          <cell r="I571">
            <v>0.19704759675619429</v>
          </cell>
        </row>
        <row r="572">
          <cell r="A572" t="str">
            <v>Psco_497</v>
          </cell>
          <cell r="B572">
            <v>571</v>
          </cell>
          <cell r="C572">
            <v>2</v>
          </cell>
          <cell r="D572" t="str">
            <v>TZ</v>
          </cell>
          <cell r="E572">
            <v>41</v>
          </cell>
          <cell r="F572">
            <v>0</v>
          </cell>
          <cell r="G572">
            <v>98</v>
          </cell>
          <cell r="H572">
            <v>0</v>
          </cell>
          <cell r="I572">
            <v>0</v>
          </cell>
        </row>
        <row r="573">
          <cell r="A573" t="str">
            <v>Psco_593</v>
          </cell>
          <cell r="B573">
            <v>572</v>
          </cell>
          <cell r="C573">
            <v>2</v>
          </cell>
          <cell r="D573" t="str">
            <v>MZ</v>
          </cell>
          <cell r="E573">
            <v>23</v>
          </cell>
          <cell r="F573">
            <v>0</v>
          </cell>
          <cell r="G573">
            <v>98</v>
          </cell>
          <cell r="H573">
            <v>0</v>
          </cell>
          <cell r="I573">
            <v>0</v>
          </cell>
        </row>
        <row r="574">
          <cell r="A574" t="str">
            <v>Psco_505</v>
          </cell>
          <cell r="B574">
            <v>573</v>
          </cell>
          <cell r="C574">
            <v>2</v>
          </cell>
          <cell r="D574" t="str">
            <v>TZ</v>
          </cell>
          <cell r="E574">
            <v>45</v>
          </cell>
          <cell r="F574">
            <v>0</v>
          </cell>
          <cell r="G574">
            <v>98</v>
          </cell>
          <cell r="H574">
            <v>0</v>
          </cell>
          <cell r="I574">
            <v>0</v>
          </cell>
        </row>
        <row r="575">
          <cell r="A575" t="str">
            <v>Psco_601</v>
          </cell>
          <cell r="B575">
            <v>574</v>
          </cell>
          <cell r="C575">
            <v>2</v>
          </cell>
          <cell r="D575" t="str">
            <v>TZ</v>
          </cell>
          <cell r="E575">
            <v>54</v>
          </cell>
          <cell r="F575">
            <v>1</v>
          </cell>
          <cell r="G575">
            <v>63</v>
          </cell>
          <cell r="H575">
            <v>1</v>
          </cell>
          <cell r="I575">
            <v>0.43703190822707277</v>
          </cell>
        </row>
        <row r="576">
          <cell r="A576" t="str">
            <v>Psco_513</v>
          </cell>
          <cell r="B576">
            <v>575</v>
          </cell>
          <cell r="C576">
            <v>2</v>
          </cell>
          <cell r="D576" t="str">
            <v>TZ</v>
          </cell>
          <cell r="E576">
            <v>54</v>
          </cell>
          <cell r="F576">
            <v>1</v>
          </cell>
          <cell r="G576">
            <v>65</v>
          </cell>
          <cell r="H576">
            <v>1</v>
          </cell>
          <cell r="I576">
            <v>0.41019341004712517</v>
          </cell>
        </row>
        <row r="577">
          <cell r="A577" t="str">
            <v>Psco_609</v>
          </cell>
          <cell r="B577">
            <v>576</v>
          </cell>
          <cell r="C577">
            <v>2</v>
          </cell>
          <cell r="D577" t="str">
            <v>TZ</v>
          </cell>
          <cell r="E577">
            <v>49</v>
          </cell>
          <cell r="F577">
            <v>1</v>
          </cell>
          <cell r="G577">
            <v>60</v>
          </cell>
          <cell r="H577">
            <v>1</v>
          </cell>
          <cell r="I577">
            <v>0.6760864745956886</v>
          </cell>
        </row>
        <row r="578">
          <cell r="A578" t="str">
            <v>Psco_521</v>
          </cell>
          <cell r="B578">
            <v>577</v>
          </cell>
          <cell r="C578">
            <v>2</v>
          </cell>
          <cell r="D578" t="str">
            <v>TZ</v>
          </cell>
          <cell r="E578">
            <v>42</v>
          </cell>
          <cell r="F578">
            <v>1</v>
          </cell>
          <cell r="G578">
            <v>67</v>
          </cell>
          <cell r="H578">
            <v>1</v>
          </cell>
          <cell r="I578">
            <v>0.54270428810878979</v>
          </cell>
        </row>
        <row r="579">
          <cell r="A579" t="str">
            <v>Psco_617</v>
          </cell>
          <cell r="B579">
            <v>578</v>
          </cell>
          <cell r="C579">
            <v>2</v>
          </cell>
          <cell r="D579" t="str">
            <v>MZ</v>
          </cell>
          <cell r="E579">
            <v>34</v>
          </cell>
          <cell r="F579">
            <v>0</v>
          </cell>
          <cell r="G579">
            <v>98</v>
          </cell>
          <cell r="H579">
            <v>0</v>
          </cell>
          <cell r="I579">
            <v>0</v>
          </cell>
        </row>
        <row r="580">
          <cell r="A580" t="str">
            <v>Psco_529</v>
          </cell>
          <cell r="B580">
            <v>579</v>
          </cell>
          <cell r="C580">
            <v>2</v>
          </cell>
          <cell r="D580" t="str">
            <v>TZ</v>
          </cell>
          <cell r="E580">
            <v>42</v>
          </cell>
          <cell r="F580">
            <v>0</v>
          </cell>
          <cell r="G580">
            <v>98</v>
          </cell>
          <cell r="H580">
            <v>0</v>
          </cell>
          <cell r="I580">
            <v>0</v>
          </cell>
        </row>
        <row r="581">
          <cell r="A581" t="str">
            <v>Psco_625</v>
          </cell>
          <cell r="B581">
            <v>580</v>
          </cell>
          <cell r="C581">
            <v>2</v>
          </cell>
          <cell r="D581" t="str">
            <v>MZ</v>
          </cell>
          <cell r="E581">
            <v>34</v>
          </cell>
          <cell r="F581">
            <v>1</v>
          </cell>
          <cell r="G581">
            <v>58</v>
          </cell>
          <cell r="H581">
            <v>1</v>
          </cell>
          <cell r="I581">
            <v>0.53331329487497015</v>
          </cell>
        </row>
        <row r="582">
          <cell r="A582" t="str">
            <v>Psco_537</v>
          </cell>
          <cell r="B582">
            <v>581</v>
          </cell>
          <cell r="C582">
            <v>2</v>
          </cell>
          <cell r="D582" t="str">
            <v>TZ</v>
          </cell>
          <cell r="E582">
            <v>53</v>
          </cell>
          <cell r="F582">
            <v>1</v>
          </cell>
          <cell r="G582">
            <v>63</v>
          </cell>
          <cell r="H582">
            <v>1</v>
          </cell>
          <cell r="I582">
            <v>0.47076116382123773</v>
          </cell>
        </row>
        <row r="583">
          <cell r="A583" t="str">
            <v>Psco_633</v>
          </cell>
          <cell r="B583">
            <v>582</v>
          </cell>
          <cell r="C583">
            <v>2</v>
          </cell>
          <cell r="D583" t="str">
            <v>TZ</v>
          </cell>
          <cell r="E583">
            <v>49</v>
          </cell>
          <cell r="F583">
            <v>0</v>
          </cell>
          <cell r="G583">
            <v>98</v>
          </cell>
          <cell r="H583">
            <v>0</v>
          </cell>
          <cell r="I583">
            <v>0</v>
          </cell>
        </row>
        <row r="584">
          <cell r="A584" t="str">
            <v>Psco_545</v>
          </cell>
          <cell r="B584">
            <v>583</v>
          </cell>
          <cell r="C584">
            <v>2</v>
          </cell>
          <cell r="D584" t="str">
            <v>TZ</v>
          </cell>
          <cell r="E584">
            <v>44</v>
          </cell>
          <cell r="F584">
            <v>1</v>
          </cell>
          <cell r="G584">
            <v>81</v>
          </cell>
          <cell r="H584">
            <v>1</v>
          </cell>
          <cell r="I584">
            <v>0.50237115639454277</v>
          </cell>
        </row>
        <row r="585">
          <cell r="A585" t="str">
            <v>Psco_641</v>
          </cell>
          <cell r="B585">
            <v>584</v>
          </cell>
          <cell r="C585">
            <v>2</v>
          </cell>
          <cell r="D585" t="str">
            <v>TZ</v>
          </cell>
          <cell r="E585">
            <v>46</v>
          </cell>
          <cell r="F585">
            <v>0</v>
          </cell>
          <cell r="G585">
            <v>98</v>
          </cell>
          <cell r="H585">
            <v>1</v>
          </cell>
          <cell r="I585">
            <v>0.41846734080544967</v>
          </cell>
        </row>
        <row r="586">
          <cell r="A586" t="str">
            <v>Psco_553</v>
          </cell>
          <cell r="B586">
            <v>585</v>
          </cell>
          <cell r="C586">
            <v>2</v>
          </cell>
          <cell r="D586" t="str">
            <v>MZ</v>
          </cell>
          <cell r="E586">
            <v>34</v>
          </cell>
          <cell r="F586">
            <v>1</v>
          </cell>
          <cell r="G586">
            <v>63</v>
          </cell>
          <cell r="H586">
            <v>1</v>
          </cell>
          <cell r="I586">
            <v>0.58925313136915192</v>
          </cell>
        </row>
        <row r="587">
          <cell r="A587" t="str">
            <v>Psco_649</v>
          </cell>
          <cell r="B587">
            <v>586</v>
          </cell>
          <cell r="C587">
            <v>2</v>
          </cell>
          <cell r="D587" t="str">
            <v>TZ</v>
          </cell>
          <cell r="E587">
            <v>45</v>
          </cell>
          <cell r="F587">
            <v>1</v>
          </cell>
          <cell r="G587">
            <v>53</v>
          </cell>
          <cell r="H587">
            <v>1</v>
          </cell>
          <cell r="I587">
            <v>0.63509708038219603</v>
          </cell>
        </row>
        <row r="588">
          <cell r="A588" t="str">
            <v>Psco_561</v>
          </cell>
          <cell r="B588">
            <v>587</v>
          </cell>
          <cell r="C588">
            <v>2</v>
          </cell>
          <cell r="D588" t="str">
            <v>TZ</v>
          </cell>
          <cell r="E588">
            <v>44</v>
          </cell>
          <cell r="F588">
            <v>0</v>
          </cell>
          <cell r="G588">
            <v>98</v>
          </cell>
          <cell r="H588">
            <v>1</v>
          </cell>
          <cell r="I588">
            <v>0.45117480535440041</v>
          </cell>
        </row>
        <row r="589">
          <cell r="A589" t="str">
            <v>Psco_657</v>
          </cell>
          <cell r="B589">
            <v>588</v>
          </cell>
          <cell r="C589">
            <v>2</v>
          </cell>
          <cell r="D589" t="str">
            <v>MZ</v>
          </cell>
          <cell r="E589">
            <v>37</v>
          </cell>
          <cell r="F589">
            <v>1</v>
          </cell>
          <cell r="G589">
            <v>50</v>
          </cell>
          <cell r="H589">
            <v>1</v>
          </cell>
          <cell r="I589">
            <v>0.46213208965169422</v>
          </cell>
        </row>
        <row r="590">
          <cell r="A590" t="str">
            <v>Psco_569</v>
          </cell>
          <cell r="B590">
            <v>589</v>
          </cell>
          <cell r="C590">
            <v>2</v>
          </cell>
          <cell r="D590" t="str">
            <v>TZ</v>
          </cell>
          <cell r="E590">
            <v>50</v>
          </cell>
          <cell r="F590">
            <v>1</v>
          </cell>
          <cell r="G590">
            <v>70</v>
          </cell>
          <cell r="H590">
            <v>1</v>
          </cell>
          <cell r="I590">
            <v>0.20991525032288499</v>
          </cell>
        </row>
        <row r="591">
          <cell r="A591" t="str">
            <v>Psco_665</v>
          </cell>
          <cell r="B591">
            <v>590</v>
          </cell>
          <cell r="C591">
            <v>2</v>
          </cell>
          <cell r="D591" t="str">
            <v>TZ</v>
          </cell>
          <cell r="E591">
            <v>42</v>
          </cell>
          <cell r="F591">
            <v>1</v>
          </cell>
          <cell r="G591">
            <v>72</v>
          </cell>
          <cell r="H591">
            <v>1</v>
          </cell>
          <cell r="I591">
            <v>0.38938506414532881</v>
          </cell>
        </row>
        <row r="592">
          <cell r="A592" t="str">
            <v>Psco_577</v>
          </cell>
          <cell r="B592">
            <v>591</v>
          </cell>
          <cell r="C592">
            <v>2</v>
          </cell>
          <cell r="D592" t="str">
            <v>TZ</v>
          </cell>
          <cell r="E592">
            <v>42</v>
          </cell>
          <cell r="F592">
            <v>0</v>
          </cell>
          <cell r="G592">
            <v>98</v>
          </cell>
          <cell r="H592">
            <v>1</v>
          </cell>
          <cell r="I592">
            <v>0.46048637798186243</v>
          </cell>
        </row>
        <row r="593">
          <cell r="A593" t="str">
            <v>Psco_585</v>
          </cell>
          <cell r="B593">
            <v>592</v>
          </cell>
          <cell r="C593">
            <v>2</v>
          </cell>
          <cell r="D593" t="str">
            <v>MZ</v>
          </cell>
          <cell r="E593">
            <v>38</v>
          </cell>
          <cell r="F593">
            <v>1</v>
          </cell>
          <cell r="G593">
            <v>93</v>
          </cell>
          <cell r="H593">
            <v>1</v>
          </cell>
          <cell r="I593">
            <v>0.4907272534086905</v>
          </cell>
        </row>
        <row r="594">
          <cell r="A594" t="str">
            <v>Psco_681</v>
          </cell>
          <cell r="B594">
            <v>593</v>
          </cell>
          <cell r="C594">
            <v>2</v>
          </cell>
          <cell r="D594" t="str">
            <v>TZ</v>
          </cell>
          <cell r="E594">
            <v>45</v>
          </cell>
          <cell r="F594">
            <v>1</v>
          </cell>
          <cell r="G594">
            <v>81</v>
          </cell>
          <cell r="H594">
            <v>1</v>
          </cell>
          <cell r="I594">
            <v>0.35616625836234528</v>
          </cell>
        </row>
        <row r="595">
          <cell r="A595" t="str">
            <v>Psco_689</v>
          </cell>
          <cell r="B595">
            <v>594</v>
          </cell>
          <cell r="C595">
            <v>2</v>
          </cell>
          <cell r="D595" t="str">
            <v>MZ</v>
          </cell>
          <cell r="E595">
            <v>25</v>
          </cell>
          <cell r="F595">
            <v>1</v>
          </cell>
          <cell r="G595">
            <v>51</v>
          </cell>
          <cell r="H595">
            <v>1</v>
          </cell>
          <cell r="I595">
            <v>0.35138716612551801</v>
          </cell>
        </row>
        <row r="596">
          <cell r="A596" t="str">
            <v>Psco_798</v>
          </cell>
          <cell r="B596">
            <v>595</v>
          </cell>
          <cell r="C596">
            <v>3</v>
          </cell>
          <cell r="D596" t="str">
            <v>MZ</v>
          </cell>
          <cell r="E596">
            <v>25</v>
          </cell>
          <cell r="F596">
            <v>0</v>
          </cell>
          <cell r="G596">
            <v>98</v>
          </cell>
          <cell r="H596">
            <v>0</v>
          </cell>
          <cell r="I596">
            <v>0</v>
          </cell>
        </row>
        <row r="597">
          <cell r="A597" t="str">
            <v>Psco_697</v>
          </cell>
          <cell r="B597">
            <v>596</v>
          </cell>
          <cell r="C597">
            <v>2</v>
          </cell>
          <cell r="D597" t="str">
            <v>MZ</v>
          </cell>
          <cell r="E597">
            <v>32</v>
          </cell>
          <cell r="F597">
            <v>0</v>
          </cell>
          <cell r="G597">
            <v>98</v>
          </cell>
          <cell r="H597">
            <v>0</v>
          </cell>
          <cell r="I597">
            <v>0</v>
          </cell>
        </row>
        <row r="598">
          <cell r="A598" t="str">
            <v>Psco_806</v>
          </cell>
          <cell r="B598">
            <v>597</v>
          </cell>
          <cell r="C598">
            <v>3</v>
          </cell>
          <cell r="D598" t="str">
            <v>MZ</v>
          </cell>
          <cell r="E598">
            <v>38</v>
          </cell>
          <cell r="F598">
            <v>0</v>
          </cell>
          <cell r="G598">
            <v>98</v>
          </cell>
          <cell r="H598">
            <v>0</v>
          </cell>
          <cell r="I598">
            <v>0</v>
          </cell>
        </row>
        <row r="599">
          <cell r="A599" t="str">
            <v>Psco_705</v>
          </cell>
          <cell r="B599">
            <v>598</v>
          </cell>
          <cell r="C599">
            <v>2</v>
          </cell>
          <cell r="D599" t="str">
            <v>MZ</v>
          </cell>
          <cell r="E599">
            <v>25</v>
          </cell>
          <cell r="F599">
            <v>1</v>
          </cell>
          <cell r="G599">
            <v>56</v>
          </cell>
          <cell r="H599">
            <v>1</v>
          </cell>
          <cell r="I599">
            <v>0.50598178206916145</v>
          </cell>
        </row>
        <row r="600">
          <cell r="A600" t="str">
            <v>Psco_814</v>
          </cell>
          <cell r="B600">
            <v>599</v>
          </cell>
          <cell r="C600">
            <v>3</v>
          </cell>
          <cell r="D600" t="str">
            <v>MZ</v>
          </cell>
          <cell r="E600">
            <v>33</v>
          </cell>
          <cell r="F600">
            <v>0</v>
          </cell>
          <cell r="G600">
            <v>98</v>
          </cell>
          <cell r="H600">
            <v>0</v>
          </cell>
          <cell r="I600">
            <v>0</v>
          </cell>
        </row>
        <row r="601">
          <cell r="A601" t="str">
            <v>Psco_713</v>
          </cell>
          <cell r="B601">
            <v>600</v>
          </cell>
          <cell r="C601">
            <v>2</v>
          </cell>
          <cell r="D601" t="str">
            <v>MZ</v>
          </cell>
          <cell r="E601">
            <v>36</v>
          </cell>
          <cell r="F601">
            <v>1</v>
          </cell>
          <cell r="G601">
            <v>76</v>
          </cell>
          <cell r="H601">
            <v>1</v>
          </cell>
          <cell r="I601">
            <v>0.47977647605070728</v>
          </cell>
        </row>
        <row r="602">
          <cell r="A602" t="str">
            <v>Psco_822</v>
          </cell>
          <cell r="B602">
            <v>601</v>
          </cell>
          <cell r="C602">
            <v>3</v>
          </cell>
          <cell r="D602" t="str">
            <v>MZ</v>
          </cell>
          <cell r="E602">
            <v>38</v>
          </cell>
          <cell r="F602">
            <v>0</v>
          </cell>
          <cell r="G602">
            <v>98</v>
          </cell>
          <cell r="H602">
            <v>0</v>
          </cell>
          <cell r="I602">
            <v>0</v>
          </cell>
        </row>
        <row r="603">
          <cell r="A603" t="str">
            <v>Psco_721</v>
          </cell>
          <cell r="B603">
            <v>602</v>
          </cell>
          <cell r="C603">
            <v>2</v>
          </cell>
          <cell r="D603" t="str">
            <v>TZ</v>
          </cell>
          <cell r="E603">
            <v>49</v>
          </cell>
          <cell r="F603">
            <v>1</v>
          </cell>
          <cell r="G603">
            <v>63</v>
          </cell>
          <cell r="H603">
            <v>1</v>
          </cell>
          <cell r="I603">
            <v>0.5149829871217072</v>
          </cell>
        </row>
        <row r="604">
          <cell r="A604" t="str">
            <v>Psco_830</v>
          </cell>
          <cell r="B604">
            <v>603</v>
          </cell>
          <cell r="C604">
            <v>3</v>
          </cell>
          <cell r="D604" t="str">
            <v>MZ</v>
          </cell>
          <cell r="E604">
            <v>34</v>
          </cell>
          <cell r="F604">
            <v>0</v>
          </cell>
          <cell r="G604">
            <v>98</v>
          </cell>
          <cell r="H604">
            <v>0</v>
          </cell>
          <cell r="I604">
            <v>0</v>
          </cell>
        </row>
        <row r="605">
          <cell r="A605" t="str">
            <v>Psco_838</v>
          </cell>
          <cell r="B605">
            <v>604</v>
          </cell>
          <cell r="C605">
            <v>3</v>
          </cell>
          <cell r="D605" t="str">
            <v>MZ</v>
          </cell>
          <cell r="E605">
            <v>34</v>
          </cell>
          <cell r="F605">
            <v>1</v>
          </cell>
          <cell r="G605">
            <v>72</v>
          </cell>
          <cell r="H605">
            <v>1</v>
          </cell>
          <cell r="I605">
            <v>0.67234503593184514</v>
          </cell>
        </row>
        <row r="606">
          <cell r="A606" t="str">
            <v>Psco_750</v>
          </cell>
          <cell r="B606">
            <v>605</v>
          </cell>
          <cell r="C606">
            <v>3</v>
          </cell>
          <cell r="D606" t="str">
            <v>MZ</v>
          </cell>
          <cell r="E606">
            <v>40</v>
          </cell>
          <cell r="F606">
            <v>0</v>
          </cell>
          <cell r="G606">
            <v>98</v>
          </cell>
          <cell r="H606">
            <v>0</v>
          </cell>
          <cell r="I606">
            <v>0</v>
          </cell>
        </row>
        <row r="607">
          <cell r="A607" t="str">
            <v>Psco_846</v>
          </cell>
          <cell r="B607">
            <v>606</v>
          </cell>
          <cell r="C607">
            <v>3</v>
          </cell>
          <cell r="D607" t="str">
            <v>MZ</v>
          </cell>
          <cell r="E607">
            <v>21</v>
          </cell>
          <cell r="F607">
            <v>0</v>
          </cell>
          <cell r="G607">
            <v>98</v>
          </cell>
          <cell r="H607">
            <v>0</v>
          </cell>
          <cell r="I607">
            <v>0</v>
          </cell>
        </row>
        <row r="608">
          <cell r="A608" t="str">
            <v>Psco_758</v>
          </cell>
          <cell r="B608">
            <v>607</v>
          </cell>
          <cell r="C608">
            <v>3</v>
          </cell>
          <cell r="D608" t="str">
            <v>MZ</v>
          </cell>
          <cell r="E608">
            <v>34</v>
          </cell>
          <cell r="F608">
            <v>0</v>
          </cell>
          <cell r="G608">
            <v>98</v>
          </cell>
          <cell r="H608">
            <v>0</v>
          </cell>
          <cell r="I608">
            <v>0</v>
          </cell>
        </row>
        <row r="609">
          <cell r="A609" t="str">
            <v>Psco_854</v>
          </cell>
          <cell r="B609">
            <v>608</v>
          </cell>
          <cell r="C609">
            <v>3</v>
          </cell>
          <cell r="D609" t="str">
            <v>MZ</v>
          </cell>
          <cell r="E609">
            <v>36</v>
          </cell>
          <cell r="F609">
            <v>0</v>
          </cell>
          <cell r="G609">
            <v>98</v>
          </cell>
          <cell r="H609">
            <v>1</v>
          </cell>
          <cell r="I609">
            <v>0.23186478874809269</v>
          </cell>
        </row>
        <row r="610">
          <cell r="A610" t="str">
            <v>Psco_766</v>
          </cell>
          <cell r="B610">
            <v>609</v>
          </cell>
          <cell r="C610">
            <v>3</v>
          </cell>
          <cell r="D610" t="str">
            <v>MZ</v>
          </cell>
          <cell r="E610">
            <v>37</v>
          </cell>
          <cell r="F610">
            <v>0</v>
          </cell>
          <cell r="G610">
            <v>98</v>
          </cell>
          <cell r="H610">
            <v>1</v>
          </cell>
          <cell r="I610">
            <v>0.2021129848242596</v>
          </cell>
        </row>
        <row r="611">
          <cell r="A611" t="str">
            <v>Psco_862</v>
          </cell>
          <cell r="B611">
            <v>610</v>
          </cell>
          <cell r="C611">
            <v>3</v>
          </cell>
          <cell r="D611" t="str">
            <v>MZ</v>
          </cell>
          <cell r="E611">
            <v>32</v>
          </cell>
          <cell r="F611">
            <v>1</v>
          </cell>
          <cell r="G611">
            <v>48</v>
          </cell>
          <cell r="H611">
            <v>1</v>
          </cell>
          <cell r="I611">
            <v>0.5771586178536966</v>
          </cell>
        </row>
        <row r="612">
          <cell r="A612" t="str">
            <v>Psco_774</v>
          </cell>
          <cell r="B612">
            <v>611</v>
          </cell>
          <cell r="C612">
            <v>3</v>
          </cell>
          <cell r="D612" t="str">
            <v>MZ</v>
          </cell>
          <cell r="E612">
            <v>21</v>
          </cell>
          <cell r="F612">
            <v>0</v>
          </cell>
          <cell r="G612">
            <v>98</v>
          </cell>
          <cell r="H612">
            <v>0</v>
          </cell>
          <cell r="I612">
            <v>0</v>
          </cell>
        </row>
        <row r="613">
          <cell r="A613" t="str">
            <v>Psco_870</v>
          </cell>
          <cell r="B613">
            <v>612</v>
          </cell>
          <cell r="C613">
            <v>3</v>
          </cell>
          <cell r="D613" t="str">
            <v>MZ</v>
          </cell>
          <cell r="E613">
            <v>29</v>
          </cell>
          <cell r="F613">
            <v>1</v>
          </cell>
          <cell r="G613">
            <v>76</v>
          </cell>
          <cell r="H613">
            <v>1</v>
          </cell>
          <cell r="I613">
            <v>0.44927441816563768</v>
          </cell>
        </row>
        <row r="614">
          <cell r="A614" t="str">
            <v>Psco_782</v>
          </cell>
          <cell r="B614">
            <v>613</v>
          </cell>
          <cell r="C614">
            <v>3</v>
          </cell>
          <cell r="D614" t="str">
            <v>MZ</v>
          </cell>
          <cell r="E614">
            <v>27</v>
          </cell>
          <cell r="F614">
            <v>0</v>
          </cell>
          <cell r="G614">
            <v>98</v>
          </cell>
          <cell r="H614">
            <v>0</v>
          </cell>
          <cell r="I614">
            <v>0</v>
          </cell>
        </row>
        <row r="615">
          <cell r="A615" t="str">
            <v>Psco_878</v>
          </cell>
          <cell r="B615">
            <v>614</v>
          </cell>
          <cell r="C615">
            <v>3</v>
          </cell>
          <cell r="D615" t="str">
            <v>MZ</v>
          </cell>
          <cell r="E615">
            <v>23</v>
          </cell>
          <cell r="F615">
            <v>0</v>
          </cell>
          <cell r="G615">
            <v>98</v>
          </cell>
          <cell r="H615">
            <v>0</v>
          </cell>
          <cell r="I615">
            <v>0</v>
          </cell>
        </row>
        <row r="616">
          <cell r="A616" t="str">
            <v>Psco_790</v>
          </cell>
          <cell r="B616">
            <v>615</v>
          </cell>
          <cell r="C616">
            <v>3</v>
          </cell>
          <cell r="D616" t="str">
            <v>MZ</v>
          </cell>
          <cell r="E616">
            <v>35</v>
          </cell>
          <cell r="F616">
            <v>0</v>
          </cell>
          <cell r="G616">
            <v>98</v>
          </cell>
          <cell r="H616">
            <v>0</v>
          </cell>
          <cell r="I616">
            <v>0</v>
          </cell>
        </row>
        <row r="617">
          <cell r="A617" t="str">
            <v>Psco_886</v>
          </cell>
          <cell r="B617">
            <v>616</v>
          </cell>
          <cell r="C617">
            <v>3</v>
          </cell>
          <cell r="D617" t="str">
            <v>MZ</v>
          </cell>
          <cell r="E617">
            <v>40</v>
          </cell>
          <cell r="F617">
            <v>1</v>
          </cell>
          <cell r="G617">
            <v>77</v>
          </cell>
          <cell r="H617">
            <v>1</v>
          </cell>
          <cell r="I617">
            <v>0.37720574811552943</v>
          </cell>
        </row>
        <row r="618">
          <cell r="A618" t="str">
            <v>Psco_498</v>
          </cell>
          <cell r="B618">
            <v>617</v>
          </cell>
          <cell r="C618">
            <v>2</v>
          </cell>
          <cell r="D618" t="str">
            <v>MZ</v>
          </cell>
          <cell r="E618">
            <v>21</v>
          </cell>
          <cell r="F618">
            <v>0</v>
          </cell>
          <cell r="G618">
            <v>98</v>
          </cell>
          <cell r="H618">
            <v>0</v>
          </cell>
          <cell r="I618">
            <v>0</v>
          </cell>
        </row>
        <row r="619">
          <cell r="A619" t="str">
            <v>Psco_594</v>
          </cell>
          <cell r="B619">
            <v>618</v>
          </cell>
          <cell r="C619">
            <v>2</v>
          </cell>
          <cell r="D619" t="str">
            <v>TZ</v>
          </cell>
          <cell r="E619">
            <v>42</v>
          </cell>
          <cell r="F619">
            <v>1</v>
          </cell>
          <cell r="G619">
            <v>86</v>
          </cell>
          <cell r="H619">
            <v>1</v>
          </cell>
          <cell r="I619">
            <v>0.31277665532643428</v>
          </cell>
        </row>
        <row r="620">
          <cell r="A620" t="str">
            <v>Psco_506</v>
          </cell>
          <cell r="B620">
            <v>619</v>
          </cell>
          <cell r="C620">
            <v>2</v>
          </cell>
          <cell r="D620" t="str">
            <v>MZ</v>
          </cell>
          <cell r="E620">
            <v>33</v>
          </cell>
          <cell r="F620">
            <v>0</v>
          </cell>
          <cell r="G620">
            <v>98</v>
          </cell>
          <cell r="H620">
            <v>0</v>
          </cell>
          <cell r="I620">
            <v>0</v>
          </cell>
        </row>
        <row r="621">
          <cell r="A621" t="str">
            <v>Psco_602</v>
          </cell>
          <cell r="B621">
            <v>620</v>
          </cell>
          <cell r="C621">
            <v>2</v>
          </cell>
          <cell r="D621" t="str">
            <v>MZ</v>
          </cell>
          <cell r="E621">
            <v>38</v>
          </cell>
          <cell r="F621">
            <v>1</v>
          </cell>
          <cell r="G621">
            <v>95</v>
          </cell>
          <cell r="H621">
            <v>1</v>
          </cell>
          <cell r="I621">
            <v>0.31993845102133439</v>
          </cell>
        </row>
        <row r="622">
          <cell r="A622" t="str">
            <v>Psco_514</v>
          </cell>
          <cell r="B622">
            <v>621</v>
          </cell>
          <cell r="C622">
            <v>2</v>
          </cell>
          <cell r="D622" t="str">
            <v>MZ</v>
          </cell>
          <cell r="E622">
            <v>25</v>
          </cell>
          <cell r="F622">
            <v>1</v>
          </cell>
          <cell r="G622">
            <v>94</v>
          </cell>
          <cell r="H622">
            <v>1</v>
          </cell>
          <cell r="I622">
            <v>0.25558443053730628</v>
          </cell>
        </row>
        <row r="623">
          <cell r="A623" t="str">
            <v>Psco_610</v>
          </cell>
          <cell r="B623">
            <v>622</v>
          </cell>
          <cell r="C623">
            <v>2</v>
          </cell>
          <cell r="D623" t="str">
            <v>MZ</v>
          </cell>
          <cell r="E623">
            <v>40</v>
          </cell>
          <cell r="F623">
            <v>0</v>
          </cell>
          <cell r="G623">
            <v>98</v>
          </cell>
          <cell r="H623">
            <v>0</v>
          </cell>
          <cell r="I623">
            <v>0</v>
          </cell>
        </row>
        <row r="624">
          <cell r="A624" t="str">
            <v>Psco_522</v>
          </cell>
          <cell r="B624">
            <v>623</v>
          </cell>
          <cell r="C624">
            <v>2</v>
          </cell>
          <cell r="D624" t="str">
            <v>MZ</v>
          </cell>
          <cell r="E624">
            <v>23</v>
          </cell>
          <cell r="F624">
            <v>0</v>
          </cell>
          <cell r="G624">
            <v>98</v>
          </cell>
          <cell r="H624">
            <v>0</v>
          </cell>
          <cell r="I624">
            <v>0</v>
          </cell>
        </row>
        <row r="625">
          <cell r="A625" t="str">
            <v>Psco_618</v>
          </cell>
          <cell r="B625">
            <v>624</v>
          </cell>
          <cell r="C625">
            <v>2</v>
          </cell>
          <cell r="D625" t="str">
            <v>MZ</v>
          </cell>
          <cell r="E625">
            <v>27</v>
          </cell>
          <cell r="F625">
            <v>1</v>
          </cell>
          <cell r="G625">
            <v>58</v>
          </cell>
          <cell r="H625">
            <v>1</v>
          </cell>
          <cell r="I625">
            <v>0.5258891097208287</v>
          </cell>
        </row>
        <row r="626">
          <cell r="A626" t="str">
            <v>Psco_530</v>
          </cell>
          <cell r="B626">
            <v>625</v>
          </cell>
          <cell r="C626">
            <v>2</v>
          </cell>
          <cell r="D626" t="str">
            <v>MZ</v>
          </cell>
          <cell r="E626">
            <v>30</v>
          </cell>
          <cell r="F626">
            <v>0</v>
          </cell>
          <cell r="G626">
            <v>98</v>
          </cell>
          <cell r="H626">
            <v>0</v>
          </cell>
          <cell r="I626">
            <v>0</v>
          </cell>
        </row>
        <row r="627">
          <cell r="A627" t="str">
            <v>Psco_626</v>
          </cell>
          <cell r="B627">
            <v>626</v>
          </cell>
          <cell r="C627">
            <v>2</v>
          </cell>
          <cell r="D627" t="str">
            <v>MZ</v>
          </cell>
          <cell r="E627">
            <v>27</v>
          </cell>
          <cell r="F627">
            <v>1</v>
          </cell>
          <cell r="G627">
            <v>70</v>
          </cell>
          <cell r="H627">
            <v>1</v>
          </cell>
          <cell r="I627">
            <v>0.59779795698478777</v>
          </cell>
        </row>
        <row r="628">
          <cell r="A628" t="str">
            <v>Psco_538</v>
          </cell>
          <cell r="B628">
            <v>627</v>
          </cell>
          <cell r="C628">
            <v>2</v>
          </cell>
          <cell r="D628" t="str">
            <v>MZ</v>
          </cell>
          <cell r="E628">
            <v>32</v>
          </cell>
          <cell r="F628">
            <v>1</v>
          </cell>
          <cell r="G628">
            <v>60</v>
          </cell>
          <cell r="H628">
            <v>1</v>
          </cell>
          <cell r="I628">
            <v>0.60638949438928125</v>
          </cell>
        </row>
        <row r="629">
          <cell r="A629" t="str">
            <v>Psco_634</v>
          </cell>
          <cell r="B629">
            <v>628</v>
          </cell>
          <cell r="C629">
            <v>2</v>
          </cell>
          <cell r="D629" t="str">
            <v>MZ</v>
          </cell>
          <cell r="E629">
            <v>40</v>
          </cell>
          <cell r="F629">
            <v>1</v>
          </cell>
          <cell r="G629">
            <v>74</v>
          </cell>
          <cell r="H629">
            <v>1</v>
          </cell>
          <cell r="I629">
            <v>0.52640135463440374</v>
          </cell>
        </row>
        <row r="630">
          <cell r="A630" t="str">
            <v>Psco_546</v>
          </cell>
          <cell r="B630">
            <v>629</v>
          </cell>
          <cell r="C630">
            <v>2</v>
          </cell>
          <cell r="D630" t="str">
            <v>MZ</v>
          </cell>
          <cell r="E630">
            <v>27</v>
          </cell>
          <cell r="F630">
            <v>0</v>
          </cell>
          <cell r="G630">
            <v>98</v>
          </cell>
          <cell r="H630">
            <v>1</v>
          </cell>
          <cell r="I630">
            <v>0.33118506073143988</v>
          </cell>
        </row>
        <row r="631">
          <cell r="A631" t="str">
            <v>Psco_642</v>
          </cell>
          <cell r="B631">
            <v>630</v>
          </cell>
          <cell r="C631">
            <v>2</v>
          </cell>
          <cell r="D631" t="str">
            <v>MZ</v>
          </cell>
          <cell r="E631">
            <v>36</v>
          </cell>
          <cell r="F631">
            <v>1</v>
          </cell>
          <cell r="G631">
            <v>65</v>
          </cell>
          <cell r="H631">
            <v>1</v>
          </cell>
          <cell r="I631">
            <v>0.52480798474733403</v>
          </cell>
        </row>
        <row r="632">
          <cell r="A632" t="str">
            <v>Psco_554</v>
          </cell>
          <cell r="B632">
            <v>631</v>
          </cell>
          <cell r="C632">
            <v>2</v>
          </cell>
          <cell r="D632" t="str">
            <v>MZ</v>
          </cell>
          <cell r="E632">
            <v>28</v>
          </cell>
          <cell r="F632">
            <v>0</v>
          </cell>
          <cell r="G632">
            <v>98</v>
          </cell>
          <cell r="H632">
            <v>1</v>
          </cell>
          <cell r="I632">
            <v>0.54154726130043318</v>
          </cell>
        </row>
        <row r="633">
          <cell r="A633" t="str">
            <v>Psco_650</v>
          </cell>
          <cell r="B633">
            <v>632</v>
          </cell>
          <cell r="C633">
            <v>2</v>
          </cell>
          <cell r="D633" t="str">
            <v>MZ</v>
          </cell>
          <cell r="E633">
            <v>29</v>
          </cell>
          <cell r="F633">
            <v>1</v>
          </cell>
          <cell r="G633">
            <v>44</v>
          </cell>
          <cell r="H633">
            <v>1</v>
          </cell>
          <cell r="I633">
            <v>0.52887660557033356</v>
          </cell>
        </row>
        <row r="634">
          <cell r="A634" t="str">
            <v>Psco_562</v>
          </cell>
          <cell r="B634">
            <v>633</v>
          </cell>
          <cell r="C634">
            <v>2</v>
          </cell>
          <cell r="D634" t="str">
            <v>MZ</v>
          </cell>
          <cell r="E634">
            <v>23</v>
          </cell>
          <cell r="F634">
            <v>0</v>
          </cell>
          <cell r="G634">
            <v>98</v>
          </cell>
          <cell r="H634">
            <v>1</v>
          </cell>
          <cell r="I634">
            <v>-3.2703524897251868E-2</v>
          </cell>
        </row>
        <row r="635">
          <cell r="A635" t="str">
            <v>Psco_658</v>
          </cell>
          <cell r="B635">
            <v>634</v>
          </cell>
          <cell r="C635">
            <v>2</v>
          </cell>
          <cell r="D635" t="str">
            <v>MZ</v>
          </cell>
          <cell r="E635">
            <v>26</v>
          </cell>
          <cell r="F635">
            <v>1</v>
          </cell>
          <cell r="G635">
            <v>76</v>
          </cell>
          <cell r="H635">
            <v>1</v>
          </cell>
          <cell r="I635">
            <v>0.48407828410791631</v>
          </cell>
        </row>
        <row r="636">
          <cell r="A636" t="str">
            <v>Psco_570</v>
          </cell>
          <cell r="B636">
            <v>635</v>
          </cell>
          <cell r="C636">
            <v>2</v>
          </cell>
          <cell r="D636" t="str">
            <v>TZ</v>
          </cell>
          <cell r="E636">
            <v>50</v>
          </cell>
          <cell r="F636">
            <v>1</v>
          </cell>
          <cell r="G636">
            <v>72</v>
          </cell>
          <cell r="H636">
            <v>1</v>
          </cell>
          <cell r="I636">
            <v>0.404740888482156</v>
          </cell>
        </row>
        <row r="637">
          <cell r="A637" t="str">
            <v>Psco_666</v>
          </cell>
          <cell r="B637">
            <v>636</v>
          </cell>
          <cell r="C637">
            <v>2</v>
          </cell>
          <cell r="D637" t="str">
            <v>MZ</v>
          </cell>
          <cell r="E637">
            <v>40</v>
          </cell>
          <cell r="F637">
            <v>1</v>
          </cell>
          <cell r="G637">
            <v>70</v>
          </cell>
          <cell r="H637">
            <v>1</v>
          </cell>
          <cell r="I637">
            <v>0.6756093637624313</v>
          </cell>
        </row>
        <row r="638">
          <cell r="A638" t="str">
            <v>Psco_578</v>
          </cell>
          <cell r="B638">
            <v>637</v>
          </cell>
          <cell r="C638">
            <v>2</v>
          </cell>
          <cell r="D638" t="str">
            <v>TZ</v>
          </cell>
          <cell r="E638">
            <v>46</v>
          </cell>
          <cell r="F638">
            <v>0</v>
          </cell>
          <cell r="G638">
            <v>98</v>
          </cell>
          <cell r="H638">
            <v>0</v>
          </cell>
          <cell r="I638">
            <v>0</v>
          </cell>
        </row>
        <row r="639">
          <cell r="A639" t="str">
            <v>Psco_586</v>
          </cell>
          <cell r="B639">
            <v>638</v>
          </cell>
          <cell r="C639">
            <v>2</v>
          </cell>
          <cell r="D639" t="str">
            <v>MZ</v>
          </cell>
          <cell r="E639">
            <v>22</v>
          </cell>
          <cell r="F639">
            <v>1</v>
          </cell>
          <cell r="G639">
            <v>60</v>
          </cell>
          <cell r="H639">
            <v>1</v>
          </cell>
          <cell r="I639">
            <v>0.59028255603058077</v>
          </cell>
        </row>
        <row r="640">
          <cell r="A640" t="str">
            <v>Psco_682</v>
          </cell>
          <cell r="B640">
            <v>639</v>
          </cell>
          <cell r="C640">
            <v>2</v>
          </cell>
          <cell r="D640" t="str">
            <v>MZ</v>
          </cell>
          <cell r="E640">
            <v>34</v>
          </cell>
          <cell r="F640">
            <v>1</v>
          </cell>
          <cell r="G640">
            <v>75</v>
          </cell>
          <cell r="H640">
            <v>1</v>
          </cell>
          <cell r="I640">
            <v>0.38724410820251343</v>
          </cell>
        </row>
        <row r="641">
          <cell r="A641" t="str">
            <v>Psco_690</v>
          </cell>
          <cell r="B641">
            <v>640</v>
          </cell>
          <cell r="C641">
            <v>2</v>
          </cell>
          <cell r="D641" t="str">
            <v>MZ</v>
          </cell>
          <cell r="E641">
            <v>40</v>
          </cell>
          <cell r="F641">
            <v>1</v>
          </cell>
          <cell r="G641">
            <v>65</v>
          </cell>
          <cell r="H641">
            <v>1</v>
          </cell>
          <cell r="I641">
            <v>0.75407371425281433</v>
          </cell>
        </row>
        <row r="642">
          <cell r="A642" t="str">
            <v>Psco_799</v>
          </cell>
          <cell r="B642">
            <v>641</v>
          </cell>
          <cell r="C642">
            <v>3</v>
          </cell>
          <cell r="D642" t="str">
            <v>MZ</v>
          </cell>
          <cell r="E642">
            <v>21</v>
          </cell>
          <cell r="F642">
            <v>0</v>
          </cell>
          <cell r="G642">
            <v>98</v>
          </cell>
          <cell r="H642">
            <v>0</v>
          </cell>
          <cell r="I642">
            <v>0</v>
          </cell>
        </row>
        <row r="643">
          <cell r="A643" t="str">
            <v>Psco_698</v>
          </cell>
          <cell r="B643">
            <v>642</v>
          </cell>
          <cell r="C643">
            <v>2</v>
          </cell>
          <cell r="D643" t="str">
            <v>MZ</v>
          </cell>
          <cell r="E643">
            <v>29</v>
          </cell>
          <cell r="F643">
            <v>1</v>
          </cell>
          <cell r="G643">
            <v>70</v>
          </cell>
          <cell r="H643">
            <v>1</v>
          </cell>
          <cell r="I643">
            <v>0.42614791033547827</v>
          </cell>
        </row>
        <row r="644">
          <cell r="A644" t="str">
            <v>Psco_706</v>
          </cell>
          <cell r="B644">
            <v>643</v>
          </cell>
          <cell r="C644">
            <v>2</v>
          </cell>
          <cell r="D644" t="str">
            <v>MZ</v>
          </cell>
          <cell r="E644">
            <v>22</v>
          </cell>
          <cell r="F644">
            <v>0</v>
          </cell>
          <cell r="G644">
            <v>98</v>
          </cell>
          <cell r="H644">
            <v>0</v>
          </cell>
          <cell r="I644">
            <v>0</v>
          </cell>
        </row>
        <row r="645">
          <cell r="A645" t="str">
            <v>Psco_815</v>
          </cell>
          <cell r="B645">
            <v>644</v>
          </cell>
          <cell r="C645">
            <v>3</v>
          </cell>
          <cell r="D645" t="str">
            <v>MZ</v>
          </cell>
          <cell r="E645">
            <v>26</v>
          </cell>
          <cell r="F645">
            <v>0</v>
          </cell>
          <cell r="G645">
            <v>98</v>
          </cell>
          <cell r="H645">
            <v>0</v>
          </cell>
          <cell r="I645">
            <v>0</v>
          </cell>
        </row>
        <row r="646">
          <cell r="A646" t="str">
            <v>Psco_714</v>
          </cell>
          <cell r="B646">
            <v>645</v>
          </cell>
          <cell r="C646">
            <v>2</v>
          </cell>
          <cell r="D646" t="str">
            <v>TZ</v>
          </cell>
          <cell r="E646">
            <v>52</v>
          </cell>
          <cell r="F646">
            <v>1</v>
          </cell>
          <cell r="G646">
            <v>79</v>
          </cell>
          <cell r="H646">
            <v>1</v>
          </cell>
          <cell r="I646">
            <v>0.47120246137780192</v>
          </cell>
        </row>
        <row r="647">
          <cell r="A647" t="str">
            <v>Psco_823</v>
          </cell>
          <cell r="B647">
            <v>646</v>
          </cell>
          <cell r="C647">
            <v>3</v>
          </cell>
          <cell r="D647" t="str">
            <v>MZ</v>
          </cell>
          <cell r="E647">
            <v>26</v>
          </cell>
          <cell r="F647">
            <v>1</v>
          </cell>
          <cell r="G647">
            <v>88</v>
          </cell>
          <cell r="H647">
            <v>1</v>
          </cell>
          <cell r="I647">
            <v>0.35300895304660951</v>
          </cell>
        </row>
        <row r="648">
          <cell r="A648" t="str">
            <v>Psco_722</v>
          </cell>
          <cell r="B648">
            <v>647</v>
          </cell>
          <cell r="C648">
            <v>2</v>
          </cell>
          <cell r="D648" t="str">
            <v>MZ</v>
          </cell>
          <cell r="E648">
            <v>31</v>
          </cell>
          <cell r="F648">
            <v>1</v>
          </cell>
          <cell r="G648">
            <v>84</v>
          </cell>
          <cell r="H648">
            <v>1</v>
          </cell>
          <cell r="I648">
            <v>0.56637934309925853</v>
          </cell>
        </row>
        <row r="649">
          <cell r="A649" t="str">
            <v>Psco_831</v>
          </cell>
          <cell r="B649">
            <v>648</v>
          </cell>
          <cell r="C649">
            <v>3</v>
          </cell>
          <cell r="D649" t="str">
            <v>MZ</v>
          </cell>
          <cell r="E649">
            <v>30</v>
          </cell>
          <cell r="F649">
            <v>0</v>
          </cell>
          <cell r="G649">
            <v>98</v>
          </cell>
          <cell r="H649">
            <v>0</v>
          </cell>
          <cell r="I649">
            <v>0</v>
          </cell>
        </row>
        <row r="650">
          <cell r="A650" t="str">
            <v>Psco_839</v>
          </cell>
          <cell r="B650">
            <v>649</v>
          </cell>
          <cell r="C650">
            <v>3</v>
          </cell>
          <cell r="D650" t="str">
            <v>MZ</v>
          </cell>
          <cell r="E650">
            <v>39</v>
          </cell>
          <cell r="F650">
            <v>0</v>
          </cell>
          <cell r="G650">
            <v>98</v>
          </cell>
          <cell r="H650">
            <v>0</v>
          </cell>
          <cell r="I650">
            <v>0</v>
          </cell>
        </row>
        <row r="651">
          <cell r="A651" t="str">
            <v>Psco_751</v>
          </cell>
          <cell r="B651">
            <v>650</v>
          </cell>
          <cell r="C651">
            <v>3</v>
          </cell>
          <cell r="D651" t="str">
            <v>MZ</v>
          </cell>
          <cell r="E651">
            <v>31</v>
          </cell>
          <cell r="F651">
            <v>0</v>
          </cell>
          <cell r="G651">
            <v>98</v>
          </cell>
          <cell r="H651">
            <v>0</v>
          </cell>
          <cell r="I651">
            <v>0</v>
          </cell>
        </row>
        <row r="652">
          <cell r="A652" t="str">
            <v>Psco_847</v>
          </cell>
          <cell r="B652">
            <v>651</v>
          </cell>
          <cell r="C652">
            <v>3</v>
          </cell>
          <cell r="D652" t="str">
            <v>MZ</v>
          </cell>
          <cell r="E652">
            <v>27</v>
          </cell>
          <cell r="F652">
            <v>1</v>
          </cell>
          <cell r="G652">
            <v>78</v>
          </cell>
          <cell r="H652">
            <v>1</v>
          </cell>
          <cell r="I652">
            <v>0.42758056584852783</v>
          </cell>
        </row>
        <row r="653">
          <cell r="A653" t="str">
            <v>Psco_759</v>
          </cell>
          <cell r="B653">
            <v>652</v>
          </cell>
          <cell r="C653">
            <v>3</v>
          </cell>
          <cell r="D653" t="str">
            <v>MZ</v>
          </cell>
          <cell r="E653">
            <v>23</v>
          </cell>
          <cell r="F653">
            <v>0</v>
          </cell>
          <cell r="G653">
            <v>98</v>
          </cell>
          <cell r="H653">
            <v>0</v>
          </cell>
          <cell r="I653">
            <v>0</v>
          </cell>
        </row>
        <row r="654">
          <cell r="A654" t="str">
            <v>Psco_855</v>
          </cell>
          <cell r="B654">
            <v>653</v>
          </cell>
          <cell r="C654">
            <v>3</v>
          </cell>
          <cell r="D654" t="str">
            <v>MZ</v>
          </cell>
          <cell r="E654">
            <v>23</v>
          </cell>
          <cell r="F654">
            <v>0</v>
          </cell>
          <cell r="G654">
            <v>98</v>
          </cell>
          <cell r="H654">
            <v>0</v>
          </cell>
          <cell r="I654">
            <v>0</v>
          </cell>
        </row>
        <row r="655">
          <cell r="A655" t="str">
            <v>Psco_767</v>
          </cell>
          <cell r="B655">
            <v>654</v>
          </cell>
          <cell r="C655">
            <v>3</v>
          </cell>
          <cell r="D655" t="str">
            <v>MZ</v>
          </cell>
          <cell r="E655">
            <v>39</v>
          </cell>
          <cell r="F655">
            <v>0</v>
          </cell>
          <cell r="G655">
            <v>98</v>
          </cell>
          <cell r="H655">
            <v>0</v>
          </cell>
          <cell r="I655">
            <v>0</v>
          </cell>
        </row>
        <row r="656">
          <cell r="A656" t="str">
            <v>Psco_775</v>
          </cell>
          <cell r="B656">
            <v>655</v>
          </cell>
          <cell r="C656">
            <v>3</v>
          </cell>
          <cell r="D656" t="str">
            <v>MZ</v>
          </cell>
          <cell r="E656">
            <v>27</v>
          </cell>
          <cell r="F656">
            <v>1</v>
          </cell>
          <cell r="G656">
            <v>73</v>
          </cell>
          <cell r="H656">
            <v>1</v>
          </cell>
          <cell r="I656">
            <v>0.55140179285731028</v>
          </cell>
        </row>
        <row r="657">
          <cell r="A657" t="str">
            <v>Psco_871</v>
          </cell>
          <cell r="B657">
            <v>656</v>
          </cell>
          <cell r="C657">
            <v>3</v>
          </cell>
          <cell r="D657" t="str">
            <v>MZ</v>
          </cell>
          <cell r="E657">
            <v>26</v>
          </cell>
          <cell r="F657">
            <v>0</v>
          </cell>
          <cell r="G657">
            <v>98</v>
          </cell>
          <cell r="H657">
            <v>1</v>
          </cell>
          <cell r="I657">
            <v>0.14081057616575959</v>
          </cell>
        </row>
        <row r="658">
          <cell r="A658" t="str">
            <v>Psco_783</v>
          </cell>
          <cell r="B658">
            <v>657</v>
          </cell>
          <cell r="C658">
            <v>3</v>
          </cell>
          <cell r="D658" t="str">
            <v>MZ</v>
          </cell>
          <cell r="E658">
            <v>36</v>
          </cell>
          <cell r="F658">
            <v>1</v>
          </cell>
          <cell r="G658">
            <v>68</v>
          </cell>
          <cell r="H658">
            <v>1</v>
          </cell>
          <cell r="I658">
            <v>0.38921887618213102</v>
          </cell>
        </row>
        <row r="659">
          <cell r="A659" t="str">
            <v>Psco_879</v>
          </cell>
          <cell r="B659">
            <v>658</v>
          </cell>
          <cell r="C659">
            <v>3</v>
          </cell>
          <cell r="D659" t="str">
            <v>MZ</v>
          </cell>
          <cell r="E659">
            <v>32</v>
          </cell>
          <cell r="F659">
            <v>0</v>
          </cell>
          <cell r="G659">
            <v>98</v>
          </cell>
          <cell r="H659">
            <v>0</v>
          </cell>
          <cell r="I659">
            <v>0</v>
          </cell>
        </row>
        <row r="660">
          <cell r="A660" t="str">
            <v>Psco_791</v>
          </cell>
          <cell r="B660">
            <v>659</v>
          </cell>
          <cell r="C660">
            <v>3</v>
          </cell>
          <cell r="D660" t="str">
            <v>MZ</v>
          </cell>
          <cell r="E660">
            <v>36</v>
          </cell>
          <cell r="F660">
            <v>0</v>
          </cell>
          <cell r="G660">
            <v>98</v>
          </cell>
          <cell r="H660">
            <v>0</v>
          </cell>
          <cell r="I660">
            <v>0</v>
          </cell>
        </row>
        <row r="661">
          <cell r="A661" t="str">
            <v>Psco_887</v>
          </cell>
          <cell r="B661">
            <v>660</v>
          </cell>
          <cell r="C661">
            <v>3</v>
          </cell>
          <cell r="D661" t="str">
            <v>MZ</v>
          </cell>
          <cell r="E661">
            <v>34</v>
          </cell>
          <cell r="F661">
            <v>0</v>
          </cell>
          <cell r="G661">
            <v>98</v>
          </cell>
          <cell r="H661">
            <v>0</v>
          </cell>
          <cell r="I661">
            <v>0</v>
          </cell>
        </row>
        <row r="662">
          <cell r="A662" t="str">
            <v>Psco_499</v>
          </cell>
          <cell r="B662">
            <v>661</v>
          </cell>
          <cell r="C662">
            <v>2</v>
          </cell>
          <cell r="D662" t="str">
            <v>MZ</v>
          </cell>
          <cell r="E662">
            <v>37</v>
          </cell>
          <cell r="F662">
            <v>0</v>
          </cell>
          <cell r="G662">
            <v>98</v>
          </cell>
          <cell r="H662">
            <v>0</v>
          </cell>
          <cell r="I662">
            <v>0</v>
          </cell>
        </row>
        <row r="663">
          <cell r="A663" t="str">
            <v>Psco_595</v>
          </cell>
          <cell r="B663">
            <v>662</v>
          </cell>
          <cell r="C663">
            <v>2</v>
          </cell>
          <cell r="D663" t="str">
            <v>MZ</v>
          </cell>
          <cell r="E663">
            <v>39</v>
          </cell>
          <cell r="F663">
            <v>0</v>
          </cell>
          <cell r="G663">
            <v>98</v>
          </cell>
          <cell r="H663">
            <v>0</v>
          </cell>
          <cell r="I663">
            <v>0</v>
          </cell>
        </row>
        <row r="664">
          <cell r="A664" t="str">
            <v>Psco_507</v>
          </cell>
          <cell r="B664">
            <v>663</v>
          </cell>
          <cell r="C664">
            <v>2</v>
          </cell>
          <cell r="D664" t="str">
            <v>TZ</v>
          </cell>
          <cell r="E664">
            <v>42</v>
          </cell>
          <cell r="F664">
            <v>0</v>
          </cell>
          <cell r="G664">
            <v>98</v>
          </cell>
          <cell r="H664">
            <v>1</v>
          </cell>
          <cell r="I664">
            <v>0.38019587651258219</v>
          </cell>
        </row>
        <row r="665">
          <cell r="A665" t="str">
            <v>Psco_603</v>
          </cell>
          <cell r="B665">
            <v>664</v>
          </cell>
          <cell r="C665">
            <v>2</v>
          </cell>
          <cell r="D665" t="str">
            <v>TZ</v>
          </cell>
          <cell r="E665">
            <v>42</v>
          </cell>
          <cell r="F665">
            <v>0</v>
          </cell>
          <cell r="G665">
            <v>98</v>
          </cell>
          <cell r="H665">
            <v>1</v>
          </cell>
          <cell r="I665">
            <v>0.39945898489883702</v>
          </cell>
        </row>
        <row r="666">
          <cell r="A666" t="str">
            <v>Psco_515</v>
          </cell>
          <cell r="B666">
            <v>665</v>
          </cell>
          <cell r="C666">
            <v>2</v>
          </cell>
          <cell r="D666" t="str">
            <v>TZ</v>
          </cell>
          <cell r="E666">
            <v>46</v>
          </cell>
          <cell r="F666">
            <v>1</v>
          </cell>
          <cell r="G666">
            <v>74</v>
          </cell>
          <cell r="H666">
            <v>1</v>
          </cell>
          <cell r="I666">
            <v>0.29603156368985062</v>
          </cell>
        </row>
        <row r="667">
          <cell r="A667" t="str">
            <v>Psco_611</v>
          </cell>
          <cell r="B667">
            <v>666</v>
          </cell>
          <cell r="C667">
            <v>2</v>
          </cell>
          <cell r="D667" t="str">
            <v>TZ</v>
          </cell>
          <cell r="E667">
            <v>54</v>
          </cell>
          <cell r="F667">
            <v>1</v>
          </cell>
          <cell r="G667">
            <v>63</v>
          </cell>
          <cell r="H667">
            <v>1</v>
          </cell>
          <cell r="I667">
            <v>0.51637451667916556</v>
          </cell>
        </row>
        <row r="668">
          <cell r="A668" t="str">
            <v>Psco_523</v>
          </cell>
          <cell r="B668">
            <v>667</v>
          </cell>
          <cell r="C668">
            <v>2</v>
          </cell>
          <cell r="D668" t="str">
            <v>TZ</v>
          </cell>
          <cell r="E668">
            <v>51</v>
          </cell>
          <cell r="F668">
            <v>0</v>
          </cell>
          <cell r="G668">
            <v>98</v>
          </cell>
          <cell r="H668">
            <v>1</v>
          </cell>
          <cell r="I668">
            <v>0.21997706535606809</v>
          </cell>
        </row>
        <row r="669">
          <cell r="A669" t="str">
            <v>Psco_619</v>
          </cell>
          <cell r="B669">
            <v>668</v>
          </cell>
          <cell r="C669">
            <v>2</v>
          </cell>
          <cell r="D669" t="str">
            <v>MZ</v>
          </cell>
          <cell r="E669">
            <v>32</v>
          </cell>
          <cell r="F669">
            <v>1</v>
          </cell>
          <cell r="G669">
            <v>65</v>
          </cell>
          <cell r="H669">
            <v>1</v>
          </cell>
          <cell r="I669">
            <v>0.67633275779808499</v>
          </cell>
        </row>
        <row r="670">
          <cell r="A670" t="str">
            <v>Psco_531</v>
          </cell>
          <cell r="B670">
            <v>669</v>
          </cell>
          <cell r="C670">
            <v>2</v>
          </cell>
          <cell r="D670" t="str">
            <v>TZ</v>
          </cell>
          <cell r="E670">
            <v>50</v>
          </cell>
          <cell r="F670">
            <v>0</v>
          </cell>
          <cell r="G670">
            <v>98</v>
          </cell>
          <cell r="H670">
            <v>0</v>
          </cell>
          <cell r="I670">
            <v>0</v>
          </cell>
        </row>
        <row r="671">
          <cell r="A671" t="str">
            <v>Psco_627</v>
          </cell>
          <cell r="B671">
            <v>670</v>
          </cell>
          <cell r="C671">
            <v>2</v>
          </cell>
          <cell r="D671" t="str">
            <v>TZ</v>
          </cell>
          <cell r="E671">
            <v>42</v>
          </cell>
          <cell r="F671">
            <v>1</v>
          </cell>
          <cell r="G671">
            <v>65</v>
          </cell>
          <cell r="H671">
            <v>1</v>
          </cell>
          <cell r="I671">
            <v>0.33530787730354228</v>
          </cell>
        </row>
        <row r="672">
          <cell r="A672" t="str">
            <v>Psco_539</v>
          </cell>
          <cell r="B672">
            <v>671</v>
          </cell>
          <cell r="C672">
            <v>2</v>
          </cell>
          <cell r="D672" t="str">
            <v>MZ</v>
          </cell>
          <cell r="E672">
            <v>22</v>
          </cell>
          <cell r="F672">
            <v>0</v>
          </cell>
          <cell r="G672">
            <v>98</v>
          </cell>
          <cell r="H672">
            <v>0</v>
          </cell>
          <cell r="I672">
            <v>0</v>
          </cell>
        </row>
        <row r="673">
          <cell r="A673" t="str">
            <v>Psco_635</v>
          </cell>
          <cell r="B673">
            <v>672</v>
          </cell>
          <cell r="C673">
            <v>2</v>
          </cell>
          <cell r="D673" t="str">
            <v>TZ</v>
          </cell>
          <cell r="E673">
            <v>49</v>
          </cell>
          <cell r="F673">
            <v>0</v>
          </cell>
          <cell r="G673">
            <v>98</v>
          </cell>
          <cell r="H673">
            <v>1</v>
          </cell>
          <cell r="I673">
            <v>0.37585889046872811</v>
          </cell>
        </row>
        <row r="674">
          <cell r="A674" t="str">
            <v>Psco_547</v>
          </cell>
          <cell r="B674">
            <v>673</v>
          </cell>
          <cell r="C674">
            <v>2</v>
          </cell>
          <cell r="D674" t="str">
            <v>MZ</v>
          </cell>
          <cell r="E674">
            <v>29</v>
          </cell>
          <cell r="F674">
            <v>1</v>
          </cell>
          <cell r="G674">
            <v>63</v>
          </cell>
          <cell r="H674">
            <v>1</v>
          </cell>
          <cell r="I674">
            <v>0.49855523827813758</v>
          </cell>
        </row>
        <row r="675">
          <cell r="A675" t="str">
            <v>Psco_643</v>
          </cell>
          <cell r="B675">
            <v>674</v>
          </cell>
          <cell r="C675">
            <v>2</v>
          </cell>
          <cell r="D675" t="str">
            <v>MZ</v>
          </cell>
          <cell r="E675">
            <v>40</v>
          </cell>
          <cell r="F675">
            <v>1</v>
          </cell>
          <cell r="G675">
            <v>63</v>
          </cell>
          <cell r="H675">
            <v>1</v>
          </cell>
          <cell r="I675">
            <v>0.49733915390151368</v>
          </cell>
        </row>
        <row r="676">
          <cell r="A676" t="str">
            <v>Psco_555</v>
          </cell>
          <cell r="B676">
            <v>675</v>
          </cell>
          <cell r="C676">
            <v>2</v>
          </cell>
          <cell r="D676" t="str">
            <v>MZ</v>
          </cell>
          <cell r="E676">
            <v>25</v>
          </cell>
          <cell r="F676">
            <v>0</v>
          </cell>
          <cell r="G676">
            <v>98</v>
          </cell>
          <cell r="H676">
            <v>0</v>
          </cell>
          <cell r="I676">
            <v>0</v>
          </cell>
        </row>
        <row r="677">
          <cell r="A677" t="str">
            <v>Psco_651</v>
          </cell>
          <cell r="B677">
            <v>676</v>
          </cell>
          <cell r="C677">
            <v>2</v>
          </cell>
          <cell r="D677" t="str">
            <v>MZ</v>
          </cell>
          <cell r="E677">
            <v>31</v>
          </cell>
          <cell r="F677">
            <v>0</v>
          </cell>
          <cell r="G677">
            <v>98</v>
          </cell>
          <cell r="H677">
            <v>0</v>
          </cell>
          <cell r="I677">
            <v>0</v>
          </cell>
        </row>
        <row r="678">
          <cell r="A678" t="str">
            <v>Psco_563</v>
          </cell>
          <cell r="B678">
            <v>677</v>
          </cell>
          <cell r="C678">
            <v>2</v>
          </cell>
          <cell r="D678" t="str">
            <v>MZ</v>
          </cell>
          <cell r="E678">
            <v>31</v>
          </cell>
          <cell r="F678">
            <v>1</v>
          </cell>
          <cell r="G678">
            <v>86</v>
          </cell>
          <cell r="H678">
            <v>1</v>
          </cell>
          <cell r="I678">
            <v>0.41868162736656439</v>
          </cell>
        </row>
        <row r="679">
          <cell r="A679" t="str">
            <v>Psco_659</v>
          </cell>
          <cell r="B679">
            <v>678</v>
          </cell>
          <cell r="C679">
            <v>2</v>
          </cell>
          <cell r="D679" t="str">
            <v>TZ</v>
          </cell>
          <cell r="E679">
            <v>52</v>
          </cell>
          <cell r="F679">
            <v>1</v>
          </cell>
          <cell r="G679">
            <v>45</v>
          </cell>
          <cell r="H679">
            <v>1</v>
          </cell>
          <cell r="I679">
            <v>0.76367062294959975</v>
          </cell>
        </row>
        <row r="680">
          <cell r="A680" t="str">
            <v>Psco_571</v>
          </cell>
          <cell r="B680">
            <v>679</v>
          </cell>
          <cell r="C680">
            <v>2</v>
          </cell>
          <cell r="D680" t="str">
            <v>TZ</v>
          </cell>
          <cell r="E680">
            <v>51</v>
          </cell>
          <cell r="F680">
            <v>1</v>
          </cell>
          <cell r="G680">
            <v>54</v>
          </cell>
          <cell r="H680">
            <v>1</v>
          </cell>
          <cell r="I680">
            <v>0.62482693971099579</v>
          </cell>
        </row>
        <row r="681">
          <cell r="A681" t="str">
            <v>Psco_667</v>
          </cell>
          <cell r="B681">
            <v>680</v>
          </cell>
          <cell r="C681">
            <v>2</v>
          </cell>
          <cell r="D681" t="str">
            <v>MZ</v>
          </cell>
          <cell r="E681">
            <v>35</v>
          </cell>
          <cell r="F681">
            <v>0</v>
          </cell>
          <cell r="G681">
            <v>98</v>
          </cell>
          <cell r="H681">
            <v>0</v>
          </cell>
          <cell r="I681">
            <v>0</v>
          </cell>
        </row>
        <row r="682">
          <cell r="A682" t="str">
            <v>Psco_579</v>
          </cell>
          <cell r="B682">
            <v>681</v>
          </cell>
          <cell r="C682">
            <v>2</v>
          </cell>
          <cell r="D682" t="str">
            <v>MZ</v>
          </cell>
          <cell r="E682">
            <v>38</v>
          </cell>
          <cell r="F682">
            <v>0</v>
          </cell>
          <cell r="G682">
            <v>98</v>
          </cell>
          <cell r="H682">
            <v>1</v>
          </cell>
          <cell r="I682">
            <v>0.41954287467453938</v>
          </cell>
        </row>
        <row r="683">
          <cell r="A683" t="str">
            <v>Psco_675</v>
          </cell>
          <cell r="B683">
            <v>682</v>
          </cell>
          <cell r="C683">
            <v>2</v>
          </cell>
          <cell r="D683" t="str">
            <v>MZ</v>
          </cell>
          <cell r="E683">
            <v>35</v>
          </cell>
          <cell r="F683">
            <v>1</v>
          </cell>
          <cell r="G683">
            <v>75</v>
          </cell>
          <cell r="H683">
            <v>1</v>
          </cell>
          <cell r="I683">
            <v>0.50774173167307657</v>
          </cell>
        </row>
        <row r="684">
          <cell r="A684" t="str">
            <v>Psco_587</v>
          </cell>
          <cell r="B684">
            <v>683</v>
          </cell>
          <cell r="C684">
            <v>2</v>
          </cell>
          <cell r="D684" t="str">
            <v>TZ</v>
          </cell>
          <cell r="E684">
            <v>42</v>
          </cell>
          <cell r="F684">
            <v>1</v>
          </cell>
          <cell r="G684">
            <v>58</v>
          </cell>
          <cell r="H684">
            <v>1</v>
          </cell>
          <cell r="I684">
            <v>0.55458494153389459</v>
          </cell>
        </row>
        <row r="685">
          <cell r="A685" t="str">
            <v>Psco_683</v>
          </cell>
          <cell r="B685">
            <v>684</v>
          </cell>
          <cell r="C685">
            <v>2</v>
          </cell>
          <cell r="D685" t="str">
            <v>MZ</v>
          </cell>
          <cell r="E685">
            <v>24</v>
          </cell>
          <cell r="F685">
            <v>1</v>
          </cell>
          <cell r="G685">
            <v>65</v>
          </cell>
          <cell r="H685">
            <v>1</v>
          </cell>
          <cell r="I685">
            <v>0.56882008681956131</v>
          </cell>
        </row>
        <row r="686">
          <cell r="A686" t="str">
            <v>Psco_691</v>
          </cell>
          <cell r="B686">
            <v>685</v>
          </cell>
          <cell r="C686">
            <v>2</v>
          </cell>
          <cell r="D686" t="str">
            <v>MZ</v>
          </cell>
          <cell r="E686">
            <v>30</v>
          </cell>
          <cell r="F686">
            <v>1</v>
          </cell>
          <cell r="G686">
            <v>51</v>
          </cell>
          <cell r="H686">
            <v>1</v>
          </cell>
          <cell r="I686">
            <v>0.68293620221968598</v>
          </cell>
        </row>
        <row r="687">
          <cell r="A687" t="str">
            <v>Psco_800</v>
          </cell>
          <cell r="B687">
            <v>686</v>
          </cell>
          <cell r="C687">
            <v>3</v>
          </cell>
          <cell r="D687" t="str">
            <v>MZ</v>
          </cell>
          <cell r="E687">
            <v>35</v>
          </cell>
          <cell r="F687">
            <v>1</v>
          </cell>
          <cell r="G687">
            <v>92</v>
          </cell>
          <cell r="H687">
            <v>1</v>
          </cell>
          <cell r="I687">
            <v>0.46320366272649099</v>
          </cell>
        </row>
        <row r="688">
          <cell r="A688" t="str">
            <v>Psco_699</v>
          </cell>
          <cell r="B688">
            <v>687</v>
          </cell>
          <cell r="C688">
            <v>2</v>
          </cell>
          <cell r="D688" t="str">
            <v>TZ</v>
          </cell>
          <cell r="E688">
            <v>44</v>
          </cell>
          <cell r="F688">
            <v>1</v>
          </cell>
          <cell r="G688">
            <v>62</v>
          </cell>
          <cell r="H688">
            <v>1</v>
          </cell>
          <cell r="I688">
            <v>0.41871237682847562</v>
          </cell>
        </row>
        <row r="689">
          <cell r="A689" t="str">
            <v>Psco_808</v>
          </cell>
          <cell r="B689">
            <v>688</v>
          </cell>
          <cell r="C689">
            <v>3</v>
          </cell>
          <cell r="D689" t="str">
            <v>MZ</v>
          </cell>
          <cell r="E689">
            <v>33</v>
          </cell>
          <cell r="F689">
            <v>1</v>
          </cell>
          <cell r="G689">
            <v>74</v>
          </cell>
          <cell r="H689">
            <v>1</v>
          </cell>
          <cell r="I689">
            <v>0.62877325189655231</v>
          </cell>
        </row>
        <row r="690">
          <cell r="A690" t="str">
            <v>Psco_707</v>
          </cell>
          <cell r="B690">
            <v>689</v>
          </cell>
          <cell r="C690">
            <v>2</v>
          </cell>
          <cell r="D690" t="str">
            <v>TZ</v>
          </cell>
          <cell r="E690">
            <v>50</v>
          </cell>
          <cell r="F690">
            <v>1</v>
          </cell>
          <cell r="G690">
            <v>59</v>
          </cell>
          <cell r="H690">
            <v>1</v>
          </cell>
          <cell r="I690">
            <v>0.45778566875524962</v>
          </cell>
        </row>
        <row r="691">
          <cell r="A691" t="str">
            <v>Psco_816</v>
          </cell>
          <cell r="B691">
            <v>690</v>
          </cell>
          <cell r="C691">
            <v>3</v>
          </cell>
          <cell r="D691" t="str">
            <v>MZ</v>
          </cell>
          <cell r="E691">
            <v>37</v>
          </cell>
          <cell r="F691">
            <v>0</v>
          </cell>
          <cell r="G691">
            <v>98</v>
          </cell>
          <cell r="H691">
            <v>1</v>
          </cell>
          <cell r="I691">
            <v>4.3550272764237903E-2</v>
          </cell>
        </row>
        <row r="692">
          <cell r="A692" t="str">
            <v>Psco_715</v>
          </cell>
          <cell r="B692">
            <v>691</v>
          </cell>
          <cell r="C692">
            <v>2</v>
          </cell>
          <cell r="D692" t="str">
            <v>TZ</v>
          </cell>
          <cell r="E692">
            <v>48</v>
          </cell>
          <cell r="F692">
            <v>1</v>
          </cell>
          <cell r="G692">
            <v>48</v>
          </cell>
          <cell r="H692">
            <v>1</v>
          </cell>
          <cell r="I692">
            <v>0.16254462021270691</v>
          </cell>
        </row>
        <row r="693">
          <cell r="A693" t="str">
            <v>Psco_824</v>
          </cell>
          <cell r="B693">
            <v>692</v>
          </cell>
          <cell r="C693">
            <v>3</v>
          </cell>
          <cell r="D693" t="str">
            <v>MZ</v>
          </cell>
          <cell r="E693">
            <v>37</v>
          </cell>
          <cell r="F693">
            <v>0</v>
          </cell>
          <cell r="G693">
            <v>98</v>
          </cell>
          <cell r="H693">
            <v>0</v>
          </cell>
          <cell r="I693">
            <v>0</v>
          </cell>
        </row>
        <row r="694">
          <cell r="A694" t="str">
            <v>Psco_723</v>
          </cell>
          <cell r="B694">
            <v>693</v>
          </cell>
          <cell r="C694">
            <v>2</v>
          </cell>
          <cell r="D694" t="str">
            <v>TZ</v>
          </cell>
          <cell r="E694">
            <v>47</v>
          </cell>
          <cell r="F694">
            <v>1</v>
          </cell>
          <cell r="G694">
            <v>78</v>
          </cell>
          <cell r="H694">
            <v>1</v>
          </cell>
          <cell r="I694">
            <v>0.48121485834784899</v>
          </cell>
        </row>
        <row r="695">
          <cell r="A695" t="str">
            <v>Psco_832</v>
          </cell>
          <cell r="B695">
            <v>694</v>
          </cell>
          <cell r="C695">
            <v>3</v>
          </cell>
          <cell r="D695" t="str">
            <v>MZ</v>
          </cell>
          <cell r="E695">
            <v>30</v>
          </cell>
          <cell r="F695">
            <v>0</v>
          </cell>
          <cell r="G695">
            <v>98</v>
          </cell>
          <cell r="H695">
            <v>0</v>
          </cell>
          <cell r="I695">
            <v>0</v>
          </cell>
        </row>
        <row r="696">
          <cell r="A696" t="str">
            <v>Psco_840</v>
          </cell>
          <cell r="B696">
            <v>695</v>
          </cell>
          <cell r="C696">
            <v>3</v>
          </cell>
          <cell r="D696" t="str">
            <v>MZ</v>
          </cell>
          <cell r="E696">
            <v>23</v>
          </cell>
          <cell r="F696">
            <v>1</v>
          </cell>
          <cell r="G696">
            <v>73</v>
          </cell>
          <cell r="H696">
            <v>1</v>
          </cell>
          <cell r="I696">
            <v>0.50808441536400317</v>
          </cell>
        </row>
        <row r="697">
          <cell r="A697" t="str">
            <v>Psco_848</v>
          </cell>
          <cell r="B697">
            <v>696</v>
          </cell>
          <cell r="C697">
            <v>3</v>
          </cell>
          <cell r="D697" t="str">
            <v>MZ</v>
          </cell>
          <cell r="E697">
            <v>23</v>
          </cell>
          <cell r="F697">
            <v>0</v>
          </cell>
          <cell r="G697">
            <v>98</v>
          </cell>
          <cell r="H697">
            <v>0</v>
          </cell>
          <cell r="I697">
            <v>0</v>
          </cell>
        </row>
        <row r="698">
          <cell r="A698" t="str">
            <v>Psco_760</v>
          </cell>
          <cell r="B698">
            <v>697</v>
          </cell>
          <cell r="C698">
            <v>3</v>
          </cell>
          <cell r="D698" t="str">
            <v>MZ</v>
          </cell>
          <cell r="E698">
            <v>39</v>
          </cell>
          <cell r="F698">
            <v>0</v>
          </cell>
          <cell r="G698">
            <v>98</v>
          </cell>
          <cell r="H698">
            <v>0</v>
          </cell>
          <cell r="I698">
            <v>0</v>
          </cell>
        </row>
        <row r="699">
          <cell r="A699" t="str">
            <v>Psco_856</v>
          </cell>
          <cell r="B699">
            <v>698</v>
          </cell>
          <cell r="C699">
            <v>3</v>
          </cell>
          <cell r="D699" t="str">
            <v>MZ</v>
          </cell>
          <cell r="E699">
            <v>27</v>
          </cell>
          <cell r="F699">
            <v>0</v>
          </cell>
          <cell r="G699">
            <v>98</v>
          </cell>
          <cell r="H699">
            <v>0</v>
          </cell>
          <cell r="I699">
            <v>0</v>
          </cell>
        </row>
        <row r="700">
          <cell r="A700" t="str">
            <v>Psco_768</v>
          </cell>
          <cell r="B700">
            <v>699</v>
          </cell>
          <cell r="C700">
            <v>3</v>
          </cell>
          <cell r="D700" t="str">
            <v>MZ</v>
          </cell>
          <cell r="E700">
            <v>25</v>
          </cell>
          <cell r="F700">
            <v>1</v>
          </cell>
          <cell r="G700">
            <v>76</v>
          </cell>
          <cell r="H700">
            <v>1</v>
          </cell>
          <cell r="I700">
            <v>0.62143620201181937</v>
          </cell>
        </row>
        <row r="701">
          <cell r="A701" t="str">
            <v>Psco_864</v>
          </cell>
          <cell r="B701">
            <v>700</v>
          </cell>
          <cell r="C701">
            <v>3</v>
          </cell>
          <cell r="D701" t="str">
            <v>MZ</v>
          </cell>
          <cell r="E701">
            <v>23</v>
          </cell>
          <cell r="F701">
            <v>0</v>
          </cell>
          <cell r="G701">
            <v>98</v>
          </cell>
          <cell r="H701">
            <v>0</v>
          </cell>
          <cell r="I701">
            <v>0</v>
          </cell>
        </row>
        <row r="702">
          <cell r="A702" t="str">
            <v>Psco_776</v>
          </cell>
          <cell r="B702">
            <v>701</v>
          </cell>
          <cell r="C702">
            <v>3</v>
          </cell>
          <cell r="D702" t="str">
            <v>MZ</v>
          </cell>
          <cell r="E702">
            <v>30</v>
          </cell>
          <cell r="F702">
            <v>1</v>
          </cell>
          <cell r="G702">
            <v>80</v>
          </cell>
          <cell r="H702">
            <v>1</v>
          </cell>
          <cell r="I702">
            <v>0.33123365181120762</v>
          </cell>
        </row>
        <row r="703">
          <cell r="A703" t="str">
            <v>Psco_872</v>
          </cell>
          <cell r="B703">
            <v>702</v>
          </cell>
          <cell r="C703">
            <v>3</v>
          </cell>
          <cell r="D703" t="str">
            <v>MZ</v>
          </cell>
          <cell r="E703">
            <v>24</v>
          </cell>
          <cell r="F703">
            <v>0</v>
          </cell>
          <cell r="G703">
            <v>98</v>
          </cell>
          <cell r="H703">
            <v>0</v>
          </cell>
          <cell r="I703">
            <v>0</v>
          </cell>
        </row>
        <row r="704">
          <cell r="A704" t="str">
            <v>Psco_784</v>
          </cell>
          <cell r="B704">
            <v>703</v>
          </cell>
          <cell r="C704">
            <v>3</v>
          </cell>
          <cell r="D704" t="str">
            <v>MZ</v>
          </cell>
          <cell r="E704">
            <v>26</v>
          </cell>
          <cell r="F704">
            <v>0</v>
          </cell>
          <cell r="G704">
            <v>98</v>
          </cell>
          <cell r="H704">
            <v>1</v>
          </cell>
          <cell r="I704">
            <v>5.3628761632552563E-2</v>
          </cell>
        </row>
        <row r="705">
          <cell r="A705" t="str">
            <v>Psco_880</v>
          </cell>
          <cell r="B705">
            <v>704</v>
          </cell>
          <cell r="C705">
            <v>3</v>
          </cell>
          <cell r="D705" t="str">
            <v>MZ</v>
          </cell>
          <cell r="E705">
            <v>26</v>
          </cell>
          <cell r="F705">
            <v>1</v>
          </cell>
          <cell r="G705">
            <v>83</v>
          </cell>
          <cell r="H705">
            <v>1</v>
          </cell>
          <cell r="I705">
            <v>0.5714956919199623</v>
          </cell>
        </row>
        <row r="706">
          <cell r="A706" t="str">
            <v>Psco_792</v>
          </cell>
          <cell r="B706">
            <v>705</v>
          </cell>
          <cell r="C706">
            <v>3</v>
          </cell>
          <cell r="D706" t="str">
            <v>MZ</v>
          </cell>
          <cell r="E706">
            <v>25</v>
          </cell>
          <cell r="F706">
            <v>1</v>
          </cell>
          <cell r="G706">
            <v>63</v>
          </cell>
          <cell r="H706">
            <v>1</v>
          </cell>
          <cell r="I706">
            <v>0.48760928265686249</v>
          </cell>
        </row>
        <row r="707">
          <cell r="A707" t="str">
            <v>Psco_888</v>
          </cell>
          <cell r="B707">
            <v>706</v>
          </cell>
          <cell r="C707">
            <v>3</v>
          </cell>
          <cell r="D707" t="str">
            <v>MZ</v>
          </cell>
          <cell r="E707">
            <v>31</v>
          </cell>
          <cell r="F707">
            <v>1</v>
          </cell>
          <cell r="G707">
            <v>74</v>
          </cell>
          <cell r="H707">
            <v>1</v>
          </cell>
          <cell r="I707">
            <v>0.35613659966840411</v>
          </cell>
        </row>
        <row r="708">
          <cell r="A708" t="str">
            <v>Psco_500</v>
          </cell>
          <cell r="B708">
            <v>707</v>
          </cell>
          <cell r="C708">
            <v>2</v>
          </cell>
          <cell r="D708" t="str">
            <v>TZ</v>
          </cell>
          <cell r="E708">
            <v>50</v>
          </cell>
          <cell r="F708">
            <v>0</v>
          </cell>
          <cell r="G708">
            <v>98</v>
          </cell>
          <cell r="H708">
            <v>0</v>
          </cell>
          <cell r="I708">
            <v>0</v>
          </cell>
        </row>
        <row r="709">
          <cell r="A709" t="str">
            <v>Psco_596</v>
          </cell>
          <cell r="B709">
            <v>708</v>
          </cell>
          <cell r="C709">
            <v>2</v>
          </cell>
          <cell r="D709" t="str">
            <v>TZ</v>
          </cell>
          <cell r="E709">
            <v>44</v>
          </cell>
          <cell r="F709">
            <v>0</v>
          </cell>
          <cell r="G709">
            <v>98</v>
          </cell>
          <cell r="H709">
            <v>0</v>
          </cell>
          <cell r="I709">
            <v>0</v>
          </cell>
        </row>
        <row r="710">
          <cell r="A710" t="str">
            <v>Psco_508</v>
          </cell>
          <cell r="B710">
            <v>709</v>
          </cell>
          <cell r="C710">
            <v>2</v>
          </cell>
          <cell r="D710" t="str">
            <v>MZ</v>
          </cell>
          <cell r="E710">
            <v>36</v>
          </cell>
          <cell r="F710">
            <v>0</v>
          </cell>
          <cell r="G710">
            <v>98</v>
          </cell>
          <cell r="H710">
            <v>0</v>
          </cell>
          <cell r="I710">
            <v>0</v>
          </cell>
        </row>
        <row r="711">
          <cell r="A711" t="str">
            <v>Psco_604</v>
          </cell>
          <cell r="B711">
            <v>710</v>
          </cell>
          <cell r="C711">
            <v>2</v>
          </cell>
          <cell r="D711" t="str">
            <v>MZ</v>
          </cell>
          <cell r="E711">
            <v>22</v>
          </cell>
          <cell r="F711">
            <v>1</v>
          </cell>
          <cell r="G711">
            <v>56</v>
          </cell>
          <cell r="H711">
            <v>1</v>
          </cell>
          <cell r="I711">
            <v>0.6836362904619474</v>
          </cell>
        </row>
        <row r="712">
          <cell r="A712" t="str">
            <v>Psco_516</v>
          </cell>
          <cell r="B712">
            <v>711</v>
          </cell>
          <cell r="C712">
            <v>2</v>
          </cell>
          <cell r="D712" t="str">
            <v>MZ</v>
          </cell>
          <cell r="E712">
            <v>26</v>
          </cell>
          <cell r="F712">
            <v>0</v>
          </cell>
          <cell r="G712">
            <v>98</v>
          </cell>
          <cell r="H712">
            <v>0</v>
          </cell>
          <cell r="I712">
            <v>0</v>
          </cell>
        </row>
        <row r="713">
          <cell r="A713" t="str">
            <v>Psco_612</v>
          </cell>
          <cell r="B713">
            <v>712</v>
          </cell>
          <cell r="C713">
            <v>2</v>
          </cell>
          <cell r="D713" t="str">
            <v>TZ</v>
          </cell>
          <cell r="E713">
            <v>50</v>
          </cell>
          <cell r="F713">
            <v>0</v>
          </cell>
          <cell r="G713">
            <v>98</v>
          </cell>
          <cell r="H713">
            <v>1</v>
          </cell>
          <cell r="I713">
            <v>0.37458600801382691</v>
          </cell>
        </row>
        <row r="714">
          <cell r="A714" t="str">
            <v>Psco_524</v>
          </cell>
          <cell r="B714">
            <v>713</v>
          </cell>
          <cell r="C714">
            <v>2</v>
          </cell>
          <cell r="D714" t="str">
            <v>MZ</v>
          </cell>
          <cell r="E714">
            <v>35</v>
          </cell>
          <cell r="F714">
            <v>0</v>
          </cell>
          <cell r="G714">
            <v>98</v>
          </cell>
          <cell r="H714">
            <v>0</v>
          </cell>
          <cell r="I714">
            <v>0</v>
          </cell>
        </row>
        <row r="715">
          <cell r="A715" t="str">
            <v>Psco_620</v>
          </cell>
          <cell r="B715">
            <v>714</v>
          </cell>
          <cell r="C715">
            <v>2</v>
          </cell>
          <cell r="D715" t="str">
            <v>TZ</v>
          </cell>
          <cell r="E715">
            <v>50</v>
          </cell>
          <cell r="F715">
            <v>1</v>
          </cell>
          <cell r="G715">
            <v>59</v>
          </cell>
          <cell r="H715">
            <v>1</v>
          </cell>
          <cell r="I715">
            <v>0.42285370760725749</v>
          </cell>
        </row>
        <row r="716">
          <cell r="A716" t="str">
            <v>Psco_532</v>
          </cell>
          <cell r="B716">
            <v>715</v>
          </cell>
          <cell r="C716">
            <v>2</v>
          </cell>
          <cell r="D716" t="str">
            <v>MZ</v>
          </cell>
          <cell r="E716">
            <v>31</v>
          </cell>
          <cell r="F716">
            <v>0</v>
          </cell>
          <cell r="G716">
            <v>98</v>
          </cell>
          <cell r="H716">
            <v>0</v>
          </cell>
          <cell r="I716">
            <v>0</v>
          </cell>
        </row>
        <row r="717">
          <cell r="A717" t="str">
            <v>Psco_628</v>
          </cell>
          <cell r="B717">
            <v>716</v>
          </cell>
          <cell r="C717">
            <v>2</v>
          </cell>
          <cell r="D717" t="str">
            <v>TZ</v>
          </cell>
          <cell r="E717">
            <v>50</v>
          </cell>
          <cell r="F717">
            <v>0</v>
          </cell>
          <cell r="G717">
            <v>98</v>
          </cell>
          <cell r="H717">
            <v>1</v>
          </cell>
          <cell r="I717">
            <v>0.30524459679139587</v>
          </cell>
        </row>
        <row r="718">
          <cell r="A718" t="str">
            <v>Psco_540</v>
          </cell>
          <cell r="B718">
            <v>717</v>
          </cell>
          <cell r="C718">
            <v>2</v>
          </cell>
          <cell r="D718" t="str">
            <v>TZ</v>
          </cell>
          <cell r="E718">
            <v>49</v>
          </cell>
          <cell r="F718">
            <v>1</v>
          </cell>
          <cell r="G718">
            <v>63</v>
          </cell>
          <cell r="H718">
            <v>1</v>
          </cell>
          <cell r="I718">
            <v>0.67703018888550481</v>
          </cell>
        </row>
        <row r="719">
          <cell r="A719" t="str">
            <v>Psco_636</v>
          </cell>
          <cell r="B719">
            <v>718</v>
          </cell>
          <cell r="C719">
            <v>2</v>
          </cell>
          <cell r="D719" t="str">
            <v>TZ</v>
          </cell>
          <cell r="E719">
            <v>50</v>
          </cell>
          <cell r="F719">
            <v>1</v>
          </cell>
          <cell r="G719">
            <v>59</v>
          </cell>
          <cell r="H719">
            <v>1</v>
          </cell>
          <cell r="I719">
            <v>0.64791211992216469</v>
          </cell>
        </row>
        <row r="720">
          <cell r="A720" t="str">
            <v>Psco_548</v>
          </cell>
          <cell r="B720">
            <v>719</v>
          </cell>
          <cell r="C720">
            <v>2</v>
          </cell>
          <cell r="D720" t="str">
            <v>TZ</v>
          </cell>
          <cell r="E720">
            <v>50</v>
          </cell>
          <cell r="F720">
            <v>1</v>
          </cell>
          <cell r="G720">
            <v>65</v>
          </cell>
          <cell r="H720">
            <v>1</v>
          </cell>
          <cell r="I720">
            <v>0.44737318204083271</v>
          </cell>
        </row>
        <row r="721">
          <cell r="A721" t="str">
            <v>Psco_644</v>
          </cell>
          <cell r="B721">
            <v>720</v>
          </cell>
          <cell r="C721">
            <v>2</v>
          </cell>
          <cell r="D721" t="str">
            <v>MZ</v>
          </cell>
          <cell r="E721">
            <v>39</v>
          </cell>
          <cell r="F721">
            <v>1</v>
          </cell>
          <cell r="G721">
            <v>51</v>
          </cell>
          <cell r="H721">
            <v>1</v>
          </cell>
          <cell r="I721">
            <v>0.19845796419441189</v>
          </cell>
        </row>
        <row r="722">
          <cell r="A722" t="str">
            <v>Psco_556</v>
          </cell>
          <cell r="B722">
            <v>721</v>
          </cell>
          <cell r="C722">
            <v>2</v>
          </cell>
          <cell r="D722" t="str">
            <v>TZ</v>
          </cell>
          <cell r="E722">
            <v>46</v>
          </cell>
          <cell r="F722">
            <v>1</v>
          </cell>
          <cell r="G722">
            <v>74</v>
          </cell>
          <cell r="H722">
            <v>1</v>
          </cell>
          <cell r="I722">
            <v>0.49903874024727202</v>
          </cell>
        </row>
        <row r="723">
          <cell r="A723" t="str">
            <v>Psco_652</v>
          </cell>
          <cell r="B723">
            <v>722</v>
          </cell>
          <cell r="C723">
            <v>2</v>
          </cell>
          <cell r="D723" t="str">
            <v>MZ</v>
          </cell>
          <cell r="E723">
            <v>35</v>
          </cell>
          <cell r="F723">
            <v>1</v>
          </cell>
          <cell r="G723">
            <v>77</v>
          </cell>
          <cell r="H723">
            <v>1</v>
          </cell>
          <cell r="I723">
            <v>0.41833452861456721</v>
          </cell>
        </row>
        <row r="724">
          <cell r="A724" t="str">
            <v>Psco_564</v>
          </cell>
          <cell r="B724">
            <v>723</v>
          </cell>
          <cell r="C724">
            <v>2</v>
          </cell>
          <cell r="D724" t="str">
            <v>TZ</v>
          </cell>
          <cell r="E724">
            <v>53</v>
          </cell>
          <cell r="F724">
            <v>0</v>
          </cell>
          <cell r="G724">
            <v>98</v>
          </cell>
          <cell r="H724">
            <v>1</v>
          </cell>
          <cell r="I724">
            <v>0.25861341349897199</v>
          </cell>
        </row>
        <row r="725">
          <cell r="A725" t="str">
            <v>Psco_660</v>
          </cell>
          <cell r="B725">
            <v>724</v>
          </cell>
          <cell r="C725">
            <v>2</v>
          </cell>
          <cell r="D725" t="str">
            <v>TZ</v>
          </cell>
          <cell r="E725">
            <v>50</v>
          </cell>
          <cell r="F725">
            <v>1</v>
          </cell>
          <cell r="G725">
            <v>63</v>
          </cell>
          <cell r="H725">
            <v>1</v>
          </cell>
          <cell r="I725">
            <v>0.6093658609846706</v>
          </cell>
        </row>
        <row r="726">
          <cell r="A726" t="str">
            <v>Psco_572</v>
          </cell>
          <cell r="B726">
            <v>725</v>
          </cell>
          <cell r="C726">
            <v>2</v>
          </cell>
          <cell r="D726" t="str">
            <v>TZ</v>
          </cell>
          <cell r="E726">
            <v>50</v>
          </cell>
          <cell r="F726">
            <v>1</v>
          </cell>
          <cell r="G726">
            <v>80</v>
          </cell>
          <cell r="H726">
            <v>1</v>
          </cell>
          <cell r="I726">
            <v>0.22716384647649229</v>
          </cell>
        </row>
        <row r="727">
          <cell r="A727" t="str">
            <v>Psco_668</v>
          </cell>
          <cell r="B727">
            <v>726</v>
          </cell>
          <cell r="C727">
            <v>2</v>
          </cell>
          <cell r="D727" t="str">
            <v>MZ</v>
          </cell>
          <cell r="E727">
            <v>26</v>
          </cell>
          <cell r="F727">
            <v>0</v>
          </cell>
          <cell r="G727">
            <v>98</v>
          </cell>
          <cell r="H727">
            <v>0</v>
          </cell>
          <cell r="I727">
            <v>0</v>
          </cell>
        </row>
        <row r="728">
          <cell r="A728" t="str">
            <v>Psco_580</v>
          </cell>
          <cell r="B728">
            <v>727</v>
          </cell>
          <cell r="C728">
            <v>2</v>
          </cell>
          <cell r="D728" t="str">
            <v>MZ</v>
          </cell>
          <cell r="E728">
            <v>37</v>
          </cell>
          <cell r="F728">
            <v>1</v>
          </cell>
          <cell r="G728">
            <v>92</v>
          </cell>
          <cell r="H728">
            <v>1</v>
          </cell>
          <cell r="I728">
            <v>0.27286325666899552</v>
          </cell>
        </row>
        <row r="729">
          <cell r="A729" t="str">
            <v>Psco_676</v>
          </cell>
          <cell r="B729">
            <v>728</v>
          </cell>
          <cell r="C729">
            <v>2</v>
          </cell>
          <cell r="D729" t="str">
            <v>MZ</v>
          </cell>
          <cell r="E729">
            <v>23</v>
          </cell>
          <cell r="F729">
            <v>1</v>
          </cell>
          <cell r="G729">
            <v>91</v>
          </cell>
          <cell r="H729">
            <v>1</v>
          </cell>
          <cell r="I729">
            <v>0.40273505844996338</v>
          </cell>
        </row>
        <row r="730">
          <cell r="A730" t="str">
            <v>Psco_588</v>
          </cell>
          <cell r="B730">
            <v>729</v>
          </cell>
          <cell r="C730">
            <v>2</v>
          </cell>
          <cell r="D730" t="str">
            <v>MZ</v>
          </cell>
          <cell r="E730">
            <v>21</v>
          </cell>
          <cell r="F730">
            <v>1</v>
          </cell>
          <cell r="G730">
            <v>95</v>
          </cell>
          <cell r="H730">
            <v>1</v>
          </cell>
          <cell r="I730">
            <v>0.27143007065951053</v>
          </cell>
        </row>
        <row r="731">
          <cell r="A731" t="str">
            <v>Psco_684</v>
          </cell>
          <cell r="B731">
            <v>730</v>
          </cell>
          <cell r="C731">
            <v>2</v>
          </cell>
          <cell r="D731" t="str">
            <v>MZ</v>
          </cell>
          <cell r="E731">
            <v>25</v>
          </cell>
          <cell r="F731">
            <v>1</v>
          </cell>
          <cell r="G731">
            <v>77</v>
          </cell>
          <cell r="H731">
            <v>1</v>
          </cell>
          <cell r="I731">
            <v>0.5022186853947761</v>
          </cell>
        </row>
        <row r="732">
          <cell r="A732" t="str">
            <v>Psco_692</v>
          </cell>
          <cell r="B732">
            <v>731</v>
          </cell>
          <cell r="C732">
            <v>2</v>
          </cell>
          <cell r="D732" t="str">
            <v>TZ</v>
          </cell>
          <cell r="E732">
            <v>46</v>
          </cell>
          <cell r="F732">
            <v>1</v>
          </cell>
          <cell r="G732">
            <v>51</v>
          </cell>
          <cell r="H732">
            <v>1</v>
          </cell>
          <cell r="I732">
            <v>0.49425041199159109</v>
          </cell>
        </row>
        <row r="733">
          <cell r="A733" t="str">
            <v>Psco_801</v>
          </cell>
          <cell r="B733">
            <v>732</v>
          </cell>
          <cell r="C733">
            <v>3</v>
          </cell>
          <cell r="D733" t="str">
            <v>MZ</v>
          </cell>
          <cell r="E733">
            <v>30</v>
          </cell>
          <cell r="F733">
            <v>1</v>
          </cell>
          <cell r="G733">
            <v>85</v>
          </cell>
          <cell r="H733">
            <v>1</v>
          </cell>
          <cell r="I733">
            <v>0.3543983025863674</v>
          </cell>
        </row>
        <row r="734">
          <cell r="A734" t="str">
            <v>Psco_700</v>
          </cell>
          <cell r="B734">
            <v>733</v>
          </cell>
          <cell r="C734">
            <v>2</v>
          </cell>
          <cell r="D734" t="str">
            <v>MZ</v>
          </cell>
          <cell r="E734">
            <v>39</v>
          </cell>
          <cell r="F734">
            <v>0</v>
          </cell>
          <cell r="G734">
            <v>98</v>
          </cell>
          <cell r="H734">
            <v>1</v>
          </cell>
          <cell r="I734">
            <v>0.38464015625292108</v>
          </cell>
        </row>
        <row r="735">
          <cell r="A735" t="str">
            <v>Psco_809</v>
          </cell>
          <cell r="B735">
            <v>734</v>
          </cell>
          <cell r="C735">
            <v>3</v>
          </cell>
          <cell r="D735" t="str">
            <v>MZ</v>
          </cell>
          <cell r="E735">
            <v>24</v>
          </cell>
          <cell r="F735">
            <v>0</v>
          </cell>
          <cell r="G735">
            <v>98</v>
          </cell>
          <cell r="H735">
            <v>1</v>
          </cell>
          <cell r="I735">
            <v>4.8237542624533308E-2</v>
          </cell>
        </row>
        <row r="736">
          <cell r="A736" t="str">
            <v>Psco_708</v>
          </cell>
          <cell r="B736">
            <v>735</v>
          </cell>
          <cell r="C736">
            <v>2</v>
          </cell>
          <cell r="D736" t="str">
            <v>MZ</v>
          </cell>
          <cell r="E736">
            <v>32</v>
          </cell>
          <cell r="F736">
            <v>1</v>
          </cell>
          <cell r="G736">
            <v>64</v>
          </cell>
          <cell r="H736">
            <v>1</v>
          </cell>
          <cell r="I736">
            <v>0.66024201730905474</v>
          </cell>
        </row>
        <row r="737">
          <cell r="A737" t="str">
            <v>Psco_817</v>
          </cell>
          <cell r="B737">
            <v>736</v>
          </cell>
          <cell r="C737">
            <v>3</v>
          </cell>
          <cell r="D737" t="str">
            <v>MZ</v>
          </cell>
          <cell r="E737">
            <v>29</v>
          </cell>
          <cell r="F737">
            <v>0</v>
          </cell>
          <cell r="G737">
            <v>98</v>
          </cell>
          <cell r="H737">
            <v>0</v>
          </cell>
          <cell r="I737">
            <v>0</v>
          </cell>
        </row>
        <row r="738">
          <cell r="A738" t="str">
            <v>Psco_716</v>
          </cell>
          <cell r="B738">
            <v>737</v>
          </cell>
          <cell r="C738">
            <v>2</v>
          </cell>
          <cell r="D738" t="str">
            <v>TZ</v>
          </cell>
          <cell r="E738">
            <v>52</v>
          </cell>
          <cell r="F738">
            <v>1</v>
          </cell>
          <cell r="G738">
            <v>52</v>
          </cell>
          <cell r="H738">
            <v>1</v>
          </cell>
          <cell r="I738">
            <v>0.55919806973996866</v>
          </cell>
        </row>
        <row r="739">
          <cell r="A739" t="str">
            <v>Psco_825</v>
          </cell>
          <cell r="B739">
            <v>738</v>
          </cell>
          <cell r="C739">
            <v>3</v>
          </cell>
          <cell r="D739" t="str">
            <v>MZ</v>
          </cell>
          <cell r="E739">
            <v>22</v>
          </cell>
          <cell r="F739">
            <v>1</v>
          </cell>
          <cell r="G739">
            <v>57</v>
          </cell>
          <cell r="H739">
            <v>1</v>
          </cell>
          <cell r="I739">
            <v>0.90173323470425504</v>
          </cell>
        </row>
        <row r="740">
          <cell r="A740" t="str">
            <v>Psco_724</v>
          </cell>
          <cell r="B740">
            <v>739</v>
          </cell>
          <cell r="C740">
            <v>2</v>
          </cell>
          <cell r="D740" t="str">
            <v>TZ</v>
          </cell>
          <cell r="E740">
            <v>49</v>
          </cell>
          <cell r="F740">
            <v>1</v>
          </cell>
          <cell r="G740">
            <v>62</v>
          </cell>
          <cell r="H740">
            <v>1</v>
          </cell>
          <cell r="I740">
            <v>0.47537713754809441</v>
          </cell>
        </row>
        <row r="741">
          <cell r="A741" t="str">
            <v>Psco_833</v>
          </cell>
          <cell r="B741">
            <v>740</v>
          </cell>
          <cell r="C741">
            <v>3</v>
          </cell>
          <cell r="D741" t="str">
            <v>MZ</v>
          </cell>
          <cell r="E741">
            <v>38</v>
          </cell>
          <cell r="F741">
            <v>0</v>
          </cell>
          <cell r="G741">
            <v>98</v>
          </cell>
          <cell r="H741">
            <v>0</v>
          </cell>
          <cell r="I741">
            <v>0</v>
          </cell>
        </row>
        <row r="742">
          <cell r="A742" t="str">
            <v>Psco_745</v>
          </cell>
          <cell r="B742">
            <v>741</v>
          </cell>
          <cell r="C742">
            <v>3</v>
          </cell>
          <cell r="D742" t="str">
            <v>MZ</v>
          </cell>
          <cell r="E742">
            <v>33</v>
          </cell>
          <cell r="F742">
            <v>0</v>
          </cell>
          <cell r="G742">
            <v>98</v>
          </cell>
          <cell r="H742">
            <v>0</v>
          </cell>
          <cell r="I742">
            <v>0</v>
          </cell>
        </row>
        <row r="743">
          <cell r="A743" t="str">
            <v>Psco_841</v>
          </cell>
          <cell r="B743">
            <v>742</v>
          </cell>
          <cell r="C743">
            <v>3</v>
          </cell>
          <cell r="D743" t="str">
            <v>MZ</v>
          </cell>
          <cell r="E743">
            <v>35</v>
          </cell>
          <cell r="F743">
            <v>0</v>
          </cell>
          <cell r="G743">
            <v>98</v>
          </cell>
          <cell r="H743">
            <v>0</v>
          </cell>
          <cell r="I743">
            <v>0</v>
          </cell>
        </row>
        <row r="744">
          <cell r="A744" t="str">
            <v>Psco_753</v>
          </cell>
          <cell r="B744">
            <v>743</v>
          </cell>
          <cell r="C744">
            <v>3</v>
          </cell>
          <cell r="D744" t="str">
            <v>MZ</v>
          </cell>
          <cell r="E744">
            <v>25</v>
          </cell>
          <cell r="F744">
            <v>0</v>
          </cell>
          <cell r="G744">
            <v>98</v>
          </cell>
          <cell r="H744">
            <v>0</v>
          </cell>
          <cell r="I744">
            <v>0</v>
          </cell>
        </row>
        <row r="745">
          <cell r="A745" t="str">
            <v>Psco_849</v>
          </cell>
          <cell r="B745">
            <v>744</v>
          </cell>
          <cell r="C745">
            <v>3</v>
          </cell>
          <cell r="D745" t="str">
            <v>MZ</v>
          </cell>
          <cell r="E745">
            <v>24</v>
          </cell>
          <cell r="F745">
            <v>1</v>
          </cell>
          <cell r="G745">
            <v>69</v>
          </cell>
          <cell r="H745">
            <v>1</v>
          </cell>
          <cell r="I745">
            <v>0.3227983999936081</v>
          </cell>
        </row>
        <row r="746">
          <cell r="A746" t="str">
            <v>Psco_761</v>
          </cell>
          <cell r="B746">
            <v>745</v>
          </cell>
          <cell r="C746">
            <v>3</v>
          </cell>
          <cell r="D746" t="str">
            <v>MZ</v>
          </cell>
          <cell r="E746">
            <v>23</v>
          </cell>
          <cell r="F746">
            <v>0</v>
          </cell>
          <cell r="G746">
            <v>98</v>
          </cell>
          <cell r="H746">
            <v>1</v>
          </cell>
          <cell r="I746">
            <v>0.30368046023516387</v>
          </cell>
        </row>
        <row r="747">
          <cell r="A747" t="str">
            <v>Psco_857</v>
          </cell>
          <cell r="B747">
            <v>746</v>
          </cell>
          <cell r="C747">
            <v>3</v>
          </cell>
          <cell r="D747" t="str">
            <v>MZ</v>
          </cell>
          <cell r="E747">
            <v>21</v>
          </cell>
          <cell r="F747">
            <v>0</v>
          </cell>
          <cell r="G747">
            <v>98</v>
          </cell>
          <cell r="H747">
            <v>0</v>
          </cell>
          <cell r="I747">
            <v>0</v>
          </cell>
        </row>
        <row r="748">
          <cell r="A748" t="str">
            <v>Psco_769</v>
          </cell>
          <cell r="B748">
            <v>747</v>
          </cell>
          <cell r="C748">
            <v>3</v>
          </cell>
          <cell r="D748" t="str">
            <v>MZ</v>
          </cell>
          <cell r="E748">
            <v>22</v>
          </cell>
          <cell r="F748">
            <v>0</v>
          </cell>
          <cell r="G748">
            <v>98</v>
          </cell>
          <cell r="H748">
            <v>0</v>
          </cell>
          <cell r="I748">
            <v>0</v>
          </cell>
        </row>
        <row r="749">
          <cell r="A749" t="str">
            <v>Psco_865</v>
          </cell>
          <cell r="B749">
            <v>748</v>
          </cell>
          <cell r="C749">
            <v>3</v>
          </cell>
          <cell r="D749" t="str">
            <v>MZ</v>
          </cell>
          <cell r="E749">
            <v>33</v>
          </cell>
          <cell r="F749">
            <v>0</v>
          </cell>
          <cell r="G749">
            <v>98</v>
          </cell>
          <cell r="H749">
            <v>0</v>
          </cell>
          <cell r="I749">
            <v>0</v>
          </cell>
        </row>
        <row r="750">
          <cell r="A750" t="str">
            <v>Psco_777</v>
          </cell>
          <cell r="B750">
            <v>749</v>
          </cell>
          <cell r="C750">
            <v>3</v>
          </cell>
          <cell r="D750" t="str">
            <v>MZ</v>
          </cell>
          <cell r="E750">
            <v>30</v>
          </cell>
          <cell r="F750">
            <v>0</v>
          </cell>
          <cell r="G750">
            <v>98</v>
          </cell>
          <cell r="H750">
            <v>0</v>
          </cell>
          <cell r="I750">
            <v>0</v>
          </cell>
        </row>
        <row r="751">
          <cell r="A751" t="str">
            <v>Psco_873</v>
          </cell>
          <cell r="B751">
            <v>750</v>
          </cell>
          <cell r="C751">
            <v>3</v>
          </cell>
          <cell r="D751" t="str">
            <v>MZ</v>
          </cell>
          <cell r="E751">
            <v>22</v>
          </cell>
          <cell r="F751">
            <v>0</v>
          </cell>
          <cell r="G751">
            <v>98</v>
          </cell>
          <cell r="H751">
            <v>0</v>
          </cell>
          <cell r="I751">
            <v>0</v>
          </cell>
        </row>
        <row r="752">
          <cell r="A752" t="str">
            <v>Psco_785</v>
          </cell>
          <cell r="B752">
            <v>751</v>
          </cell>
          <cell r="C752">
            <v>3</v>
          </cell>
          <cell r="D752" t="str">
            <v>MZ</v>
          </cell>
          <cell r="E752">
            <v>25</v>
          </cell>
          <cell r="F752">
            <v>0</v>
          </cell>
          <cell r="G752">
            <v>98</v>
          </cell>
          <cell r="H752">
            <v>0</v>
          </cell>
          <cell r="I752">
            <v>0</v>
          </cell>
        </row>
        <row r="753">
          <cell r="A753" t="str">
            <v>Psco_881</v>
          </cell>
          <cell r="B753">
            <v>752</v>
          </cell>
          <cell r="C753">
            <v>3</v>
          </cell>
          <cell r="D753" t="str">
            <v>MZ</v>
          </cell>
          <cell r="E753">
            <v>32</v>
          </cell>
          <cell r="F753">
            <v>1</v>
          </cell>
          <cell r="G753">
            <v>63</v>
          </cell>
          <cell r="H753">
            <v>1</v>
          </cell>
          <cell r="I753">
            <v>0.4141351145470582</v>
          </cell>
        </row>
        <row r="754">
          <cell r="A754" t="str">
            <v>Psco_793</v>
          </cell>
          <cell r="B754">
            <v>753</v>
          </cell>
          <cell r="C754">
            <v>3</v>
          </cell>
          <cell r="D754" t="str">
            <v>MZ</v>
          </cell>
          <cell r="E754">
            <v>30</v>
          </cell>
          <cell r="F754">
            <v>1</v>
          </cell>
          <cell r="G754">
            <v>70</v>
          </cell>
          <cell r="H754">
            <v>1</v>
          </cell>
          <cell r="I754">
            <v>0.47798802701811127</v>
          </cell>
        </row>
        <row r="755">
          <cell r="A755" t="str">
            <v>Psco_889</v>
          </cell>
          <cell r="B755">
            <v>754</v>
          </cell>
          <cell r="C755">
            <v>3</v>
          </cell>
          <cell r="D755" t="str">
            <v>MZ</v>
          </cell>
          <cell r="E755">
            <v>29</v>
          </cell>
          <cell r="F755">
            <v>0</v>
          </cell>
          <cell r="G755">
            <v>98</v>
          </cell>
          <cell r="H755">
            <v>0</v>
          </cell>
          <cell r="I755">
            <v>0</v>
          </cell>
        </row>
        <row r="756">
          <cell r="A756" t="str">
            <v>Psco_501</v>
          </cell>
          <cell r="B756">
            <v>755</v>
          </cell>
          <cell r="C756">
            <v>2</v>
          </cell>
          <cell r="D756" t="str">
            <v>TZ</v>
          </cell>
          <cell r="E756">
            <v>50</v>
          </cell>
          <cell r="F756">
            <v>0</v>
          </cell>
          <cell r="G756">
            <v>98</v>
          </cell>
          <cell r="H756">
            <v>1</v>
          </cell>
          <cell r="I756">
            <v>0.59631999082742426</v>
          </cell>
        </row>
        <row r="757">
          <cell r="A757" t="str">
            <v>Psco_597</v>
          </cell>
          <cell r="B757">
            <v>756</v>
          </cell>
          <cell r="C757">
            <v>2</v>
          </cell>
          <cell r="D757" t="str">
            <v>MZ</v>
          </cell>
          <cell r="E757">
            <v>37</v>
          </cell>
          <cell r="F757">
            <v>0</v>
          </cell>
          <cell r="G757">
            <v>98</v>
          </cell>
          <cell r="H757">
            <v>1</v>
          </cell>
          <cell r="I757">
            <v>0.35278905214378559</v>
          </cell>
        </row>
        <row r="758">
          <cell r="A758" t="str">
            <v>Psco_509</v>
          </cell>
          <cell r="B758">
            <v>757</v>
          </cell>
          <cell r="C758">
            <v>2</v>
          </cell>
          <cell r="D758" t="str">
            <v>MZ</v>
          </cell>
          <cell r="E758">
            <v>35</v>
          </cell>
          <cell r="F758">
            <v>0</v>
          </cell>
          <cell r="G758">
            <v>98</v>
          </cell>
          <cell r="H758">
            <v>0</v>
          </cell>
          <cell r="I758">
            <v>0</v>
          </cell>
        </row>
        <row r="759">
          <cell r="A759" t="str">
            <v>Psco_605</v>
          </cell>
          <cell r="B759">
            <v>758</v>
          </cell>
          <cell r="C759">
            <v>2</v>
          </cell>
          <cell r="D759" t="str">
            <v>TZ</v>
          </cell>
          <cell r="E759">
            <v>51</v>
          </cell>
          <cell r="F759">
            <v>0</v>
          </cell>
          <cell r="G759">
            <v>98</v>
          </cell>
          <cell r="H759">
            <v>1</v>
          </cell>
          <cell r="I759">
            <v>0.25690168677385511</v>
          </cell>
        </row>
        <row r="760">
          <cell r="A760" t="str">
            <v>Psco_517</v>
          </cell>
          <cell r="B760">
            <v>759</v>
          </cell>
          <cell r="C760">
            <v>2</v>
          </cell>
          <cell r="D760" t="str">
            <v>MZ</v>
          </cell>
          <cell r="E760">
            <v>24</v>
          </cell>
          <cell r="F760">
            <v>0</v>
          </cell>
          <cell r="G760">
            <v>98</v>
          </cell>
          <cell r="H760">
            <v>0</v>
          </cell>
          <cell r="I760">
            <v>0</v>
          </cell>
        </row>
        <row r="761">
          <cell r="A761" t="str">
            <v>Psco_613</v>
          </cell>
          <cell r="B761">
            <v>760</v>
          </cell>
          <cell r="C761">
            <v>2</v>
          </cell>
          <cell r="D761" t="str">
            <v>MZ</v>
          </cell>
          <cell r="E761">
            <v>22</v>
          </cell>
          <cell r="F761">
            <v>1</v>
          </cell>
          <cell r="G761">
            <v>67</v>
          </cell>
          <cell r="H761">
            <v>1</v>
          </cell>
          <cell r="I761">
            <v>0.80614168176574097</v>
          </cell>
        </row>
        <row r="762">
          <cell r="A762" t="str">
            <v>Psco_525</v>
          </cell>
          <cell r="B762">
            <v>761</v>
          </cell>
          <cell r="C762">
            <v>2</v>
          </cell>
          <cell r="D762" t="str">
            <v>MZ</v>
          </cell>
          <cell r="E762">
            <v>30</v>
          </cell>
          <cell r="F762">
            <v>0</v>
          </cell>
          <cell r="G762">
            <v>98</v>
          </cell>
          <cell r="H762">
            <v>0</v>
          </cell>
          <cell r="I762">
            <v>0</v>
          </cell>
        </row>
        <row r="763">
          <cell r="A763" t="str">
            <v>Psco_621</v>
          </cell>
          <cell r="B763">
            <v>762</v>
          </cell>
          <cell r="C763">
            <v>2</v>
          </cell>
          <cell r="D763" t="str">
            <v>TZ</v>
          </cell>
          <cell r="E763">
            <v>44</v>
          </cell>
          <cell r="F763">
            <v>1</v>
          </cell>
          <cell r="G763">
            <v>68</v>
          </cell>
          <cell r="H763">
            <v>1</v>
          </cell>
          <cell r="I763">
            <v>0.35656350168215611</v>
          </cell>
        </row>
        <row r="764">
          <cell r="A764" t="str">
            <v>Psco_533</v>
          </cell>
          <cell r="B764">
            <v>763</v>
          </cell>
          <cell r="C764">
            <v>2</v>
          </cell>
          <cell r="D764" t="str">
            <v>TZ</v>
          </cell>
          <cell r="E764">
            <v>49</v>
          </cell>
          <cell r="F764">
            <v>1</v>
          </cell>
          <cell r="G764">
            <v>71</v>
          </cell>
          <cell r="H764">
            <v>1</v>
          </cell>
          <cell r="I764">
            <v>0.33400899633591552</v>
          </cell>
        </row>
        <row r="765">
          <cell r="A765" t="str">
            <v>Psco_629</v>
          </cell>
          <cell r="B765">
            <v>764</v>
          </cell>
          <cell r="C765">
            <v>2</v>
          </cell>
          <cell r="D765" t="str">
            <v>MZ</v>
          </cell>
          <cell r="E765">
            <v>40</v>
          </cell>
          <cell r="F765">
            <v>1</v>
          </cell>
          <cell r="G765">
            <v>64</v>
          </cell>
          <cell r="H765">
            <v>1</v>
          </cell>
          <cell r="I765">
            <v>0.69623306878528635</v>
          </cell>
        </row>
        <row r="766">
          <cell r="A766" t="str">
            <v>Psco_541</v>
          </cell>
          <cell r="B766">
            <v>765</v>
          </cell>
          <cell r="C766">
            <v>2</v>
          </cell>
          <cell r="D766" t="str">
            <v>MZ</v>
          </cell>
          <cell r="E766">
            <v>26</v>
          </cell>
          <cell r="F766">
            <v>1</v>
          </cell>
          <cell r="G766">
            <v>71</v>
          </cell>
          <cell r="H766">
            <v>1</v>
          </cell>
          <cell r="I766">
            <v>0.46354026028331402</v>
          </cell>
        </row>
        <row r="767">
          <cell r="A767" t="str">
            <v>Psco_637</v>
          </cell>
          <cell r="B767">
            <v>766</v>
          </cell>
          <cell r="C767">
            <v>2</v>
          </cell>
          <cell r="D767" t="str">
            <v>TZ</v>
          </cell>
          <cell r="E767">
            <v>42</v>
          </cell>
          <cell r="F767">
            <v>0</v>
          </cell>
          <cell r="G767">
            <v>98</v>
          </cell>
          <cell r="H767">
            <v>0</v>
          </cell>
          <cell r="I767">
            <v>0</v>
          </cell>
        </row>
        <row r="768">
          <cell r="A768" t="str">
            <v>Psco_549</v>
          </cell>
          <cell r="B768">
            <v>767</v>
          </cell>
          <cell r="C768">
            <v>2</v>
          </cell>
          <cell r="D768" t="str">
            <v>MZ</v>
          </cell>
          <cell r="E768">
            <v>33</v>
          </cell>
          <cell r="F768">
            <v>1</v>
          </cell>
          <cell r="G768">
            <v>51</v>
          </cell>
          <cell r="H768">
            <v>1</v>
          </cell>
          <cell r="I768">
            <v>0.4964390639407435</v>
          </cell>
        </row>
        <row r="769">
          <cell r="A769" t="str">
            <v>Psco_645</v>
          </cell>
          <cell r="B769">
            <v>768</v>
          </cell>
          <cell r="C769">
            <v>2</v>
          </cell>
          <cell r="D769" t="str">
            <v>TZ</v>
          </cell>
          <cell r="E769">
            <v>50</v>
          </cell>
          <cell r="F769">
            <v>1</v>
          </cell>
          <cell r="G769">
            <v>59</v>
          </cell>
          <cell r="H769">
            <v>1</v>
          </cell>
          <cell r="I769">
            <v>0.43053406670867628</v>
          </cell>
        </row>
        <row r="770">
          <cell r="A770" t="str">
            <v>Psco_557</v>
          </cell>
          <cell r="B770">
            <v>769</v>
          </cell>
          <cell r="C770">
            <v>2</v>
          </cell>
          <cell r="D770" t="str">
            <v>TZ</v>
          </cell>
          <cell r="E770">
            <v>45</v>
          </cell>
          <cell r="F770">
            <v>1</v>
          </cell>
          <cell r="G770">
            <v>47</v>
          </cell>
          <cell r="H770">
            <v>1</v>
          </cell>
          <cell r="I770">
            <v>0.50918636374187165</v>
          </cell>
        </row>
        <row r="771">
          <cell r="A771" t="str">
            <v>Psco_653</v>
          </cell>
          <cell r="B771">
            <v>770</v>
          </cell>
          <cell r="C771">
            <v>2</v>
          </cell>
          <cell r="D771" t="str">
            <v>TZ</v>
          </cell>
          <cell r="E771">
            <v>50</v>
          </cell>
          <cell r="F771">
            <v>1</v>
          </cell>
          <cell r="G771">
            <v>45</v>
          </cell>
          <cell r="H771">
            <v>1</v>
          </cell>
          <cell r="I771">
            <v>0.82802335927858273</v>
          </cell>
        </row>
        <row r="772">
          <cell r="A772" t="str">
            <v>Psco_565_2</v>
          </cell>
          <cell r="B772">
            <v>771</v>
          </cell>
          <cell r="C772">
            <v>2</v>
          </cell>
          <cell r="D772" t="str">
            <v>MZ</v>
          </cell>
          <cell r="E772">
            <v>21</v>
          </cell>
          <cell r="F772">
            <v>0</v>
          </cell>
          <cell r="G772">
            <v>98</v>
          </cell>
          <cell r="H772">
            <v>0</v>
          </cell>
          <cell r="I772">
            <v>0</v>
          </cell>
        </row>
        <row r="773">
          <cell r="A773" t="str">
            <v>Psco_661</v>
          </cell>
          <cell r="B773">
            <v>772</v>
          </cell>
          <cell r="C773">
            <v>2</v>
          </cell>
          <cell r="D773" t="str">
            <v>MZ</v>
          </cell>
          <cell r="E773">
            <v>29</v>
          </cell>
          <cell r="F773">
            <v>1</v>
          </cell>
          <cell r="G773">
            <v>60</v>
          </cell>
          <cell r="H773">
            <v>1</v>
          </cell>
          <cell r="I773">
            <v>0.73845291193495122</v>
          </cell>
        </row>
        <row r="774">
          <cell r="A774" t="str">
            <v>Psco_573</v>
          </cell>
          <cell r="B774">
            <v>773</v>
          </cell>
          <cell r="C774">
            <v>2</v>
          </cell>
          <cell r="D774" t="str">
            <v>MZ</v>
          </cell>
          <cell r="E774">
            <v>30</v>
          </cell>
          <cell r="F774">
            <v>1</v>
          </cell>
          <cell r="G774">
            <v>70</v>
          </cell>
          <cell r="H774">
            <v>1</v>
          </cell>
          <cell r="I774">
            <v>0.46896334535393641</v>
          </cell>
        </row>
        <row r="775">
          <cell r="A775" t="str">
            <v>Psco_669</v>
          </cell>
          <cell r="B775">
            <v>774</v>
          </cell>
          <cell r="C775">
            <v>2</v>
          </cell>
          <cell r="D775" t="str">
            <v>MZ</v>
          </cell>
          <cell r="E775">
            <v>26</v>
          </cell>
          <cell r="F775">
            <v>0</v>
          </cell>
          <cell r="G775">
            <v>98</v>
          </cell>
          <cell r="H775">
            <v>0</v>
          </cell>
          <cell r="I775">
            <v>0</v>
          </cell>
        </row>
        <row r="776">
          <cell r="A776" t="str">
            <v>Psco_581</v>
          </cell>
          <cell r="B776">
            <v>775</v>
          </cell>
          <cell r="C776">
            <v>2</v>
          </cell>
          <cell r="D776" t="str">
            <v>MZ</v>
          </cell>
          <cell r="E776">
            <v>21</v>
          </cell>
          <cell r="F776">
            <v>0</v>
          </cell>
          <cell r="G776">
            <v>98</v>
          </cell>
          <cell r="H776">
            <v>0</v>
          </cell>
          <cell r="I776">
            <v>0</v>
          </cell>
        </row>
        <row r="777">
          <cell r="A777" t="str">
            <v>Psco_677</v>
          </cell>
          <cell r="B777">
            <v>776</v>
          </cell>
          <cell r="C777">
            <v>2</v>
          </cell>
          <cell r="D777" t="str">
            <v>MZ</v>
          </cell>
          <cell r="E777">
            <v>23</v>
          </cell>
          <cell r="F777">
            <v>1</v>
          </cell>
          <cell r="G777">
            <v>77</v>
          </cell>
          <cell r="H777">
            <v>1</v>
          </cell>
          <cell r="I777">
            <v>0.3399224282166689</v>
          </cell>
        </row>
        <row r="778">
          <cell r="A778" t="str">
            <v>Psco_589</v>
          </cell>
          <cell r="B778">
            <v>777</v>
          </cell>
          <cell r="C778">
            <v>2</v>
          </cell>
          <cell r="D778" t="str">
            <v>MZ</v>
          </cell>
          <cell r="E778">
            <v>39</v>
          </cell>
          <cell r="F778">
            <v>0</v>
          </cell>
          <cell r="G778">
            <v>98</v>
          </cell>
          <cell r="H778">
            <v>0</v>
          </cell>
          <cell r="I778">
            <v>0</v>
          </cell>
        </row>
        <row r="779">
          <cell r="A779" t="str">
            <v>Psco_685</v>
          </cell>
          <cell r="B779">
            <v>778</v>
          </cell>
          <cell r="C779">
            <v>2</v>
          </cell>
          <cell r="D779" t="str">
            <v>MZ</v>
          </cell>
          <cell r="E779">
            <v>39</v>
          </cell>
          <cell r="F779">
            <v>1</v>
          </cell>
          <cell r="G779">
            <v>81</v>
          </cell>
          <cell r="H779">
            <v>1</v>
          </cell>
          <cell r="I779">
            <v>0.31036309594237782</v>
          </cell>
        </row>
        <row r="780">
          <cell r="A780" t="str">
            <v>Psco_693</v>
          </cell>
          <cell r="B780">
            <v>779</v>
          </cell>
          <cell r="C780">
            <v>2</v>
          </cell>
          <cell r="D780" t="str">
            <v>MZ</v>
          </cell>
          <cell r="E780">
            <v>28</v>
          </cell>
          <cell r="F780">
            <v>1</v>
          </cell>
          <cell r="G780">
            <v>63</v>
          </cell>
          <cell r="H780">
            <v>1</v>
          </cell>
          <cell r="I780">
            <v>0.35996469176303242</v>
          </cell>
        </row>
        <row r="781">
          <cell r="A781" t="str">
            <v>Psco_802</v>
          </cell>
          <cell r="B781">
            <v>780</v>
          </cell>
          <cell r="C781">
            <v>3</v>
          </cell>
          <cell r="D781" t="str">
            <v>MZ</v>
          </cell>
          <cell r="E781">
            <v>35</v>
          </cell>
          <cell r="F781">
            <v>0</v>
          </cell>
          <cell r="G781">
            <v>98</v>
          </cell>
          <cell r="H781">
            <v>0</v>
          </cell>
          <cell r="I781">
            <v>0</v>
          </cell>
        </row>
        <row r="782">
          <cell r="A782" t="str">
            <v>Psco_701</v>
          </cell>
          <cell r="B782">
            <v>781</v>
          </cell>
          <cell r="C782">
            <v>2</v>
          </cell>
          <cell r="D782" t="str">
            <v>TZ</v>
          </cell>
          <cell r="E782">
            <v>44</v>
          </cell>
          <cell r="F782">
            <v>1</v>
          </cell>
          <cell r="G782">
            <v>44</v>
          </cell>
          <cell r="H782">
            <v>1</v>
          </cell>
          <cell r="I782">
            <v>0.54045734265919632</v>
          </cell>
        </row>
        <row r="783">
          <cell r="A783" t="str">
            <v>Psco_810</v>
          </cell>
          <cell r="B783">
            <v>782</v>
          </cell>
          <cell r="C783">
            <v>3</v>
          </cell>
          <cell r="D783" t="str">
            <v>MZ</v>
          </cell>
          <cell r="E783">
            <v>24</v>
          </cell>
          <cell r="F783">
            <v>1</v>
          </cell>
          <cell r="G783">
            <v>72</v>
          </cell>
          <cell r="H783">
            <v>1</v>
          </cell>
          <cell r="I783">
            <v>0.73415592926575191</v>
          </cell>
        </row>
        <row r="784">
          <cell r="A784" t="str">
            <v>Psco_709</v>
          </cell>
          <cell r="B784">
            <v>783</v>
          </cell>
          <cell r="C784">
            <v>2</v>
          </cell>
          <cell r="D784" t="str">
            <v>TZ</v>
          </cell>
          <cell r="E784">
            <v>46</v>
          </cell>
          <cell r="F784">
            <v>1</v>
          </cell>
          <cell r="G784">
            <v>59</v>
          </cell>
          <cell r="H784">
            <v>1</v>
          </cell>
          <cell r="I784">
            <v>0.4447238965563472</v>
          </cell>
        </row>
        <row r="785">
          <cell r="A785" t="str">
            <v>Psco_818</v>
          </cell>
          <cell r="B785">
            <v>784</v>
          </cell>
          <cell r="C785">
            <v>3</v>
          </cell>
          <cell r="D785" t="str">
            <v>MZ</v>
          </cell>
          <cell r="E785">
            <v>37</v>
          </cell>
          <cell r="F785">
            <v>0</v>
          </cell>
          <cell r="G785">
            <v>98</v>
          </cell>
          <cell r="H785">
            <v>1</v>
          </cell>
          <cell r="I785">
            <v>0.26284940437979099</v>
          </cell>
        </row>
        <row r="786">
          <cell r="A786" t="str">
            <v>Psco_717</v>
          </cell>
          <cell r="B786">
            <v>785</v>
          </cell>
          <cell r="C786">
            <v>2</v>
          </cell>
          <cell r="D786" t="str">
            <v>TZ</v>
          </cell>
          <cell r="E786">
            <v>54</v>
          </cell>
          <cell r="F786">
            <v>1</v>
          </cell>
          <cell r="G786">
            <v>51</v>
          </cell>
          <cell r="H786">
            <v>1</v>
          </cell>
          <cell r="I786">
            <v>0.2474730456377984</v>
          </cell>
        </row>
        <row r="787">
          <cell r="A787" t="str">
            <v>Psco_826</v>
          </cell>
          <cell r="B787">
            <v>786</v>
          </cell>
          <cell r="C787">
            <v>3</v>
          </cell>
          <cell r="D787" t="str">
            <v>MZ</v>
          </cell>
          <cell r="E787">
            <v>31</v>
          </cell>
          <cell r="F787">
            <v>0</v>
          </cell>
          <cell r="G787">
            <v>98</v>
          </cell>
          <cell r="H787">
            <v>0</v>
          </cell>
          <cell r="I787">
            <v>0</v>
          </cell>
        </row>
        <row r="788">
          <cell r="A788" t="str">
            <v>Psco_725_2</v>
          </cell>
          <cell r="B788">
            <v>787</v>
          </cell>
          <cell r="C788">
            <v>2</v>
          </cell>
          <cell r="D788" t="str">
            <v>TZ</v>
          </cell>
          <cell r="E788">
            <v>42</v>
          </cell>
          <cell r="F788">
            <v>1</v>
          </cell>
          <cell r="G788">
            <v>82</v>
          </cell>
          <cell r="H788">
            <v>1</v>
          </cell>
          <cell r="I788">
            <v>0.40265572662673421</v>
          </cell>
        </row>
        <row r="789">
          <cell r="A789" t="str">
            <v>Psco_834</v>
          </cell>
          <cell r="B789">
            <v>788</v>
          </cell>
          <cell r="C789">
            <v>3</v>
          </cell>
          <cell r="D789" t="str">
            <v>MZ</v>
          </cell>
          <cell r="E789">
            <v>33</v>
          </cell>
          <cell r="F789">
            <v>0</v>
          </cell>
          <cell r="G789">
            <v>98</v>
          </cell>
          <cell r="H789">
            <v>0</v>
          </cell>
          <cell r="I789">
            <v>0</v>
          </cell>
        </row>
        <row r="790">
          <cell r="A790" t="str">
            <v>Psco_746</v>
          </cell>
          <cell r="B790">
            <v>789</v>
          </cell>
          <cell r="C790">
            <v>3</v>
          </cell>
          <cell r="D790" t="str">
            <v>MZ</v>
          </cell>
          <cell r="E790">
            <v>37</v>
          </cell>
          <cell r="F790">
            <v>0</v>
          </cell>
          <cell r="G790">
            <v>98</v>
          </cell>
          <cell r="H790">
            <v>0</v>
          </cell>
          <cell r="I790">
            <v>0</v>
          </cell>
        </row>
        <row r="791">
          <cell r="A791" t="str">
            <v>Psco_842</v>
          </cell>
          <cell r="B791">
            <v>790</v>
          </cell>
          <cell r="C791">
            <v>3</v>
          </cell>
          <cell r="D791" t="str">
            <v>MZ</v>
          </cell>
          <cell r="E791">
            <v>39</v>
          </cell>
          <cell r="F791">
            <v>0</v>
          </cell>
          <cell r="G791">
            <v>98</v>
          </cell>
          <cell r="H791">
            <v>0</v>
          </cell>
          <cell r="I791">
            <v>0</v>
          </cell>
        </row>
        <row r="792">
          <cell r="A792" t="str">
            <v>Psco_754</v>
          </cell>
          <cell r="B792">
            <v>791</v>
          </cell>
          <cell r="C792">
            <v>3</v>
          </cell>
          <cell r="D792" t="str">
            <v>MZ</v>
          </cell>
          <cell r="E792">
            <v>25</v>
          </cell>
          <cell r="F792">
            <v>0</v>
          </cell>
          <cell r="G792">
            <v>98</v>
          </cell>
          <cell r="H792">
            <v>0</v>
          </cell>
          <cell r="I792">
            <v>0</v>
          </cell>
        </row>
        <row r="793">
          <cell r="A793" t="str">
            <v>Psco_850</v>
          </cell>
          <cell r="B793">
            <v>792</v>
          </cell>
          <cell r="C793">
            <v>3</v>
          </cell>
          <cell r="D793" t="str">
            <v>MZ</v>
          </cell>
          <cell r="E793">
            <v>34</v>
          </cell>
          <cell r="F793">
            <v>0</v>
          </cell>
          <cell r="G793">
            <v>98</v>
          </cell>
          <cell r="H793">
            <v>0</v>
          </cell>
          <cell r="I793">
            <v>0</v>
          </cell>
        </row>
        <row r="794">
          <cell r="A794" t="str">
            <v>Psco_858</v>
          </cell>
          <cell r="B794">
            <v>793</v>
          </cell>
          <cell r="C794">
            <v>3</v>
          </cell>
          <cell r="D794" t="str">
            <v>MZ</v>
          </cell>
          <cell r="E794">
            <v>30</v>
          </cell>
          <cell r="F794">
            <v>0</v>
          </cell>
          <cell r="G794">
            <v>98</v>
          </cell>
          <cell r="H794">
            <v>1</v>
          </cell>
          <cell r="I794">
            <v>0.1505831517793316</v>
          </cell>
        </row>
        <row r="795">
          <cell r="A795" t="str">
            <v>Psco_770</v>
          </cell>
          <cell r="B795">
            <v>794</v>
          </cell>
          <cell r="C795">
            <v>3</v>
          </cell>
          <cell r="D795" t="str">
            <v>MZ</v>
          </cell>
          <cell r="E795">
            <v>35</v>
          </cell>
          <cell r="F795">
            <v>0</v>
          </cell>
          <cell r="G795">
            <v>98</v>
          </cell>
          <cell r="H795">
            <v>0</v>
          </cell>
          <cell r="I795">
            <v>0</v>
          </cell>
        </row>
        <row r="796">
          <cell r="A796" t="str">
            <v>Psco_866</v>
          </cell>
          <cell r="B796">
            <v>795</v>
          </cell>
          <cell r="C796">
            <v>3</v>
          </cell>
          <cell r="D796" t="str">
            <v>MZ</v>
          </cell>
          <cell r="E796">
            <v>28</v>
          </cell>
          <cell r="F796">
            <v>0</v>
          </cell>
          <cell r="G796">
            <v>98</v>
          </cell>
          <cell r="H796">
            <v>0</v>
          </cell>
          <cell r="I796">
            <v>0</v>
          </cell>
        </row>
        <row r="797">
          <cell r="A797" t="str">
            <v>Psco_778</v>
          </cell>
          <cell r="B797">
            <v>796</v>
          </cell>
          <cell r="C797">
            <v>3</v>
          </cell>
          <cell r="D797" t="str">
            <v>MZ</v>
          </cell>
          <cell r="E797">
            <v>31</v>
          </cell>
          <cell r="F797">
            <v>0</v>
          </cell>
          <cell r="G797">
            <v>98</v>
          </cell>
          <cell r="H797">
            <v>1</v>
          </cell>
          <cell r="I797">
            <v>0.27272205114136638</v>
          </cell>
        </row>
        <row r="798">
          <cell r="A798" t="str">
            <v>Psco_874</v>
          </cell>
          <cell r="B798">
            <v>797</v>
          </cell>
          <cell r="C798">
            <v>3</v>
          </cell>
          <cell r="D798" t="str">
            <v>MZ</v>
          </cell>
          <cell r="E798">
            <v>21</v>
          </cell>
          <cell r="F798">
            <v>0</v>
          </cell>
          <cell r="G798">
            <v>98</v>
          </cell>
          <cell r="H798">
            <v>0</v>
          </cell>
          <cell r="I798">
            <v>0</v>
          </cell>
        </row>
        <row r="799">
          <cell r="A799" t="str">
            <v>Psco_786</v>
          </cell>
          <cell r="B799">
            <v>798</v>
          </cell>
          <cell r="C799">
            <v>3</v>
          </cell>
          <cell r="D799" t="str">
            <v>MZ</v>
          </cell>
          <cell r="E799">
            <v>40</v>
          </cell>
          <cell r="F799">
            <v>1</v>
          </cell>
          <cell r="G799">
            <v>51</v>
          </cell>
          <cell r="H799">
            <v>1</v>
          </cell>
          <cell r="I799">
            <v>0.55081278962882774</v>
          </cell>
        </row>
        <row r="800">
          <cell r="A800" t="str">
            <v>Psco_882</v>
          </cell>
          <cell r="B800">
            <v>799</v>
          </cell>
          <cell r="C800">
            <v>3</v>
          </cell>
          <cell r="D800" t="str">
            <v>MZ</v>
          </cell>
          <cell r="E800">
            <v>32</v>
          </cell>
          <cell r="F800">
            <v>0</v>
          </cell>
          <cell r="G800">
            <v>98</v>
          </cell>
          <cell r="H800">
            <v>0</v>
          </cell>
          <cell r="I800">
            <v>0</v>
          </cell>
        </row>
        <row r="801">
          <cell r="A801" t="str">
            <v>Psco_794</v>
          </cell>
          <cell r="B801">
            <v>800</v>
          </cell>
          <cell r="C801">
            <v>3</v>
          </cell>
          <cell r="D801" t="str">
            <v>MZ</v>
          </cell>
          <cell r="E801">
            <v>39</v>
          </cell>
          <cell r="F801">
            <v>0</v>
          </cell>
          <cell r="G801">
            <v>98</v>
          </cell>
          <cell r="H801">
            <v>0</v>
          </cell>
          <cell r="I801">
            <v>0</v>
          </cell>
        </row>
        <row r="802">
          <cell r="A802" t="str">
            <v>Psco_890</v>
          </cell>
          <cell r="B802">
            <v>801</v>
          </cell>
          <cell r="C802">
            <v>3</v>
          </cell>
          <cell r="D802" t="str">
            <v>MZ</v>
          </cell>
          <cell r="E802">
            <v>24</v>
          </cell>
          <cell r="F802">
            <v>1</v>
          </cell>
          <cell r="G802">
            <v>60</v>
          </cell>
          <cell r="H802">
            <v>1</v>
          </cell>
          <cell r="I802">
            <v>0.30628505247234428</v>
          </cell>
        </row>
        <row r="803">
          <cell r="A803" t="str">
            <v>Psco_502</v>
          </cell>
          <cell r="B803">
            <v>802</v>
          </cell>
          <cell r="C803">
            <v>2</v>
          </cell>
          <cell r="D803" t="str">
            <v>MZ</v>
          </cell>
          <cell r="E803">
            <v>34</v>
          </cell>
          <cell r="F803">
            <v>0</v>
          </cell>
          <cell r="G803">
            <v>98</v>
          </cell>
          <cell r="H803">
            <v>1</v>
          </cell>
          <cell r="I803">
            <v>0.52273216384706378</v>
          </cell>
        </row>
        <row r="804">
          <cell r="A804" t="str">
            <v>Psco_598</v>
          </cell>
          <cell r="B804">
            <v>803</v>
          </cell>
          <cell r="C804">
            <v>2</v>
          </cell>
          <cell r="D804" t="str">
            <v>TZ</v>
          </cell>
          <cell r="E804">
            <v>48</v>
          </cell>
          <cell r="F804">
            <v>0</v>
          </cell>
          <cell r="G804">
            <v>98</v>
          </cell>
          <cell r="H804">
            <v>1</v>
          </cell>
          <cell r="I804">
            <v>0.14442969736472669</v>
          </cell>
        </row>
        <row r="805">
          <cell r="A805" t="str">
            <v>Psco_510</v>
          </cell>
          <cell r="B805">
            <v>804</v>
          </cell>
          <cell r="C805">
            <v>2</v>
          </cell>
          <cell r="D805" t="str">
            <v>TZ</v>
          </cell>
          <cell r="E805">
            <v>53</v>
          </cell>
          <cell r="F805">
            <v>0</v>
          </cell>
          <cell r="G805">
            <v>98</v>
          </cell>
          <cell r="H805">
            <v>1</v>
          </cell>
          <cell r="I805">
            <v>4.2236806188418387E-2</v>
          </cell>
        </row>
        <row r="806">
          <cell r="A806" t="str">
            <v>Psco_606</v>
          </cell>
          <cell r="B806">
            <v>805</v>
          </cell>
          <cell r="C806">
            <v>2</v>
          </cell>
          <cell r="D806" t="str">
            <v>TZ</v>
          </cell>
          <cell r="E806">
            <v>48</v>
          </cell>
          <cell r="F806">
            <v>0</v>
          </cell>
          <cell r="G806">
            <v>98</v>
          </cell>
          <cell r="H806">
            <v>0</v>
          </cell>
          <cell r="I806">
            <v>0</v>
          </cell>
        </row>
        <row r="807">
          <cell r="A807" t="str">
            <v>Psco_518</v>
          </cell>
          <cell r="B807">
            <v>806</v>
          </cell>
          <cell r="C807">
            <v>2</v>
          </cell>
          <cell r="D807" t="str">
            <v>MZ</v>
          </cell>
          <cell r="E807">
            <v>27</v>
          </cell>
          <cell r="F807">
            <v>1</v>
          </cell>
          <cell r="G807">
            <v>94</v>
          </cell>
          <cell r="H807">
            <v>1</v>
          </cell>
          <cell r="I807">
            <v>0.51558666080249438</v>
          </cell>
        </row>
        <row r="808">
          <cell r="A808" t="str">
            <v>Psco_614</v>
          </cell>
          <cell r="B808">
            <v>807</v>
          </cell>
          <cell r="C808">
            <v>2</v>
          </cell>
          <cell r="D808" t="str">
            <v>TZ</v>
          </cell>
          <cell r="E808">
            <v>54</v>
          </cell>
          <cell r="F808">
            <v>1</v>
          </cell>
          <cell r="G808">
            <v>51</v>
          </cell>
          <cell r="H808">
            <v>1</v>
          </cell>
          <cell r="I808">
            <v>0.67262378954335866</v>
          </cell>
        </row>
        <row r="809">
          <cell r="A809" t="str">
            <v>Psco_526</v>
          </cell>
          <cell r="B809">
            <v>808</v>
          </cell>
          <cell r="C809">
            <v>2</v>
          </cell>
          <cell r="D809" t="str">
            <v>TZ</v>
          </cell>
          <cell r="E809">
            <v>49</v>
          </cell>
          <cell r="F809">
            <v>0</v>
          </cell>
          <cell r="G809">
            <v>98</v>
          </cell>
          <cell r="H809">
            <v>0</v>
          </cell>
          <cell r="I809">
            <v>0</v>
          </cell>
        </row>
        <row r="810">
          <cell r="A810" t="str">
            <v>Psco_622</v>
          </cell>
          <cell r="B810">
            <v>809</v>
          </cell>
          <cell r="C810">
            <v>2</v>
          </cell>
          <cell r="D810" t="str">
            <v>MZ</v>
          </cell>
          <cell r="E810">
            <v>24</v>
          </cell>
          <cell r="F810">
            <v>1</v>
          </cell>
          <cell r="G810">
            <v>52</v>
          </cell>
          <cell r="H810">
            <v>1</v>
          </cell>
          <cell r="I810">
            <v>0.73424835186170923</v>
          </cell>
        </row>
        <row r="811">
          <cell r="A811" t="str">
            <v>Psco_534</v>
          </cell>
          <cell r="B811">
            <v>810</v>
          </cell>
          <cell r="C811">
            <v>2</v>
          </cell>
          <cell r="D811" t="str">
            <v>MZ</v>
          </cell>
          <cell r="E811">
            <v>24</v>
          </cell>
          <cell r="F811">
            <v>0</v>
          </cell>
          <cell r="G811">
            <v>98</v>
          </cell>
          <cell r="H811">
            <v>0</v>
          </cell>
          <cell r="I811">
            <v>0</v>
          </cell>
        </row>
        <row r="812">
          <cell r="A812" t="str">
            <v>Psco_630</v>
          </cell>
          <cell r="B812">
            <v>811</v>
          </cell>
          <cell r="C812">
            <v>2</v>
          </cell>
          <cell r="D812" t="str">
            <v>TZ</v>
          </cell>
          <cell r="E812">
            <v>41</v>
          </cell>
          <cell r="F812">
            <v>1</v>
          </cell>
          <cell r="G812">
            <v>58</v>
          </cell>
          <cell r="H812">
            <v>1</v>
          </cell>
          <cell r="I812">
            <v>0.59078169161002925</v>
          </cell>
        </row>
        <row r="813">
          <cell r="A813" t="str">
            <v>Psco_542</v>
          </cell>
          <cell r="B813">
            <v>812</v>
          </cell>
          <cell r="C813">
            <v>2</v>
          </cell>
          <cell r="D813" t="str">
            <v>MZ</v>
          </cell>
          <cell r="E813">
            <v>29</v>
          </cell>
          <cell r="F813">
            <v>1</v>
          </cell>
          <cell r="G813">
            <v>65</v>
          </cell>
          <cell r="H813">
            <v>1</v>
          </cell>
          <cell r="I813">
            <v>0.57215883123604871</v>
          </cell>
        </row>
        <row r="814">
          <cell r="A814" t="str">
            <v>Psco_638</v>
          </cell>
          <cell r="B814">
            <v>813</v>
          </cell>
          <cell r="C814">
            <v>2</v>
          </cell>
          <cell r="D814" t="str">
            <v>MZ</v>
          </cell>
          <cell r="E814">
            <v>23</v>
          </cell>
          <cell r="F814">
            <v>1</v>
          </cell>
          <cell r="G814">
            <v>89</v>
          </cell>
          <cell r="H814">
            <v>1</v>
          </cell>
          <cell r="I814">
            <v>0.31088728489938661</v>
          </cell>
        </row>
        <row r="815">
          <cell r="A815" t="str">
            <v>Psco_550</v>
          </cell>
          <cell r="B815">
            <v>814</v>
          </cell>
          <cell r="C815">
            <v>2</v>
          </cell>
          <cell r="D815" t="str">
            <v>TZ</v>
          </cell>
          <cell r="E815">
            <v>50</v>
          </cell>
          <cell r="F815">
            <v>1</v>
          </cell>
          <cell r="G815">
            <v>79</v>
          </cell>
          <cell r="H815">
            <v>1</v>
          </cell>
          <cell r="I815">
            <v>0.40925525828141418</v>
          </cell>
        </row>
        <row r="816">
          <cell r="A816" t="str">
            <v>Psco_646</v>
          </cell>
          <cell r="B816">
            <v>815</v>
          </cell>
          <cell r="C816">
            <v>2</v>
          </cell>
          <cell r="D816" t="str">
            <v>MZ</v>
          </cell>
          <cell r="E816">
            <v>33</v>
          </cell>
          <cell r="F816">
            <v>1</v>
          </cell>
          <cell r="G816">
            <v>44</v>
          </cell>
          <cell r="H816">
            <v>1</v>
          </cell>
          <cell r="I816">
            <v>0.46912997103070908</v>
          </cell>
        </row>
        <row r="817">
          <cell r="A817" t="str">
            <v>Psco_558</v>
          </cell>
          <cell r="B817">
            <v>816</v>
          </cell>
          <cell r="C817">
            <v>2</v>
          </cell>
          <cell r="D817" t="str">
            <v>MZ</v>
          </cell>
          <cell r="E817">
            <v>33</v>
          </cell>
          <cell r="F817">
            <v>1</v>
          </cell>
          <cell r="G817">
            <v>73</v>
          </cell>
          <cell r="H817">
            <v>1</v>
          </cell>
          <cell r="I817">
            <v>0.40986502313256562</v>
          </cell>
        </row>
        <row r="818">
          <cell r="A818" t="str">
            <v>Psco_654</v>
          </cell>
          <cell r="B818">
            <v>817</v>
          </cell>
          <cell r="C818">
            <v>2</v>
          </cell>
          <cell r="D818" t="str">
            <v>MZ</v>
          </cell>
          <cell r="E818">
            <v>40</v>
          </cell>
          <cell r="F818">
            <v>1</v>
          </cell>
          <cell r="G818">
            <v>71</v>
          </cell>
          <cell r="H818">
            <v>1</v>
          </cell>
          <cell r="I818">
            <v>0.4952676213058666</v>
          </cell>
        </row>
        <row r="819">
          <cell r="A819" t="str">
            <v>Psco_566</v>
          </cell>
          <cell r="B819">
            <v>818</v>
          </cell>
          <cell r="C819">
            <v>2</v>
          </cell>
          <cell r="D819" t="str">
            <v>TZ</v>
          </cell>
          <cell r="E819">
            <v>48</v>
          </cell>
          <cell r="F819">
            <v>1</v>
          </cell>
          <cell r="G819">
            <v>63</v>
          </cell>
          <cell r="H819">
            <v>1</v>
          </cell>
          <cell r="I819">
            <v>0.33549785857118819</v>
          </cell>
        </row>
        <row r="820">
          <cell r="A820" t="str">
            <v>Psco_662</v>
          </cell>
          <cell r="B820">
            <v>819</v>
          </cell>
          <cell r="C820">
            <v>2</v>
          </cell>
          <cell r="D820" t="str">
            <v>TZ</v>
          </cell>
          <cell r="E820">
            <v>42</v>
          </cell>
          <cell r="F820">
            <v>1</v>
          </cell>
          <cell r="G820">
            <v>76</v>
          </cell>
          <cell r="H820">
            <v>1</v>
          </cell>
          <cell r="I820">
            <v>0.57225719929639229</v>
          </cell>
        </row>
        <row r="821">
          <cell r="A821" t="str">
            <v>Psco_574</v>
          </cell>
          <cell r="B821">
            <v>820</v>
          </cell>
          <cell r="C821">
            <v>2</v>
          </cell>
          <cell r="D821" t="str">
            <v>TZ</v>
          </cell>
          <cell r="E821">
            <v>49</v>
          </cell>
          <cell r="F821">
            <v>1</v>
          </cell>
          <cell r="G821">
            <v>65</v>
          </cell>
          <cell r="H821">
            <v>1</v>
          </cell>
          <cell r="I821">
            <v>0.61584824103496949</v>
          </cell>
        </row>
        <row r="822">
          <cell r="A822" t="str">
            <v>Psco_670</v>
          </cell>
          <cell r="B822">
            <v>821</v>
          </cell>
          <cell r="C822">
            <v>2</v>
          </cell>
          <cell r="D822" t="str">
            <v>TZ</v>
          </cell>
          <cell r="E822">
            <v>46</v>
          </cell>
          <cell r="F822">
            <v>1</v>
          </cell>
          <cell r="G822">
            <v>62</v>
          </cell>
          <cell r="H822">
            <v>1</v>
          </cell>
          <cell r="I822">
            <v>0.56677182902867895</v>
          </cell>
        </row>
        <row r="823">
          <cell r="A823" t="str">
            <v>Psco_582</v>
          </cell>
          <cell r="B823">
            <v>822</v>
          </cell>
          <cell r="C823">
            <v>2</v>
          </cell>
          <cell r="D823" t="str">
            <v>TZ</v>
          </cell>
          <cell r="E823">
            <v>50</v>
          </cell>
          <cell r="F823">
            <v>1</v>
          </cell>
          <cell r="G823">
            <v>81</v>
          </cell>
          <cell r="H823">
            <v>1</v>
          </cell>
          <cell r="I823">
            <v>0.3179550022886356</v>
          </cell>
        </row>
        <row r="824">
          <cell r="A824" t="str">
            <v>Psco_678</v>
          </cell>
          <cell r="B824">
            <v>823</v>
          </cell>
          <cell r="C824">
            <v>2</v>
          </cell>
          <cell r="D824" t="str">
            <v>MZ</v>
          </cell>
          <cell r="E824">
            <v>29</v>
          </cell>
          <cell r="F824">
            <v>1</v>
          </cell>
          <cell r="G824">
            <v>64</v>
          </cell>
          <cell r="H824">
            <v>1</v>
          </cell>
          <cell r="I824">
            <v>0.37156333852063839</v>
          </cell>
        </row>
        <row r="825">
          <cell r="A825" t="str">
            <v>Psco_590</v>
          </cell>
          <cell r="B825">
            <v>824</v>
          </cell>
          <cell r="C825">
            <v>2</v>
          </cell>
          <cell r="D825" t="str">
            <v>TZ</v>
          </cell>
          <cell r="E825">
            <v>49</v>
          </cell>
          <cell r="F825">
            <v>1</v>
          </cell>
          <cell r="G825">
            <v>67</v>
          </cell>
          <cell r="H825">
            <v>1</v>
          </cell>
          <cell r="I825">
            <v>0.43302700362990548</v>
          </cell>
        </row>
        <row r="826">
          <cell r="A826" t="str">
            <v>Psco_686</v>
          </cell>
          <cell r="B826">
            <v>825</v>
          </cell>
          <cell r="C826">
            <v>2</v>
          </cell>
          <cell r="D826" t="str">
            <v>MZ</v>
          </cell>
          <cell r="E826">
            <v>35</v>
          </cell>
          <cell r="F826">
            <v>1</v>
          </cell>
          <cell r="G826">
            <v>63</v>
          </cell>
          <cell r="H826">
            <v>1</v>
          </cell>
          <cell r="I826">
            <v>0.53521648091880281</v>
          </cell>
        </row>
        <row r="827">
          <cell r="A827" t="str">
            <v>Psco_694</v>
          </cell>
          <cell r="B827">
            <v>826</v>
          </cell>
          <cell r="C827">
            <v>2</v>
          </cell>
          <cell r="D827" t="str">
            <v>TZ</v>
          </cell>
          <cell r="E827">
            <v>49</v>
          </cell>
          <cell r="F827">
            <v>0</v>
          </cell>
          <cell r="G827">
            <v>98</v>
          </cell>
          <cell r="H827">
            <v>1</v>
          </cell>
          <cell r="I827">
            <v>0.30714170007208802</v>
          </cell>
        </row>
        <row r="828">
          <cell r="A828" t="str">
            <v>Psco_803</v>
          </cell>
          <cell r="B828">
            <v>827</v>
          </cell>
          <cell r="C828">
            <v>3</v>
          </cell>
          <cell r="D828" t="str">
            <v>MZ</v>
          </cell>
          <cell r="E828">
            <v>28</v>
          </cell>
          <cell r="F828">
            <v>0</v>
          </cell>
          <cell r="G828">
            <v>98</v>
          </cell>
          <cell r="H828">
            <v>0</v>
          </cell>
          <cell r="I828">
            <v>0</v>
          </cell>
        </row>
        <row r="829">
          <cell r="A829" t="str">
            <v>Psco_702</v>
          </cell>
          <cell r="B829">
            <v>828</v>
          </cell>
          <cell r="C829">
            <v>2</v>
          </cell>
          <cell r="D829" t="str">
            <v>TZ</v>
          </cell>
          <cell r="E829">
            <v>42</v>
          </cell>
          <cell r="F829">
            <v>0</v>
          </cell>
          <cell r="G829">
            <v>98</v>
          </cell>
          <cell r="H829">
            <v>1</v>
          </cell>
          <cell r="I829">
            <v>0.34793755242132007</v>
          </cell>
        </row>
        <row r="830">
          <cell r="A830" t="str">
            <v>Psco_811</v>
          </cell>
          <cell r="B830">
            <v>829</v>
          </cell>
          <cell r="C830">
            <v>3</v>
          </cell>
          <cell r="D830" t="str">
            <v>MZ</v>
          </cell>
          <cell r="E830">
            <v>31</v>
          </cell>
          <cell r="F830">
            <v>0</v>
          </cell>
          <cell r="G830">
            <v>98</v>
          </cell>
          <cell r="H830">
            <v>0</v>
          </cell>
          <cell r="I830">
            <v>0</v>
          </cell>
        </row>
        <row r="831">
          <cell r="A831" t="str">
            <v>Psco_710</v>
          </cell>
          <cell r="B831">
            <v>830</v>
          </cell>
          <cell r="C831">
            <v>2</v>
          </cell>
          <cell r="D831" t="str">
            <v>MZ</v>
          </cell>
          <cell r="E831">
            <v>35</v>
          </cell>
          <cell r="F831">
            <v>1</v>
          </cell>
          <cell r="G831">
            <v>35</v>
          </cell>
          <cell r="H831">
            <v>1</v>
          </cell>
          <cell r="I831">
            <v>-0.5841936134913801</v>
          </cell>
        </row>
        <row r="832">
          <cell r="A832" t="str">
            <v>Psco_819</v>
          </cell>
          <cell r="B832">
            <v>831</v>
          </cell>
          <cell r="C832">
            <v>3</v>
          </cell>
          <cell r="D832" t="str">
            <v>MZ</v>
          </cell>
          <cell r="E832">
            <v>40</v>
          </cell>
          <cell r="F832">
            <v>0</v>
          </cell>
          <cell r="G832">
            <v>98</v>
          </cell>
          <cell r="H832">
            <v>0</v>
          </cell>
          <cell r="I832">
            <v>0</v>
          </cell>
        </row>
        <row r="833">
          <cell r="A833" t="str">
            <v>Psco_718</v>
          </cell>
          <cell r="B833">
            <v>832</v>
          </cell>
          <cell r="C833">
            <v>2</v>
          </cell>
          <cell r="D833" t="str">
            <v>TZ</v>
          </cell>
          <cell r="E833">
            <v>53</v>
          </cell>
          <cell r="F833">
            <v>1</v>
          </cell>
          <cell r="G833">
            <v>82</v>
          </cell>
          <cell r="H833">
            <v>1</v>
          </cell>
          <cell r="I833">
            <v>0.44941695863096209</v>
          </cell>
        </row>
        <row r="834">
          <cell r="A834" t="str">
            <v>Psco_827</v>
          </cell>
          <cell r="B834">
            <v>833</v>
          </cell>
          <cell r="C834">
            <v>3</v>
          </cell>
          <cell r="D834" t="str">
            <v>MZ</v>
          </cell>
          <cell r="E834">
            <v>25</v>
          </cell>
          <cell r="F834">
            <v>0</v>
          </cell>
          <cell r="G834">
            <v>98</v>
          </cell>
          <cell r="H834">
            <v>1</v>
          </cell>
          <cell r="I834">
            <v>0.1040114809420505</v>
          </cell>
        </row>
        <row r="835">
          <cell r="A835" t="str">
            <v>Psco_726</v>
          </cell>
          <cell r="B835">
            <v>834</v>
          </cell>
          <cell r="C835">
            <v>2</v>
          </cell>
          <cell r="D835" t="str">
            <v>TZ</v>
          </cell>
          <cell r="E835">
            <v>42</v>
          </cell>
          <cell r="F835">
            <v>1</v>
          </cell>
          <cell r="G835">
            <v>63</v>
          </cell>
          <cell r="H835">
            <v>1</v>
          </cell>
          <cell r="I835">
            <v>0.46135807943962781</v>
          </cell>
        </row>
        <row r="836">
          <cell r="A836" t="str">
            <v>Psco_835</v>
          </cell>
          <cell r="B836">
            <v>835</v>
          </cell>
          <cell r="C836">
            <v>3</v>
          </cell>
          <cell r="D836" t="str">
            <v>MZ</v>
          </cell>
          <cell r="E836">
            <v>27</v>
          </cell>
          <cell r="F836">
            <v>1</v>
          </cell>
          <cell r="G836">
            <v>58</v>
          </cell>
          <cell r="H836">
            <v>1</v>
          </cell>
          <cell r="I836">
            <v>0.27409287985137343</v>
          </cell>
        </row>
        <row r="837">
          <cell r="A837" t="str">
            <v>Psco_747</v>
          </cell>
          <cell r="B837">
            <v>836</v>
          </cell>
          <cell r="C837">
            <v>3</v>
          </cell>
          <cell r="D837" t="str">
            <v>MZ</v>
          </cell>
          <cell r="E837">
            <v>29</v>
          </cell>
          <cell r="F837">
            <v>0</v>
          </cell>
          <cell r="G837">
            <v>98</v>
          </cell>
          <cell r="H837">
            <v>0</v>
          </cell>
          <cell r="I837">
            <v>0</v>
          </cell>
        </row>
        <row r="838">
          <cell r="A838" t="str">
            <v>Psco_843</v>
          </cell>
          <cell r="B838">
            <v>837</v>
          </cell>
          <cell r="C838">
            <v>3</v>
          </cell>
          <cell r="D838" t="str">
            <v>MZ</v>
          </cell>
          <cell r="E838">
            <v>28</v>
          </cell>
          <cell r="F838">
            <v>1</v>
          </cell>
          <cell r="G838">
            <v>65</v>
          </cell>
          <cell r="H838">
            <v>1</v>
          </cell>
          <cell r="I838">
            <v>0.53718596819986753</v>
          </cell>
        </row>
        <row r="839">
          <cell r="A839" t="str">
            <v>Psco_755</v>
          </cell>
          <cell r="B839">
            <v>838</v>
          </cell>
          <cell r="C839">
            <v>3</v>
          </cell>
          <cell r="D839" t="str">
            <v>MZ</v>
          </cell>
          <cell r="E839">
            <v>33</v>
          </cell>
          <cell r="F839">
            <v>1</v>
          </cell>
          <cell r="G839">
            <v>95</v>
          </cell>
          <cell r="H839">
            <v>1</v>
          </cell>
          <cell r="I839">
            <v>0.17555804805801009</v>
          </cell>
        </row>
        <row r="840">
          <cell r="A840" t="str">
            <v>Psco_851</v>
          </cell>
          <cell r="B840">
            <v>839</v>
          </cell>
          <cell r="C840">
            <v>3</v>
          </cell>
          <cell r="D840" t="str">
            <v>MZ</v>
          </cell>
          <cell r="E840">
            <v>37</v>
          </cell>
          <cell r="F840">
            <v>0</v>
          </cell>
          <cell r="G840">
            <v>98</v>
          </cell>
          <cell r="H840">
            <v>0</v>
          </cell>
          <cell r="I840">
            <v>0</v>
          </cell>
        </row>
        <row r="841">
          <cell r="A841" t="str">
            <v>Psco_763</v>
          </cell>
          <cell r="B841">
            <v>840</v>
          </cell>
          <cell r="C841">
            <v>3</v>
          </cell>
          <cell r="D841" t="str">
            <v>MZ</v>
          </cell>
          <cell r="E841">
            <v>39</v>
          </cell>
          <cell r="F841">
            <v>0</v>
          </cell>
          <cell r="G841">
            <v>98</v>
          </cell>
          <cell r="H841">
            <v>0</v>
          </cell>
          <cell r="I841">
            <v>0</v>
          </cell>
        </row>
        <row r="842">
          <cell r="A842" t="str">
            <v>Psco_859</v>
          </cell>
          <cell r="B842">
            <v>841</v>
          </cell>
          <cell r="C842">
            <v>3</v>
          </cell>
          <cell r="D842" t="str">
            <v>MZ</v>
          </cell>
          <cell r="E842">
            <v>34</v>
          </cell>
          <cell r="F842">
            <v>0</v>
          </cell>
          <cell r="G842">
            <v>98</v>
          </cell>
          <cell r="H842">
            <v>0</v>
          </cell>
          <cell r="I842">
            <v>0</v>
          </cell>
        </row>
        <row r="843">
          <cell r="A843" t="str">
            <v>Psco_771</v>
          </cell>
          <cell r="B843">
            <v>842</v>
          </cell>
          <cell r="C843">
            <v>3</v>
          </cell>
          <cell r="D843" t="str">
            <v>MZ</v>
          </cell>
          <cell r="E843">
            <v>37</v>
          </cell>
          <cell r="F843">
            <v>0</v>
          </cell>
          <cell r="G843">
            <v>98</v>
          </cell>
          <cell r="H843">
            <v>1</v>
          </cell>
          <cell r="I843">
            <v>0.18957451027481351</v>
          </cell>
        </row>
        <row r="844">
          <cell r="A844" t="str">
            <v>Psco_867</v>
          </cell>
          <cell r="B844">
            <v>843</v>
          </cell>
          <cell r="C844">
            <v>3</v>
          </cell>
          <cell r="D844" t="str">
            <v>MZ</v>
          </cell>
          <cell r="E844">
            <v>35</v>
          </cell>
          <cell r="F844">
            <v>0</v>
          </cell>
          <cell r="G844">
            <v>98</v>
          </cell>
          <cell r="H844">
            <v>0</v>
          </cell>
          <cell r="I844">
            <v>0</v>
          </cell>
        </row>
        <row r="845">
          <cell r="A845" t="str">
            <v>Psco_779</v>
          </cell>
          <cell r="B845">
            <v>844</v>
          </cell>
          <cell r="C845">
            <v>3</v>
          </cell>
          <cell r="D845" t="str">
            <v>MZ</v>
          </cell>
          <cell r="E845">
            <v>27</v>
          </cell>
          <cell r="F845">
            <v>1</v>
          </cell>
          <cell r="G845">
            <v>84</v>
          </cell>
          <cell r="H845">
            <v>1</v>
          </cell>
          <cell r="I845">
            <v>0.45125020228515839</v>
          </cell>
        </row>
        <row r="846">
          <cell r="A846" t="str">
            <v>Psco_875</v>
          </cell>
          <cell r="B846">
            <v>845</v>
          </cell>
          <cell r="C846">
            <v>3</v>
          </cell>
          <cell r="D846" t="str">
            <v>MZ</v>
          </cell>
          <cell r="E846">
            <v>29</v>
          </cell>
          <cell r="F846">
            <v>1</v>
          </cell>
          <cell r="G846">
            <v>91</v>
          </cell>
          <cell r="H846">
            <v>1</v>
          </cell>
          <cell r="I846">
            <v>0.42508890463799348</v>
          </cell>
        </row>
        <row r="847">
          <cell r="A847" t="str">
            <v>Psco_787</v>
          </cell>
          <cell r="B847">
            <v>846</v>
          </cell>
          <cell r="C847">
            <v>3</v>
          </cell>
          <cell r="D847" t="str">
            <v>MZ</v>
          </cell>
          <cell r="E847">
            <v>33</v>
          </cell>
          <cell r="F847">
            <v>0</v>
          </cell>
          <cell r="G847">
            <v>98</v>
          </cell>
          <cell r="H847">
            <v>1</v>
          </cell>
          <cell r="I847">
            <v>7.170008682779197E-2</v>
          </cell>
        </row>
        <row r="848">
          <cell r="A848" t="str">
            <v>Psco_883</v>
          </cell>
          <cell r="B848">
            <v>847</v>
          </cell>
          <cell r="C848">
            <v>3</v>
          </cell>
          <cell r="D848" t="str">
            <v>MZ</v>
          </cell>
          <cell r="E848">
            <v>40</v>
          </cell>
          <cell r="F848">
            <v>1</v>
          </cell>
          <cell r="G848">
            <v>74</v>
          </cell>
          <cell r="H848">
            <v>1</v>
          </cell>
          <cell r="I848">
            <v>0.39030874320966003</v>
          </cell>
        </row>
        <row r="849">
          <cell r="A849" t="str">
            <v>Psco_795</v>
          </cell>
          <cell r="B849">
            <v>848</v>
          </cell>
          <cell r="C849">
            <v>3</v>
          </cell>
          <cell r="D849" t="str">
            <v>MZ</v>
          </cell>
          <cell r="E849">
            <v>22</v>
          </cell>
          <cell r="F849">
            <v>0</v>
          </cell>
          <cell r="G849">
            <v>98</v>
          </cell>
          <cell r="H849">
            <v>0</v>
          </cell>
          <cell r="I849">
            <v>0</v>
          </cell>
        </row>
        <row r="850">
          <cell r="A850" t="str">
            <v>Psco_891</v>
          </cell>
          <cell r="B850">
            <v>849</v>
          </cell>
          <cell r="C850">
            <v>3</v>
          </cell>
          <cell r="D850" t="str">
            <v>MZ</v>
          </cell>
          <cell r="E850">
            <v>35</v>
          </cell>
          <cell r="F850">
            <v>0</v>
          </cell>
          <cell r="G850">
            <v>98</v>
          </cell>
          <cell r="H850">
            <v>0</v>
          </cell>
          <cell r="I850">
            <v>0</v>
          </cell>
        </row>
        <row r="851">
          <cell r="A851" t="str">
            <v>Psco_503</v>
          </cell>
          <cell r="B851">
            <v>850</v>
          </cell>
          <cell r="C851">
            <v>2</v>
          </cell>
          <cell r="D851" t="str">
            <v>MZ</v>
          </cell>
          <cell r="E851">
            <v>22</v>
          </cell>
          <cell r="F851">
            <v>0</v>
          </cell>
          <cell r="G851">
            <v>98</v>
          </cell>
          <cell r="H851">
            <v>0</v>
          </cell>
          <cell r="I851">
            <v>0</v>
          </cell>
        </row>
        <row r="852">
          <cell r="A852" t="str">
            <v>Psco_599</v>
          </cell>
          <cell r="B852">
            <v>851</v>
          </cell>
          <cell r="C852">
            <v>2</v>
          </cell>
          <cell r="D852" t="str">
            <v>TZ</v>
          </cell>
          <cell r="E852">
            <v>52</v>
          </cell>
          <cell r="F852">
            <v>0</v>
          </cell>
          <cell r="G852">
            <v>98</v>
          </cell>
          <cell r="H852">
            <v>0</v>
          </cell>
          <cell r="I852">
            <v>0</v>
          </cell>
        </row>
        <row r="853">
          <cell r="A853" t="str">
            <v>Psco_511</v>
          </cell>
          <cell r="B853">
            <v>852</v>
          </cell>
          <cell r="C853">
            <v>2</v>
          </cell>
          <cell r="D853" t="str">
            <v>TZ</v>
          </cell>
          <cell r="E853">
            <v>49</v>
          </cell>
          <cell r="F853">
            <v>1</v>
          </cell>
          <cell r="G853">
            <v>67</v>
          </cell>
          <cell r="H853">
            <v>1</v>
          </cell>
          <cell r="I853">
            <v>0.41956941552262678</v>
          </cell>
        </row>
        <row r="854">
          <cell r="A854" t="str">
            <v>Psco_607</v>
          </cell>
          <cell r="B854">
            <v>853</v>
          </cell>
          <cell r="C854">
            <v>2</v>
          </cell>
          <cell r="D854" t="str">
            <v>MZ</v>
          </cell>
          <cell r="E854">
            <v>30</v>
          </cell>
          <cell r="F854">
            <v>0</v>
          </cell>
          <cell r="G854">
            <v>98</v>
          </cell>
          <cell r="H854">
            <v>0</v>
          </cell>
          <cell r="I854">
            <v>0</v>
          </cell>
        </row>
        <row r="855">
          <cell r="A855" t="str">
            <v>Psco_519</v>
          </cell>
          <cell r="B855">
            <v>854</v>
          </cell>
          <cell r="C855">
            <v>2</v>
          </cell>
          <cell r="D855" t="str">
            <v>MZ</v>
          </cell>
          <cell r="E855">
            <v>35</v>
          </cell>
          <cell r="F855">
            <v>1</v>
          </cell>
          <cell r="G855">
            <v>76</v>
          </cell>
          <cell r="H855">
            <v>1</v>
          </cell>
          <cell r="I855">
            <v>0.36164138878101237</v>
          </cell>
        </row>
        <row r="856">
          <cell r="A856" t="str">
            <v>Psco_615</v>
          </cell>
          <cell r="B856">
            <v>855</v>
          </cell>
          <cell r="C856">
            <v>2</v>
          </cell>
          <cell r="D856" t="str">
            <v>TZ</v>
          </cell>
          <cell r="E856">
            <v>46</v>
          </cell>
          <cell r="F856">
            <v>1</v>
          </cell>
          <cell r="G856">
            <v>70</v>
          </cell>
          <cell r="H856">
            <v>1</v>
          </cell>
          <cell r="I856">
            <v>0.36675857072047141</v>
          </cell>
        </row>
        <row r="857">
          <cell r="A857" t="str">
            <v>Psco_527</v>
          </cell>
          <cell r="B857">
            <v>856</v>
          </cell>
          <cell r="C857">
            <v>2</v>
          </cell>
          <cell r="D857" t="str">
            <v>MZ</v>
          </cell>
          <cell r="E857">
            <v>38</v>
          </cell>
          <cell r="F857">
            <v>0</v>
          </cell>
          <cell r="G857">
            <v>98</v>
          </cell>
          <cell r="H857">
            <v>0</v>
          </cell>
          <cell r="I857">
            <v>0</v>
          </cell>
        </row>
        <row r="858">
          <cell r="A858" t="str">
            <v>Psco_623</v>
          </cell>
          <cell r="B858">
            <v>857</v>
          </cell>
          <cell r="C858">
            <v>2</v>
          </cell>
          <cell r="D858" t="str">
            <v>MZ</v>
          </cell>
          <cell r="E858">
            <v>35</v>
          </cell>
          <cell r="F858">
            <v>1</v>
          </cell>
          <cell r="G858">
            <v>71</v>
          </cell>
          <cell r="H858">
            <v>1</v>
          </cell>
          <cell r="I858">
            <v>0.67749181114840129</v>
          </cell>
        </row>
        <row r="859">
          <cell r="A859" t="str">
            <v>Psco_535</v>
          </cell>
          <cell r="B859">
            <v>858</v>
          </cell>
          <cell r="C859">
            <v>2</v>
          </cell>
          <cell r="D859" t="str">
            <v>MZ</v>
          </cell>
          <cell r="E859">
            <v>32</v>
          </cell>
          <cell r="F859">
            <v>1</v>
          </cell>
          <cell r="G859">
            <v>49</v>
          </cell>
          <cell r="H859">
            <v>1</v>
          </cell>
          <cell r="I859">
            <v>0.5399577401947</v>
          </cell>
        </row>
        <row r="860">
          <cell r="A860" t="str">
            <v>Psco_631</v>
          </cell>
          <cell r="B860">
            <v>859</v>
          </cell>
          <cell r="C860">
            <v>2</v>
          </cell>
          <cell r="D860" t="str">
            <v>TZ</v>
          </cell>
          <cell r="E860">
            <v>54</v>
          </cell>
          <cell r="F860">
            <v>1</v>
          </cell>
          <cell r="G860">
            <v>67</v>
          </cell>
          <cell r="H860">
            <v>1</v>
          </cell>
          <cell r="I860">
            <v>0.46269912981740469</v>
          </cell>
        </row>
        <row r="861">
          <cell r="A861" t="str">
            <v>Psco_543</v>
          </cell>
          <cell r="B861">
            <v>860</v>
          </cell>
          <cell r="C861">
            <v>2</v>
          </cell>
          <cell r="D861" t="str">
            <v>MZ</v>
          </cell>
          <cell r="E861">
            <v>36</v>
          </cell>
          <cell r="F861">
            <v>1</v>
          </cell>
          <cell r="G861">
            <v>63</v>
          </cell>
          <cell r="H861">
            <v>1</v>
          </cell>
          <cell r="I861">
            <v>0.74797014969829623</v>
          </cell>
        </row>
        <row r="862">
          <cell r="A862" t="str">
            <v>Psco_639</v>
          </cell>
          <cell r="B862">
            <v>861</v>
          </cell>
          <cell r="C862">
            <v>2</v>
          </cell>
          <cell r="D862" t="str">
            <v>TZ</v>
          </cell>
          <cell r="E862">
            <v>51</v>
          </cell>
          <cell r="F862">
            <v>0</v>
          </cell>
          <cell r="G862">
            <v>98</v>
          </cell>
          <cell r="H862">
            <v>1</v>
          </cell>
          <cell r="I862">
            <v>0.24987389574887739</v>
          </cell>
        </row>
        <row r="863">
          <cell r="A863" t="str">
            <v>Psco_551</v>
          </cell>
          <cell r="B863">
            <v>862</v>
          </cell>
          <cell r="C863">
            <v>2</v>
          </cell>
          <cell r="D863" t="str">
            <v>MZ</v>
          </cell>
          <cell r="E863">
            <v>40</v>
          </cell>
          <cell r="F863">
            <v>1</v>
          </cell>
          <cell r="G863">
            <v>63</v>
          </cell>
          <cell r="H863">
            <v>1</v>
          </cell>
          <cell r="I863">
            <v>0.45949266141556339</v>
          </cell>
        </row>
        <row r="864">
          <cell r="A864" t="str">
            <v>Psco_647</v>
          </cell>
          <cell r="B864">
            <v>863</v>
          </cell>
          <cell r="C864">
            <v>2</v>
          </cell>
          <cell r="D864" t="str">
            <v>MZ</v>
          </cell>
          <cell r="E864">
            <v>31</v>
          </cell>
          <cell r="F864">
            <v>1</v>
          </cell>
          <cell r="G864">
            <v>68</v>
          </cell>
          <cell r="H864">
            <v>1</v>
          </cell>
          <cell r="I864">
            <v>0.57420266806703912</v>
          </cell>
        </row>
        <row r="865">
          <cell r="A865" t="str">
            <v>Psco_559</v>
          </cell>
          <cell r="B865">
            <v>864</v>
          </cell>
          <cell r="C865">
            <v>2</v>
          </cell>
          <cell r="D865" t="str">
            <v>TZ</v>
          </cell>
          <cell r="E865">
            <v>50</v>
          </cell>
          <cell r="F865">
            <v>1</v>
          </cell>
          <cell r="G865">
            <v>77</v>
          </cell>
          <cell r="H865">
            <v>1</v>
          </cell>
          <cell r="I865">
            <v>0.55744987364081644</v>
          </cell>
        </row>
        <row r="866">
          <cell r="A866" t="str">
            <v>Psco_655</v>
          </cell>
          <cell r="B866">
            <v>865</v>
          </cell>
          <cell r="C866">
            <v>2</v>
          </cell>
          <cell r="D866" t="str">
            <v>MZ</v>
          </cell>
          <cell r="E866">
            <v>32</v>
          </cell>
          <cell r="F866">
            <v>1</v>
          </cell>
          <cell r="G866">
            <v>71</v>
          </cell>
          <cell r="H866">
            <v>1</v>
          </cell>
          <cell r="I866">
            <v>0.44811736806432062</v>
          </cell>
        </row>
        <row r="867">
          <cell r="A867" t="str">
            <v>Psco_567</v>
          </cell>
          <cell r="B867">
            <v>866</v>
          </cell>
          <cell r="C867">
            <v>2</v>
          </cell>
          <cell r="D867" t="str">
            <v>TZ</v>
          </cell>
          <cell r="E867">
            <v>42</v>
          </cell>
          <cell r="F867">
            <v>1</v>
          </cell>
          <cell r="G867">
            <v>48</v>
          </cell>
          <cell r="H867">
            <v>1</v>
          </cell>
          <cell r="I867">
            <v>0.51745416317913351</v>
          </cell>
        </row>
        <row r="868">
          <cell r="A868" t="str">
            <v>Psco_663</v>
          </cell>
          <cell r="B868">
            <v>867</v>
          </cell>
          <cell r="C868">
            <v>2</v>
          </cell>
          <cell r="D868" t="str">
            <v>TZ</v>
          </cell>
          <cell r="E868">
            <v>50</v>
          </cell>
          <cell r="F868">
            <v>1</v>
          </cell>
          <cell r="G868">
            <v>65</v>
          </cell>
          <cell r="H868">
            <v>1</v>
          </cell>
          <cell r="I868">
            <v>0.34634333241937981</v>
          </cell>
        </row>
        <row r="869">
          <cell r="A869" t="str">
            <v>Psco_575</v>
          </cell>
          <cell r="B869">
            <v>868</v>
          </cell>
          <cell r="C869">
            <v>2</v>
          </cell>
          <cell r="D869" t="str">
            <v>MZ</v>
          </cell>
          <cell r="E869">
            <v>38</v>
          </cell>
          <cell r="F869">
            <v>0</v>
          </cell>
          <cell r="G869">
            <v>98</v>
          </cell>
          <cell r="H869">
            <v>0</v>
          </cell>
          <cell r="I869">
            <v>0</v>
          </cell>
        </row>
        <row r="870">
          <cell r="A870" t="str">
            <v>Psco_671</v>
          </cell>
          <cell r="B870">
            <v>869</v>
          </cell>
          <cell r="C870">
            <v>2</v>
          </cell>
          <cell r="D870" t="str">
            <v>TZ</v>
          </cell>
          <cell r="E870">
            <v>52</v>
          </cell>
          <cell r="F870">
            <v>1</v>
          </cell>
          <cell r="G870">
            <v>74</v>
          </cell>
          <cell r="H870">
            <v>1</v>
          </cell>
          <cell r="I870">
            <v>0.46122642371119332</v>
          </cell>
        </row>
        <row r="871">
          <cell r="A871" t="str">
            <v>Psco_583</v>
          </cell>
          <cell r="B871">
            <v>870</v>
          </cell>
          <cell r="C871">
            <v>2</v>
          </cell>
          <cell r="D871" t="str">
            <v>TZ</v>
          </cell>
          <cell r="E871">
            <v>48</v>
          </cell>
          <cell r="F871">
            <v>0</v>
          </cell>
          <cell r="G871">
            <v>98</v>
          </cell>
          <cell r="H871">
            <v>0</v>
          </cell>
          <cell r="I871">
            <v>0</v>
          </cell>
        </row>
        <row r="872">
          <cell r="A872" t="str">
            <v>Psco_679</v>
          </cell>
          <cell r="B872">
            <v>871</v>
          </cell>
          <cell r="C872">
            <v>2</v>
          </cell>
          <cell r="D872" t="str">
            <v>MZ</v>
          </cell>
          <cell r="E872">
            <v>21</v>
          </cell>
          <cell r="F872">
            <v>0</v>
          </cell>
          <cell r="G872">
            <v>98</v>
          </cell>
          <cell r="H872">
            <v>0</v>
          </cell>
          <cell r="I872">
            <v>0</v>
          </cell>
        </row>
        <row r="873">
          <cell r="A873" t="str">
            <v>Psco_591</v>
          </cell>
          <cell r="B873">
            <v>872</v>
          </cell>
          <cell r="C873">
            <v>2</v>
          </cell>
          <cell r="D873" t="str">
            <v>MZ</v>
          </cell>
          <cell r="E873">
            <v>21</v>
          </cell>
          <cell r="F873">
            <v>1</v>
          </cell>
          <cell r="G873">
            <v>67</v>
          </cell>
          <cell r="H873">
            <v>1</v>
          </cell>
          <cell r="I873">
            <v>0.52803281106482403</v>
          </cell>
        </row>
        <row r="874">
          <cell r="A874" t="str">
            <v>Psco_687</v>
          </cell>
          <cell r="B874">
            <v>873</v>
          </cell>
          <cell r="C874">
            <v>2</v>
          </cell>
          <cell r="D874" t="str">
            <v>MZ</v>
          </cell>
          <cell r="E874">
            <v>31</v>
          </cell>
          <cell r="F874">
            <v>0</v>
          </cell>
          <cell r="G874">
            <v>98</v>
          </cell>
          <cell r="H874">
            <v>0</v>
          </cell>
          <cell r="I874">
            <v>0</v>
          </cell>
        </row>
        <row r="875">
          <cell r="A875" t="str">
            <v>Psco_695</v>
          </cell>
          <cell r="B875">
            <v>874</v>
          </cell>
          <cell r="C875">
            <v>2</v>
          </cell>
          <cell r="D875" t="str">
            <v>TZ</v>
          </cell>
          <cell r="E875">
            <v>50</v>
          </cell>
          <cell r="F875">
            <v>1</v>
          </cell>
          <cell r="G875">
            <v>80</v>
          </cell>
          <cell r="H875">
            <v>1</v>
          </cell>
          <cell r="I875">
            <v>0.22765727611327319</v>
          </cell>
        </row>
        <row r="876">
          <cell r="A876" t="str">
            <v>Psco_804</v>
          </cell>
          <cell r="B876">
            <v>875</v>
          </cell>
          <cell r="C876">
            <v>3</v>
          </cell>
          <cell r="D876" t="str">
            <v>MZ</v>
          </cell>
          <cell r="E876">
            <v>35</v>
          </cell>
          <cell r="F876">
            <v>0</v>
          </cell>
          <cell r="G876">
            <v>98</v>
          </cell>
          <cell r="H876">
            <v>0</v>
          </cell>
          <cell r="I876">
            <v>0</v>
          </cell>
        </row>
        <row r="877">
          <cell r="A877" t="str">
            <v>Psco_703</v>
          </cell>
          <cell r="B877">
            <v>876</v>
          </cell>
          <cell r="C877">
            <v>2</v>
          </cell>
          <cell r="D877" t="str">
            <v>MZ</v>
          </cell>
          <cell r="E877">
            <v>38</v>
          </cell>
          <cell r="F877">
            <v>1</v>
          </cell>
          <cell r="G877">
            <v>65</v>
          </cell>
          <cell r="H877">
            <v>1</v>
          </cell>
          <cell r="I877">
            <v>0.47092887149533391</v>
          </cell>
        </row>
        <row r="878">
          <cell r="A878" t="str">
            <v>Psco_812</v>
          </cell>
          <cell r="B878">
            <v>877</v>
          </cell>
          <cell r="C878">
            <v>3</v>
          </cell>
          <cell r="D878" t="str">
            <v>MZ</v>
          </cell>
          <cell r="E878">
            <v>37</v>
          </cell>
          <cell r="F878">
            <v>1</v>
          </cell>
          <cell r="G878">
            <v>64</v>
          </cell>
          <cell r="H878">
            <v>1</v>
          </cell>
          <cell r="I878">
            <v>0.54976842898091716</v>
          </cell>
        </row>
        <row r="879">
          <cell r="A879" t="str">
            <v>Psco_711</v>
          </cell>
          <cell r="B879">
            <v>878</v>
          </cell>
          <cell r="C879">
            <v>2</v>
          </cell>
          <cell r="D879" t="str">
            <v>TZ</v>
          </cell>
          <cell r="E879">
            <v>44</v>
          </cell>
          <cell r="F879">
            <v>1</v>
          </cell>
          <cell r="G879">
            <v>63</v>
          </cell>
          <cell r="H879">
            <v>1</v>
          </cell>
          <cell r="I879">
            <v>0.26902932185257361</v>
          </cell>
        </row>
        <row r="880">
          <cell r="A880" t="str">
            <v>Psco_820</v>
          </cell>
          <cell r="B880">
            <v>879</v>
          </cell>
          <cell r="C880">
            <v>3</v>
          </cell>
          <cell r="D880" t="str">
            <v>MZ</v>
          </cell>
          <cell r="E880">
            <v>35</v>
          </cell>
          <cell r="F880">
            <v>1</v>
          </cell>
          <cell r="G880">
            <v>65</v>
          </cell>
          <cell r="H880">
            <v>1</v>
          </cell>
          <cell r="I880">
            <v>0.63902179687718508</v>
          </cell>
        </row>
        <row r="881">
          <cell r="A881" t="str">
            <v>Psco_719</v>
          </cell>
          <cell r="B881">
            <v>880</v>
          </cell>
          <cell r="C881">
            <v>2</v>
          </cell>
          <cell r="D881" t="str">
            <v>MZ</v>
          </cell>
          <cell r="E881">
            <v>23</v>
          </cell>
          <cell r="F881">
            <v>1</v>
          </cell>
          <cell r="G881">
            <v>49</v>
          </cell>
          <cell r="H881">
            <v>1</v>
          </cell>
          <cell r="I881">
            <v>0.94567576215245519</v>
          </cell>
        </row>
        <row r="882">
          <cell r="A882" t="str">
            <v>Psco_828</v>
          </cell>
          <cell r="B882">
            <v>881</v>
          </cell>
          <cell r="C882">
            <v>3</v>
          </cell>
          <cell r="D882" t="str">
            <v>MZ</v>
          </cell>
          <cell r="E882">
            <v>31</v>
          </cell>
          <cell r="F882">
            <v>1</v>
          </cell>
          <cell r="G882">
            <v>63</v>
          </cell>
          <cell r="H882">
            <v>1</v>
          </cell>
          <cell r="I882">
            <v>0.64172712544574395</v>
          </cell>
        </row>
        <row r="883">
          <cell r="A883" t="str">
            <v>Psco_727</v>
          </cell>
          <cell r="B883">
            <v>882</v>
          </cell>
          <cell r="C883">
            <v>2</v>
          </cell>
          <cell r="D883" t="str">
            <v>TZ</v>
          </cell>
          <cell r="E883">
            <v>54</v>
          </cell>
          <cell r="F883">
            <v>0</v>
          </cell>
          <cell r="G883">
            <v>98</v>
          </cell>
          <cell r="H883">
            <v>0</v>
          </cell>
          <cell r="I883">
            <v>0</v>
          </cell>
        </row>
        <row r="884">
          <cell r="A884" t="str">
            <v>Psco_836</v>
          </cell>
          <cell r="B884">
            <v>883</v>
          </cell>
          <cell r="C884">
            <v>3</v>
          </cell>
          <cell r="D884" t="str">
            <v>MZ</v>
          </cell>
          <cell r="E884">
            <v>22</v>
          </cell>
          <cell r="F884">
            <v>0</v>
          </cell>
          <cell r="G884">
            <v>98</v>
          </cell>
          <cell r="H884">
            <v>0</v>
          </cell>
          <cell r="I884">
            <v>0</v>
          </cell>
        </row>
        <row r="885">
          <cell r="A885" t="str">
            <v>Psco_748</v>
          </cell>
          <cell r="B885">
            <v>884</v>
          </cell>
          <cell r="C885">
            <v>3</v>
          </cell>
          <cell r="D885" t="str">
            <v>MZ</v>
          </cell>
          <cell r="E885">
            <v>31</v>
          </cell>
          <cell r="F885">
            <v>1</v>
          </cell>
          <cell r="G885">
            <v>63</v>
          </cell>
          <cell r="H885">
            <v>1</v>
          </cell>
          <cell r="I885">
            <v>0.3882451792409628</v>
          </cell>
        </row>
        <row r="886">
          <cell r="A886" t="str">
            <v>Psco_756</v>
          </cell>
          <cell r="B886">
            <v>885</v>
          </cell>
          <cell r="C886">
            <v>3</v>
          </cell>
          <cell r="D886" t="str">
            <v>MZ</v>
          </cell>
          <cell r="E886">
            <v>22</v>
          </cell>
          <cell r="F886">
            <v>0</v>
          </cell>
          <cell r="G886">
            <v>98</v>
          </cell>
          <cell r="H886">
            <v>1</v>
          </cell>
          <cell r="I886">
            <v>0.26424293954166711</v>
          </cell>
        </row>
        <row r="887">
          <cell r="A887" t="str">
            <v>Psco_852</v>
          </cell>
          <cell r="B887">
            <v>886</v>
          </cell>
          <cell r="C887">
            <v>3</v>
          </cell>
          <cell r="D887" t="str">
            <v>MZ</v>
          </cell>
          <cell r="E887">
            <v>36</v>
          </cell>
          <cell r="F887">
            <v>1</v>
          </cell>
          <cell r="G887">
            <v>63</v>
          </cell>
          <cell r="H887">
            <v>1</v>
          </cell>
          <cell r="I887">
            <v>0.57101651646537455</v>
          </cell>
        </row>
        <row r="888">
          <cell r="A888" t="str">
            <v>Psco_860</v>
          </cell>
          <cell r="B888">
            <v>887</v>
          </cell>
          <cell r="C888">
            <v>3</v>
          </cell>
          <cell r="D888" t="str">
            <v>MZ</v>
          </cell>
          <cell r="E888">
            <v>24</v>
          </cell>
          <cell r="F888">
            <v>0</v>
          </cell>
          <cell r="G888">
            <v>98</v>
          </cell>
          <cell r="H888">
            <v>0</v>
          </cell>
          <cell r="I888">
            <v>0</v>
          </cell>
        </row>
        <row r="889">
          <cell r="A889" t="str">
            <v>Psco_772</v>
          </cell>
          <cell r="B889">
            <v>888</v>
          </cell>
          <cell r="C889">
            <v>3</v>
          </cell>
          <cell r="D889" t="str">
            <v>MZ</v>
          </cell>
          <cell r="E889">
            <v>29</v>
          </cell>
          <cell r="F889">
            <v>1</v>
          </cell>
          <cell r="G889">
            <v>69</v>
          </cell>
          <cell r="H889">
            <v>1</v>
          </cell>
          <cell r="I889">
            <v>0.35794566964949842</v>
          </cell>
        </row>
        <row r="890">
          <cell r="A890" t="str">
            <v>Psco_868</v>
          </cell>
          <cell r="B890">
            <v>889</v>
          </cell>
          <cell r="C890">
            <v>3</v>
          </cell>
          <cell r="D890" t="str">
            <v>MZ</v>
          </cell>
          <cell r="E890">
            <v>24</v>
          </cell>
          <cell r="F890">
            <v>1</v>
          </cell>
          <cell r="G890">
            <v>80</v>
          </cell>
          <cell r="H890">
            <v>1</v>
          </cell>
          <cell r="I890">
            <v>0.46657610918557768</v>
          </cell>
        </row>
        <row r="891">
          <cell r="A891" t="str">
            <v>Psco_780</v>
          </cell>
          <cell r="B891">
            <v>890</v>
          </cell>
          <cell r="C891">
            <v>3</v>
          </cell>
          <cell r="D891" t="str">
            <v>MZ</v>
          </cell>
          <cell r="E891">
            <v>38</v>
          </cell>
          <cell r="F891">
            <v>0</v>
          </cell>
          <cell r="G891">
            <v>98</v>
          </cell>
          <cell r="H891">
            <v>1</v>
          </cell>
          <cell r="I891">
            <v>-1.8933001990391139E-2</v>
          </cell>
        </row>
        <row r="892">
          <cell r="A892" t="str">
            <v>Psco_876</v>
          </cell>
          <cell r="B892">
            <v>891</v>
          </cell>
          <cell r="C892">
            <v>3</v>
          </cell>
          <cell r="D892" t="str">
            <v>MZ</v>
          </cell>
          <cell r="E892">
            <v>27</v>
          </cell>
          <cell r="F892">
            <v>0</v>
          </cell>
          <cell r="G892">
            <v>98</v>
          </cell>
          <cell r="H892">
            <v>0</v>
          </cell>
          <cell r="I892">
            <v>0</v>
          </cell>
        </row>
        <row r="893">
          <cell r="A893" t="str">
            <v>Psco_788</v>
          </cell>
          <cell r="B893">
            <v>892</v>
          </cell>
          <cell r="C893">
            <v>3</v>
          </cell>
          <cell r="D893" t="str">
            <v>MZ</v>
          </cell>
          <cell r="E893">
            <v>28</v>
          </cell>
          <cell r="F893">
            <v>1</v>
          </cell>
          <cell r="G893">
            <v>57</v>
          </cell>
          <cell r="H893">
            <v>1</v>
          </cell>
          <cell r="I893">
            <v>0.63593893295153203</v>
          </cell>
        </row>
        <row r="894">
          <cell r="A894" t="str">
            <v>Psco_884</v>
          </cell>
          <cell r="B894">
            <v>893</v>
          </cell>
          <cell r="C894">
            <v>3</v>
          </cell>
          <cell r="D894" t="str">
            <v>MZ</v>
          </cell>
          <cell r="E894">
            <v>38</v>
          </cell>
          <cell r="F894">
            <v>0</v>
          </cell>
          <cell r="G894">
            <v>98</v>
          </cell>
          <cell r="H894">
            <v>0</v>
          </cell>
          <cell r="I894">
            <v>0</v>
          </cell>
        </row>
        <row r="895">
          <cell r="A895" t="str">
            <v>Psco_796</v>
          </cell>
          <cell r="B895">
            <v>894</v>
          </cell>
          <cell r="C895">
            <v>3</v>
          </cell>
          <cell r="D895" t="str">
            <v>MZ</v>
          </cell>
          <cell r="E895">
            <v>33</v>
          </cell>
          <cell r="F895">
            <v>0</v>
          </cell>
          <cell r="G895">
            <v>98</v>
          </cell>
          <cell r="H895">
            <v>0</v>
          </cell>
          <cell r="I895">
            <v>0</v>
          </cell>
        </row>
        <row r="896">
          <cell r="A896" t="str">
            <v>Psco_892</v>
          </cell>
          <cell r="B896">
            <v>895</v>
          </cell>
          <cell r="C896">
            <v>3</v>
          </cell>
          <cell r="D896" t="str">
            <v>MZ</v>
          </cell>
          <cell r="E896">
            <v>31</v>
          </cell>
          <cell r="F896">
            <v>0</v>
          </cell>
          <cell r="G896">
            <v>98</v>
          </cell>
          <cell r="H896">
            <v>1</v>
          </cell>
          <cell r="I896">
            <v>0.43584503370126931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60A7-A738-5541-B44B-3714B320875F}">
  <dimension ref="A1:B2"/>
  <sheetViews>
    <sheetView workbookViewId="0">
      <selection activeCell="A3" sqref="A3"/>
    </sheetView>
  </sheetViews>
  <sheetFormatPr baseColWidth="10" defaultRowHeight="16" x14ac:dyDescent="0.2"/>
  <cols>
    <col min="1" max="1" width="12.5" bestFit="1" customWidth="1"/>
    <col min="2" max="2" width="35.83203125" bestFit="1" customWidth="1"/>
  </cols>
  <sheetData>
    <row r="1" spans="1:2" x14ac:dyDescent="0.2">
      <c r="A1" t="s">
        <v>920</v>
      </c>
      <c r="B1" t="s">
        <v>921</v>
      </c>
    </row>
    <row r="2" spans="1:2" x14ac:dyDescent="0.2">
      <c r="A2" t="s">
        <v>922</v>
      </c>
      <c r="B2" t="s">
        <v>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9E39-5120-9147-A2A5-BE739C0C8DCE}">
  <dimension ref="A1:K896"/>
  <sheetViews>
    <sheetView workbookViewId="0">
      <selection activeCell="M20" sqref="M20"/>
    </sheetView>
  </sheetViews>
  <sheetFormatPr baseColWidth="10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4" max="4" width="4" style="12" bestFit="1" customWidth="1"/>
    <col min="5" max="5" width="10.83203125" style="21"/>
    <col min="6" max="6" width="15.33203125" bestFit="1" customWidth="1"/>
    <col min="9" max="9" width="12.83203125" bestFit="1" customWidth="1"/>
  </cols>
  <sheetData>
    <row r="1" spans="1:11" x14ac:dyDescent="0.2">
      <c r="A1" s="10" t="s">
        <v>897</v>
      </c>
      <c r="B1" s="10" t="s">
        <v>914</v>
      </c>
      <c r="C1" s="10" t="s">
        <v>895</v>
      </c>
      <c r="D1" s="11" t="s">
        <v>911</v>
      </c>
      <c r="E1" s="19" t="s">
        <v>930</v>
      </c>
      <c r="F1" s="10" t="s">
        <v>931</v>
      </c>
      <c r="G1" s="10" t="s">
        <v>899</v>
      </c>
      <c r="H1" s="10" t="s">
        <v>932</v>
      </c>
      <c r="I1" s="10" t="s">
        <v>901</v>
      </c>
      <c r="J1" s="10" t="s">
        <v>910</v>
      </c>
      <c r="K1" s="10" t="s">
        <v>909</v>
      </c>
    </row>
    <row r="2" spans="1:11" x14ac:dyDescent="0.2">
      <c r="A2">
        <v>1</v>
      </c>
      <c r="B2">
        <v>13</v>
      </c>
      <c r="C2" t="s">
        <v>0</v>
      </c>
      <c r="D2" s="12" t="s">
        <v>912</v>
      </c>
      <c r="E2" s="20">
        <v>289</v>
      </c>
      <c r="F2" s="1">
        <v>-7.2808866625886104</v>
      </c>
      <c r="G2">
        <v>0.14925843176238199</v>
      </c>
      <c r="H2">
        <v>-2.6203721910380399E-2</v>
      </c>
      <c r="I2">
        <v>9.3842969362940801E-2</v>
      </c>
      <c r="J2">
        <v>5.1023100248236801E-2</v>
      </c>
      <c r="K2">
        <v>0.13429975475315201</v>
      </c>
    </row>
    <row r="3" spans="1:11" x14ac:dyDescent="0.2">
      <c r="A3">
        <v>2</v>
      </c>
      <c r="B3">
        <v>8</v>
      </c>
      <c r="C3" t="s">
        <v>1</v>
      </c>
      <c r="D3" s="12" t="s">
        <v>913</v>
      </c>
      <c r="E3" s="20">
        <v>271</v>
      </c>
      <c r="F3" s="1">
        <v>2.5085230224527102</v>
      </c>
      <c r="G3">
        <v>5.6187445012096798E-2</v>
      </c>
      <c r="H3">
        <v>0.100674150889041</v>
      </c>
      <c r="I3">
        <v>0.28857983822924399</v>
      </c>
      <c r="J3">
        <v>-2.7169233112661902E-2</v>
      </c>
      <c r="K3">
        <v>-0.113715211639495</v>
      </c>
    </row>
    <row r="4" spans="1:11" x14ac:dyDescent="0.2">
      <c r="A4">
        <v>3</v>
      </c>
      <c r="B4">
        <v>8</v>
      </c>
      <c r="C4" t="s">
        <v>2</v>
      </c>
      <c r="D4" s="12" t="s">
        <v>913</v>
      </c>
      <c r="E4" s="20">
        <v>271</v>
      </c>
      <c r="F4" s="1">
        <v>1.5252055550029799</v>
      </c>
      <c r="G4">
        <v>9.1195589540853297E-3</v>
      </c>
      <c r="H4">
        <v>5.3382507285939802E-2</v>
      </c>
      <c r="I4">
        <v>0.18205178682339199</v>
      </c>
      <c r="J4">
        <v>-2.0385157341624199E-2</v>
      </c>
      <c r="K4">
        <v>-9.6837461425010998E-2</v>
      </c>
    </row>
    <row r="5" spans="1:11" x14ac:dyDescent="0.2">
      <c r="A5">
        <v>4</v>
      </c>
      <c r="B5">
        <v>15</v>
      </c>
      <c r="C5" t="s">
        <v>3</v>
      </c>
      <c r="D5" s="12" t="s">
        <v>912</v>
      </c>
      <c r="E5" s="20">
        <v>299</v>
      </c>
      <c r="F5" s="1">
        <v>-11.817503256592801</v>
      </c>
      <c r="G5">
        <v>0.15013618581049401</v>
      </c>
      <c r="H5">
        <v>0.210797661331318</v>
      </c>
      <c r="I5">
        <v>0.84241037790229401</v>
      </c>
      <c r="J5">
        <v>7.0419251074279293E-2</v>
      </c>
      <c r="K5">
        <v>0.19454756099252099</v>
      </c>
    </row>
    <row r="6" spans="1:11" x14ac:dyDescent="0.2">
      <c r="A6">
        <v>5</v>
      </c>
      <c r="B6">
        <v>13</v>
      </c>
      <c r="C6" t="s">
        <v>4</v>
      </c>
      <c r="D6" s="12" t="s">
        <v>912</v>
      </c>
      <c r="E6" s="20">
        <v>289</v>
      </c>
      <c r="F6" s="1">
        <v>-5.4339637937580001</v>
      </c>
      <c r="G6">
        <v>9.8336346306545294E-2</v>
      </c>
      <c r="H6">
        <v>-8.5406945769321202E-2</v>
      </c>
      <c r="I6">
        <v>-7.2278211710641804E-2</v>
      </c>
      <c r="J6">
        <v>2.9746638423792899E-2</v>
      </c>
      <c r="K6">
        <v>7.4794721222230895E-2</v>
      </c>
    </row>
    <row r="7" spans="1:11" x14ac:dyDescent="0.2">
      <c r="A7">
        <v>6</v>
      </c>
      <c r="B7">
        <v>3</v>
      </c>
      <c r="C7" t="s">
        <v>5</v>
      </c>
      <c r="D7" s="12" t="s">
        <v>913</v>
      </c>
      <c r="E7" s="20">
        <v>284</v>
      </c>
      <c r="F7" s="1">
        <v>-6.8681574845300801</v>
      </c>
      <c r="G7">
        <v>0.140457116831746</v>
      </c>
      <c r="H7">
        <v>0.293855518834439</v>
      </c>
      <c r="I7">
        <v>0.86476488213761904</v>
      </c>
      <c r="J7">
        <v>-4.7776164267182002E-2</v>
      </c>
      <c r="K7">
        <v>-0.17382318516856901</v>
      </c>
    </row>
    <row r="8" spans="1:11" x14ac:dyDescent="0.2">
      <c r="A8">
        <v>7</v>
      </c>
      <c r="B8">
        <v>16</v>
      </c>
      <c r="C8" t="s">
        <v>6</v>
      </c>
      <c r="D8" s="12" t="s">
        <v>912</v>
      </c>
      <c r="E8" s="20">
        <v>291</v>
      </c>
      <c r="F8" s="1">
        <v>-10.461524947411901</v>
      </c>
      <c r="G8">
        <v>7.3139957778453807E-2</v>
      </c>
      <c r="H8">
        <v>0.106160435433405</v>
      </c>
      <c r="I8">
        <v>0.35991336454671802</v>
      </c>
      <c r="J8">
        <v>9.7828290168958207E-2</v>
      </c>
      <c r="K8">
        <v>0.27520215156564998</v>
      </c>
    </row>
    <row r="9" spans="1:11" x14ac:dyDescent="0.2">
      <c r="A9">
        <v>8</v>
      </c>
      <c r="B9">
        <v>6</v>
      </c>
      <c r="C9" t="s">
        <v>7</v>
      </c>
      <c r="D9" s="12" t="s">
        <v>913</v>
      </c>
      <c r="E9" s="20">
        <v>278</v>
      </c>
      <c r="F9" s="1">
        <v>-0.452748383920271</v>
      </c>
      <c r="G9">
        <v>3.2148820294527002E-2</v>
      </c>
      <c r="H9">
        <v>0.14335404058600701</v>
      </c>
      <c r="I9">
        <v>0.46188701125236897</v>
      </c>
      <c r="J9">
        <v>-6.8834683282666398E-2</v>
      </c>
      <c r="K9">
        <v>-0.210814404441103</v>
      </c>
    </row>
    <row r="10" spans="1:11" x14ac:dyDescent="0.2">
      <c r="A10">
        <v>9</v>
      </c>
      <c r="B10">
        <v>12</v>
      </c>
      <c r="C10" t="s">
        <v>8</v>
      </c>
      <c r="D10" s="12" t="s">
        <v>912</v>
      </c>
      <c r="E10" s="20">
        <v>296</v>
      </c>
      <c r="F10" s="1">
        <v>-1.3225028984109499</v>
      </c>
      <c r="G10">
        <v>-1.55905116765854E-2</v>
      </c>
      <c r="H10">
        <v>-5.5626033888705802E-2</v>
      </c>
      <c r="I10">
        <v>3.3071809716614498E-2</v>
      </c>
      <c r="J10">
        <v>3.64820413098913E-2</v>
      </c>
      <c r="K10">
        <v>0.10129493593942</v>
      </c>
    </row>
    <row r="11" spans="1:11" x14ac:dyDescent="0.2">
      <c r="A11">
        <v>10</v>
      </c>
      <c r="B11">
        <v>12</v>
      </c>
      <c r="C11" t="s">
        <v>9</v>
      </c>
      <c r="D11" s="12" t="s">
        <v>912</v>
      </c>
      <c r="E11" s="20">
        <v>296</v>
      </c>
      <c r="F11" s="1">
        <v>5.8106509351567297E-2</v>
      </c>
      <c r="G11">
        <v>-3.5003166696952401E-2</v>
      </c>
      <c r="H11">
        <v>-4.27134218586624E-2</v>
      </c>
      <c r="I11">
        <v>-0.18015860208693599</v>
      </c>
      <c r="J11">
        <v>3.01548590893909E-2</v>
      </c>
      <c r="K11">
        <v>7.9567130384389007E-2</v>
      </c>
    </row>
    <row r="12" spans="1:11" x14ac:dyDescent="0.2">
      <c r="A12">
        <v>11</v>
      </c>
      <c r="B12">
        <v>1</v>
      </c>
      <c r="C12" t="s">
        <v>10</v>
      </c>
      <c r="D12" s="12" t="s">
        <v>913</v>
      </c>
      <c r="E12" s="20">
        <v>269</v>
      </c>
      <c r="F12" s="1">
        <v>-5.5303321966281</v>
      </c>
      <c r="G12">
        <v>6.5334392860173895E-2</v>
      </c>
      <c r="H12">
        <v>-4.1818522934421898E-2</v>
      </c>
      <c r="I12">
        <v>-3.2720490523878903E-2</v>
      </c>
      <c r="J12">
        <v>1.5494686543878901E-2</v>
      </c>
      <c r="K12">
        <v>4.2815083810011603E-2</v>
      </c>
    </row>
    <row r="13" spans="1:11" x14ac:dyDescent="0.2">
      <c r="A13">
        <v>12</v>
      </c>
      <c r="B13">
        <v>5</v>
      </c>
      <c r="C13" t="s">
        <v>11</v>
      </c>
      <c r="D13" s="12" t="s">
        <v>913</v>
      </c>
      <c r="E13" s="20">
        <v>275</v>
      </c>
      <c r="F13" s="1">
        <v>-7.2515961778776896</v>
      </c>
      <c r="G13">
        <v>0.125182982582842</v>
      </c>
      <c r="H13">
        <v>0.35526212494814702</v>
      </c>
      <c r="I13">
        <v>1.1110549512308101</v>
      </c>
      <c r="J13">
        <v>-4.3565026993358902E-2</v>
      </c>
      <c r="K13">
        <v>-8.68189588577188E-2</v>
      </c>
    </row>
    <row r="14" spans="1:11" x14ac:dyDescent="0.2">
      <c r="A14">
        <v>13</v>
      </c>
      <c r="B14">
        <v>5</v>
      </c>
      <c r="C14" t="s">
        <v>12</v>
      </c>
      <c r="D14" s="12" t="s">
        <v>913</v>
      </c>
      <c r="E14" s="20">
        <v>275</v>
      </c>
      <c r="F14" s="1">
        <v>-7.127405695567</v>
      </c>
      <c r="G14">
        <v>8.2922216487377104E-2</v>
      </c>
      <c r="H14">
        <v>0.30185654195961897</v>
      </c>
      <c r="I14">
        <v>0.884325613652993</v>
      </c>
      <c r="J14">
        <v>-3.5821815782551801E-2</v>
      </c>
      <c r="K14">
        <v>-6.5689727601751693E-2</v>
      </c>
    </row>
    <row r="15" spans="1:11" x14ac:dyDescent="0.2">
      <c r="A15">
        <v>14</v>
      </c>
      <c r="B15">
        <v>8</v>
      </c>
      <c r="C15" t="s">
        <v>13</v>
      </c>
      <c r="D15" s="12" t="s">
        <v>913</v>
      </c>
      <c r="E15" s="20">
        <v>271</v>
      </c>
      <c r="F15" s="1">
        <v>3.06513670417388</v>
      </c>
      <c r="G15">
        <v>1.7987813925486301E-2</v>
      </c>
      <c r="H15">
        <v>4.3254236505993401E-2</v>
      </c>
      <c r="I15">
        <v>0.15022476259419101</v>
      </c>
      <c r="J15">
        <v>-1.17759351073563E-2</v>
      </c>
      <c r="K15">
        <v>-6.40006964955325E-2</v>
      </c>
    </row>
    <row r="16" spans="1:11" x14ac:dyDescent="0.2">
      <c r="A16">
        <v>15</v>
      </c>
      <c r="B16">
        <v>9</v>
      </c>
      <c r="C16" t="s">
        <v>14</v>
      </c>
      <c r="D16" s="12" t="s">
        <v>912</v>
      </c>
      <c r="E16" s="20">
        <v>296</v>
      </c>
      <c r="F16" s="1">
        <v>-4.1722462339659598</v>
      </c>
      <c r="G16">
        <v>5.1177275232775703E-2</v>
      </c>
      <c r="H16">
        <v>-0.13280313929002999</v>
      </c>
      <c r="I16">
        <v>-0.27383720911707099</v>
      </c>
      <c r="J16">
        <v>4.3971533774346198E-2</v>
      </c>
      <c r="K16">
        <v>0.12545265601955399</v>
      </c>
    </row>
    <row r="17" spans="1:11" x14ac:dyDescent="0.2">
      <c r="A17">
        <v>16</v>
      </c>
      <c r="B17">
        <v>3</v>
      </c>
      <c r="C17" t="s">
        <v>15</v>
      </c>
      <c r="D17" s="12" t="s">
        <v>913</v>
      </c>
      <c r="E17" s="20">
        <v>284</v>
      </c>
      <c r="F17" s="1">
        <v>-2.3904293538682899</v>
      </c>
      <c r="G17">
        <v>1.30518509313914E-2</v>
      </c>
      <c r="H17">
        <v>0.103825304164204</v>
      </c>
      <c r="I17">
        <v>0.15568468908898001</v>
      </c>
      <c r="J17">
        <v>-3.8539345558852002E-2</v>
      </c>
      <c r="K17">
        <v>-0.14339904136051701</v>
      </c>
    </row>
    <row r="18" spans="1:11" x14ac:dyDescent="0.2">
      <c r="A18">
        <v>17</v>
      </c>
      <c r="B18">
        <v>6</v>
      </c>
      <c r="C18" t="s">
        <v>16</v>
      </c>
      <c r="D18" s="12" t="s">
        <v>913</v>
      </c>
      <c r="E18" s="20">
        <v>278</v>
      </c>
      <c r="F18" s="1">
        <v>1.2354146154802901</v>
      </c>
      <c r="G18">
        <v>4.8889852137304598E-3</v>
      </c>
      <c r="H18">
        <v>1.39849203398636E-2</v>
      </c>
      <c r="I18">
        <v>8.3301086349904893E-2</v>
      </c>
      <c r="J18">
        <v>9.8187891940102398E-3</v>
      </c>
      <c r="K18">
        <v>-5.1821207054667503E-3</v>
      </c>
    </row>
    <row r="19" spans="1:11" x14ac:dyDescent="0.2">
      <c r="A19">
        <v>18</v>
      </c>
      <c r="B19">
        <v>9</v>
      </c>
      <c r="C19" t="s">
        <v>17</v>
      </c>
      <c r="D19" s="12" t="s">
        <v>912</v>
      </c>
      <c r="E19" s="20">
        <v>296</v>
      </c>
      <c r="F19" s="1">
        <v>-1.16657181381845</v>
      </c>
      <c r="G19">
        <v>-1.5420980835919199E-2</v>
      </c>
      <c r="H19">
        <v>-0.13470200243931699</v>
      </c>
      <c r="I19">
        <v>-0.27458124578302601</v>
      </c>
      <c r="J19">
        <v>2.8310119267671199E-2</v>
      </c>
      <c r="K19">
        <v>4.7632072309669198E-2</v>
      </c>
    </row>
    <row r="20" spans="1:11" x14ac:dyDescent="0.2">
      <c r="A20">
        <v>19</v>
      </c>
      <c r="B20">
        <v>19</v>
      </c>
      <c r="C20" t="s">
        <v>18</v>
      </c>
      <c r="D20" s="12" t="s">
        <v>912</v>
      </c>
      <c r="E20" s="20">
        <v>276</v>
      </c>
      <c r="F20" s="1">
        <v>-11.8138724022985</v>
      </c>
      <c r="G20">
        <v>0.21581552635589901</v>
      </c>
      <c r="H20">
        <v>0.26876423404988498</v>
      </c>
      <c r="I20">
        <v>0.89705166454165497</v>
      </c>
      <c r="J20">
        <v>6.6966601197359907E-2</v>
      </c>
      <c r="K20">
        <v>0.19781510540903999</v>
      </c>
    </row>
    <row r="21" spans="1:11" x14ac:dyDescent="0.2">
      <c r="A21">
        <v>20</v>
      </c>
      <c r="B21">
        <v>15</v>
      </c>
      <c r="C21" t="s">
        <v>19</v>
      </c>
      <c r="D21" s="12" t="s">
        <v>912</v>
      </c>
      <c r="E21" s="20">
        <v>299</v>
      </c>
      <c r="F21" s="1">
        <v>-9.2118049977541805</v>
      </c>
      <c r="G21">
        <v>0.112556255484429</v>
      </c>
      <c r="H21">
        <v>0.133194953285623</v>
      </c>
      <c r="I21">
        <v>0.59167368073545601</v>
      </c>
      <c r="J21">
        <v>7.0609661260711998E-2</v>
      </c>
      <c r="K21">
        <v>0.188589616070756</v>
      </c>
    </row>
    <row r="22" spans="1:11" x14ac:dyDescent="0.2">
      <c r="A22">
        <v>21</v>
      </c>
      <c r="B22">
        <v>9</v>
      </c>
      <c r="C22" t="s">
        <v>20</v>
      </c>
      <c r="D22" s="12" t="s">
        <v>912</v>
      </c>
      <c r="E22" s="20">
        <v>296</v>
      </c>
      <c r="F22" s="1">
        <v>1.1629788597152699</v>
      </c>
      <c r="G22">
        <v>-2.14315600257701E-2</v>
      </c>
      <c r="H22">
        <v>-0.13187326401466301</v>
      </c>
      <c r="I22">
        <v>-0.209229874393903</v>
      </c>
      <c r="J22">
        <v>2.7203144495485401E-2</v>
      </c>
      <c r="K22">
        <v>5.6257135305521198E-2</v>
      </c>
    </row>
    <row r="23" spans="1:11" x14ac:dyDescent="0.2">
      <c r="A23">
        <v>22</v>
      </c>
      <c r="B23">
        <v>4</v>
      </c>
      <c r="C23" t="s">
        <v>21</v>
      </c>
      <c r="D23" s="12" t="s">
        <v>913</v>
      </c>
      <c r="E23" s="20">
        <v>271</v>
      </c>
      <c r="F23" s="1">
        <v>-1.0612976836907899</v>
      </c>
      <c r="G23">
        <v>1.89719520098325E-2</v>
      </c>
      <c r="H23">
        <v>8.1046712101583596E-2</v>
      </c>
      <c r="I23">
        <v>0.15238420912225101</v>
      </c>
      <c r="J23">
        <v>-7.9933609453290509E-3</v>
      </c>
      <c r="K23">
        <v>-2.5268777270291001E-2</v>
      </c>
    </row>
    <row r="24" spans="1:11" x14ac:dyDescent="0.2">
      <c r="A24">
        <v>23</v>
      </c>
      <c r="B24">
        <v>19</v>
      </c>
      <c r="C24" t="s">
        <v>22</v>
      </c>
      <c r="D24" s="12" t="s">
        <v>912</v>
      </c>
      <c r="E24" s="20">
        <v>276</v>
      </c>
      <c r="F24" s="1">
        <v>-12.825642314401501</v>
      </c>
      <c r="G24">
        <v>0.28598521264546001</v>
      </c>
      <c r="H24">
        <v>0.30360943219651199</v>
      </c>
      <c r="I24">
        <v>1.06857394406527</v>
      </c>
      <c r="J24">
        <v>6.8405314347487298E-2</v>
      </c>
      <c r="K24">
        <v>0.182991298978262</v>
      </c>
    </row>
    <row r="25" spans="1:11" x14ac:dyDescent="0.2">
      <c r="A25">
        <v>24</v>
      </c>
      <c r="B25">
        <v>1</v>
      </c>
      <c r="C25" t="s">
        <v>23</v>
      </c>
      <c r="D25" s="12" t="s">
        <v>913</v>
      </c>
      <c r="E25" s="20">
        <v>269</v>
      </c>
      <c r="F25" s="1">
        <v>-8.9127847945386094</v>
      </c>
      <c r="G25">
        <v>0.148804784355617</v>
      </c>
      <c r="H25">
        <v>1.1933387622610399E-2</v>
      </c>
      <c r="I25">
        <v>0.117513112794292</v>
      </c>
      <c r="J25">
        <v>7.9859429794494497E-3</v>
      </c>
      <c r="K25">
        <v>1.6407211202642501E-2</v>
      </c>
    </row>
    <row r="26" spans="1:11" x14ac:dyDescent="0.2">
      <c r="A26">
        <v>25</v>
      </c>
      <c r="B26">
        <v>10</v>
      </c>
      <c r="C26" t="s">
        <v>24</v>
      </c>
      <c r="D26" s="12" t="s">
        <v>912</v>
      </c>
      <c r="E26" s="20">
        <v>292</v>
      </c>
      <c r="F26" s="1">
        <v>-1.28635635643275</v>
      </c>
      <c r="G26">
        <v>2.9490521356147499E-2</v>
      </c>
      <c r="H26">
        <v>-2.3792559145894902E-2</v>
      </c>
      <c r="I26">
        <v>-9.1198107033383501E-3</v>
      </c>
      <c r="J26">
        <v>8.4904151064425296E-2</v>
      </c>
      <c r="K26">
        <v>0.24197030615611101</v>
      </c>
    </row>
    <row r="27" spans="1:11" x14ac:dyDescent="0.2">
      <c r="A27">
        <v>26</v>
      </c>
      <c r="B27">
        <v>6</v>
      </c>
      <c r="C27" t="s">
        <v>25</v>
      </c>
      <c r="D27" s="12" t="s">
        <v>913</v>
      </c>
      <c r="E27" s="20">
        <v>278</v>
      </c>
      <c r="F27" s="1">
        <v>-7.9714464236918099</v>
      </c>
      <c r="G27">
        <v>0.107912809965781</v>
      </c>
      <c r="H27">
        <v>0.21405492818378699</v>
      </c>
      <c r="I27">
        <v>0.55397883282753402</v>
      </c>
      <c r="J27">
        <v>-5.2676073689101599E-3</v>
      </c>
      <c r="K27">
        <v>-4.6234718491402801E-2</v>
      </c>
    </row>
    <row r="28" spans="1:11" x14ac:dyDescent="0.2">
      <c r="A28">
        <v>27</v>
      </c>
      <c r="B28">
        <v>12</v>
      </c>
      <c r="C28" t="s">
        <v>26</v>
      </c>
      <c r="D28" s="12" t="s">
        <v>912</v>
      </c>
      <c r="E28" s="20">
        <v>296</v>
      </c>
      <c r="F28" s="1">
        <v>3.5843891451609902</v>
      </c>
      <c r="G28">
        <v>-6.9573489525839402E-2</v>
      </c>
      <c r="H28">
        <v>-7.7312573227343306E-2</v>
      </c>
      <c r="I28">
        <v>-0.42358771244202098</v>
      </c>
      <c r="J28">
        <v>2.1881046647300999E-2</v>
      </c>
      <c r="K28">
        <v>5.3629113610618603E-2</v>
      </c>
    </row>
    <row r="29" spans="1:11" x14ac:dyDescent="0.2">
      <c r="A29">
        <v>28</v>
      </c>
      <c r="B29">
        <v>30</v>
      </c>
      <c r="C29" t="s">
        <v>27</v>
      </c>
      <c r="D29" s="13" t="s">
        <v>913</v>
      </c>
      <c r="E29" s="21">
        <v>202</v>
      </c>
      <c r="F29" s="1">
        <v>-0.76749293266382301</v>
      </c>
      <c r="G29">
        <v>-5.1380235513078503E-3</v>
      </c>
      <c r="H29">
        <v>2.8351547164055899E-2</v>
      </c>
      <c r="I29">
        <v>5.7640300370302398E-2</v>
      </c>
      <c r="J29">
        <v>1.38586350576169E-2</v>
      </c>
      <c r="K29">
        <v>2.8195508799705001E-2</v>
      </c>
    </row>
    <row r="30" spans="1:11" x14ac:dyDescent="0.2">
      <c r="A30">
        <v>29</v>
      </c>
      <c r="B30">
        <v>4</v>
      </c>
      <c r="C30" t="s">
        <v>28</v>
      </c>
      <c r="D30" s="12" t="s">
        <v>913</v>
      </c>
      <c r="E30" s="20">
        <v>271</v>
      </c>
      <c r="F30" s="1">
        <v>-6.6615678093573703</v>
      </c>
      <c r="G30">
        <v>7.8436795292940106E-2</v>
      </c>
      <c r="H30">
        <v>0.137995368262395</v>
      </c>
      <c r="I30">
        <v>0.39622467317051702</v>
      </c>
      <c r="J30">
        <v>-1.19613968733043E-2</v>
      </c>
      <c r="K30">
        <v>-3.4516465158688003E-2</v>
      </c>
    </row>
    <row r="31" spans="1:11" x14ac:dyDescent="0.2">
      <c r="A31">
        <v>30</v>
      </c>
      <c r="B31">
        <v>24</v>
      </c>
      <c r="C31" t="s">
        <v>29</v>
      </c>
      <c r="D31" s="13" t="s">
        <v>913</v>
      </c>
      <c r="E31" s="21">
        <v>239</v>
      </c>
      <c r="F31" s="1">
        <v>-2.9114954666219202</v>
      </c>
      <c r="G31">
        <v>4.6085418799046603E-2</v>
      </c>
      <c r="H31">
        <v>0.227513926449495</v>
      </c>
      <c r="I31">
        <v>0.57243877567873602</v>
      </c>
      <c r="J31">
        <v>-1.5887837253953499E-2</v>
      </c>
      <c r="K31">
        <v>-4.3978215362031399E-2</v>
      </c>
    </row>
    <row r="32" spans="1:11" x14ac:dyDescent="0.2">
      <c r="A32">
        <v>31</v>
      </c>
      <c r="B32">
        <v>17</v>
      </c>
      <c r="C32" t="s">
        <v>30</v>
      </c>
      <c r="D32" s="12" t="s">
        <v>912</v>
      </c>
      <c r="E32" s="20">
        <v>276</v>
      </c>
      <c r="F32" s="1">
        <v>-8.3554538257917503</v>
      </c>
      <c r="G32">
        <v>0.104742602776747</v>
      </c>
      <c r="H32">
        <v>5.6449796935193197E-2</v>
      </c>
      <c r="I32">
        <v>0.21116679485828899</v>
      </c>
      <c r="J32">
        <v>5.8872491109380698E-2</v>
      </c>
      <c r="K32">
        <v>0.164882613057343</v>
      </c>
    </row>
    <row r="33" spans="1:11" x14ac:dyDescent="0.2">
      <c r="A33">
        <v>32</v>
      </c>
      <c r="B33">
        <v>21</v>
      </c>
      <c r="C33" t="s">
        <v>31</v>
      </c>
      <c r="D33" s="13" t="s">
        <v>913</v>
      </c>
      <c r="E33" s="21">
        <v>218</v>
      </c>
      <c r="F33" s="1">
        <v>-0.91644761732591795</v>
      </c>
      <c r="G33">
        <v>1.98457230027567E-2</v>
      </c>
      <c r="H33">
        <v>1.77147636649071E-2</v>
      </c>
      <c r="I33">
        <v>0.15048694911570301</v>
      </c>
      <c r="J33">
        <v>-6.35845698985612E-3</v>
      </c>
      <c r="K33">
        <v>-5.4844766881867402E-2</v>
      </c>
    </row>
    <row r="34" spans="1:11" x14ac:dyDescent="0.2">
      <c r="A34">
        <v>33</v>
      </c>
      <c r="B34">
        <v>15</v>
      </c>
      <c r="C34" t="s">
        <v>32</v>
      </c>
      <c r="D34" s="12" t="s">
        <v>912</v>
      </c>
      <c r="E34" s="20">
        <v>299</v>
      </c>
      <c r="F34" s="1">
        <v>-13.099553023043001</v>
      </c>
      <c r="G34">
        <v>0.140841183575977</v>
      </c>
      <c r="H34">
        <v>0.22049982264173801</v>
      </c>
      <c r="I34">
        <v>0.878622101541778</v>
      </c>
      <c r="J34">
        <v>7.9065907049000697E-2</v>
      </c>
      <c r="K34">
        <v>0.20641191464212399</v>
      </c>
    </row>
    <row r="35" spans="1:11" x14ac:dyDescent="0.2">
      <c r="A35">
        <v>34</v>
      </c>
      <c r="B35">
        <v>50</v>
      </c>
      <c r="C35" t="s">
        <v>33</v>
      </c>
      <c r="D35" s="13" t="s">
        <v>912</v>
      </c>
      <c r="E35" s="21">
        <v>172</v>
      </c>
      <c r="F35" s="1">
        <v>-1.1074686985400499</v>
      </c>
      <c r="G35">
        <v>1.2286557334405901E-2</v>
      </c>
      <c r="H35">
        <v>0.22451126169171601</v>
      </c>
      <c r="I35">
        <v>0.18738628230847401</v>
      </c>
      <c r="J35">
        <v>-1.8664421288255999E-2</v>
      </c>
      <c r="K35">
        <v>-1.9722662400080498E-2</v>
      </c>
    </row>
    <row r="36" spans="1:11" x14ac:dyDescent="0.2">
      <c r="A36">
        <v>35</v>
      </c>
      <c r="B36">
        <v>14</v>
      </c>
      <c r="C36" t="s">
        <v>34</v>
      </c>
      <c r="D36" s="12" t="s">
        <v>912</v>
      </c>
      <c r="E36" s="20">
        <v>292</v>
      </c>
      <c r="F36" s="1">
        <v>-3.8423057074316298</v>
      </c>
      <c r="G36">
        <v>6.40274030558039E-2</v>
      </c>
      <c r="H36">
        <v>0.220415176961472</v>
      </c>
      <c r="I36">
        <v>0.34337937700503501</v>
      </c>
      <c r="J36">
        <v>2.4704156769406599E-2</v>
      </c>
      <c r="K36">
        <v>9.1729741707272494E-2</v>
      </c>
    </row>
    <row r="37" spans="1:11" x14ac:dyDescent="0.2">
      <c r="A37">
        <v>36</v>
      </c>
      <c r="B37">
        <v>44</v>
      </c>
      <c r="C37" t="s">
        <v>35</v>
      </c>
      <c r="D37" s="13" t="s">
        <v>912</v>
      </c>
      <c r="E37" s="21">
        <v>173</v>
      </c>
      <c r="F37" s="1">
        <v>5.5601854995383997</v>
      </c>
      <c r="G37">
        <v>-8.0690835674417205E-2</v>
      </c>
      <c r="H37">
        <v>-0.21373875161138101</v>
      </c>
      <c r="I37">
        <v>-0.523547611214631</v>
      </c>
      <c r="J37">
        <v>-3.2360475038533301E-2</v>
      </c>
      <c r="K37">
        <v>-6.8086159868036705E-2</v>
      </c>
    </row>
    <row r="38" spans="1:11" x14ac:dyDescent="0.2">
      <c r="A38">
        <v>37</v>
      </c>
      <c r="B38">
        <v>11</v>
      </c>
      <c r="C38" t="s">
        <v>36</v>
      </c>
      <c r="D38" s="12" t="s">
        <v>912</v>
      </c>
      <c r="E38" s="20">
        <v>303</v>
      </c>
      <c r="F38" s="1">
        <v>-6.6820191520542203</v>
      </c>
      <c r="G38">
        <v>4.6094523453996797E-2</v>
      </c>
      <c r="H38">
        <v>6.45857621946542E-2</v>
      </c>
      <c r="I38">
        <v>0.31385711009223499</v>
      </c>
      <c r="J38">
        <v>4.3320712351052497E-2</v>
      </c>
      <c r="K38">
        <v>0.108000563200417</v>
      </c>
    </row>
    <row r="39" spans="1:11" x14ac:dyDescent="0.2">
      <c r="A39">
        <v>38</v>
      </c>
      <c r="B39">
        <v>43</v>
      </c>
      <c r="C39" t="s">
        <v>37</v>
      </c>
      <c r="D39" s="13" t="s">
        <v>912</v>
      </c>
      <c r="E39" s="21">
        <v>175</v>
      </c>
      <c r="F39" s="1">
        <v>-2.39820695675111</v>
      </c>
      <c r="G39">
        <v>2.08291898648818E-2</v>
      </c>
      <c r="H39">
        <v>-2.1270094953973798E-3</v>
      </c>
      <c r="I39">
        <v>0.113970305066058</v>
      </c>
      <c r="J39">
        <v>-2.2734328091058298E-3</v>
      </c>
      <c r="K39">
        <v>-1.62846944775745E-2</v>
      </c>
    </row>
    <row r="40" spans="1:11" x14ac:dyDescent="0.2">
      <c r="A40">
        <v>39</v>
      </c>
      <c r="B40">
        <v>17</v>
      </c>
      <c r="C40" t="s">
        <v>38</v>
      </c>
      <c r="D40" s="12" t="s">
        <v>912</v>
      </c>
      <c r="E40" s="20">
        <v>276</v>
      </c>
      <c r="F40" s="1">
        <v>-3.7071537666737902</v>
      </c>
      <c r="G40">
        <v>3.3167226554600901E-2</v>
      </c>
      <c r="H40">
        <v>2.2823749548352999E-2</v>
      </c>
      <c r="I40">
        <v>6.2188224896062898E-2</v>
      </c>
      <c r="J40">
        <v>5.68688159475658E-2</v>
      </c>
      <c r="K40">
        <v>0.15800686666873301</v>
      </c>
    </row>
    <row r="41" spans="1:11" x14ac:dyDescent="0.2">
      <c r="A41">
        <v>40</v>
      </c>
      <c r="B41">
        <v>37</v>
      </c>
      <c r="C41" t="s">
        <v>39</v>
      </c>
      <c r="D41" s="13" t="s">
        <v>913</v>
      </c>
      <c r="E41" s="21">
        <v>200</v>
      </c>
      <c r="F41" s="1">
        <v>-2.3885133976938402</v>
      </c>
      <c r="G41">
        <v>6.5655692630245399E-2</v>
      </c>
      <c r="H41">
        <v>-6.4653609082801905E-2</v>
      </c>
      <c r="I41">
        <v>1.8095106513926599E-2</v>
      </c>
      <c r="J41">
        <v>7.2305730791759698E-2</v>
      </c>
      <c r="K41">
        <v>0.20922342718151399</v>
      </c>
    </row>
    <row r="42" spans="1:11" x14ac:dyDescent="0.2">
      <c r="A42">
        <v>41</v>
      </c>
      <c r="B42">
        <v>6</v>
      </c>
      <c r="C42" t="s">
        <v>40</v>
      </c>
      <c r="D42" s="12" t="s">
        <v>913</v>
      </c>
      <c r="E42" s="20">
        <v>278</v>
      </c>
      <c r="F42" s="1">
        <v>-3.1900364896286901</v>
      </c>
      <c r="G42">
        <v>3.9868448553695097E-2</v>
      </c>
      <c r="H42">
        <v>6.2891825245961194E-2</v>
      </c>
      <c r="I42">
        <v>0.19269663617430199</v>
      </c>
      <c r="J42">
        <v>-1.1253876651487299E-2</v>
      </c>
      <c r="K42">
        <v>-4.4252004533510497E-2</v>
      </c>
    </row>
    <row r="43" spans="1:11" x14ac:dyDescent="0.2">
      <c r="A43">
        <v>42</v>
      </c>
      <c r="B43">
        <v>23</v>
      </c>
      <c r="C43" t="s">
        <v>41</v>
      </c>
      <c r="D43" s="13" t="s">
        <v>913</v>
      </c>
      <c r="E43" s="21">
        <v>189</v>
      </c>
      <c r="F43" s="1">
        <v>0.49256847786123098</v>
      </c>
      <c r="G43">
        <v>-3.1764872176238003E-2</v>
      </c>
      <c r="H43">
        <v>1.62515457805649E-3</v>
      </c>
      <c r="I43">
        <v>-3.9937707469584E-2</v>
      </c>
      <c r="J43">
        <v>2.4284701532031799E-2</v>
      </c>
      <c r="K43">
        <v>6.6558457808609903E-2</v>
      </c>
    </row>
    <row r="44" spans="1:11" x14ac:dyDescent="0.2">
      <c r="A44">
        <v>43</v>
      </c>
      <c r="B44">
        <v>15</v>
      </c>
      <c r="C44" t="s">
        <v>42</v>
      </c>
      <c r="D44" s="12" t="s">
        <v>912</v>
      </c>
      <c r="E44" s="20">
        <v>299</v>
      </c>
      <c r="F44" s="1">
        <v>-3.4800547362574701</v>
      </c>
      <c r="G44">
        <v>1.04731252720773E-2</v>
      </c>
      <c r="H44">
        <v>4.6628750118649497E-2</v>
      </c>
      <c r="I44">
        <v>0.21777608594919401</v>
      </c>
      <c r="J44">
        <v>6.8738479308614694E-2</v>
      </c>
      <c r="K44">
        <v>0.176892692808022</v>
      </c>
    </row>
    <row r="45" spans="1:11" x14ac:dyDescent="0.2">
      <c r="A45">
        <v>44</v>
      </c>
      <c r="B45">
        <v>32</v>
      </c>
      <c r="C45" t="s">
        <v>43</v>
      </c>
      <c r="D45" s="13" t="s">
        <v>913</v>
      </c>
      <c r="E45" s="21">
        <v>199</v>
      </c>
      <c r="F45" s="1">
        <v>-0.53339333183000004</v>
      </c>
      <c r="G45">
        <v>3.5730554820932403E-2</v>
      </c>
      <c r="H45">
        <v>2.48832039093718E-2</v>
      </c>
      <c r="I45">
        <v>0.16487129738755199</v>
      </c>
      <c r="J45">
        <v>9.96553593133934E-3</v>
      </c>
      <c r="K45">
        <v>1.03498806306368E-2</v>
      </c>
    </row>
    <row r="46" spans="1:11" x14ac:dyDescent="0.2">
      <c r="A46">
        <v>45</v>
      </c>
      <c r="B46">
        <v>20</v>
      </c>
      <c r="C46" t="s">
        <v>44</v>
      </c>
      <c r="D46" s="12" t="s">
        <v>912</v>
      </c>
      <c r="E46" s="20">
        <v>289</v>
      </c>
      <c r="F46" s="1">
        <v>4.0574794056141004</v>
      </c>
      <c r="G46">
        <v>-6.2525176338524904E-2</v>
      </c>
      <c r="H46">
        <v>-2.43254540995738E-3</v>
      </c>
      <c r="I46">
        <v>-0.36723354807356001</v>
      </c>
      <c r="J46">
        <v>3.7358342065391E-3</v>
      </c>
      <c r="K46">
        <v>2.25252183980118E-2</v>
      </c>
    </row>
    <row r="47" spans="1:11" x14ac:dyDescent="0.2">
      <c r="A47">
        <v>46</v>
      </c>
      <c r="B47">
        <v>48</v>
      </c>
      <c r="C47" t="s">
        <v>45</v>
      </c>
      <c r="D47" s="13" t="s">
        <v>912</v>
      </c>
      <c r="E47" s="21">
        <v>173</v>
      </c>
      <c r="F47" s="1">
        <v>3.33769675021178</v>
      </c>
      <c r="G47">
        <v>-9.3620509332998994E-2</v>
      </c>
      <c r="H47">
        <v>-0.14497343407965099</v>
      </c>
      <c r="I47">
        <v>-0.442478183700378</v>
      </c>
      <c r="J47">
        <v>-8.2915349559193399E-3</v>
      </c>
      <c r="K47">
        <v>-3.2628395063593101E-2</v>
      </c>
    </row>
    <row r="48" spans="1:11" x14ac:dyDescent="0.2">
      <c r="A48">
        <v>47</v>
      </c>
      <c r="B48">
        <v>6</v>
      </c>
      <c r="C48" t="s">
        <v>46</v>
      </c>
      <c r="D48" s="12" t="s">
        <v>913</v>
      </c>
      <c r="E48" s="20">
        <v>278</v>
      </c>
      <c r="F48" s="1">
        <v>-1.8130239631837901</v>
      </c>
      <c r="G48">
        <v>1.8610315355618901E-2</v>
      </c>
      <c r="H48">
        <v>2.47024866353905E-2</v>
      </c>
      <c r="I48">
        <v>6.7357277050858505E-2</v>
      </c>
      <c r="J48">
        <v>-2.2333366067408E-2</v>
      </c>
      <c r="K48">
        <v>-8.3206116193237603E-2</v>
      </c>
    </row>
    <row r="49" spans="1:11" x14ac:dyDescent="0.2">
      <c r="A49">
        <v>48</v>
      </c>
      <c r="B49">
        <v>16</v>
      </c>
      <c r="C49" t="s">
        <v>47</v>
      </c>
      <c r="D49" s="12" t="s">
        <v>912</v>
      </c>
      <c r="E49" s="20">
        <v>291</v>
      </c>
      <c r="F49" s="1">
        <v>-5.4741160269088702</v>
      </c>
      <c r="G49">
        <v>2.0225531480400401E-2</v>
      </c>
      <c r="H49">
        <v>2.3655609989217299E-2</v>
      </c>
      <c r="I49">
        <v>0.11972724453862101</v>
      </c>
      <c r="J49">
        <v>8.9357427064832795E-2</v>
      </c>
      <c r="K49">
        <v>0.24849871641935201</v>
      </c>
    </row>
    <row r="50" spans="1:11" x14ac:dyDescent="0.2">
      <c r="A50">
        <v>49</v>
      </c>
      <c r="B50">
        <v>17</v>
      </c>
      <c r="C50" t="s">
        <v>48</v>
      </c>
      <c r="D50" s="12" t="s">
        <v>912</v>
      </c>
      <c r="E50" s="20">
        <v>276</v>
      </c>
      <c r="F50" s="1">
        <v>-8.8014426148947305</v>
      </c>
      <c r="G50">
        <v>0.106170425361544</v>
      </c>
      <c r="H50">
        <v>0.100166531748175</v>
      </c>
      <c r="I50">
        <v>0.38122596816839899</v>
      </c>
      <c r="J50">
        <v>6.5161679619540197E-2</v>
      </c>
      <c r="K50">
        <v>0.17261735564665401</v>
      </c>
    </row>
    <row r="51" spans="1:11" x14ac:dyDescent="0.2">
      <c r="A51">
        <v>50</v>
      </c>
      <c r="B51">
        <v>6</v>
      </c>
      <c r="C51" t="s">
        <v>49</v>
      </c>
      <c r="D51" s="12" t="s">
        <v>913</v>
      </c>
      <c r="E51" s="20">
        <v>278</v>
      </c>
      <c r="F51" s="1">
        <v>-1.8521143261353501</v>
      </c>
      <c r="G51">
        <v>2.46152905534117E-2</v>
      </c>
      <c r="H51">
        <v>4.9952376174603901E-2</v>
      </c>
      <c r="I51">
        <v>0.133313610989299</v>
      </c>
      <c r="J51">
        <v>-9.6856381530988599E-3</v>
      </c>
      <c r="K51">
        <v>-1.9790119376243899E-2</v>
      </c>
    </row>
    <row r="52" spans="1:11" x14ac:dyDescent="0.2">
      <c r="A52">
        <v>51</v>
      </c>
      <c r="B52">
        <v>11</v>
      </c>
      <c r="C52" t="s">
        <v>50</v>
      </c>
      <c r="D52" s="12" t="s">
        <v>912</v>
      </c>
      <c r="E52" s="20">
        <v>303</v>
      </c>
      <c r="F52" s="1">
        <v>-0.71494569191741897</v>
      </c>
      <c r="G52">
        <v>1.38220700375036E-2</v>
      </c>
      <c r="H52">
        <v>2.2658403336451E-2</v>
      </c>
      <c r="I52">
        <v>0.29086999228663002</v>
      </c>
      <c r="J52">
        <v>3.9704542700138602E-2</v>
      </c>
      <c r="K52">
        <v>9.9260653450352801E-2</v>
      </c>
    </row>
    <row r="53" spans="1:11" x14ac:dyDescent="0.2">
      <c r="A53">
        <v>52</v>
      </c>
      <c r="B53">
        <v>14</v>
      </c>
      <c r="C53" t="s">
        <v>51</v>
      </c>
      <c r="D53" s="12" t="s">
        <v>912</v>
      </c>
      <c r="E53" s="20">
        <v>292</v>
      </c>
      <c r="F53" s="1">
        <v>-4.14177955814157</v>
      </c>
      <c r="G53">
        <v>8.0173340337371696E-2</v>
      </c>
      <c r="H53">
        <v>0.24724694794653099</v>
      </c>
      <c r="I53">
        <v>0.46521091729400899</v>
      </c>
      <c r="J53">
        <v>3.3238189378884703E-2</v>
      </c>
      <c r="K53">
        <v>0.11326832538176</v>
      </c>
    </row>
    <row r="54" spans="1:11" x14ac:dyDescent="0.2">
      <c r="A54">
        <v>53</v>
      </c>
      <c r="B54">
        <v>10</v>
      </c>
      <c r="C54" t="s">
        <v>52</v>
      </c>
      <c r="D54" s="12" t="s">
        <v>912</v>
      </c>
      <c r="E54" s="20">
        <v>292</v>
      </c>
      <c r="F54" s="1">
        <v>2.7617983815607299</v>
      </c>
      <c r="G54">
        <v>-4.3821419485071199E-2</v>
      </c>
      <c r="H54">
        <v>-0.16696549601907701</v>
      </c>
      <c r="I54">
        <v>-0.32781855061294901</v>
      </c>
      <c r="J54">
        <v>5.1825015156162502E-3</v>
      </c>
      <c r="K54">
        <v>2.0985637637429399E-2</v>
      </c>
    </row>
    <row r="55" spans="1:11" x14ac:dyDescent="0.2">
      <c r="A55">
        <v>54</v>
      </c>
      <c r="B55">
        <v>7</v>
      </c>
      <c r="C55" t="s">
        <v>53</v>
      </c>
      <c r="D55" s="12" t="s">
        <v>913</v>
      </c>
      <c r="E55" s="20">
        <v>278</v>
      </c>
      <c r="F55" s="1">
        <v>-4.0321804372616796</v>
      </c>
      <c r="G55">
        <v>7.1385131378709402E-2</v>
      </c>
      <c r="H55">
        <v>0.15044402915739599</v>
      </c>
      <c r="I55">
        <v>0.59227065519157496</v>
      </c>
      <c r="J55">
        <v>-2.0296266093869498E-3</v>
      </c>
      <c r="K55">
        <v>-4.6076281755797997E-2</v>
      </c>
    </row>
    <row r="56" spans="1:11" x14ac:dyDescent="0.2">
      <c r="A56">
        <v>55</v>
      </c>
      <c r="B56">
        <v>3</v>
      </c>
      <c r="C56" t="s">
        <v>54</v>
      </c>
      <c r="D56" s="12" t="s">
        <v>913</v>
      </c>
      <c r="E56" s="20">
        <v>284</v>
      </c>
      <c r="F56" s="1">
        <v>-7.1030167634175196</v>
      </c>
      <c r="G56">
        <v>0.11641692377787299</v>
      </c>
      <c r="H56">
        <v>0.301088846521468</v>
      </c>
      <c r="I56">
        <v>0.79577324410189898</v>
      </c>
      <c r="J56">
        <v>-7.0044220963063697E-3</v>
      </c>
      <c r="K56">
        <v>-4.9022045290412798E-2</v>
      </c>
    </row>
    <row r="57" spans="1:11" x14ac:dyDescent="0.2">
      <c r="A57">
        <v>56</v>
      </c>
      <c r="B57">
        <v>12</v>
      </c>
      <c r="C57" t="s">
        <v>55</v>
      </c>
      <c r="D57" s="12" t="s">
        <v>912</v>
      </c>
      <c r="E57" s="20">
        <v>296</v>
      </c>
      <c r="F57" s="1">
        <v>-3.7591304500541902</v>
      </c>
      <c r="G57">
        <v>-1.25335501566761E-2</v>
      </c>
      <c r="H57">
        <v>4.27785570893277E-2</v>
      </c>
      <c r="I57">
        <v>-6.0018578607832898E-2</v>
      </c>
      <c r="J57">
        <v>2.19615951478941E-2</v>
      </c>
      <c r="K57">
        <v>5.0262815154033899E-2</v>
      </c>
    </row>
    <row r="58" spans="1:11" x14ac:dyDescent="0.2">
      <c r="A58">
        <v>57</v>
      </c>
      <c r="B58">
        <v>15</v>
      </c>
      <c r="C58" t="s">
        <v>56</v>
      </c>
      <c r="D58" s="12" t="s">
        <v>912</v>
      </c>
      <c r="E58" s="20">
        <v>299</v>
      </c>
      <c r="F58" s="1">
        <v>-10.906655660471699</v>
      </c>
      <c r="G58">
        <v>0.146239563588276</v>
      </c>
      <c r="H58">
        <v>0.18003487763607501</v>
      </c>
      <c r="I58">
        <v>0.72679057564810401</v>
      </c>
      <c r="J58">
        <v>7.2689185293375799E-2</v>
      </c>
      <c r="K58">
        <v>0.19345820302095099</v>
      </c>
    </row>
    <row r="59" spans="1:11" x14ac:dyDescent="0.2">
      <c r="A59">
        <v>58</v>
      </c>
      <c r="B59">
        <v>4</v>
      </c>
      <c r="C59" t="s">
        <v>57</v>
      </c>
      <c r="D59" s="12" t="s">
        <v>913</v>
      </c>
      <c r="E59" s="20">
        <v>271</v>
      </c>
      <c r="F59" s="1">
        <v>-3.2887615381181998</v>
      </c>
      <c r="G59">
        <v>8.7045172154061896E-3</v>
      </c>
      <c r="H59">
        <v>0.15687846038613901</v>
      </c>
      <c r="I59">
        <v>0.19324300923136301</v>
      </c>
      <c r="J59">
        <v>-3.9010498508452902E-2</v>
      </c>
      <c r="K59">
        <v>-0.14922575425378001</v>
      </c>
    </row>
    <row r="60" spans="1:11" x14ac:dyDescent="0.2">
      <c r="A60">
        <v>59</v>
      </c>
      <c r="B60">
        <v>17</v>
      </c>
      <c r="C60" t="s">
        <v>58</v>
      </c>
      <c r="D60" s="12" t="s">
        <v>912</v>
      </c>
      <c r="E60" s="20">
        <v>276</v>
      </c>
      <c r="F60" s="1">
        <v>-9.1978720123195199</v>
      </c>
      <c r="G60">
        <v>0.10531638829945</v>
      </c>
      <c r="H60">
        <v>7.7908401783153197E-2</v>
      </c>
      <c r="I60">
        <v>0.24087026233888501</v>
      </c>
      <c r="J60">
        <v>4.2898658857819197E-2</v>
      </c>
      <c r="K60">
        <v>0.12282653995987899</v>
      </c>
    </row>
    <row r="61" spans="1:11" x14ac:dyDescent="0.2">
      <c r="A61">
        <v>60</v>
      </c>
      <c r="B61">
        <v>18</v>
      </c>
      <c r="C61" t="s">
        <v>59</v>
      </c>
      <c r="D61" s="12" t="s">
        <v>912</v>
      </c>
      <c r="E61" s="20">
        <v>297</v>
      </c>
      <c r="F61" s="1">
        <v>0.66490176334198303</v>
      </c>
      <c r="G61">
        <v>1.33146335207501E-2</v>
      </c>
      <c r="H61">
        <v>8.2957468030335005E-3</v>
      </c>
      <c r="I61">
        <v>0.135770852871481</v>
      </c>
      <c r="J61">
        <v>5.0065857144749301E-2</v>
      </c>
      <c r="K61">
        <v>0.16472283110541799</v>
      </c>
    </row>
    <row r="62" spans="1:11" x14ac:dyDescent="0.2">
      <c r="A62">
        <v>61</v>
      </c>
      <c r="B62">
        <v>19</v>
      </c>
      <c r="C62" t="s">
        <v>60</v>
      </c>
      <c r="D62" s="12" t="s">
        <v>912</v>
      </c>
      <c r="E62" s="20">
        <v>276</v>
      </c>
      <c r="F62" s="1">
        <v>-10.456807951901901</v>
      </c>
      <c r="G62">
        <v>0.18921825717390001</v>
      </c>
      <c r="H62">
        <v>0.29838777829216501</v>
      </c>
      <c r="I62">
        <v>0.97156376816474699</v>
      </c>
      <c r="J62">
        <v>4.0438891458767799E-2</v>
      </c>
      <c r="K62">
        <v>0.110921319787884</v>
      </c>
    </row>
    <row r="63" spans="1:11" x14ac:dyDescent="0.2">
      <c r="A63">
        <v>62</v>
      </c>
      <c r="B63">
        <v>14</v>
      </c>
      <c r="C63" t="s">
        <v>61</v>
      </c>
      <c r="D63" s="12" t="s">
        <v>912</v>
      </c>
      <c r="E63" s="20">
        <v>292</v>
      </c>
      <c r="F63" s="1">
        <v>-7.3169403523848304</v>
      </c>
      <c r="G63">
        <v>0.12214789453996799</v>
      </c>
      <c r="H63">
        <v>0.30007387434136401</v>
      </c>
      <c r="I63">
        <v>0.48130559734939898</v>
      </c>
      <c r="J63">
        <v>5.48643774537243E-2</v>
      </c>
      <c r="K63">
        <v>0.19388720483406499</v>
      </c>
    </row>
    <row r="64" spans="1:11" x14ac:dyDescent="0.2">
      <c r="A64">
        <v>63</v>
      </c>
      <c r="B64">
        <v>11</v>
      </c>
      <c r="C64" t="s">
        <v>62</v>
      </c>
      <c r="D64" s="12" t="s">
        <v>912</v>
      </c>
      <c r="E64" s="20">
        <v>303</v>
      </c>
      <c r="F64" s="1">
        <v>-4.5330986099237096</v>
      </c>
      <c r="G64">
        <v>5.6167628761172997E-2</v>
      </c>
      <c r="H64">
        <v>5.5663042679010503E-2</v>
      </c>
      <c r="I64">
        <v>0.31732095049637798</v>
      </c>
      <c r="J64">
        <v>4.2902695342889798E-2</v>
      </c>
      <c r="K64">
        <v>0.11809298640311799</v>
      </c>
    </row>
    <row r="65" spans="1:11" x14ac:dyDescent="0.2">
      <c r="A65">
        <v>64</v>
      </c>
      <c r="B65">
        <v>5</v>
      </c>
      <c r="C65" t="s">
        <v>63</v>
      </c>
      <c r="D65" s="12" t="s">
        <v>913</v>
      </c>
      <c r="E65" s="20">
        <v>275</v>
      </c>
      <c r="F65" s="1">
        <v>-10.055572658599299</v>
      </c>
      <c r="G65">
        <v>0.16998316008869599</v>
      </c>
      <c r="H65">
        <v>0.44859472751174601</v>
      </c>
      <c r="I65">
        <v>1.3841316440370299</v>
      </c>
      <c r="J65">
        <v>-6.0109418686912003E-3</v>
      </c>
      <c r="K65">
        <v>-5.90854136893562E-2</v>
      </c>
    </row>
    <row r="66" spans="1:11" x14ac:dyDescent="0.2">
      <c r="A66">
        <v>65</v>
      </c>
      <c r="B66">
        <v>12</v>
      </c>
      <c r="C66" t="s">
        <v>64</v>
      </c>
      <c r="D66" s="12" t="s">
        <v>912</v>
      </c>
      <c r="E66" s="20">
        <v>296</v>
      </c>
      <c r="F66" s="1">
        <v>0.184151384603885</v>
      </c>
      <c r="G66">
        <v>-2.5793831782200401E-2</v>
      </c>
      <c r="H66">
        <v>-3.4444557401882098E-2</v>
      </c>
      <c r="I66">
        <v>-0.158603390817284</v>
      </c>
      <c r="J66">
        <v>4.2672413335620801E-2</v>
      </c>
      <c r="K66">
        <v>0.13306504458881799</v>
      </c>
    </row>
    <row r="67" spans="1:11" x14ac:dyDescent="0.2">
      <c r="A67">
        <v>66</v>
      </c>
      <c r="B67">
        <v>19</v>
      </c>
      <c r="C67" t="s">
        <v>65</v>
      </c>
      <c r="D67" s="12" t="s">
        <v>912</v>
      </c>
      <c r="E67" s="20">
        <v>276</v>
      </c>
      <c r="F67" s="1">
        <v>-10.394763858082801</v>
      </c>
      <c r="G67">
        <v>0.19578718286268801</v>
      </c>
      <c r="H67">
        <v>0.30943669688858899</v>
      </c>
      <c r="I67">
        <v>0.96024183380066297</v>
      </c>
      <c r="J67">
        <v>3.7365842397011198E-2</v>
      </c>
      <c r="K67">
        <v>9.4371054507262297E-2</v>
      </c>
    </row>
    <row r="68" spans="1:11" x14ac:dyDescent="0.2">
      <c r="A68">
        <v>67</v>
      </c>
      <c r="B68">
        <v>13</v>
      </c>
      <c r="C68" t="s">
        <v>66</v>
      </c>
      <c r="D68" s="12" t="s">
        <v>912</v>
      </c>
      <c r="E68" s="20">
        <v>289</v>
      </c>
      <c r="F68" s="1">
        <v>-6.973435685109</v>
      </c>
      <c r="G68">
        <v>0.10370057176811499</v>
      </c>
      <c r="H68">
        <v>-6.8833776691844706E-2</v>
      </c>
      <c r="I68">
        <v>-3.93938995332564E-2</v>
      </c>
      <c r="J68">
        <v>4.6454309720500402E-2</v>
      </c>
      <c r="K68">
        <v>0.119315375606486</v>
      </c>
    </row>
    <row r="69" spans="1:11" x14ac:dyDescent="0.2">
      <c r="A69">
        <v>68</v>
      </c>
      <c r="B69">
        <v>2</v>
      </c>
      <c r="C69" t="s">
        <v>67</v>
      </c>
      <c r="D69" s="12" t="s">
        <v>913</v>
      </c>
      <c r="E69" s="20">
        <v>271</v>
      </c>
      <c r="F69" s="1">
        <v>-6.3340409593153204</v>
      </c>
      <c r="G69">
        <v>9.1701707661516196E-2</v>
      </c>
      <c r="H69">
        <v>0.21034131147242999</v>
      </c>
      <c r="I69">
        <v>0.63278908491435504</v>
      </c>
      <c r="J69">
        <v>2.3173311045825599E-2</v>
      </c>
      <c r="K69">
        <v>6.0403839546675699E-2</v>
      </c>
    </row>
    <row r="70" spans="1:11" x14ac:dyDescent="0.2">
      <c r="A70">
        <v>69</v>
      </c>
      <c r="B70">
        <v>19</v>
      </c>
      <c r="C70" t="s">
        <v>68</v>
      </c>
      <c r="D70" s="12" t="s">
        <v>912</v>
      </c>
      <c r="E70" s="20">
        <v>276</v>
      </c>
      <c r="F70" s="1">
        <v>-12.573469912594501</v>
      </c>
      <c r="G70">
        <v>0.23015364725763901</v>
      </c>
      <c r="H70">
        <v>0.30247368839314698</v>
      </c>
      <c r="I70">
        <v>0.97052709465797704</v>
      </c>
      <c r="J70">
        <v>5.0171514071699799E-2</v>
      </c>
      <c r="K70">
        <v>0.14755255296537201</v>
      </c>
    </row>
    <row r="71" spans="1:11" x14ac:dyDescent="0.2">
      <c r="A71">
        <v>70</v>
      </c>
      <c r="B71">
        <v>13</v>
      </c>
      <c r="C71" t="s">
        <v>69</v>
      </c>
      <c r="D71" s="12" t="s">
        <v>912</v>
      </c>
      <c r="E71" s="20">
        <v>289</v>
      </c>
      <c r="F71" s="1">
        <v>-4.2135398042652099</v>
      </c>
      <c r="G71">
        <v>0.110590246974693</v>
      </c>
      <c r="H71">
        <v>-9.9247965185334006E-2</v>
      </c>
      <c r="I71">
        <v>-9.4903295047557998E-2</v>
      </c>
      <c r="J71">
        <v>3.4869063801623003E-2</v>
      </c>
      <c r="K71">
        <v>7.6558614495743693E-2</v>
      </c>
    </row>
    <row r="72" spans="1:11" x14ac:dyDescent="0.2">
      <c r="A72">
        <v>71</v>
      </c>
      <c r="B72">
        <v>16</v>
      </c>
      <c r="C72" t="s">
        <v>70</v>
      </c>
      <c r="D72" s="12" t="s">
        <v>912</v>
      </c>
      <c r="E72" s="20">
        <v>291</v>
      </c>
      <c r="F72" s="1">
        <v>-4.4289432766297603</v>
      </c>
      <c r="G72">
        <v>3.7649664293456099E-2</v>
      </c>
      <c r="H72">
        <v>7.9954164516321702E-2</v>
      </c>
      <c r="I72">
        <v>0.32722034677671902</v>
      </c>
      <c r="J72">
        <v>4.4148063900885E-2</v>
      </c>
      <c r="K72">
        <v>0.107235696057703</v>
      </c>
    </row>
    <row r="73" spans="1:11" x14ac:dyDescent="0.2">
      <c r="A73">
        <v>72</v>
      </c>
      <c r="B73">
        <v>33</v>
      </c>
      <c r="C73" t="s">
        <v>71</v>
      </c>
      <c r="D73" s="13" t="s">
        <v>913</v>
      </c>
      <c r="E73" s="21">
        <v>189</v>
      </c>
      <c r="F73" s="1">
        <v>1.5379828438913601</v>
      </c>
      <c r="G73">
        <v>-9.4877119399288095E-3</v>
      </c>
      <c r="H73">
        <v>8.4427432557131907E-2</v>
      </c>
      <c r="I73">
        <v>0.37031090135461098</v>
      </c>
      <c r="J73">
        <v>1.0315428360774301E-2</v>
      </c>
      <c r="K73">
        <v>-3.52678492627897E-3</v>
      </c>
    </row>
    <row r="74" spans="1:11" x14ac:dyDescent="0.2">
      <c r="A74">
        <v>73</v>
      </c>
      <c r="B74">
        <v>19</v>
      </c>
      <c r="C74" t="s">
        <v>72</v>
      </c>
      <c r="D74" s="12" t="s">
        <v>912</v>
      </c>
      <c r="E74" s="20">
        <v>276</v>
      </c>
      <c r="F74" s="1">
        <v>-11.2927466363251</v>
      </c>
      <c r="G74">
        <v>0.22989454018257099</v>
      </c>
      <c r="H74">
        <v>0.25055927844328302</v>
      </c>
      <c r="I74">
        <v>0.82494217824732896</v>
      </c>
      <c r="J74">
        <v>8.6476177607641494E-2</v>
      </c>
      <c r="K74">
        <v>0.23917739032629301</v>
      </c>
    </row>
    <row r="75" spans="1:11" x14ac:dyDescent="0.2">
      <c r="A75">
        <v>74</v>
      </c>
      <c r="B75">
        <v>21</v>
      </c>
      <c r="C75" t="s">
        <v>73</v>
      </c>
      <c r="D75" s="13" t="s">
        <v>913</v>
      </c>
      <c r="E75" s="21">
        <v>218</v>
      </c>
      <c r="F75" s="1">
        <v>-1.32460230834724</v>
      </c>
      <c r="G75">
        <v>4.0800226872247302E-3</v>
      </c>
      <c r="H75">
        <v>-4.4427346708306399E-2</v>
      </c>
      <c r="I75">
        <v>1.34999648460227E-2</v>
      </c>
      <c r="J75">
        <v>1.2348236855948399E-2</v>
      </c>
      <c r="K75">
        <v>7.2050279532751204E-3</v>
      </c>
    </row>
    <row r="76" spans="1:11" x14ac:dyDescent="0.2">
      <c r="A76">
        <v>75</v>
      </c>
      <c r="B76">
        <v>3</v>
      </c>
      <c r="C76" t="s">
        <v>74</v>
      </c>
      <c r="D76" s="12" t="s">
        <v>913</v>
      </c>
      <c r="E76" s="20">
        <v>284</v>
      </c>
      <c r="F76" s="1">
        <v>-2.3221313165007</v>
      </c>
      <c r="G76">
        <v>3.0145905494361198E-2</v>
      </c>
      <c r="H76">
        <v>0.12844837672138501</v>
      </c>
      <c r="I76">
        <v>0.20671024595405901</v>
      </c>
      <c r="J76">
        <v>-2.1131028489434201E-2</v>
      </c>
      <c r="K76">
        <v>-8.5036749988275206E-2</v>
      </c>
    </row>
    <row r="77" spans="1:11" x14ac:dyDescent="0.2">
      <c r="A77">
        <v>76</v>
      </c>
      <c r="B77">
        <v>25</v>
      </c>
      <c r="C77" t="s">
        <v>75</v>
      </c>
      <c r="D77" s="13" t="s">
        <v>913</v>
      </c>
      <c r="E77" s="21">
        <v>208</v>
      </c>
      <c r="F77" s="1">
        <v>1.9712078141659399</v>
      </c>
      <c r="G77">
        <v>-1.01466807121771E-2</v>
      </c>
      <c r="H77">
        <v>1.9812060122958899E-2</v>
      </c>
      <c r="I77">
        <v>3.0683991953636001E-2</v>
      </c>
      <c r="J77">
        <v>1.81164183059958E-2</v>
      </c>
      <c r="K77">
        <v>5.0696840504436298E-2</v>
      </c>
    </row>
    <row r="78" spans="1:11" x14ac:dyDescent="0.2">
      <c r="A78">
        <v>77</v>
      </c>
      <c r="B78">
        <v>9</v>
      </c>
      <c r="C78" t="s">
        <v>76</v>
      </c>
      <c r="D78" s="12" t="s">
        <v>912</v>
      </c>
      <c r="E78" s="20">
        <v>296</v>
      </c>
      <c r="F78" s="1">
        <v>2.2408820271434702</v>
      </c>
      <c r="G78">
        <v>-3.8677813930798499E-2</v>
      </c>
      <c r="H78">
        <v>-0.14186656535523401</v>
      </c>
      <c r="I78">
        <v>-0.25274855077439401</v>
      </c>
      <c r="J78">
        <v>1.6559369944463598E-2</v>
      </c>
      <c r="K78">
        <v>3.4513870831351497E-2</v>
      </c>
    </row>
    <row r="79" spans="1:11" x14ac:dyDescent="0.2">
      <c r="A79">
        <v>78</v>
      </c>
      <c r="B79">
        <v>28</v>
      </c>
      <c r="C79" t="s">
        <v>77</v>
      </c>
      <c r="D79" s="13" t="s">
        <v>913</v>
      </c>
      <c r="E79" s="21">
        <v>242</v>
      </c>
      <c r="F79" s="1">
        <v>-10.184509414623401</v>
      </c>
      <c r="G79">
        <v>0.137452689041416</v>
      </c>
      <c r="H79">
        <v>0.383374069713111</v>
      </c>
      <c r="I79">
        <v>1.2131703191699099</v>
      </c>
      <c r="J79">
        <v>-4.3734249485410402E-2</v>
      </c>
      <c r="K79">
        <v>-6.03377638426821E-2</v>
      </c>
    </row>
    <row r="80" spans="1:11" x14ac:dyDescent="0.2">
      <c r="A80">
        <v>79</v>
      </c>
      <c r="B80">
        <v>18</v>
      </c>
      <c r="C80" t="s">
        <v>78</v>
      </c>
      <c r="D80" s="12" t="s">
        <v>912</v>
      </c>
      <c r="E80" s="20">
        <v>297</v>
      </c>
      <c r="F80" s="1">
        <v>1.79418186198013</v>
      </c>
      <c r="G80">
        <v>5.2142512268599697E-3</v>
      </c>
      <c r="H80">
        <v>-1.7808323343400299E-2</v>
      </c>
      <c r="I80">
        <v>4.0140340006625502E-2</v>
      </c>
      <c r="J80">
        <v>3.82029631967057E-2</v>
      </c>
      <c r="K80">
        <v>0.13131615226635801</v>
      </c>
    </row>
    <row r="81" spans="1:11" x14ac:dyDescent="0.2">
      <c r="A81">
        <v>80</v>
      </c>
      <c r="B81">
        <v>44</v>
      </c>
      <c r="C81" t="s">
        <v>79</v>
      </c>
      <c r="D81" s="13" t="s">
        <v>912</v>
      </c>
      <c r="E81" s="21">
        <v>173</v>
      </c>
      <c r="F81" s="1">
        <v>-3.8283574340144799</v>
      </c>
      <c r="G81">
        <v>-1.6923095599868002E-2</v>
      </c>
      <c r="H81">
        <v>-0.14215386680959399</v>
      </c>
      <c r="I81">
        <v>-0.25969823814899601</v>
      </c>
      <c r="J81">
        <v>2.0319324492882401E-2</v>
      </c>
      <c r="K81">
        <v>4.1835828162731598E-2</v>
      </c>
    </row>
    <row r="82" spans="1:11" x14ac:dyDescent="0.2">
      <c r="A82">
        <v>81</v>
      </c>
      <c r="B82">
        <v>12</v>
      </c>
      <c r="C82" t="s">
        <v>80</v>
      </c>
      <c r="D82" s="12" t="s">
        <v>912</v>
      </c>
      <c r="E82" s="20">
        <v>296</v>
      </c>
      <c r="F82" s="1">
        <v>0.36842156782443197</v>
      </c>
      <c r="G82">
        <v>2.9193947004613401E-2</v>
      </c>
      <c r="H82">
        <v>-0.15295113193884</v>
      </c>
      <c r="I82">
        <v>-0.235565839356153</v>
      </c>
      <c r="J82">
        <v>2.6061921617627498E-4</v>
      </c>
      <c r="K82">
        <v>8.3922621521993809E-3</v>
      </c>
    </row>
    <row r="83" spans="1:11" x14ac:dyDescent="0.2">
      <c r="A83">
        <v>82</v>
      </c>
      <c r="B83">
        <v>33</v>
      </c>
      <c r="C83" t="s">
        <v>81</v>
      </c>
      <c r="D83" s="13" t="s">
        <v>913</v>
      </c>
      <c r="E83" s="21">
        <v>189</v>
      </c>
      <c r="F83" s="1">
        <v>-1.4797308588028599</v>
      </c>
      <c r="G83">
        <v>3.7585262890123199E-2</v>
      </c>
      <c r="H83">
        <v>9.4355435450888397E-2</v>
      </c>
      <c r="I83">
        <v>0.39175998870117301</v>
      </c>
      <c r="J83">
        <v>5.1445099835017204E-3</v>
      </c>
      <c r="K83">
        <v>-9.09606300856039E-3</v>
      </c>
    </row>
    <row r="84" spans="1:11" x14ac:dyDescent="0.2">
      <c r="A84">
        <v>83</v>
      </c>
      <c r="B84">
        <v>10</v>
      </c>
      <c r="C84" t="s">
        <v>82</v>
      </c>
      <c r="D84" s="12" t="s">
        <v>912</v>
      </c>
      <c r="E84" s="20">
        <v>292</v>
      </c>
      <c r="F84" s="1">
        <v>-4.2156058327931998</v>
      </c>
      <c r="G84">
        <v>5.7028605881106698E-2</v>
      </c>
      <c r="H84">
        <v>-1.3361874017338101E-2</v>
      </c>
      <c r="I84">
        <v>5.91221095616613E-2</v>
      </c>
      <c r="J84">
        <v>6.5138261521343499E-2</v>
      </c>
      <c r="K84">
        <v>0.192057430422754</v>
      </c>
    </row>
    <row r="85" spans="1:11" x14ac:dyDescent="0.2">
      <c r="A85">
        <v>84</v>
      </c>
      <c r="B85">
        <v>39</v>
      </c>
      <c r="C85" t="s">
        <v>83</v>
      </c>
      <c r="D85" s="13" t="s">
        <v>913</v>
      </c>
      <c r="E85" s="21">
        <v>206</v>
      </c>
      <c r="F85" s="1">
        <v>3.2418134448523901</v>
      </c>
      <c r="G85">
        <v>-5.2228550242328503E-2</v>
      </c>
      <c r="H85">
        <v>-0.15441648538773101</v>
      </c>
      <c r="I85">
        <v>-0.27889266854448802</v>
      </c>
      <c r="J85">
        <v>-7.0644671290431603E-3</v>
      </c>
      <c r="K85">
        <v>-5.2272468640171099E-2</v>
      </c>
    </row>
    <row r="86" spans="1:11" x14ac:dyDescent="0.2">
      <c r="A86">
        <v>85</v>
      </c>
      <c r="B86">
        <v>8</v>
      </c>
      <c r="C86" t="s">
        <v>84</v>
      </c>
      <c r="D86" s="12" t="s">
        <v>913</v>
      </c>
      <c r="E86" s="20">
        <v>271</v>
      </c>
      <c r="F86" s="1">
        <v>4.0545620221990903</v>
      </c>
      <c r="G86">
        <v>-3.3311654090619702E-2</v>
      </c>
      <c r="H86">
        <v>-2.47070259125238E-2</v>
      </c>
      <c r="I86">
        <v>-4.0830516031148602E-2</v>
      </c>
      <c r="J86">
        <v>-3.6187329714033302E-2</v>
      </c>
      <c r="K86">
        <v>-0.13215157662549401</v>
      </c>
    </row>
    <row r="87" spans="1:11" x14ac:dyDescent="0.2">
      <c r="A87">
        <v>86</v>
      </c>
      <c r="B87">
        <v>36</v>
      </c>
      <c r="C87" t="s">
        <v>85</v>
      </c>
      <c r="D87" s="13" t="s">
        <v>913</v>
      </c>
      <c r="E87" s="21">
        <v>192</v>
      </c>
      <c r="F87" s="1">
        <v>6.8937681377266102</v>
      </c>
      <c r="G87">
        <v>-0.146449815683627</v>
      </c>
      <c r="H87">
        <v>-0.30809426017876301</v>
      </c>
      <c r="I87">
        <v>-0.78098951261431604</v>
      </c>
      <c r="J87">
        <v>5.6788233997221202E-2</v>
      </c>
      <c r="K87">
        <v>0.201768021604258</v>
      </c>
    </row>
    <row r="88" spans="1:11" x14ac:dyDescent="0.2">
      <c r="A88">
        <v>87</v>
      </c>
      <c r="B88">
        <v>7</v>
      </c>
      <c r="C88" t="s">
        <v>86</v>
      </c>
      <c r="D88" s="12" t="s">
        <v>913</v>
      </c>
      <c r="E88" s="20">
        <v>278</v>
      </c>
      <c r="F88" s="1">
        <v>0.32835773725915701</v>
      </c>
      <c r="G88">
        <v>-7.3016191031535201E-3</v>
      </c>
      <c r="H88">
        <v>-0.10782096071556301</v>
      </c>
      <c r="I88">
        <v>-0.26230258325469302</v>
      </c>
      <c r="J88">
        <v>-3.55737578026104E-3</v>
      </c>
      <c r="K88">
        <v>-3.0173128716319102E-2</v>
      </c>
    </row>
    <row r="89" spans="1:11" x14ac:dyDescent="0.2">
      <c r="A89">
        <v>88</v>
      </c>
      <c r="B89">
        <v>27</v>
      </c>
      <c r="C89" t="s">
        <v>87</v>
      </c>
      <c r="D89" s="13" t="s">
        <v>913</v>
      </c>
      <c r="E89" s="21">
        <v>208</v>
      </c>
      <c r="F89" s="1">
        <v>4.4915469946902604</v>
      </c>
      <c r="G89">
        <v>-2.32670220683425E-2</v>
      </c>
      <c r="H89">
        <v>-3.1289674765054599E-2</v>
      </c>
      <c r="I89">
        <v>-6.1132158337673902E-3</v>
      </c>
      <c r="J89">
        <v>2.1375553616572701E-2</v>
      </c>
      <c r="K89">
        <v>6.3268783864233805E-2</v>
      </c>
    </row>
    <row r="90" spans="1:11" x14ac:dyDescent="0.2">
      <c r="A90">
        <v>89</v>
      </c>
      <c r="B90">
        <v>9</v>
      </c>
      <c r="C90" t="s">
        <v>88</v>
      </c>
      <c r="D90" s="12" t="s">
        <v>912</v>
      </c>
      <c r="E90" s="20">
        <v>296</v>
      </c>
      <c r="F90" s="1">
        <v>1.5179874474486299</v>
      </c>
      <c r="G90">
        <v>-4.5240150194666803E-2</v>
      </c>
      <c r="H90">
        <v>-0.24958634573281899</v>
      </c>
      <c r="I90">
        <v>-0.58065876329130595</v>
      </c>
      <c r="J90">
        <v>4.3066371561318199E-2</v>
      </c>
      <c r="K90">
        <v>0.102671890658905</v>
      </c>
    </row>
    <row r="91" spans="1:11" x14ac:dyDescent="0.2">
      <c r="A91">
        <v>90</v>
      </c>
      <c r="B91">
        <v>48</v>
      </c>
      <c r="C91" t="s">
        <v>89</v>
      </c>
      <c r="D91" s="13" t="s">
        <v>912</v>
      </c>
      <c r="E91" s="21">
        <v>173</v>
      </c>
      <c r="F91" s="1">
        <v>2.8886146414928602</v>
      </c>
      <c r="G91">
        <v>-9.9610338370324597E-2</v>
      </c>
      <c r="H91">
        <v>-0.170011292932782</v>
      </c>
      <c r="I91">
        <v>-0.52383319330970002</v>
      </c>
      <c r="J91">
        <v>-2.5612792463070098E-2</v>
      </c>
      <c r="K91">
        <v>-6.8587850583835194E-2</v>
      </c>
    </row>
    <row r="92" spans="1:11" x14ac:dyDescent="0.2">
      <c r="A92">
        <v>91</v>
      </c>
      <c r="B92">
        <v>2</v>
      </c>
      <c r="C92" t="s">
        <v>90</v>
      </c>
      <c r="D92" s="12" t="s">
        <v>913</v>
      </c>
      <c r="E92" s="20">
        <v>271</v>
      </c>
      <c r="F92" s="1">
        <v>-0.58428857151535196</v>
      </c>
      <c r="G92">
        <v>2.59517122602889E-2</v>
      </c>
      <c r="H92">
        <v>4.4757127165380398E-2</v>
      </c>
      <c r="I92">
        <v>0.21966663721658999</v>
      </c>
      <c r="J92">
        <v>-1.31551803686663E-2</v>
      </c>
      <c r="K92">
        <v>-6.6641543447863896E-2</v>
      </c>
    </row>
    <row r="93" spans="1:11" x14ac:dyDescent="0.2">
      <c r="A93">
        <v>92</v>
      </c>
      <c r="B93">
        <v>6</v>
      </c>
      <c r="C93" t="s">
        <v>91</v>
      </c>
      <c r="D93" s="12" t="s">
        <v>913</v>
      </c>
      <c r="E93" s="20">
        <v>278</v>
      </c>
      <c r="F93" s="1">
        <v>-3.4393186893905998</v>
      </c>
      <c r="G93">
        <v>3.4090932443401702E-2</v>
      </c>
      <c r="H93">
        <v>0.113533812244803</v>
      </c>
      <c r="I93">
        <v>0.32502352771043402</v>
      </c>
      <c r="J93">
        <v>-7.9256943043616297E-4</v>
      </c>
      <c r="K93">
        <v>-1.5639761245151599E-2</v>
      </c>
    </row>
    <row r="94" spans="1:11" x14ac:dyDescent="0.2">
      <c r="A94">
        <v>93</v>
      </c>
      <c r="B94">
        <v>6</v>
      </c>
      <c r="C94" t="s">
        <v>92</v>
      </c>
      <c r="D94" s="12" t="s">
        <v>913</v>
      </c>
      <c r="E94" s="20">
        <v>278</v>
      </c>
      <c r="F94" s="1">
        <v>-2.1203428400918698</v>
      </c>
      <c r="G94">
        <v>4.8973322810928401E-2</v>
      </c>
      <c r="H94">
        <v>9.4637528766258597E-2</v>
      </c>
      <c r="I94">
        <v>0.2556283323738</v>
      </c>
      <c r="J94">
        <v>-7.3518244105973997E-3</v>
      </c>
      <c r="K94">
        <v>-3.99273667905184E-2</v>
      </c>
    </row>
    <row r="95" spans="1:11" x14ac:dyDescent="0.2">
      <c r="A95">
        <v>94</v>
      </c>
      <c r="B95">
        <v>9</v>
      </c>
      <c r="C95" t="s">
        <v>93</v>
      </c>
      <c r="D95" s="12" t="s">
        <v>912</v>
      </c>
      <c r="E95" s="20">
        <v>296</v>
      </c>
      <c r="F95" s="1">
        <v>-3.5676870806943999</v>
      </c>
      <c r="G95">
        <v>2.5830675844705699E-2</v>
      </c>
      <c r="H95">
        <v>-0.15274867609788101</v>
      </c>
      <c r="I95">
        <v>-0.37443533624217801</v>
      </c>
      <c r="J95">
        <v>1.43051088219076E-2</v>
      </c>
      <c r="K95">
        <v>3.1458935952681899E-2</v>
      </c>
    </row>
    <row r="96" spans="1:11" x14ac:dyDescent="0.2">
      <c r="A96">
        <v>95</v>
      </c>
      <c r="B96">
        <v>4</v>
      </c>
      <c r="C96" t="s">
        <v>94</v>
      </c>
      <c r="D96" s="12" t="s">
        <v>913</v>
      </c>
      <c r="E96" s="20">
        <v>271</v>
      </c>
      <c r="F96" s="1">
        <v>-5.4680368022490704</v>
      </c>
      <c r="G96">
        <v>0.11734881512470501</v>
      </c>
      <c r="H96">
        <v>0.238168698353901</v>
      </c>
      <c r="I96">
        <v>0.75916216724824004</v>
      </c>
      <c r="J96">
        <v>-2.0217080159748501E-2</v>
      </c>
      <c r="K96">
        <v>-9.0211026234559899E-2</v>
      </c>
    </row>
    <row r="97" spans="1:11" x14ac:dyDescent="0.2">
      <c r="A97">
        <v>96</v>
      </c>
      <c r="B97">
        <v>2</v>
      </c>
      <c r="C97" t="s">
        <v>95</v>
      </c>
      <c r="D97" s="12" t="s">
        <v>913</v>
      </c>
      <c r="E97" s="20">
        <v>271</v>
      </c>
      <c r="F97" s="1">
        <v>8.3220116465154401</v>
      </c>
      <c r="G97">
        <v>-8.8492228911721996E-2</v>
      </c>
      <c r="H97">
        <v>-0.149306528015824</v>
      </c>
      <c r="I97">
        <v>-0.42973189216098101</v>
      </c>
      <c r="J97">
        <v>-6.6205729460665896E-3</v>
      </c>
      <c r="K97">
        <v>-4.3184409086177697E-2</v>
      </c>
    </row>
    <row r="98" spans="1:11" x14ac:dyDescent="0.2">
      <c r="A98">
        <v>97</v>
      </c>
      <c r="B98">
        <v>14</v>
      </c>
      <c r="C98" t="s">
        <v>96</v>
      </c>
      <c r="D98" s="12" t="s">
        <v>912</v>
      </c>
      <c r="E98" s="20">
        <v>292</v>
      </c>
      <c r="F98" s="1">
        <v>-4.8486827688199696</v>
      </c>
      <c r="G98">
        <v>0.11710577983619</v>
      </c>
      <c r="H98">
        <v>0.277981611383327</v>
      </c>
      <c r="I98">
        <v>0.59660569164769695</v>
      </c>
      <c r="J98">
        <v>2.8896658324251999E-2</v>
      </c>
      <c r="K98">
        <v>9.4374927209391599E-2</v>
      </c>
    </row>
    <row r="99" spans="1:11" x14ac:dyDescent="0.2">
      <c r="A99">
        <v>98</v>
      </c>
      <c r="B99">
        <v>9</v>
      </c>
      <c r="C99" t="s">
        <v>97</v>
      </c>
      <c r="D99" s="12" t="s">
        <v>912</v>
      </c>
      <c r="E99" s="20">
        <v>296</v>
      </c>
      <c r="F99" s="1">
        <v>-1.8299348485951099</v>
      </c>
      <c r="G99">
        <v>1.06191236610654E-2</v>
      </c>
      <c r="H99">
        <v>-1.63728046012614E-2</v>
      </c>
      <c r="I99">
        <v>9.0734256468334398E-2</v>
      </c>
      <c r="J99">
        <v>2.0282812279325001E-2</v>
      </c>
      <c r="K99">
        <v>4.1524713755298703E-2</v>
      </c>
    </row>
    <row r="100" spans="1:11" x14ac:dyDescent="0.2">
      <c r="A100">
        <v>99</v>
      </c>
      <c r="B100">
        <v>9</v>
      </c>
      <c r="C100" t="s">
        <v>98</v>
      </c>
      <c r="D100" s="12" t="s">
        <v>912</v>
      </c>
      <c r="E100" s="20">
        <v>296</v>
      </c>
      <c r="F100" s="1">
        <v>-1.85069601417685</v>
      </c>
      <c r="G100">
        <v>4.1113771603891798E-2</v>
      </c>
      <c r="H100">
        <v>-2.7465344652215399E-2</v>
      </c>
      <c r="I100">
        <v>9.6715081768796105E-2</v>
      </c>
      <c r="J100">
        <v>3.8826951884566301E-2</v>
      </c>
      <c r="K100">
        <v>0.110274782535372</v>
      </c>
    </row>
    <row r="101" spans="1:11" x14ac:dyDescent="0.2">
      <c r="A101">
        <v>100</v>
      </c>
      <c r="B101">
        <v>13</v>
      </c>
      <c r="C101" t="s">
        <v>99</v>
      </c>
      <c r="D101" s="12" t="s">
        <v>912</v>
      </c>
      <c r="E101" s="20">
        <v>289</v>
      </c>
      <c r="F101" s="1">
        <v>-7.1192777450070297</v>
      </c>
      <c r="G101">
        <v>0.13688246386950001</v>
      </c>
      <c r="H101">
        <v>-2.1439723094846999E-2</v>
      </c>
      <c r="I101">
        <v>9.8824342741155799E-2</v>
      </c>
      <c r="J101">
        <v>3.5965654932526799E-2</v>
      </c>
      <c r="K101">
        <v>9.29669048444383E-2</v>
      </c>
    </row>
    <row r="102" spans="1:11" x14ac:dyDescent="0.2">
      <c r="A102">
        <v>101</v>
      </c>
      <c r="B102">
        <v>12</v>
      </c>
      <c r="C102" t="s">
        <v>100</v>
      </c>
      <c r="D102" s="12" t="s">
        <v>912</v>
      </c>
      <c r="E102" s="20">
        <v>296</v>
      </c>
      <c r="F102" s="1">
        <v>1.9810489073590201</v>
      </c>
      <c r="G102">
        <v>-2.2961694570072001E-2</v>
      </c>
      <c r="H102">
        <v>-0.204371843562557</v>
      </c>
      <c r="I102">
        <v>-0.49461895023906399</v>
      </c>
      <c r="J102">
        <v>-2.4117514086644701E-2</v>
      </c>
      <c r="K102">
        <v>-5.7871383679696298E-2</v>
      </c>
    </row>
    <row r="103" spans="1:11" x14ac:dyDescent="0.2">
      <c r="A103">
        <v>102</v>
      </c>
      <c r="B103">
        <v>14</v>
      </c>
      <c r="C103" t="s">
        <v>101</v>
      </c>
      <c r="D103" s="12" t="s">
        <v>912</v>
      </c>
      <c r="E103" s="20">
        <v>292</v>
      </c>
      <c r="F103" s="1">
        <v>-2.00743937543302</v>
      </c>
      <c r="G103">
        <v>6.5127687524060604E-2</v>
      </c>
      <c r="H103">
        <v>8.6632148860937605E-2</v>
      </c>
      <c r="I103">
        <v>0.18243266569911401</v>
      </c>
      <c r="J103">
        <v>4.5879709851351598E-2</v>
      </c>
      <c r="K103">
        <v>0.17476331104189199</v>
      </c>
    </row>
    <row r="104" spans="1:11" x14ac:dyDescent="0.2">
      <c r="A104">
        <v>103</v>
      </c>
      <c r="B104">
        <v>11</v>
      </c>
      <c r="C104" t="s">
        <v>102</v>
      </c>
      <c r="D104" s="12" t="s">
        <v>912</v>
      </c>
      <c r="E104" s="20">
        <v>303</v>
      </c>
      <c r="F104" s="1">
        <v>-6.3938251759734301</v>
      </c>
      <c r="G104">
        <v>6.2457270069798003E-2</v>
      </c>
      <c r="H104">
        <v>6.0529602952087098E-2</v>
      </c>
      <c r="I104">
        <v>0.33474768421636802</v>
      </c>
      <c r="J104">
        <v>5.19615080299341E-2</v>
      </c>
      <c r="K104">
        <v>0.14811050928314101</v>
      </c>
    </row>
    <row r="105" spans="1:11" x14ac:dyDescent="0.2">
      <c r="A105">
        <v>104</v>
      </c>
      <c r="B105">
        <v>7</v>
      </c>
      <c r="C105" t="s">
        <v>103</v>
      </c>
      <c r="D105" s="12" t="s">
        <v>913</v>
      </c>
      <c r="E105" s="20">
        <v>278</v>
      </c>
      <c r="F105" s="1">
        <v>0.54390845755656803</v>
      </c>
      <c r="G105">
        <v>-3.8538209568201399E-2</v>
      </c>
      <c r="H105">
        <v>-0.11399027457687499</v>
      </c>
      <c r="I105">
        <v>-0.26971008490637</v>
      </c>
      <c r="J105">
        <v>-2.5162314062838999E-2</v>
      </c>
      <c r="K105">
        <v>-8.8302209486766203E-2</v>
      </c>
    </row>
    <row r="106" spans="1:11" x14ac:dyDescent="0.2">
      <c r="A106">
        <v>105</v>
      </c>
      <c r="B106">
        <v>19</v>
      </c>
      <c r="C106" t="s">
        <v>104</v>
      </c>
      <c r="D106" s="12" t="s">
        <v>912</v>
      </c>
      <c r="E106" s="20">
        <v>276</v>
      </c>
      <c r="F106" s="1">
        <v>-11.1901053506227</v>
      </c>
      <c r="G106">
        <v>0.17366893075592901</v>
      </c>
      <c r="H106">
        <v>0.28510717315147299</v>
      </c>
      <c r="I106">
        <v>0.90417869076461299</v>
      </c>
      <c r="J106">
        <v>1.6935594251575498E-2</v>
      </c>
      <c r="K106">
        <v>5.1864204224977499E-2</v>
      </c>
    </row>
    <row r="107" spans="1:11" x14ac:dyDescent="0.2">
      <c r="A107">
        <v>106</v>
      </c>
      <c r="B107">
        <v>9</v>
      </c>
      <c r="C107" t="s">
        <v>105</v>
      </c>
      <c r="D107" s="12" t="s">
        <v>912</v>
      </c>
      <c r="E107" s="20">
        <v>296</v>
      </c>
      <c r="F107" s="1">
        <v>-2.05666426293228</v>
      </c>
      <c r="G107">
        <v>2.3019896755954599E-2</v>
      </c>
      <c r="H107">
        <v>-3.1935520001348798E-2</v>
      </c>
      <c r="I107">
        <v>5.220715905264E-2</v>
      </c>
      <c r="J107">
        <v>4.1205716536416102E-2</v>
      </c>
      <c r="K107">
        <v>0.11738502745425999</v>
      </c>
    </row>
    <row r="108" spans="1:11" x14ac:dyDescent="0.2">
      <c r="A108">
        <v>107</v>
      </c>
      <c r="B108">
        <v>17</v>
      </c>
      <c r="C108" t="s">
        <v>106</v>
      </c>
      <c r="D108" s="12" t="s">
        <v>912</v>
      </c>
      <c r="E108" s="20">
        <v>276</v>
      </c>
      <c r="F108" s="1">
        <v>-7.4281461475909802</v>
      </c>
      <c r="G108">
        <v>8.1160616099826596E-2</v>
      </c>
      <c r="H108">
        <v>6.2776394024735394E-2</v>
      </c>
      <c r="I108">
        <v>0.154643876036305</v>
      </c>
      <c r="J108">
        <v>6.5301284634341594E-2</v>
      </c>
      <c r="K108">
        <v>0.211529788700516</v>
      </c>
    </row>
    <row r="109" spans="1:11" x14ac:dyDescent="0.2">
      <c r="A109">
        <v>108</v>
      </c>
      <c r="B109">
        <v>1</v>
      </c>
      <c r="C109" t="s">
        <v>107</v>
      </c>
      <c r="D109" s="12" t="s">
        <v>913</v>
      </c>
      <c r="E109" s="20">
        <v>269</v>
      </c>
      <c r="F109" s="1">
        <v>1.29614992957348</v>
      </c>
      <c r="G109">
        <v>-3.2177532009179499E-2</v>
      </c>
      <c r="H109">
        <v>-0.17354939441008199</v>
      </c>
      <c r="I109">
        <v>-0.49727804321819002</v>
      </c>
      <c r="J109">
        <v>5.1402285628073799E-3</v>
      </c>
      <c r="K109">
        <v>-6.5195133567964103E-3</v>
      </c>
    </row>
    <row r="110" spans="1:11" x14ac:dyDescent="0.2">
      <c r="A110">
        <v>109</v>
      </c>
      <c r="B110">
        <v>16</v>
      </c>
      <c r="C110" t="s">
        <v>108</v>
      </c>
      <c r="D110" s="12" t="s">
        <v>912</v>
      </c>
      <c r="E110" s="20">
        <v>291</v>
      </c>
      <c r="F110" s="1">
        <v>-10.0447670935527</v>
      </c>
      <c r="G110">
        <v>9.3720727380599694E-2</v>
      </c>
      <c r="H110">
        <v>0.14293493461425899</v>
      </c>
      <c r="I110">
        <v>0.44087183476255198</v>
      </c>
      <c r="J110">
        <v>8.8012375290359199E-2</v>
      </c>
      <c r="K110">
        <v>0.27714515486671598</v>
      </c>
    </row>
    <row r="111" spans="1:11" x14ac:dyDescent="0.2">
      <c r="A111">
        <v>110</v>
      </c>
      <c r="B111">
        <v>1</v>
      </c>
      <c r="C111" t="s">
        <v>109</v>
      </c>
      <c r="D111" s="12" t="s">
        <v>913</v>
      </c>
      <c r="E111" s="20">
        <v>269</v>
      </c>
      <c r="F111" s="1">
        <v>-4.3331157425559796</v>
      </c>
      <c r="G111">
        <v>4.6682292498736802E-2</v>
      </c>
      <c r="H111">
        <v>-5.2902639109933598E-2</v>
      </c>
      <c r="I111">
        <v>-9.3279304777719299E-2</v>
      </c>
      <c r="J111">
        <v>9.65966686305832E-3</v>
      </c>
      <c r="K111">
        <v>1.38697787958706E-2</v>
      </c>
    </row>
    <row r="112" spans="1:11" x14ac:dyDescent="0.2">
      <c r="A112">
        <v>111</v>
      </c>
      <c r="B112">
        <v>1</v>
      </c>
      <c r="C112" t="s">
        <v>110</v>
      </c>
      <c r="D112" s="12" t="s">
        <v>913</v>
      </c>
      <c r="E112" s="20">
        <v>269</v>
      </c>
      <c r="F112" s="1">
        <v>-0.12156393404563599</v>
      </c>
      <c r="G112">
        <v>-2.63310824950964E-2</v>
      </c>
      <c r="H112">
        <v>-0.16746943765049799</v>
      </c>
      <c r="I112">
        <v>-0.42618854395205902</v>
      </c>
      <c r="J112">
        <v>-1.61323621472243E-2</v>
      </c>
      <c r="K112">
        <v>-6.4339881946528399E-2</v>
      </c>
    </row>
    <row r="113" spans="1:11" x14ac:dyDescent="0.2">
      <c r="A113">
        <v>112</v>
      </c>
      <c r="B113">
        <v>19</v>
      </c>
      <c r="C113" t="s">
        <v>111</v>
      </c>
      <c r="D113" s="12" t="s">
        <v>912</v>
      </c>
      <c r="E113" s="20">
        <v>276</v>
      </c>
      <c r="F113" s="1">
        <v>-9.7393119599659901</v>
      </c>
      <c r="G113">
        <v>0.171730628988674</v>
      </c>
      <c r="H113">
        <v>0.22913582398843199</v>
      </c>
      <c r="I113">
        <v>0.748972938931731</v>
      </c>
      <c r="J113">
        <v>6.9077502403959407E-2</v>
      </c>
      <c r="K113">
        <v>0.19155029754633199</v>
      </c>
    </row>
    <row r="114" spans="1:11" x14ac:dyDescent="0.2">
      <c r="A114">
        <v>113</v>
      </c>
      <c r="B114">
        <v>4</v>
      </c>
      <c r="C114" t="s">
        <v>112</v>
      </c>
      <c r="D114" s="12" t="s">
        <v>913</v>
      </c>
      <c r="E114" s="20">
        <v>271</v>
      </c>
      <c r="F114" s="1">
        <v>-1.3753334339427301</v>
      </c>
      <c r="G114">
        <v>-7.8240049007788602E-3</v>
      </c>
      <c r="H114">
        <v>4.16887139501608E-2</v>
      </c>
      <c r="I114">
        <v>0.11986616663336699</v>
      </c>
      <c r="J114">
        <v>9.9428394373619507E-3</v>
      </c>
      <c r="K114">
        <v>4.9372014614734797E-2</v>
      </c>
    </row>
    <row r="115" spans="1:11" x14ac:dyDescent="0.2">
      <c r="A115">
        <v>114</v>
      </c>
      <c r="B115">
        <v>5</v>
      </c>
      <c r="C115" t="s">
        <v>113</v>
      </c>
      <c r="D115" s="12" t="s">
        <v>913</v>
      </c>
      <c r="E115" s="20">
        <v>275</v>
      </c>
      <c r="F115" s="1">
        <v>-12.880627949125801</v>
      </c>
      <c r="G115">
        <v>0.137625552701966</v>
      </c>
      <c r="H115">
        <v>0.42225991345191499</v>
      </c>
      <c r="I115">
        <v>1.2584151291226</v>
      </c>
      <c r="J115">
        <v>-4.8197753018803302E-2</v>
      </c>
      <c r="K115">
        <v>-7.66376714076238E-2</v>
      </c>
    </row>
    <row r="116" spans="1:11" x14ac:dyDescent="0.2">
      <c r="A116">
        <v>115</v>
      </c>
      <c r="B116">
        <v>1</v>
      </c>
      <c r="C116" t="s">
        <v>114</v>
      </c>
      <c r="D116" s="12" t="s">
        <v>913</v>
      </c>
      <c r="E116" s="20">
        <v>269</v>
      </c>
      <c r="F116" s="1">
        <v>-4.8379113913415104</v>
      </c>
      <c r="G116">
        <v>5.8950621403792897E-2</v>
      </c>
      <c r="H116">
        <v>-7.7040760384652907E-2</v>
      </c>
      <c r="I116">
        <v>-0.106133710533776</v>
      </c>
      <c r="J116">
        <v>2.21927139940057E-2</v>
      </c>
      <c r="K116">
        <v>7.0936030293550001E-2</v>
      </c>
    </row>
    <row r="117" spans="1:11" x14ac:dyDescent="0.2">
      <c r="A117">
        <v>116</v>
      </c>
      <c r="B117">
        <v>8</v>
      </c>
      <c r="C117" t="s">
        <v>115</v>
      </c>
      <c r="D117" s="12" t="s">
        <v>913</v>
      </c>
      <c r="E117" s="20">
        <v>271</v>
      </c>
      <c r="F117" s="1">
        <v>3.5350613811559799</v>
      </c>
      <c r="G117">
        <v>-3.67026084550432E-3</v>
      </c>
      <c r="H117">
        <v>6.4325181225760197E-2</v>
      </c>
      <c r="I117">
        <v>0.123251618268249</v>
      </c>
      <c r="J117">
        <v>-2.60096097154539E-2</v>
      </c>
      <c r="K117">
        <v>-0.10061411200694401</v>
      </c>
    </row>
    <row r="118" spans="1:11" x14ac:dyDescent="0.2">
      <c r="A118">
        <v>117</v>
      </c>
      <c r="B118">
        <v>36</v>
      </c>
      <c r="C118" t="s">
        <v>116</v>
      </c>
      <c r="D118" s="13" t="s">
        <v>913</v>
      </c>
      <c r="E118" s="21">
        <v>192</v>
      </c>
      <c r="F118" s="1">
        <v>5.4849175042705403</v>
      </c>
      <c r="G118">
        <v>-0.13486020067453</v>
      </c>
      <c r="H118">
        <v>-0.33992775396210001</v>
      </c>
      <c r="I118">
        <v>-0.885353151657438</v>
      </c>
      <c r="J118">
        <v>4.7991417532928397E-2</v>
      </c>
      <c r="K118">
        <v>0.132140872766533</v>
      </c>
    </row>
    <row r="119" spans="1:11" x14ac:dyDescent="0.2">
      <c r="A119">
        <v>118</v>
      </c>
      <c r="B119">
        <v>12</v>
      </c>
      <c r="C119" t="s">
        <v>117</v>
      </c>
      <c r="D119" s="12" t="s">
        <v>912</v>
      </c>
      <c r="E119" s="20">
        <v>296</v>
      </c>
      <c r="F119" s="1">
        <v>3.64284665094904</v>
      </c>
      <c r="G119">
        <v>-7.34054070967088E-2</v>
      </c>
      <c r="H119">
        <v>-6.5315572622133E-2</v>
      </c>
      <c r="I119">
        <v>-0.38409358505467001</v>
      </c>
      <c r="J119">
        <v>3.3480859455964899E-2</v>
      </c>
      <c r="K119">
        <v>8.9735114532019905E-2</v>
      </c>
    </row>
    <row r="120" spans="1:11" x14ac:dyDescent="0.2">
      <c r="A120">
        <v>119</v>
      </c>
      <c r="B120">
        <v>52</v>
      </c>
      <c r="C120" t="s">
        <v>118</v>
      </c>
      <c r="D120" s="13" t="s">
        <v>912</v>
      </c>
      <c r="E120" s="21">
        <v>164</v>
      </c>
      <c r="F120" s="1">
        <v>2.8783807238519099</v>
      </c>
      <c r="G120">
        <v>-7.0127036560827805E-2</v>
      </c>
      <c r="H120">
        <v>-0.22779404745811799</v>
      </c>
      <c r="I120">
        <v>-0.55678226743405801</v>
      </c>
      <c r="J120">
        <v>-2.8790421691424001E-2</v>
      </c>
      <c r="K120">
        <v>-6.4463856628186697E-2</v>
      </c>
    </row>
    <row r="121" spans="1:11" x14ac:dyDescent="0.2">
      <c r="A121">
        <v>120</v>
      </c>
      <c r="B121">
        <v>12</v>
      </c>
      <c r="C121" t="s">
        <v>119</v>
      </c>
      <c r="D121" s="12" t="s">
        <v>912</v>
      </c>
      <c r="E121" s="20">
        <v>296</v>
      </c>
      <c r="F121" s="1">
        <v>-0.62462885735954199</v>
      </c>
      <c r="G121">
        <v>-1.63678556606024E-2</v>
      </c>
      <c r="H121">
        <v>-8.4436029315465601E-3</v>
      </c>
      <c r="I121">
        <v>-0.12523818801900299</v>
      </c>
      <c r="J121">
        <v>4.0178737441896997E-2</v>
      </c>
      <c r="K121">
        <v>0.104437528408276</v>
      </c>
    </row>
    <row r="122" spans="1:11" x14ac:dyDescent="0.2">
      <c r="A122">
        <v>121</v>
      </c>
      <c r="B122">
        <v>37</v>
      </c>
      <c r="C122" t="s">
        <v>120</v>
      </c>
      <c r="D122" s="13" t="s">
        <v>913</v>
      </c>
      <c r="E122" s="21">
        <v>200</v>
      </c>
      <c r="F122" s="1">
        <v>7.9369044420002801</v>
      </c>
      <c r="G122">
        <v>-0.122765568066103</v>
      </c>
      <c r="H122">
        <v>-0.30926556281658601</v>
      </c>
      <c r="I122">
        <v>-0.79365134662072001</v>
      </c>
      <c r="J122">
        <v>4.1395558947963903E-3</v>
      </c>
      <c r="K122">
        <v>1.3483171713545E-2</v>
      </c>
    </row>
    <row r="123" spans="1:11" x14ac:dyDescent="0.2">
      <c r="A123">
        <v>122</v>
      </c>
      <c r="B123">
        <v>12</v>
      </c>
      <c r="C123" t="s">
        <v>121</v>
      </c>
      <c r="D123" s="12" t="s">
        <v>912</v>
      </c>
      <c r="E123" s="20">
        <v>296</v>
      </c>
      <c r="F123" s="1">
        <v>-3.4982518575512902</v>
      </c>
      <c r="G123">
        <v>2.9211730792562101E-2</v>
      </c>
      <c r="H123">
        <v>5.0832571918368999E-2</v>
      </c>
      <c r="I123">
        <v>0.114009173101353</v>
      </c>
      <c r="J123">
        <v>5.0468228670223901E-2</v>
      </c>
      <c r="K123">
        <v>0.15179017009627099</v>
      </c>
    </row>
    <row r="124" spans="1:11" x14ac:dyDescent="0.2">
      <c r="A124">
        <v>123</v>
      </c>
      <c r="B124">
        <v>32</v>
      </c>
      <c r="C124" t="s">
        <v>122</v>
      </c>
      <c r="D124" s="13" t="s">
        <v>913</v>
      </c>
      <c r="E124" s="21">
        <v>199</v>
      </c>
      <c r="F124" s="1">
        <v>0.143700117082316</v>
      </c>
      <c r="G124">
        <v>-5.0385150636675698E-3</v>
      </c>
      <c r="H124">
        <v>-6.5201650321558197E-2</v>
      </c>
      <c r="I124">
        <v>-0.116910045914161</v>
      </c>
      <c r="J124">
        <v>-3.5550824319582701E-3</v>
      </c>
      <c r="K124">
        <v>-1.42065084373046E-2</v>
      </c>
    </row>
    <row r="125" spans="1:11" x14ac:dyDescent="0.2">
      <c r="A125">
        <v>124</v>
      </c>
      <c r="B125">
        <v>16</v>
      </c>
      <c r="C125" t="s">
        <v>123</v>
      </c>
      <c r="D125" s="12" t="s">
        <v>912</v>
      </c>
      <c r="E125" s="20">
        <v>291</v>
      </c>
      <c r="F125" s="1">
        <v>-11.032130779917001</v>
      </c>
      <c r="G125">
        <v>9.1637033339377602E-2</v>
      </c>
      <c r="H125">
        <v>0.12603208905282001</v>
      </c>
      <c r="I125">
        <v>0.449145478250908</v>
      </c>
      <c r="J125">
        <v>8.5626992005160302E-2</v>
      </c>
      <c r="K125">
        <v>0.25278499793364501</v>
      </c>
    </row>
    <row r="126" spans="1:11" x14ac:dyDescent="0.2">
      <c r="A126">
        <v>125</v>
      </c>
      <c r="B126">
        <v>29</v>
      </c>
      <c r="C126" t="s">
        <v>124</v>
      </c>
      <c r="D126" s="13" t="s">
        <v>913</v>
      </c>
      <c r="E126" s="21">
        <v>202</v>
      </c>
      <c r="F126" s="1">
        <v>-4.30980803747675</v>
      </c>
      <c r="G126">
        <v>6.4199988494203095E-2</v>
      </c>
      <c r="H126">
        <v>7.7507806084149797E-2</v>
      </c>
      <c r="I126">
        <v>0.28055544746356798</v>
      </c>
      <c r="J126">
        <v>1.8748325907345299E-2</v>
      </c>
      <c r="K126">
        <v>4.1333197057756697E-2</v>
      </c>
    </row>
    <row r="127" spans="1:11" x14ac:dyDescent="0.2">
      <c r="A127">
        <v>126</v>
      </c>
      <c r="B127">
        <v>13</v>
      </c>
      <c r="C127" t="s">
        <v>125</v>
      </c>
      <c r="D127" s="12" t="s">
        <v>912</v>
      </c>
      <c r="E127" s="20">
        <v>289</v>
      </c>
      <c r="F127" s="1">
        <v>-5.9250859155483298</v>
      </c>
      <c r="G127">
        <v>0.13891227680523099</v>
      </c>
      <c r="H127">
        <v>-2.3793628897546201E-2</v>
      </c>
      <c r="I127">
        <v>0.12504301128606901</v>
      </c>
      <c r="J127">
        <v>4.1623837922334699E-2</v>
      </c>
      <c r="K127">
        <v>0.104856513527933</v>
      </c>
    </row>
    <row r="128" spans="1:11" x14ac:dyDescent="0.2">
      <c r="A128">
        <v>127</v>
      </c>
      <c r="B128">
        <v>49</v>
      </c>
      <c r="C128" t="s">
        <v>126</v>
      </c>
      <c r="D128" s="13" t="s">
        <v>912</v>
      </c>
      <c r="E128" s="21">
        <v>175</v>
      </c>
      <c r="F128" s="1">
        <v>-0.68441843314509199</v>
      </c>
      <c r="G128">
        <v>4.3605128005331003E-3</v>
      </c>
      <c r="H128">
        <v>-6.87311961789995E-4</v>
      </c>
      <c r="I128">
        <v>6.2428852379808296E-3</v>
      </c>
      <c r="J128">
        <v>-1.5595885174040799E-2</v>
      </c>
      <c r="K128">
        <v>-4.4987529275798403E-2</v>
      </c>
    </row>
    <row r="129" spans="1:11" x14ac:dyDescent="0.2">
      <c r="A129">
        <v>128</v>
      </c>
      <c r="B129">
        <v>50</v>
      </c>
      <c r="C129" t="s">
        <v>127</v>
      </c>
      <c r="D129" s="13" t="s">
        <v>912</v>
      </c>
      <c r="E129" s="21">
        <v>172</v>
      </c>
      <c r="F129" s="1">
        <v>4.6171986609358404</v>
      </c>
      <c r="G129">
        <v>-4.5929226351505002E-2</v>
      </c>
      <c r="H129">
        <v>0.170375498698596</v>
      </c>
      <c r="I129">
        <v>-7.3370296718365896E-2</v>
      </c>
      <c r="J129">
        <v>-3.0270787220901499E-2</v>
      </c>
      <c r="K129">
        <v>-4.72495579278083E-2</v>
      </c>
    </row>
    <row r="130" spans="1:11" x14ac:dyDescent="0.2">
      <c r="A130">
        <v>129</v>
      </c>
      <c r="B130">
        <v>16</v>
      </c>
      <c r="C130" t="s">
        <v>128</v>
      </c>
      <c r="D130" s="12" t="s">
        <v>912</v>
      </c>
      <c r="E130" s="20">
        <v>291</v>
      </c>
      <c r="F130" s="1">
        <v>-7.6744201070561697</v>
      </c>
      <c r="G130">
        <v>5.7567336611825601E-2</v>
      </c>
      <c r="H130">
        <v>5.9585776012425103E-2</v>
      </c>
      <c r="I130">
        <v>0.26643037479944998</v>
      </c>
      <c r="J130">
        <v>0.10439054552435301</v>
      </c>
      <c r="K130">
        <v>0.304289739398378</v>
      </c>
    </row>
    <row r="131" spans="1:11" x14ac:dyDescent="0.2">
      <c r="A131">
        <v>130</v>
      </c>
      <c r="B131">
        <v>43</v>
      </c>
      <c r="C131" t="s">
        <v>129</v>
      </c>
      <c r="D131" s="13" t="s">
        <v>912</v>
      </c>
      <c r="E131" s="21">
        <v>175</v>
      </c>
      <c r="F131" s="1">
        <v>-0.15770374216885</v>
      </c>
      <c r="G131">
        <v>-3.61889207005203E-3</v>
      </c>
      <c r="H131">
        <v>-2.91462610667916E-2</v>
      </c>
      <c r="I131">
        <v>3.2924064346727303E-2</v>
      </c>
      <c r="J131">
        <v>3.5824464706990897E-2</v>
      </c>
      <c r="K131">
        <v>8.6185131680031196E-2</v>
      </c>
    </row>
    <row r="132" spans="1:11" x14ac:dyDescent="0.2">
      <c r="A132">
        <v>131</v>
      </c>
      <c r="B132">
        <v>11</v>
      </c>
      <c r="C132" t="s">
        <v>130</v>
      </c>
      <c r="D132" s="12" t="s">
        <v>912</v>
      </c>
      <c r="E132" s="20">
        <v>303</v>
      </c>
      <c r="F132" s="1">
        <v>-7.2334927963014897</v>
      </c>
      <c r="G132">
        <v>8.3497739623902306E-2</v>
      </c>
      <c r="H132">
        <v>7.1313889847269399E-2</v>
      </c>
      <c r="I132">
        <v>0.38580518155460403</v>
      </c>
      <c r="J132">
        <v>7.2770779131161797E-2</v>
      </c>
      <c r="K132">
        <v>0.20827561977100401</v>
      </c>
    </row>
    <row r="133" spans="1:11" x14ac:dyDescent="0.2">
      <c r="A133">
        <v>132</v>
      </c>
      <c r="B133">
        <v>34</v>
      </c>
      <c r="C133" t="s">
        <v>131</v>
      </c>
      <c r="D133" s="13" t="s">
        <v>913</v>
      </c>
      <c r="E133" s="21">
        <v>189</v>
      </c>
      <c r="F133" s="1">
        <v>-2.8063480346948899</v>
      </c>
      <c r="G133">
        <v>4.99614674009803E-2</v>
      </c>
      <c r="H133">
        <v>0.13302786643929801</v>
      </c>
      <c r="I133">
        <v>0.52407796633285997</v>
      </c>
      <c r="J133">
        <v>-4.4271568816804203E-3</v>
      </c>
      <c r="K133">
        <v>-4.0011499170095E-2</v>
      </c>
    </row>
    <row r="134" spans="1:11" x14ac:dyDescent="0.2">
      <c r="A134">
        <v>133</v>
      </c>
      <c r="B134">
        <v>10</v>
      </c>
      <c r="C134" t="s">
        <v>132</v>
      </c>
      <c r="D134" s="12" t="s">
        <v>912</v>
      </c>
      <c r="E134" s="20">
        <v>292</v>
      </c>
      <c r="F134" s="1">
        <v>-3.4637318011414102</v>
      </c>
      <c r="G134">
        <v>9.21171448361809E-2</v>
      </c>
      <c r="H134">
        <v>-8.6374930182244403E-2</v>
      </c>
      <c r="I134">
        <v>2.74860167097698E-2</v>
      </c>
      <c r="J134">
        <v>5.7584227463766603E-2</v>
      </c>
      <c r="K134">
        <v>0.16414281064450101</v>
      </c>
    </row>
    <row r="135" spans="1:11" x14ac:dyDescent="0.2">
      <c r="A135">
        <v>134</v>
      </c>
      <c r="B135">
        <v>28</v>
      </c>
      <c r="C135" t="s">
        <v>133</v>
      </c>
      <c r="D135" s="13" t="s">
        <v>913</v>
      </c>
      <c r="E135" s="21">
        <v>242</v>
      </c>
      <c r="F135" s="1">
        <v>3.3368158844753699</v>
      </c>
      <c r="G135">
        <v>-5.4994929044544699E-2</v>
      </c>
      <c r="H135">
        <v>-8.3897048759539503E-2</v>
      </c>
      <c r="I135">
        <v>-0.23721357055362199</v>
      </c>
      <c r="J135">
        <v>-2.6705721590755899E-3</v>
      </c>
      <c r="K135">
        <v>7.7250734431281503E-3</v>
      </c>
    </row>
    <row r="136" spans="1:11" x14ac:dyDescent="0.2">
      <c r="A136">
        <v>135</v>
      </c>
      <c r="B136">
        <v>16</v>
      </c>
      <c r="C136" t="s">
        <v>134</v>
      </c>
      <c r="D136" s="12" t="s">
        <v>912</v>
      </c>
      <c r="E136" s="20">
        <v>291</v>
      </c>
      <c r="F136" s="1">
        <v>-9.8777346975271403</v>
      </c>
      <c r="G136">
        <v>8.5816000681788795E-2</v>
      </c>
      <c r="H136">
        <v>7.6587483993427102E-2</v>
      </c>
      <c r="I136">
        <v>0.28346450544340701</v>
      </c>
      <c r="J136">
        <v>9.0867192314956505E-2</v>
      </c>
      <c r="K136">
        <v>0.26186850320445798</v>
      </c>
    </row>
    <row r="137" spans="1:11" x14ac:dyDescent="0.2">
      <c r="A137">
        <v>136</v>
      </c>
      <c r="B137">
        <v>3</v>
      </c>
      <c r="C137" t="s">
        <v>135</v>
      </c>
      <c r="D137" s="12" t="s">
        <v>913</v>
      </c>
      <c r="E137" s="20">
        <v>284</v>
      </c>
      <c r="F137" s="1">
        <v>-3.04839773471355</v>
      </c>
      <c r="G137">
        <v>1.3297733494848399E-2</v>
      </c>
      <c r="H137">
        <v>8.8895214082779395E-2</v>
      </c>
      <c r="I137">
        <v>0.15185954847279901</v>
      </c>
      <c r="J137">
        <v>-2.4319680562035501E-2</v>
      </c>
      <c r="K137">
        <v>-8.7645918199797307E-2</v>
      </c>
    </row>
    <row r="138" spans="1:11" x14ac:dyDescent="0.2">
      <c r="A138">
        <v>137</v>
      </c>
      <c r="B138">
        <v>13</v>
      </c>
      <c r="C138" t="s">
        <v>136</v>
      </c>
      <c r="D138" s="12" t="s">
        <v>912</v>
      </c>
      <c r="E138" s="20">
        <v>289</v>
      </c>
      <c r="F138" s="1">
        <v>-2.88022898351648</v>
      </c>
      <c r="G138">
        <v>7.2662833123858697E-2</v>
      </c>
      <c r="H138">
        <v>-0.14544980034178101</v>
      </c>
      <c r="I138">
        <v>-0.21198378079788099</v>
      </c>
      <c r="J138">
        <v>1.77619661155103E-2</v>
      </c>
      <c r="K138">
        <v>3.8596184643872003E-2</v>
      </c>
    </row>
    <row r="139" spans="1:11" x14ac:dyDescent="0.2">
      <c r="A139">
        <v>138</v>
      </c>
      <c r="B139">
        <v>4</v>
      </c>
      <c r="C139" t="s">
        <v>137</v>
      </c>
      <c r="D139" s="12" t="s">
        <v>913</v>
      </c>
      <c r="E139" s="20">
        <v>271</v>
      </c>
      <c r="F139" s="1">
        <v>-3.59474083047912</v>
      </c>
      <c r="G139">
        <v>7.8892051841291597E-2</v>
      </c>
      <c r="H139">
        <v>0.178825318328869</v>
      </c>
      <c r="I139">
        <v>0.54450995087059395</v>
      </c>
      <c r="J139">
        <v>-4.5740779186065297E-2</v>
      </c>
      <c r="K139">
        <v>-0.14715047542251999</v>
      </c>
    </row>
    <row r="140" spans="1:11" x14ac:dyDescent="0.2">
      <c r="A140">
        <v>139</v>
      </c>
      <c r="B140">
        <v>2</v>
      </c>
      <c r="C140" t="s">
        <v>138</v>
      </c>
      <c r="D140" s="12" t="s">
        <v>913</v>
      </c>
      <c r="E140" s="20">
        <v>271</v>
      </c>
      <c r="F140" s="1">
        <v>7.5148511683546699</v>
      </c>
      <c r="G140">
        <v>-6.7138616161087697E-2</v>
      </c>
      <c r="H140">
        <v>-0.145465767933635</v>
      </c>
      <c r="I140">
        <v>-0.43332009947342898</v>
      </c>
      <c r="J140">
        <v>-3.01048621963147E-2</v>
      </c>
      <c r="K140">
        <v>-0.105762603328521</v>
      </c>
    </row>
    <row r="141" spans="1:11" x14ac:dyDescent="0.2">
      <c r="A141">
        <v>140</v>
      </c>
      <c r="B141">
        <v>16</v>
      </c>
      <c r="C141" t="s">
        <v>139</v>
      </c>
      <c r="D141" s="12" t="s">
        <v>912</v>
      </c>
      <c r="E141" s="20">
        <v>291</v>
      </c>
      <c r="F141" s="1">
        <v>-2.87792182618937</v>
      </c>
      <c r="G141">
        <v>-2.84152034129295E-2</v>
      </c>
      <c r="H141">
        <v>-8.8654741153551903E-2</v>
      </c>
      <c r="I141">
        <v>-0.223039905611291</v>
      </c>
      <c r="J141">
        <v>1.13834810461998E-2</v>
      </c>
      <c r="K141">
        <v>1.6524910665812201E-2</v>
      </c>
    </row>
    <row r="142" spans="1:11" x14ac:dyDescent="0.2">
      <c r="A142">
        <v>141</v>
      </c>
      <c r="B142">
        <v>5</v>
      </c>
      <c r="C142" t="s">
        <v>140</v>
      </c>
      <c r="D142" s="12" t="s">
        <v>913</v>
      </c>
      <c r="E142" s="20">
        <v>275</v>
      </c>
      <c r="F142" s="1">
        <v>-10.364855629618001</v>
      </c>
      <c r="G142">
        <v>0.17414645683188901</v>
      </c>
      <c r="H142">
        <v>0.41195848957808401</v>
      </c>
      <c r="I142">
        <v>1.2662570017158301</v>
      </c>
      <c r="J142">
        <v>-3.5638866808042298E-2</v>
      </c>
      <c r="K142">
        <v>-0.12300821528801099</v>
      </c>
    </row>
    <row r="143" spans="1:11" x14ac:dyDescent="0.2">
      <c r="A143">
        <v>142</v>
      </c>
      <c r="B143">
        <v>8</v>
      </c>
      <c r="C143" t="s">
        <v>141</v>
      </c>
      <c r="D143" s="12" t="s">
        <v>913</v>
      </c>
      <c r="E143" s="20">
        <v>271</v>
      </c>
      <c r="F143" s="1">
        <v>3.5118596114352898</v>
      </c>
      <c r="G143">
        <v>-1.00823183997909E-2</v>
      </c>
      <c r="H143">
        <v>5.4661762995119696E-3</v>
      </c>
      <c r="I143">
        <v>3.6287470383445299E-2</v>
      </c>
      <c r="J143">
        <v>-2.833945934926E-2</v>
      </c>
      <c r="K143">
        <v>-0.106161486478018</v>
      </c>
    </row>
    <row r="144" spans="1:11" x14ac:dyDescent="0.2">
      <c r="A144">
        <v>143</v>
      </c>
      <c r="B144">
        <v>14</v>
      </c>
      <c r="C144" t="s">
        <v>142</v>
      </c>
      <c r="D144" s="12" t="s">
        <v>912</v>
      </c>
      <c r="E144" s="20">
        <v>292</v>
      </c>
      <c r="F144" s="1">
        <v>-7.2774475088331503</v>
      </c>
      <c r="G144">
        <v>0.12610689370745401</v>
      </c>
      <c r="H144">
        <v>0.31992989659737497</v>
      </c>
      <c r="I144">
        <v>0.639049910662295</v>
      </c>
      <c r="J144">
        <v>3.1146496025757701E-2</v>
      </c>
      <c r="K144">
        <v>9.5235670906944597E-2</v>
      </c>
    </row>
    <row r="145" spans="1:11" x14ac:dyDescent="0.2">
      <c r="A145">
        <v>144</v>
      </c>
      <c r="B145">
        <v>9</v>
      </c>
      <c r="C145" t="s">
        <v>143</v>
      </c>
      <c r="D145" s="12" t="s">
        <v>912</v>
      </c>
      <c r="E145" s="20">
        <v>296</v>
      </c>
      <c r="F145" s="1">
        <v>-3.5872803465293002</v>
      </c>
      <c r="G145">
        <v>7.4633897175364796E-4</v>
      </c>
      <c r="H145">
        <v>-0.13914426934641599</v>
      </c>
      <c r="I145">
        <v>-0.33534618336440802</v>
      </c>
      <c r="J145">
        <v>2.1529071620266099E-2</v>
      </c>
      <c r="K145">
        <v>4.7431788395430698E-2</v>
      </c>
    </row>
    <row r="146" spans="1:11" x14ac:dyDescent="0.2">
      <c r="A146">
        <v>145</v>
      </c>
      <c r="B146">
        <v>15</v>
      </c>
      <c r="C146" t="s">
        <v>144</v>
      </c>
      <c r="D146" s="12" t="s">
        <v>912</v>
      </c>
      <c r="E146" s="20">
        <v>299</v>
      </c>
      <c r="F146" s="1">
        <v>-11.959428113945</v>
      </c>
      <c r="G146">
        <v>0.15336607651856701</v>
      </c>
      <c r="H146">
        <v>0.21151576447437101</v>
      </c>
      <c r="I146">
        <v>0.89122400040770999</v>
      </c>
      <c r="J146">
        <v>6.6409344480173493E-2</v>
      </c>
      <c r="K146">
        <v>0.162646444960169</v>
      </c>
    </row>
    <row r="147" spans="1:11" x14ac:dyDescent="0.2">
      <c r="A147">
        <v>146</v>
      </c>
      <c r="B147">
        <v>9</v>
      </c>
      <c r="C147" t="s">
        <v>145</v>
      </c>
      <c r="D147" s="12" t="s">
        <v>912</v>
      </c>
      <c r="E147" s="20">
        <v>296</v>
      </c>
      <c r="F147" s="1">
        <v>-2.4046755963986501</v>
      </c>
      <c r="G147">
        <v>3.3069286812170001E-2</v>
      </c>
      <c r="H147">
        <v>-3.8832485026355702E-2</v>
      </c>
      <c r="I147">
        <v>5.9355504171576298E-2</v>
      </c>
      <c r="J147">
        <v>3.1421746771149797E-2</v>
      </c>
      <c r="K147">
        <v>8.4533826187864106E-2</v>
      </c>
    </row>
    <row r="148" spans="1:11" x14ac:dyDescent="0.2">
      <c r="A148">
        <v>147</v>
      </c>
      <c r="B148">
        <v>10</v>
      </c>
      <c r="C148" t="s">
        <v>146</v>
      </c>
      <c r="D148" s="12" t="s">
        <v>912</v>
      </c>
      <c r="E148" s="20">
        <v>292</v>
      </c>
      <c r="F148" s="1">
        <v>-4.4732814610616298</v>
      </c>
      <c r="G148">
        <v>5.5030970096003599E-2</v>
      </c>
      <c r="H148">
        <v>-2.7941459959444501E-2</v>
      </c>
      <c r="I148">
        <v>9.47398878362825E-3</v>
      </c>
      <c r="J148">
        <v>8.7012437209808002E-2</v>
      </c>
      <c r="K148">
        <v>0.257775365105468</v>
      </c>
    </row>
    <row r="149" spans="1:11" x14ac:dyDescent="0.2">
      <c r="A149">
        <v>148</v>
      </c>
      <c r="B149">
        <v>4</v>
      </c>
      <c r="C149" t="s">
        <v>147</v>
      </c>
      <c r="D149" s="12" t="s">
        <v>913</v>
      </c>
      <c r="E149" s="20">
        <v>271</v>
      </c>
      <c r="F149" s="1">
        <v>-2.1796010435040101</v>
      </c>
      <c r="G149">
        <v>4.5725804810652901E-2</v>
      </c>
      <c r="H149">
        <v>0.162026558879516</v>
      </c>
      <c r="I149">
        <v>0.41990662873837498</v>
      </c>
      <c r="J149">
        <v>-2.4040513985210801E-2</v>
      </c>
      <c r="K149">
        <v>-9.5996527324418005E-2</v>
      </c>
    </row>
    <row r="150" spans="1:11" x14ac:dyDescent="0.2">
      <c r="A150">
        <v>149</v>
      </c>
      <c r="B150">
        <v>9</v>
      </c>
      <c r="C150" t="s">
        <v>148</v>
      </c>
      <c r="D150" s="12" t="s">
        <v>912</v>
      </c>
      <c r="E150" s="20">
        <v>296</v>
      </c>
      <c r="F150" s="1">
        <v>-4.2624175858320896</v>
      </c>
      <c r="G150">
        <v>5.11897382510011E-2</v>
      </c>
      <c r="H150">
        <v>2.5470525550644199E-3</v>
      </c>
      <c r="I150">
        <v>0.20622564736323301</v>
      </c>
      <c r="J150">
        <v>4.3583563355332797E-2</v>
      </c>
      <c r="K150">
        <v>9.9069171156819694E-2</v>
      </c>
    </row>
    <row r="151" spans="1:11" x14ac:dyDescent="0.2">
      <c r="A151">
        <v>150</v>
      </c>
      <c r="B151">
        <v>15</v>
      </c>
      <c r="C151" t="s">
        <v>149</v>
      </c>
      <c r="D151" s="12" t="s">
        <v>912</v>
      </c>
      <c r="E151" s="20">
        <v>299</v>
      </c>
      <c r="F151" s="1">
        <v>-9.1120235342014606</v>
      </c>
      <c r="G151">
        <v>3.7767490798727599E-2</v>
      </c>
      <c r="H151">
        <v>0.10746630990992</v>
      </c>
      <c r="I151">
        <v>0.39193663732336997</v>
      </c>
      <c r="J151">
        <v>5.2997100437703198E-2</v>
      </c>
      <c r="K151">
        <v>0.13589645201440601</v>
      </c>
    </row>
    <row r="152" spans="1:11" x14ac:dyDescent="0.2">
      <c r="A152">
        <v>151</v>
      </c>
      <c r="B152">
        <v>12</v>
      </c>
      <c r="C152" t="s">
        <v>150</v>
      </c>
      <c r="D152" s="12" t="s">
        <v>912</v>
      </c>
      <c r="E152" s="20">
        <v>296</v>
      </c>
      <c r="F152" s="1">
        <v>3.6713012739709501</v>
      </c>
      <c r="G152">
        <v>-6.0514366523834698E-2</v>
      </c>
      <c r="H152">
        <v>-3.6720038531694602E-2</v>
      </c>
      <c r="I152">
        <v>-0.33491410071599798</v>
      </c>
      <c r="J152">
        <v>6.0452902246263896E-3</v>
      </c>
      <c r="K152">
        <v>4.8514281451643698E-3</v>
      </c>
    </row>
    <row r="153" spans="1:11" x14ac:dyDescent="0.2">
      <c r="A153">
        <v>152</v>
      </c>
      <c r="B153">
        <v>5</v>
      </c>
      <c r="C153" t="s">
        <v>151</v>
      </c>
      <c r="D153" s="12" t="s">
        <v>913</v>
      </c>
      <c r="E153" s="20">
        <v>275</v>
      </c>
      <c r="F153" s="1">
        <v>-9.7047726355697197</v>
      </c>
      <c r="G153">
        <v>0.157952211590038</v>
      </c>
      <c r="H153">
        <v>0.37534096922258098</v>
      </c>
      <c r="I153">
        <v>1.15362754595448</v>
      </c>
      <c r="J153">
        <v>-6.5027133179595506E-2</v>
      </c>
      <c r="K153">
        <v>-9.6514875214360696E-2</v>
      </c>
    </row>
    <row r="154" spans="1:11" x14ac:dyDescent="0.2">
      <c r="A154">
        <v>153</v>
      </c>
      <c r="B154">
        <v>15</v>
      </c>
      <c r="C154" t="s">
        <v>152</v>
      </c>
      <c r="D154" s="12" t="s">
        <v>912</v>
      </c>
      <c r="E154" s="20">
        <v>299</v>
      </c>
      <c r="F154" s="1">
        <v>-5.6823414072163398</v>
      </c>
      <c r="G154">
        <v>3.7287029315865403E-2</v>
      </c>
      <c r="H154">
        <v>5.9458479981118299E-2</v>
      </c>
      <c r="I154">
        <v>0.29055446451578598</v>
      </c>
      <c r="J154">
        <v>6.2362982774566401E-2</v>
      </c>
      <c r="K154">
        <v>0.14975339376666399</v>
      </c>
    </row>
    <row r="155" spans="1:11" x14ac:dyDescent="0.2">
      <c r="A155">
        <v>154</v>
      </c>
      <c r="B155">
        <v>1</v>
      </c>
      <c r="C155" t="s">
        <v>153</v>
      </c>
      <c r="D155" s="12" t="s">
        <v>913</v>
      </c>
      <c r="E155" s="20">
        <v>269</v>
      </c>
      <c r="F155" s="1">
        <v>-6.8829021532618899</v>
      </c>
      <c r="G155">
        <v>6.84919615786794E-2</v>
      </c>
      <c r="H155">
        <v>-6.1794760413962403E-2</v>
      </c>
      <c r="I155">
        <v>-9.8719717553398006E-2</v>
      </c>
      <c r="J155">
        <v>1.6740221140642199E-2</v>
      </c>
      <c r="K155">
        <v>6.5941215167477099E-2</v>
      </c>
    </row>
    <row r="156" spans="1:11" x14ac:dyDescent="0.2">
      <c r="A156">
        <v>155</v>
      </c>
      <c r="B156">
        <v>5</v>
      </c>
      <c r="C156" t="s">
        <v>154</v>
      </c>
      <c r="D156" s="12" t="s">
        <v>913</v>
      </c>
      <c r="E156" s="20">
        <v>275</v>
      </c>
      <c r="F156" s="1">
        <v>-10.2896113768553</v>
      </c>
      <c r="G156">
        <v>0.13375639525149199</v>
      </c>
      <c r="H156">
        <v>0.37874797049065601</v>
      </c>
      <c r="I156">
        <v>1.10897205801914</v>
      </c>
      <c r="J156">
        <v>-3.0390984807502799E-3</v>
      </c>
      <c r="K156">
        <v>-4.5884247183048503E-2</v>
      </c>
    </row>
    <row r="157" spans="1:11" x14ac:dyDescent="0.2">
      <c r="A157">
        <v>156</v>
      </c>
      <c r="B157">
        <v>6</v>
      </c>
      <c r="C157" t="s">
        <v>155</v>
      </c>
      <c r="D157" s="12" t="s">
        <v>913</v>
      </c>
      <c r="E157" s="20">
        <v>278</v>
      </c>
      <c r="F157" s="1">
        <v>-1.9302367347520799</v>
      </c>
      <c r="G157">
        <v>3.3696322475840999E-2</v>
      </c>
      <c r="H157">
        <v>8.0699206973804505E-2</v>
      </c>
      <c r="I157">
        <v>0.19392655038887099</v>
      </c>
      <c r="J157">
        <v>-1.0355609701657E-2</v>
      </c>
      <c r="K157">
        <v>-4.4904242199187899E-2</v>
      </c>
    </row>
    <row r="158" spans="1:11" x14ac:dyDescent="0.2">
      <c r="A158">
        <v>157</v>
      </c>
      <c r="B158">
        <v>10</v>
      </c>
      <c r="C158" t="s">
        <v>156</v>
      </c>
      <c r="D158" s="12" t="s">
        <v>912</v>
      </c>
      <c r="E158" s="20">
        <v>292</v>
      </c>
      <c r="F158" s="1">
        <v>-1.124100814602</v>
      </c>
      <c r="G158">
        <v>3.54758297723431E-3</v>
      </c>
      <c r="H158">
        <v>-0.10511989456166899</v>
      </c>
      <c r="I158">
        <v>-0.20666309631354399</v>
      </c>
      <c r="J158">
        <v>6.8901280622199704E-2</v>
      </c>
      <c r="K158">
        <v>0.20140852822126901</v>
      </c>
    </row>
    <row r="159" spans="1:11" x14ac:dyDescent="0.2">
      <c r="A159">
        <v>158</v>
      </c>
      <c r="B159">
        <v>6</v>
      </c>
      <c r="C159" t="s">
        <v>157</v>
      </c>
      <c r="D159" s="12" t="s">
        <v>913</v>
      </c>
      <c r="E159" s="20">
        <v>278</v>
      </c>
      <c r="F159" s="1">
        <v>-3.5551114123992198</v>
      </c>
      <c r="G159">
        <v>5.8920752858658103E-2</v>
      </c>
      <c r="H159">
        <v>6.2735686867846099E-2</v>
      </c>
      <c r="I159">
        <v>0.26912648897889302</v>
      </c>
      <c r="J159">
        <v>-1.7093653054093199E-2</v>
      </c>
      <c r="K159">
        <v>-4.7619054324068301E-2</v>
      </c>
    </row>
    <row r="160" spans="1:11" x14ac:dyDescent="0.2">
      <c r="A160">
        <v>159</v>
      </c>
      <c r="B160">
        <v>12</v>
      </c>
      <c r="C160" t="s">
        <v>158</v>
      </c>
      <c r="D160" s="12" t="s">
        <v>912</v>
      </c>
      <c r="E160" s="20">
        <v>296</v>
      </c>
      <c r="F160" s="1">
        <v>0.165606163646003</v>
      </c>
      <c r="G160">
        <v>-4.83280823841181E-2</v>
      </c>
      <c r="H160">
        <v>-3.5131745743935898E-2</v>
      </c>
      <c r="I160">
        <v>-0.22896716365234199</v>
      </c>
      <c r="J160">
        <v>2.2902439638054502E-2</v>
      </c>
      <c r="K160">
        <v>4.7695296018625599E-2</v>
      </c>
    </row>
    <row r="161" spans="1:11" x14ac:dyDescent="0.2">
      <c r="A161">
        <v>160</v>
      </c>
      <c r="B161">
        <v>1</v>
      </c>
      <c r="C161" t="s">
        <v>159</v>
      </c>
      <c r="D161" s="12" t="s">
        <v>913</v>
      </c>
      <c r="E161" s="20">
        <v>269</v>
      </c>
      <c r="F161" s="1">
        <v>-1.5931183061290499</v>
      </c>
      <c r="G161">
        <v>1.23539087734172E-2</v>
      </c>
      <c r="H161">
        <v>-0.13349443940531799</v>
      </c>
      <c r="I161">
        <v>-0.328785610747095</v>
      </c>
      <c r="J161" s="18">
        <v>-7.8745180452753806E-5</v>
      </c>
      <c r="K161">
        <v>-1.7834767110546299E-2</v>
      </c>
    </row>
    <row r="162" spans="1:11" x14ac:dyDescent="0.2">
      <c r="A162">
        <v>161</v>
      </c>
      <c r="B162">
        <v>27</v>
      </c>
      <c r="C162" t="s">
        <v>160</v>
      </c>
      <c r="D162" s="13" t="s">
        <v>913</v>
      </c>
      <c r="E162" s="21">
        <v>208</v>
      </c>
      <c r="F162" s="1">
        <v>5.8434013550124497</v>
      </c>
      <c r="G162">
        <v>-9.7192799130850202E-2</v>
      </c>
      <c r="H162">
        <v>-0.122770898277134</v>
      </c>
      <c r="I162">
        <v>-0.39421176483849302</v>
      </c>
      <c r="J162">
        <v>2.9092224803066901E-2</v>
      </c>
      <c r="K162">
        <v>8.9972381228202503E-2</v>
      </c>
    </row>
    <row r="163" spans="1:11" x14ac:dyDescent="0.2">
      <c r="A163">
        <v>162</v>
      </c>
      <c r="B163">
        <v>3</v>
      </c>
      <c r="C163" t="s">
        <v>161</v>
      </c>
      <c r="D163" s="12" t="s">
        <v>913</v>
      </c>
      <c r="E163" s="20">
        <v>284</v>
      </c>
      <c r="F163" s="1">
        <v>-5.0101168616556198</v>
      </c>
      <c r="G163">
        <v>9.09975830842841E-2</v>
      </c>
      <c r="H163">
        <v>0.19310786586366599</v>
      </c>
      <c r="I163">
        <v>0.528136060901094</v>
      </c>
      <c r="J163">
        <v>-2.4573160148497499E-2</v>
      </c>
      <c r="K163">
        <v>-0.110171491986016</v>
      </c>
    </row>
    <row r="164" spans="1:11" x14ac:dyDescent="0.2">
      <c r="A164">
        <v>163</v>
      </c>
      <c r="B164">
        <v>50</v>
      </c>
      <c r="C164" t="s">
        <v>162</v>
      </c>
      <c r="D164" s="13" t="s">
        <v>912</v>
      </c>
      <c r="E164" s="21">
        <v>172</v>
      </c>
      <c r="F164" s="1">
        <v>0.137888065673996</v>
      </c>
      <c r="G164">
        <v>-1.35326083364065E-2</v>
      </c>
      <c r="H164">
        <v>0.206998228888815</v>
      </c>
      <c r="I164">
        <v>0.13876089228317801</v>
      </c>
      <c r="J164">
        <v>-3.7326444128512298E-2</v>
      </c>
      <c r="K164">
        <v>-8.9170963648000603E-2</v>
      </c>
    </row>
    <row r="165" spans="1:11" x14ac:dyDescent="0.2">
      <c r="A165">
        <v>164</v>
      </c>
      <c r="B165">
        <v>6</v>
      </c>
      <c r="C165" t="s">
        <v>163</v>
      </c>
      <c r="D165" s="12" t="s">
        <v>913</v>
      </c>
      <c r="E165" s="20">
        <v>278</v>
      </c>
      <c r="F165" s="1">
        <v>-2.7768677916866902</v>
      </c>
      <c r="G165">
        <v>5.6063959039214399E-2</v>
      </c>
      <c r="H165">
        <v>0.126620189611205</v>
      </c>
      <c r="I165">
        <v>0.451404679055533</v>
      </c>
      <c r="J165">
        <v>-4.6656847427167997E-2</v>
      </c>
      <c r="K165">
        <v>-0.148939618015164</v>
      </c>
    </row>
    <row r="166" spans="1:11" x14ac:dyDescent="0.2">
      <c r="A166">
        <v>165</v>
      </c>
      <c r="B166">
        <v>50</v>
      </c>
      <c r="C166" t="s">
        <v>164</v>
      </c>
      <c r="D166" s="13" t="s">
        <v>912</v>
      </c>
      <c r="E166" s="21">
        <v>172</v>
      </c>
      <c r="F166" s="1">
        <v>3.7918752451814202</v>
      </c>
      <c r="G166">
        <v>-6.0135228448593002E-2</v>
      </c>
      <c r="H166">
        <v>0.111884033132544</v>
      </c>
      <c r="I166">
        <v>6.4326163374495496E-3</v>
      </c>
      <c r="J166">
        <v>-4.55567822740994E-2</v>
      </c>
      <c r="K166">
        <v>-7.5751573499823699E-2</v>
      </c>
    </row>
    <row r="167" spans="1:11" x14ac:dyDescent="0.2">
      <c r="A167">
        <v>166</v>
      </c>
      <c r="B167">
        <v>6</v>
      </c>
      <c r="C167" t="s">
        <v>165</v>
      </c>
      <c r="D167" s="12" t="s">
        <v>913</v>
      </c>
      <c r="E167" s="20">
        <v>278</v>
      </c>
      <c r="F167" s="1">
        <v>-8.4392837984636801E-2</v>
      </c>
      <c r="G167">
        <v>-6.5578342142129003E-3</v>
      </c>
      <c r="H167">
        <v>2.7921813850004799E-2</v>
      </c>
      <c r="I167">
        <v>5.4988099311666398E-3</v>
      </c>
      <c r="J167">
        <v>-2.5252427779704101E-2</v>
      </c>
      <c r="K167">
        <v>-9.1802794698377793E-2</v>
      </c>
    </row>
    <row r="168" spans="1:11" x14ac:dyDescent="0.2">
      <c r="A168">
        <v>167</v>
      </c>
      <c r="B168">
        <v>38</v>
      </c>
      <c r="C168" t="s">
        <v>166</v>
      </c>
      <c r="D168" s="13" t="s">
        <v>913</v>
      </c>
      <c r="E168" s="21">
        <v>200</v>
      </c>
      <c r="F168" s="1">
        <v>1.1340533770133301</v>
      </c>
      <c r="G168">
        <v>4.7027746274620801E-2</v>
      </c>
      <c r="H168">
        <v>6.8330966309375499E-3</v>
      </c>
      <c r="I168">
        <v>0.19650224486225601</v>
      </c>
      <c r="J168">
        <v>3.5280568396293802E-2</v>
      </c>
      <c r="K168">
        <v>0.10765752381645299</v>
      </c>
    </row>
    <row r="169" spans="1:11" x14ac:dyDescent="0.2">
      <c r="A169">
        <v>168</v>
      </c>
      <c r="B169">
        <v>12</v>
      </c>
      <c r="C169" t="s">
        <v>167</v>
      </c>
      <c r="D169" s="12" t="s">
        <v>912</v>
      </c>
      <c r="E169" s="20">
        <v>296</v>
      </c>
      <c r="F169" s="1">
        <v>-0.18275532468123601</v>
      </c>
      <c r="G169">
        <v>8.2913928181696794E-3</v>
      </c>
      <c r="H169">
        <v>-0.15557139588194799</v>
      </c>
      <c r="I169">
        <v>-0.342558736452935</v>
      </c>
      <c r="J169">
        <v>-1.24265391005752E-2</v>
      </c>
      <c r="K169">
        <v>-3.0799739853391E-2</v>
      </c>
    </row>
    <row r="170" spans="1:11" x14ac:dyDescent="0.2">
      <c r="A170">
        <v>169</v>
      </c>
      <c r="B170">
        <v>24</v>
      </c>
      <c r="C170" t="s">
        <v>168</v>
      </c>
      <c r="D170" s="13" t="s">
        <v>913</v>
      </c>
      <c r="E170" s="21">
        <v>239</v>
      </c>
      <c r="F170" s="1">
        <v>-4.6325059984937296</v>
      </c>
      <c r="G170">
        <v>1.81175596117586E-2</v>
      </c>
      <c r="H170">
        <v>0.218837927490736</v>
      </c>
      <c r="I170">
        <v>0.51421576787145096</v>
      </c>
      <c r="J170">
        <v>2.2324800378306798E-3</v>
      </c>
      <c r="K170">
        <v>8.7758553687758006E-3</v>
      </c>
    </row>
    <row r="171" spans="1:11" x14ac:dyDescent="0.2">
      <c r="A171">
        <v>170</v>
      </c>
      <c r="B171">
        <v>8</v>
      </c>
      <c r="C171" t="s">
        <v>169</v>
      </c>
      <c r="D171" s="12" t="s">
        <v>913</v>
      </c>
      <c r="E171" s="20">
        <v>271</v>
      </c>
      <c r="F171" s="1">
        <v>3.8267863785895302</v>
      </c>
      <c r="G171">
        <v>-9.3954000727422601E-3</v>
      </c>
      <c r="H171">
        <v>6.1720327416972202E-3</v>
      </c>
      <c r="I171">
        <v>1.25361082326796E-2</v>
      </c>
      <c r="J171">
        <v>-3.4091899697048303E-2</v>
      </c>
      <c r="K171">
        <v>-0.13531655565526199</v>
      </c>
    </row>
    <row r="172" spans="1:11" x14ac:dyDescent="0.2">
      <c r="A172">
        <v>171</v>
      </c>
      <c r="B172">
        <v>53</v>
      </c>
      <c r="C172" t="s">
        <v>170</v>
      </c>
      <c r="D172" s="13" t="s">
        <v>912</v>
      </c>
      <c r="E172" s="21">
        <v>161</v>
      </c>
      <c r="F172" s="1">
        <v>2.9624984989956</v>
      </c>
      <c r="G172">
        <v>-1.6311431080072099E-2</v>
      </c>
      <c r="H172">
        <v>-4.9869468114177702E-2</v>
      </c>
      <c r="I172">
        <v>-8.0340325410839505E-2</v>
      </c>
      <c r="J172">
        <v>-3.7127571114974403E-2</v>
      </c>
      <c r="K172">
        <v>-6.7946258094837106E-2</v>
      </c>
    </row>
    <row r="173" spans="1:11" x14ac:dyDescent="0.2">
      <c r="A173">
        <v>172</v>
      </c>
      <c r="B173">
        <v>11</v>
      </c>
      <c r="C173" t="s">
        <v>171</v>
      </c>
      <c r="D173" s="12" t="s">
        <v>912</v>
      </c>
      <c r="E173" s="20">
        <v>303</v>
      </c>
      <c r="F173" s="1">
        <v>3.57230498017748</v>
      </c>
      <c r="G173">
        <v>-5.4993436410555999E-2</v>
      </c>
      <c r="H173">
        <v>-0.212801822030908</v>
      </c>
      <c r="I173">
        <v>-0.53484732470037399</v>
      </c>
      <c r="J173">
        <v>-1.49868270535307E-2</v>
      </c>
      <c r="K173">
        <v>-4.3688460186632402E-2</v>
      </c>
    </row>
    <row r="174" spans="1:11" x14ac:dyDescent="0.2">
      <c r="A174">
        <v>173</v>
      </c>
      <c r="B174">
        <v>29</v>
      </c>
      <c r="C174" t="s">
        <v>172</v>
      </c>
      <c r="D174" s="13" t="s">
        <v>913</v>
      </c>
      <c r="E174" s="21">
        <v>202</v>
      </c>
      <c r="F174" s="1">
        <v>1.2921786896551199</v>
      </c>
      <c r="G174">
        <v>-3.04673391083897E-2</v>
      </c>
      <c r="H174">
        <v>2.4249438660559502E-3</v>
      </c>
      <c r="I174">
        <v>-3.19807294166152E-2</v>
      </c>
      <c r="J174">
        <v>-4.3881273686994004E-3</v>
      </c>
      <c r="K174">
        <v>-5.7644236491287297E-2</v>
      </c>
    </row>
    <row r="175" spans="1:11" x14ac:dyDescent="0.2">
      <c r="A175">
        <v>174</v>
      </c>
      <c r="B175">
        <v>9</v>
      </c>
      <c r="C175" t="s">
        <v>173</v>
      </c>
      <c r="D175" s="12" t="s">
        <v>912</v>
      </c>
      <c r="E175" s="20">
        <v>296</v>
      </c>
      <c r="F175" s="1">
        <v>-1.45188733507243</v>
      </c>
      <c r="G175">
        <v>1.38562463268899E-2</v>
      </c>
      <c r="H175">
        <v>-9.2649418599397404E-2</v>
      </c>
      <c r="I175">
        <v>-9.5903557597478803E-2</v>
      </c>
      <c r="J175">
        <v>3.2911396351734998E-2</v>
      </c>
      <c r="K175">
        <v>6.9329241487035301E-2</v>
      </c>
    </row>
    <row r="176" spans="1:11" x14ac:dyDescent="0.2">
      <c r="A176">
        <v>175</v>
      </c>
      <c r="B176">
        <v>30</v>
      </c>
      <c r="C176" t="s">
        <v>174</v>
      </c>
      <c r="D176" s="13" t="s">
        <v>913</v>
      </c>
      <c r="E176" s="21">
        <v>202</v>
      </c>
      <c r="F176" s="1">
        <v>-2.3670877423496499</v>
      </c>
      <c r="G176">
        <v>3.8085972735034501E-2</v>
      </c>
      <c r="H176">
        <v>9.3825151812594806E-2</v>
      </c>
      <c r="I176">
        <v>0.27298648489488098</v>
      </c>
      <c r="J176">
        <v>3.4969112529594497E-2</v>
      </c>
      <c r="K176">
        <v>6.82510088202678E-2</v>
      </c>
    </row>
    <row r="177" spans="1:11" x14ac:dyDescent="0.2">
      <c r="A177">
        <v>176</v>
      </c>
      <c r="B177">
        <v>4</v>
      </c>
      <c r="C177" t="s">
        <v>175</v>
      </c>
      <c r="D177" s="12" t="s">
        <v>913</v>
      </c>
      <c r="E177" s="20">
        <v>271</v>
      </c>
      <c r="F177" s="1">
        <v>-3.6443071632163599</v>
      </c>
      <c r="G177">
        <v>5.0700037086571399E-2</v>
      </c>
      <c r="H177">
        <v>0.17745080142571801</v>
      </c>
      <c r="I177">
        <v>0.42611725393021399</v>
      </c>
      <c r="J177">
        <v>-2.31373285389176E-2</v>
      </c>
      <c r="K177">
        <v>-9.5347407438650195E-2</v>
      </c>
    </row>
    <row r="178" spans="1:11" x14ac:dyDescent="0.2">
      <c r="A178">
        <v>177</v>
      </c>
      <c r="B178">
        <v>49</v>
      </c>
      <c r="C178" t="s">
        <v>176</v>
      </c>
      <c r="D178" s="13" t="s">
        <v>912</v>
      </c>
      <c r="E178" s="21">
        <v>175</v>
      </c>
      <c r="F178" s="1">
        <v>2.5225582844330998</v>
      </c>
      <c r="G178">
        <v>-3.9866521615731502E-2</v>
      </c>
      <c r="H178">
        <v>-4.2242453732188802E-2</v>
      </c>
      <c r="I178">
        <v>-0.121636636101271</v>
      </c>
      <c r="J178">
        <v>5.1731641149753503E-4</v>
      </c>
      <c r="K178">
        <v>-1.9584335693347498E-3</v>
      </c>
    </row>
    <row r="179" spans="1:11" x14ac:dyDescent="0.2">
      <c r="A179">
        <v>178</v>
      </c>
      <c r="B179">
        <v>18</v>
      </c>
      <c r="C179" t="s">
        <v>177</v>
      </c>
      <c r="D179" s="12" t="s">
        <v>912</v>
      </c>
      <c r="E179" s="20">
        <v>297</v>
      </c>
      <c r="F179" s="1">
        <v>1.44990664276059</v>
      </c>
      <c r="G179">
        <v>1.1102406043249399E-2</v>
      </c>
      <c r="H179">
        <v>-4.5274579345946302E-2</v>
      </c>
      <c r="I179">
        <v>-2.0601765351494199E-2</v>
      </c>
      <c r="J179">
        <v>4.6004025888491798E-2</v>
      </c>
      <c r="K179">
        <v>0.151570785291575</v>
      </c>
    </row>
    <row r="180" spans="1:11" x14ac:dyDescent="0.2">
      <c r="A180">
        <v>179</v>
      </c>
      <c r="B180">
        <v>28</v>
      </c>
      <c r="C180" t="s">
        <v>178</v>
      </c>
      <c r="D180" s="13" t="s">
        <v>913</v>
      </c>
      <c r="E180" s="21">
        <v>242</v>
      </c>
      <c r="F180" s="1">
        <v>-7.2436372865992702</v>
      </c>
      <c r="G180">
        <v>0.101718367438552</v>
      </c>
      <c r="H180">
        <v>0.288696608955962</v>
      </c>
      <c r="I180">
        <v>0.88777853838578302</v>
      </c>
      <c r="J180">
        <v>-5.4883862296151997E-2</v>
      </c>
      <c r="K180">
        <v>-7.3011799038428193E-2</v>
      </c>
    </row>
    <row r="181" spans="1:11" x14ac:dyDescent="0.2">
      <c r="A181">
        <v>180</v>
      </c>
      <c r="B181">
        <v>11</v>
      </c>
      <c r="C181" t="s">
        <v>179</v>
      </c>
      <c r="D181" s="12" t="s">
        <v>912</v>
      </c>
      <c r="E181" s="20">
        <v>303</v>
      </c>
      <c r="F181" s="1">
        <v>-3.3960409217170402</v>
      </c>
      <c r="G181">
        <v>4.2421529749145898E-2</v>
      </c>
      <c r="H181">
        <v>3.1036506249901601E-2</v>
      </c>
      <c r="I181">
        <v>0.27814622112952903</v>
      </c>
      <c r="J181">
        <v>4.3821419489645998E-2</v>
      </c>
      <c r="K181">
        <v>0.13019296795943899</v>
      </c>
    </row>
    <row r="182" spans="1:11" x14ac:dyDescent="0.2">
      <c r="A182">
        <v>181</v>
      </c>
      <c r="B182">
        <v>3</v>
      </c>
      <c r="C182" t="s">
        <v>180</v>
      </c>
      <c r="D182" s="12" t="s">
        <v>913</v>
      </c>
      <c r="E182" s="20">
        <v>284</v>
      </c>
      <c r="F182" s="1">
        <v>-5.7237931489069798</v>
      </c>
      <c r="G182">
        <v>8.5095932883132205E-2</v>
      </c>
      <c r="H182">
        <v>0.179514571660884</v>
      </c>
      <c r="I182">
        <v>0.48544817280102498</v>
      </c>
      <c r="J182">
        <v>3.5654988563165501E-3</v>
      </c>
      <c r="K182">
        <v>1.53070572980299E-2</v>
      </c>
    </row>
    <row r="183" spans="1:11" x14ac:dyDescent="0.2">
      <c r="A183">
        <v>182</v>
      </c>
      <c r="B183">
        <v>10</v>
      </c>
      <c r="C183" t="s">
        <v>181</v>
      </c>
      <c r="D183" s="12" t="s">
        <v>912</v>
      </c>
      <c r="E183" s="20">
        <v>292</v>
      </c>
      <c r="F183" s="1">
        <v>-3.2699277350207101</v>
      </c>
      <c r="G183">
        <v>6.7063561113972395E-2</v>
      </c>
      <c r="H183">
        <v>-0.15431398763435999</v>
      </c>
      <c r="I183">
        <v>-0.15849852225505801</v>
      </c>
      <c r="J183">
        <v>6.68190247904E-2</v>
      </c>
      <c r="K183">
        <v>0.18321006172791701</v>
      </c>
    </row>
    <row r="184" spans="1:11" x14ac:dyDescent="0.2">
      <c r="A184">
        <v>183</v>
      </c>
      <c r="B184">
        <v>3</v>
      </c>
      <c r="C184" t="s">
        <v>182</v>
      </c>
      <c r="D184" s="12" t="s">
        <v>913</v>
      </c>
      <c r="E184" s="20">
        <v>284</v>
      </c>
      <c r="F184" s="1">
        <v>-5.9562006603098601</v>
      </c>
      <c r="G184">
        <v>5.9080333811073103E-2</v>
      </c>
      <c r="H184">
        <v>0.150595425812769</v>
      </c>
      <c r="I184">
        <v>0.34535179884317802</v>
      </c>
      <c r="J184">
        <v>-3.70835385243828E-2</v>
      </c>
      <c r="K184">
        <v>-0.13198386283862301</v>
      </c>
    </row>
    <row r="185" spans="1:11" x14ac:dyDescent="0.2">
      <c r="A185">
        <v>184</v>
      </c>
      <c r="B185">
        <v>6</v>
      </c>
      <c r="C185" t="s">
        <v>183</v>
      </c>
      <c r="D185" s="12" t="s">
        <v>913</v>
      </c>
      <c r="E185" s="20">
        <v>278</v>
      </c>
      <c r="F185" s="1">
        <v>-4.6323074090826104</v>
      </c>
      <c r="G185">
        <v>0.103399363122431</v>
      </c>
      <c r="H185">
        <v>0.170898681118899</v>
      </c>
      <c r="I185">
        <v>0.46681920499133001</v>
      </c>
      <c r="J185">
        <v>-1.37836395231425E-2</v>
      </c>
      <c r="K185">
        <v>-5.3801513691544102E-2</v>
      </c>
    </row>
    <row r="186" spans="1:11" x14ac:dyDescent="0.2">
      <c r="A186">
        <v>185</v>
      </c>
      <c r="B186">
        <v>11</v>
      </c>
      <c r="C186" t="s">
        <v>184</v>
      </c>
      <c r="D186" s="12" t="s">
        <v>912</v>
      </c>
      <c r="E186" s="20">
        <v>303</v>
      </c>
      <c r="F186" s="1">
        <v>-7.2568778469574902</v>
      </c>
      <c r="G186">
        <v>8.13106944849743E-2</v>
      </c>
      <c r="H186">
        <v>9.5419598939723502E-2</v>
      </c>
      <c r="I186">
        <v>0.490679909773102</v>
      </c>
      <c r="J186">
        <v>5.8493112143262901E-2</v>
      </c>
      <c r="K186">
        <v>0.150964011699775</v>
      </c>
    </row>
    <row r="187" spans="1:11" x14ac:dyDescent="0.2">
      <c r="A187">
        <v>186</v>
      </c>
      <c r="B187">
        <v>5</v>
      </c>
      <c r="C187" t="s">
        <v>185</v>
      </c>
      <c r="D187" s="12" t="s">
        <v>913</v>
      </c>
      <c r="E187" s="20">
        <v>275</v>
      </c>
      <c r="F187" s="1">
        <v>-9.3369103770697706</v>
      </c>
      <c r="G187">
        <v>0.131340975726084</v>
      </c>
      <c r="H187">
        <v>0.430046345905294</v>
      </c>
      <c r="I187">
        <v>1.2620163741332799</v>
      </c>
      <c r="J187">
        <v>2.3444605737812201E-2</v>
      </c>
      <c r="K187">
        <v>1.68384282246705E-2</v>
      </c>
    </row>
    <row r="188" spans="1:11" x14ac:dyDescent="0.2">
      <c r="A188">
        <v>187</v>
      </c>
      <c r="B188">
        <v>13</v>
      </c>
      <c r="C188" t="s">
        <v>186</v>
      </c>
      <c r="D188" s="12" t="s">
        <v>912</v>
      </c>
      <c r="E188" s="20">
        <v>289</v>
      </c>
      <c r="F188" s="1">
        <v>-3.4633959162306498</v>
      </c>
      <c r="G188">
        <v>7.8737429088052299E-2</v>
      </c>
      <c r="H188">
        <v>-0.13195438525806599</v>
      </c>
      <c r="I188">
        <v>-0.20163213993026999</v>
      </c>
      <c r="J188">
        <v>4.5035796880986301E-2</v>
      </c>
      <c r="K188">
        <v>0.113014943098233</v>
      </c>
    </row>
    <row r="189" spans="1:11" x14ac:dyDescent="0.2">
      <c r="A189">
        <v>188</v>
      </c>
      <c r="B189">
        <v>14</v>
      </c>
      <c r="C189" t="s">
        <v>187</v>
      </c>
      <c r="D189" s="12" t="s">
        <v>912</v>
      </c>
      <c r="E189" s="20">
        <v>292</v>
      </c>
      <c r="F189" s="1">
        <v>0.53705034316550204</v>
      </c>
      <c r="G189">
        <v>5.9317097342579499E-2</v>
      </c>
      <c r="H189">
        <v>0.19858071909330199</v>
      </c>
      <c r="I189">
        <v>0.40360898298845699</v>
      </c>
      <c r="J189">
        <v>4.3338390367845897E-2</v>
      </c>
      <c r="K189">
        <v>0.14525531889432999</v>
      </c>
    </row>
    <row r="190" spans="1:11" x14ac:dyDescent="0.2">
      <c r="A190">
        <v>189</v>
      </c>
      <c r="B190">
        <v>16</v>
      </c>
      <c r="C190" t="s">
        <v>188</v>
      </c>
      <c r="D190" s="12" t="s">
        <v>912</v>
      </c>
      <c r="E190" s="20">
        <v>291</v>
      </c>
      <c r="F190" s="1">
        <v>-12.0442913914397</v>
      </c>
      <c r="G190">
        <v>9.0253955984054099E-2</v>
      </c>
      <c r="H190">
        <v>0.12643304890989401</v>
      </c>
      <c r="I190">
        <v>0.38101063895528098</v>
      </c>
      <c r="J190">
        <v>8.9019551533544003E-2</v>
      </c>
      <c r="K190">
        <v>0.26003342059932399</v>
      </c>
    </row>
    <row r="191" spans="1:11" x14ac:dyDescent="0.2">
      <c r="A191">
        <v>190</v>
      </c>
      <c r="B191">
        <v>3</v>
      </c>
      <c r="C191" t="s">
        <v>189</v>
      </c>
      <c r="D191" s="12" t="s">
        <v>913</v>
      </c>
      <c r="E191" s="20">
        <v>284</v>
      </c>
      <c r="F191" s="1">
        <v>-7.08313182598053</v>
      </c>
      <c r="G191">
        <v>0.15815194976568001</v>
      </c>
      <c r="H191">
        <v>0.28275066874687199</v>
      </c>
      <c r="I191">
        <v>0.93619922527574895</v>
      </c>
      <c r="J191">
        <v>-4.5728370193856303E-2</v>
      </c>
      <c r="K191">
        <v>-0.15974026327459101</v>
      </c>
    </row>
    <row r="192" spans="1:11" x14ac:dyDescent="0.2">
      <c r="A192">
        <v>191</v>
      </c>
      <c r="B192">
        <v>6</v>
      </c>
      <c r="C192" t="s">
        <v>190</v>
      </c>
      <c r="D192" s="12" t="s">
        <v>913</v>
      </c>
      <c r="E192" s="20">
        <v>278</v>
      </c>
      <c r="F192" s="1">
        <v>-6.1139181417801103</v>
      </c>
      <c r="G192">
        <v>7.1541348220595796E-2</v>
      </c>
      <c r="H192">
        <v>0.131584149607888</v>
      </c>
      <c r="I192">
        <v>0.37357670179339503</v>
      </c>
      <c r="J192">
        <v>1.49562676988779E-4</v>
      </c>
      <c r="K192">
        <v>-1.3861210351480699E-2</v>
      </c>
    </row>
    <row r="193" spans="1:11" x14ac:dyDescent="0.2">
      <c r="A193">
        <v>192</v>
      </c>
      <c r="B193">
        <v>8</v>
      </c>
      <c r="C193" t="s">
        <v>191</v>
      </c>
      <c r="D193" s="12" t="s">
        <v>913</v>
      </c>
      <c r="E193" s="20">
        <v>273</v>
      </c>
      <c r="F193" s="1">
        <v>3.7841538999398701</v>
      </c>
      <c r="G193">
        <v>-3.0331235701356599E-2</v>
      </c>
      <c r="H193">
        <v>9.1701573677558205E-3</v>
      </c>
      <c r="I193">
        <v>-9.876167698330651E-4</v>
      </c>
      <c r="J193">
        <v>-1.9951368034505399E-2</v>
      </c>
      <c r="K193">
        <v>-8.31696340150056E-2</v>
      </c>
    </row>
    <row r="194" spans="1:11" x14ac:dyDescent="0.2">
      <c r="A194">
        <v>193</v>
      </c>
      <c r="B194">
        <v>6</v>
      </c>
      <c r="C194" t="s">
        <v>192</v>
      </c>
      <c r="D194" s="12" t="s">
        <v>913</v>
      </c>
      <c r="E194" s="20">
        <v>278</v>
      </c>
      <c r="F194" s="1">
        <v>-1.1295198007021401</v>
      </c>
      <c r="G194">
        <v>1.9532908459432001E-2</v>
      </c>
      <c r="H194">
        <v>4.2944355405964398E-2</v>
      </c>
      <c r="I194">
        <v>0.11068907760612801</v>
      </c>
      <c r="J194">
        <v>1.8320842578828801E-3</v>
      </c>
      <c r="K194">
        <v>-1.17028041606612E-2</v>
      </c>
    </row>
    <row r="195" spans="1:11" x14ac:dyDescent="0.2">
      <c r="A195">
        <v>194</v>
      </c>
      <c r="B195">
        <v>4</v>
      </c>
      <c r="C195" t="s">
        <v>193</v>
      </c>
      <c r="D195" s="12" t="s">
        <v>913</v>
      </c>
      <c r="E195" s="20">
        <v>271</v>
      </c>
      <c r="F195" s="1">
        <v>-5.2788545536049503</v>
      </c>
      <c r="G195">
        <v>9.1671016027041793E-2</v>
      </c>
      <c r="H195">
        <v>0.20228688653919299</v>
      </c>
      <c r="I195">
        <v>0.62355480459915502</v>
      </c>
      <c r="J195">
        <v>-3.3130232680888598E-2</v>
      </c>
      <c r="K195">
        <v>-0.131723530283192</v>
      </c>
    </row>
    <row r="196" spans="1:11" x14ac:dyDescent="0.2">
      <c r="A196">
        <v>195</v>
      </c>
      <c r="B196">
        <v>16</v>
      </c>
      <c r="C196" t="s">
        <v>194</v>
      </c>
      <c r="D196" s="12" t="s">
        <v>912</v>
      </c>
      <c r="E196" s="20">
        <v>291</v>
      </c>
      <c r="F196" s="1">
        <v>-6.5848074261404896</v>
      </c>
      <c r="G196">
        <v>6.2003096091385997E-2</v>
      </c>
      <c r="H196">
        <v>0.13254964969901201</v>
      </c>
      <c r="I196">
        <v>0.50229002577260695</v>
      </c>
      <c r="J196">
        <v>6.8284891359077796E-2</v>
      </c>
      <c r="K196">
        <v>0.18116382808360201</v>
      </c>
    </row>
    <row r="197" spans="1:11" x14ac:dyDescent="0.2">
      <c r="A197">
        <v>196</v>
      </c>
      <c r="B197">
        <v>5</v>
      </c>
      <c r="C197" t="s">
        <v>195</v>
      </c>
      <c r="D197" s="12" t="s">
        <v>913</v>
      </c>
      <c r="E197" s="20">
        <v>275</v>
      </c>
      <c r="F197" s="1">
        <v>-12.932592100325399</v>
      </c>
      <c r="G197">
        <v>0.14427294176321201</v>
      </c>
      <c r="H197">
        <v>0.38541302635089902</v>
      </c>
      <c r="I197">
        <v>1.20376570329858</v>
      </c>
      <c r="J197">
        <v>-3.4298782933640103E-2</v>
      </c>
      <c r="K197">
        <v>-7.8385308516776997E-2</v>
      </c>
    </row>
    <row r="198" spans="1:11" x14ac:dyDescent="0.2">
      <c r="A198">
        <v>197</v>
      </c>
      <c r="B198">
        <v>6</v>
      </c>
      <c r="C198" t="s">
        <v>196</v>
      </c>
      <c r="D198" s="12" t="s">
        <v>913</v>
      </c>
      <c r="E198" s="20">
        <v>278</v>
      </c>
      <c r="F198" s="1">
        <v>-2.2933775707008599</v>
      </c>
      <c r="G198">
        <v>3.90271351844853E-2</v>
      </c>
      <c r="H198">
        <v>0.105989092116232</v>
      </c>
      <c r="I198">
        <v>0.27246276049144502</v>
      </c>
      <c r="J198">
        <v>-6.3800953811912397E-3</v>
      </c>
      <c r="K198">
        <v>-1.74504884492237E-2</v>
      </c>
    </row>
    <row r="199" spans="1:11" x14ac:dyDescent="0.2">
      <c r="A199">
        <v>198</v>
      </c>
      <c r="B199">
        <v>19</v>
      </c>
      <c r="C199" t="s">
        <v>197</v>
      </c>
      <c r="D199" s="12" t="s">
        <v>912</v>
      </c>
      <c r="E199" s="20">
        <v>276</v>
      </c>
      <c r="F199" s="1">
        <v>-10.565097944035299</v>
      </c>
      <c r="G199">
        <v>0.193221001738412</v>
      </c>
      <c r="H199">
        <v>0.22799510327518199</v>
      </c>
      <c r="I199">
        <v>0.76465276671207805</v>
      </c>
      <c r="J199">
        <v>8.1648031067569696E-2</v>
      </c>
      <c r="K199">
        <v>0.21788319973470399</v>
      </c>
    </row>
    <row r="200" spans="1:11" x14ac:dyDescent="0.2">
      <c r="A200">
        <v>199</v>
      </c>
      <c r="B200">
        <v>3</v>
      </c>
      <c r="C200" t="s">
        <v>198</v>
      </c>
      <c r="D200" s="12" t="s">
        <v>913</v>
      </c>
      <c r="E200" s="20">
        <v>284</v>
      </c>
      <c r="F200" s="1">
        <v>-2.3766914415186999</v>
      </c>
      <c r="G200">
        <v>5.3423579805068802E-2</v>
      </c>
      <c r="H200">
        <v>0.13076529380402399</v>
      </c>
      <c r="I200">
        <v>0.32420103570282299</v>
      </c>
      <c r="J200">
        <v>-2.7673211308316799E-2</v>
      </c>
      <c r="K200">
        <v>-8.7173106655950405E-2</v>
      </c>
    </row>
    <row r="201" spans="1:11" x14ac:dyDescent="0.2">
      <c r="A201">
        <v>200</v>
      </c>
      <c r="B201">
        <v>13</v>
      </c>
      <c r="C201" t="s">
        <v>199</v>
      </c>
      <c r="D201" s="12" t="s">
        <v>912</v>
      </c>
      <c r="E201" s="20">
        <v>289</v>
      </c>
      <c r="F201" s="1">
        <v>-6.9407866102229896</v>
      </c>
      <c r="G201">
        <v>0.11671623125479</v>
      </c>
      <c r="H201">
        <v>-4.5036615421267003E-2</v>
      </c>
      <c r="I201">
        <v>8.5828024361280106E-2</v>
      </c>
      <c r="J201">
        <v>4.1237683412150297E-2</v>
      </c>
      <c r="K201">
        <v>0.11055953219351999</v>
      </c>
    </row>
    <row r="202" spans="1:11" x14ac:dyDescent="0.2">
      <c r="A202">
        <v>201</v>
      </c>
      <c r="B202">
        <v>18</v>
      </c>
      <c r="C202" t="s">
        <v>200</v>
      </c>
      <c r="D202" s="12" t="s">
        <v>912</v>
      </c>
      <c r="E202" s="20">
        <v>297</v>
      </c>
      <c r="F202" s="1">
        <v>-1.32087072062179</v>
      </c>
      <c r="G202">
        <v>3.5791242061068901E-2</v>
      </c>
      <c r="H202">
        <v>-1.49949626798961E-3</v>
      </c>
      <c r="I202">
        <v>0.116852944329758</v>
      </c>
      <c r="J202">
        <v>3.67784688815622E-2</v>
      </c>
      <c r="K202">
        <v>0.114078386663714</v>
      </c>
    </row>
    <row r="203" spans="1:11" x14ac:dyDescent="0.2">
      <c r="A203">
        <v>202</v>
      </c>
      <c r="B203">
        <v>11</v>
      </c>
      <c r="C203" t="s">
        <v>201</v>
      </c>
      <c r="D203" s="12" t="s">
        <v>912</v>
      </c>
      <c r="E203" s="20">
        <v>303</v>
      </c>
      <c r="F203" s="1">
        <v>-1.12981271605974</v>
      </c>
      <c r="G203">
        <v>-1.7808820895743802E-2</v>
      </c>
      <c r="H203">
        <v>-0.18534850210497</v>
      </c>
      <c r="I203">
        <v>-0.39581378916518101</v>
      </c>
      <c r="J203">
        <v>2.70340117881477E-2</v>
      </c>
      <c r="K203">
        <v>7.0133915615158193E-2</v>
      </c>
    </row>
    <row r="204" spans="1:11" x14ac:dyDescent="0.2">
      <c r="A204">
        <v>203</v>
      </c>
      <c r="B204">
        <v>8</v>
      </c>
      <c r="C204" t="s">
        <v>202</v>
      </c>
      <c r="D204" s="12" t="s">
        <v>913</v>
      </c>
      <c r="E204" s="20">
        <v>271</v>
      </c>
      <c r="F204" s="1">
        <v>2.7598553190367401</v>
      </c>
      <c r="G204">
        <v>6.63354458282825E-3</v>
      </c>
      <c r="H204">
        <v>3.4324654851581801E-2</v>
      </c>
      <c r="I204">
        <v>0.16497479436787599</v>
      </c>
      <c r="J204">
        <v>-3.8017458677856497E-2</v>
      </c>
      <c r="K204">
        <v>-0.14273552590796201</v>
      </c>
    </row>
    <row r="205" spans="1:11" x14ac:dyDescent="0.2">
      <c r="A205">
        <v>204</v>
      </c>
      <c r="B205">
        <v>17</v>
      </c>
      <c r="C205" t="s">
        <v>203</v>
      </c>
      <c r="D205" s="12" t="s">
        <v>912</v>
      </c>
      <c r="E205" s="20">
        <v>276</v>
      </c>
      <c r="F205" s="1">
        <v>-7.5679348336816599</v>
      </c>
      <c r="G205">
        <v>0.13489974693474599</v>
      </c>
      <c r="H205">
        <v>2.1107676927830998E-2</v>
      </c>
      <c r="I205">
        <v>0.101825892221586</v>
      </c>
      <c r="J205">
        <v>5.0450442050948903E-2</v>
      </c>
      <c r="K205">
        <v>0.15065482819800499</v>
      </c>
    </row>
    <row r="206" spans="1:11" x14ac:dyDescent="0.2">
      <c r="A206">
        <v>205</v>
      </c>
      <c r="B206">
        <v>11</v>
      </c>
      <c r="C206" t="s">
        <v>204</v>
      </c>
      <c r="D206" s="12" t="s">
        <v>912</v>
      </c>
      <c r="E206" s="20">
        <v>303</v>
      </c>
      <c r="F206" s="1">
        <v>-2.00437659281741</v>
      </c>
      <c r="G206">
        <v>4.4293309164620202E-2</v>
      </c>
      <c r="H206">
        <v>1.87036471363107E-3</v>
      </c>
      <c r="I206">
        <v>0.25195857013034501</v>
      </c>
      <c r="J206">
        <v>2.2860557941976199E-2</v>
      </c>
      <c r="K206">
        <v>6.7581904767875997E-2</v>
      </c>
    </row>
    <row r="207" spans="1:11" x14ac:dyDescent="0.2">
      <c r="A207">
        <v>206</v>
      </c>
      <c r="B207">
        <v>36</v>
      </c>
      <c r="C207" t="s">
        <v>205</v>
      </c>
      <c r="D207" s="13" t="s">
        <v>913</v>
      </c>
      <c r="E207" s="21">
        <v>192</v>
      </c>
      <c r="F207" s="1">
        <v>2.2871438462702001</v>
      </c>
      <c r="G207">
        <v>7.7313009929974195E-4</v>
      </c>
      <c r="H207">
        <v>-0.202728213405934</v>
      </c>
      <c r="I207">
        <v>-0.31565784163391097</v>
      </c>
      <c r="J207">
        <v>3.3715476021509302E-2</v>
      </c>
      <c r="K207">
        <v>0.107559631717075</v>
      </c>
    </row>
    <row r="208" spans="1:11" x14ac:dyDescent="0.2">
      <c r="A208">
        <v>207</v>
      </c>
      <c r="B208">
        <v>3</v>
      </c>
      <c r="C208" t="s">
        <v>206</v>
      </c>
      <c r="D208" s="12" t="s">
        <v>913</v>
      </c>
      <c r="E208" s="20">
        <v>284</v>
      </c>
      <c r="F208" s="1">
        <v>-4.8439167564618</v>
      </c>
      <c r="G208">
        <v>8.0378224254820496E-2</v>
      </c>
      <c r="H208">
        <v>0.19890809310702801</v>
      </c>
      <c r="I208">
        <v>0.49713159399548101</v>
      </c>
      <c r="J208">
        <v>-2.2498107429872901E-2</v>
      </c>
      <c r="K208">
        <v>-7.5477114267186493E-2</v>
      </c>
    </row>
    <row r="209" spans="1:11" x14ac:dyDescent="0.2">
      <c r="A209">
        <v>208</v>
      </c>
      <c r="B209">
        <v>52</v>
      </c>
      <c r="C209" t="s">
        <v>207</v>
      </c>
      <c r="D209" s="13" t="s">
        <v>912</v>
      </c>
      <c r="E209" s="21">
        <v>164</v>
      </c>
      <c r="F209" s="1">
        <v>-0.104800660606141</v>
      </c>
      <c r="G209">
        <v>-2.0204831226942201E-2</v>
      </c>
      <c r="H209">
        <v>-0.141541790421949</v>
      </c>
      <c r="I209">
        <v>-0.285269180923585</v>
      </c>
      <c r="J209">
        <v>-4.24069725182456E-2</v>
      </c>
      <c r="K209">
        <v>-9.2757361459542303E-2</v>
      </c>
    </row>
    <row r="210" spans="1:11" x14ac:dyDescent="0.2">
      <c r="A210">
        <v>209</v>
      </c>
      <c r="B210">
        <v>2</v>
      </c>
      <c r="C210" t="s">
        <v>208</v>
      </c>
      <c r="D210" s="12" t="s">
        <v>913</v>
      </c>
      <c r="E210" s="20">
        <v>271</v>
      </c>
      <c r="F210" s="1">
        <v>10.6693736208267</v>
      </c>
      <c r="G210">
        <v>-0.13393482883730601</v>
      </c>
      <c r="H210">
        <v>-0.27851680904623299</v>
      </c>
      <c r="I210">
        <v>-0.73319130061982696</v>
      </c>
      <c r="J210">
        <v>-2.3909064910724E-2</v>
      </c>
      <c r="K210">
        <v>-6.8062525614701802E-2</v>
      </c>
    </row>
    <row r="211" spans="1:11" x14ac:dyDescent="0.2">
      <c r="A211">
        <v>210</v>
      </c>
      <c r="B211">
        <v>50</v>
      </c>
      <c r="C211" t="s">
        <v>209</v>
      </c>
      <c r="D211" s="13" t="s">
        <v>912</v>
      </c>
      <c r="E211" s="21">
        <v>172</v>
      </c>
      <c r="F211" s="1">
        <v>4.9127488212208901</v>
      </c>
      <c r="G211">
        <v>-6.1555303336208497E-2</v>
      </c>
      <c r="H211">
        <v>2.8049044945530899E-2</v>
      </c>
      <c r="I211">
        <v>-0.31134013423822399</v>
      </c>
      <c r="J211">
        <v>-4.4434271079751599E-2</v>
      </c>
      <c r="K211">
        <v>-8.5989747159664703E-2</v>
      </c>
    </row>
    <row r="212" spans="1:11" x14ac:dyDescent="0.2">
      <c r="A212">
        <v>211</v>
      </c>
      <c r="B212">
        <v>9</v>
      </c>
      <c r="C212" t="s">
        <v>210</v>
      </c>
      <c r="D212" s="12" t="s">
        <v>912</v>
      </c>
      <c r="E212" s="20">
        <v>296</v>
      </c>
      <c r="F212" s="1">
        <v>-7.7965027821703101</v>
      </c>
      <c r="G212">
        <v>9.3160163117679898E-2</v>
      </c>
      <c r="H212">
        <v>9.8248898795038994E-2</v>
      </c>
      <c r="I212">
        <v>0.37916103644131399</v>
      </c>
      <c r="J212">
        <v>2.1158380905208302E-2</v>
      </c>
      <c r="K212">
        <v>5.9741715537301003E-2</v>
      </c>
    </row>
    <row r="213" spans="1:11" x14ac:dyDescent="0.2">
      <c r="A213">
        <v>212</v>
      </c>
      <c r="B213">
        <v>50</v>
      </c>
      <c r="C213" t="s">
        <v>211</v>
      </c>
      <c r="D213" s="13" t="s">
        <v>912</v>
      </c>
      <c r="E213" s="21">
        <v>172</v>
      </c>
      <c r="F213" s="1">
        <v>2.3399755720358502</v>
      </c>
      <c r="G213">
        <v>-5.9213580817301603E-2</v>
      </c>
      <c r="H213">
        <v>0.121171913373085</v>
      </c>
      <c r="I213">
        <v>-4.4127491178098402E-2</v>
      </c>
      <c r="J213">
        <v>-3.4378608471929001E-2</v>
      </c>
      <c r="K213">
        <v>-7.4586207595485302E-2</v>
      </c>
    </row>
    <row r="214" spans="1:11" x14ac:dyDescent="0.2">
      <c r="A214">
        <v>213</v>
      </c>
      <c r="B214">
        <v>5</v>
      </c>
      <c r="C214" t="s">
        <v>212</v>
      </c>
      <c r="D214" s="12" t="s">
        <v>913</v>
      </c>
      <c r="E214" s="20">
        <v>275</v>
      </c>
      <c r="F214" s="1">
        <v>-9.9603945426447602</v>
      </c>
      <c r="G214">
        <v>0.13551133479621899</v>
      </c>
      <c r="H214">
        <v>0.411547662582473</v>
      </c>
      <c r="I214">
        <v>1.20557686507839</v>
      </c>
      <c r="J214">
        <v>-2.0879273649998399E-2</v>
      </c>
      <c r="K214">
        <v>-7.1391588007441595E-2</v>
      </c>
    </row>
    <row r="215" spans="1:11" x14ac:dyDescent="0.2">
      <c r="A215">
        <v>214</v>
      </c>
      <c r="B215">
        <v>54</v>
      </c>
      <c r="C215" t="s">
        <v>213</v>
      </c>
      <c r="D215" s="13" t="s">
        <v>912</v>
      </c>
      <c r="E215" s="21">
        <v>170</v>
      </c>
      <c r="F215" s="1">
        <v>-0.21254033914017101</v>
      </c>
      <c r="G215">
        <v>-4.2871030025180702E-2</v>
      </c>
      <c r="H215">
        <v>-0.17896641846792899</v>
      </c>
      <c r="I215">
        <v>-0.493223880482559</v>
      </c>
      <c r="J215">
        <v>-1.85683079946392E-2</v>
      </c>
      <c r="K215">
        <v>-3.47437849043543E-2</v>
      </c>
    </row>
    <row r="216" spans="1:11" x14ac:dyDescent="0.2">
      <c r="A216">
        <v>215</v>
      </c>
      <c r="B216">
        <v>7</v>
      </c>
      <c r="C216" t="s">
        <v>214</v>
      </c>
      <c r="D216" s="12" t="s">
        <v>913</v>
      </c>
      <c r="E216" s="20">
        <v>278</v>
      </c>
      <c r="F216" s="1">
        <v>0.68853101170255304</v>
      </c>
      <c r="G216">
        <v>-1.4382276043123201E-2</v>
      </c>
      <c r="H216">
        <v>-8.8372238665321901E-2</v>
      </c>
      <c r="I216">
        <v>-0.148055718769808</v>
      </c>
      <c r="J216">
        <v>8.3407372213883408E-3</v>
      </c>
      <c r="K216">
        <v>3.5751934508681797E-2</v>
      </c>
    </row>
    <row r="217" spans="1:11" x14ac:dyDescent="0.2">
      <c r="A217">
        <v>216</v>
      </c>
      <c r="B217">
        <v>44</v>
      </c>
      <c r="C217" t="s">
        <v>215</v>
      </c>
      <c r="D217" s="13" t="s">
        <v>912</v>
      </c>
      <c r="E217" s="21">
        <v>173</v>
      </c>
      <c r="F217" s="1">
        <v>4.1905079532218803</v>
      </c>
      <c r="G217">
        <v>-0.112464947225967</v>
      </c>
      <c r="H217">
        <v>-0.24734577750737999</v>
      </c>
      <c r="I217">
        <v>-0.57173354624166794</v>
      </c>
      <c r="J217">
        <v>3.7050922493456801E-3</v>
      </c>
      <c r="K217">
        <v>5.5904392276922002E-3</v>
      </c>
    </row>
    <row r="218" spans="1:11" x14ac:dyDescent="0.2">
      <c r="A218">
        <v>217</v>
      </c>
      <c r="B218">
        <v>12</v>
      </c>
      <c r="C218" t="s">
        <v>216</v>
      </c>
      <c r="D218" s="12" t="s">
        <v>912</v>
      </c>
      <c r="E218" s="20">
        <v>296</v>
      </c>
      <c r="F218" s="1">
        <v>-0.54847317316451105</v>
      </c>
      <c r="G218">
        <v>-1.4213684718301501E-2</v>
      </c>
      <c r="H218">
        <v>-0.14059794835220699</v>
      </c>
      <c r="I218">
        <v>-0.35554084159391802</v>
      </c>
      <c r="J218">
        <v>-1.18049158846347E-2</v>
      </c>
      <c r="K218">
        <v>-1.9624038400100598E-2</v>
      </c>
    </row>
    <row r="219" spans="1:11" x14ac:dyDescent="0.2">
      <c r="A219">
        <v>218</v>
      </c>
      <c r="B219">
        <v>49</v>
      </c>
      <c r="C219" t="s">
        <v>217</v>
      </c>
      <c r="D219" s="13" t="s">
        <v>912</v>
      </c>
      <c r="E219" s="21">
        <v>175</v>
      </c>
      <c r="F219" s="1">
        <v>2.3437575272053299E-3</v>
      </c>
      <c r="G219">
        <v>-2.2674541148128699E-4</v>
      </c>
      <c r="H219">
        <v>-7.5680711552789798E-2</v>
      </c>
      <c r="I219">
        <v>-0.11714236810921801</v>
      </c>
      <c r="J219">
        <v>-5.5306310025614799E-3</v>
      </c>
      <c r="K219">
        <v>-1.7278277542653001E-2</v>
      </c>
    </row>
    <row r="220" spans="1:11" x14ac:dyDescent="0.2">
      <c r="A220">
        <v>219</v>
      </c>
      <c r="B220">
        <v>1</v>
      </c>
      <c r="C220" t="s">
        <v>218</v>
      </c>
      <c r="D220" s="12" t="s">
        <v>913</v>
      </c>
      <c r="E220" s="20">
        <v>269</v>
      </c>
      <c r="F220" s="1">
        <v>-2.7376342025459302</v>
      </c>
      <c r="G220">
        <v>3.2026395516543703E-2</v>
      </c>
      <c r="H220">
        <v>-9.6888921150537599E-2</v>
      </c>
      <c r="I220">
        <v>-0.232189838398669</v>
      </c>
      <c r="J220">
        <v>2.3277952122375801E-3</v>
      </c>
      <c r="K220">
        <v>-1.7702483675486401E-2</v>
      </c>
    </row>
    <row r="221" spans="1:11" x14ac:dyDescent="0.2">
      <c r="A221">
        <v>220</v>
      </c>
      <c r="B221">
        <v>50</v>
      </c>
      <c r="C221" t="s">
        <v>219</v>
      </c>
      <c r="D221" s="13" t="s">
        <v>912</v>
      </c>
      <c r="E221" s="21">
        <v>172</v>
      </c>
      <c r="F221" s="1">
        <v>1.8391569843487601</v>
      </c>
      <c r="G221">
        <v>-3.0953597261658701E-2</v>
      </c>
      <c r="H221">
        <v>4.9316187463731599E-2</v>
      </c>
      <c r="I221">
        <v>-0.26057984579104299</v>
      </c>
      <c r="J221">
        <v>-5.1004827928291203E-2</v>
      </c>
      <c r="K221">
        <v>-0.119708258478377</v>
      </c>
    </row>
    <row r="222" spans="1:11" x14ac:dyDescent="0.2">
      <c r="A222">
        <v>221</v>
      </c>
      <c r="B222">
        <v>11</v>
      </c>
      <c r="C222" t="s">
        <v>220</v>
      </c>
      <c r="D222" s="12" t="s">
        <v>912</v>
      </c>
      <c r="E222" s="20">
        <v>303</v>
      </c>
      <c r="F222" s="1">
        <v>3.3694862663384599</v>
      </c>
      <c r="G222">
        <v>-6.1054308223307797E-2</v>
      </c>
      <c r="H222">
        <v>-0.192709355076122</v>
      </c>
      <c r="I222">
        <v>-0.46419427517685802</v>
      </c>
      <c r="J222">
        <v>-5.7460131768351597E-3</v>
      </c>
      <c r="K222">
        <v>-2.06922529453097E-2</v>
      </c>
    </row>
    <row r="223" spans="1:11" x14ac:dyDescent="0.2">
      <c r="A223">
        <v>222</v>
      </c>
      <c r="B223">
        <v>46</v>
      </c>
      <c r="C223" t="s">
        <v>221</v>
      </c>
      <c r="D223" s="13" t="s">
        <v>912</v>
      </c>
      <c r="E223" s="21">
        <v>160</v>
      </c>
      <c r="F223" s="1">
        <v>1.2658189926137799</v>
      </c>
      <c r="G223">
        <v>-6.1174270368102397E-3</v>
      </c>
      <c r="H223">
        <v>-2.75603216708603E-2</v>
      </c>
      <c r="I223">
        <v>-2.0802456465520501E-2</v>
      </c>
      <c r="J223">
        <v>-3.8352171232604003E-2</v>
      </c>
      <c r="K223">
        <v>-8.5648812725565696E-2</v>
      </c>
    </row>
    <row r="224" spans="1:11" x14ac:dyDescent="0.2">
      <c r="A224">
        <v>223</v>
      </c>
      <c r="B224">
        <v>1</v>
      </c>
      <c r="C224" t="s">
        <v>222</v>
      </c>
      <c r="D224" s="12" t="s">
        <v>913</v>
      </c>
      <c r="E224" s="20">
        <v>269</v>
      </c>
      <c r="F224" s="1">
        <v>-0.38514438888157398</v>
      </c>
      <c r="G224">
        <v>7.0943396603169997E-3</v>
      </c>
      <c r="H224">
        <v>-0.12957187137068901</v>
      </c>
      <c r="I224">
        <v>-0.32498015759490001</v>
      </c>
      <c r="J224">
        <v>1.4903388075542799E-2</v>
      </c>
      <c r="K224">
        <v>5.7038820122918998E-2</v>
      </c>
    </row>
    <row r="225" spans="1:11" x14ac:dyDescent="0.2">
      <c r="A225">
        <v>224</v>
      </c>
      <c r="B225">
        <v>31</v>
      </c>
      <c r="C225" t="s">
        <v>223</v>
      </c>
      <c r="D225" s="13" t="s">
        <v>913</v>
      </c>
      <c r="E225" s="21">
        <v>199</v>
      </c>
      <c r="F225" s="1">
        <v>4.8789162491468501</v>
      </c>
      <c r="G225">
        <v>-3.7245854255752102E-2</v>
      </c>
      <c r="H225">
        <v>-8.0833553666046207E-2</v>
      </c>
      <c r="I225">
        <v>-0.118191700057431</v>
      </c>
      <c r="J225">
        <v>1.37882362608119E-2</v>
      </c>
      <c r="K225">
        <v>5.2550361889274998E-2</v>
      </c>
    </row>
    <row r="226" spans="1:11" x14ac:dyDescent="0.2">
      <c r="A226">
        <v>225</v>
      </c>
      <c r="B226">
        <v>6</v>
      </c>
      <c r="C226" t="s">
        <v>224</v>
      </c>
      <c r="D226" s="12" t="s">
        <v>913</v>
      </c>
      <c r="E226" s="20">
        <v>278</v>
      </c>
      <c r="F226" s="1">
        <v>-0.62850650035663902</v>
      </c>
      <c r="G226">
        <v>3.5109917314773198E-2</v>
      </c>
      <c r="H226">
        <v>6.5171390613683503E-2</v>
      </c>
      <c r="I226">
        <v>0.15458824973117899</v>
      </c>
      <c r="J226">
        <v>-3.0254927217364301E-2</v>
      </c>
      <c r="K226">
        <v>-9.5402496706320603E-2</v>
      </c>
    </row>
    <row r="227" spans="1:11" x14ac:dyDescent="0.2">
      <c r="A227">
        <v>226</v>
      </c>
      <c r="B227">
        <v>25</v>
      </c>
      <c r="C227" t="s">
        <v>225</v>
      </c>
      <c r="D227" s="13" t="s">
        <v>913</v>
      </c>
      <c r="E227" s="21">
        <v>208</v>
      </c>
      <c r="F227" s="1">
        <v>4.2486771222740698</v>
      </c>
      <c r="G227">
        <v>-6.3477071888568104E-2</v>
      </c>
      <c r="H227">
        <v>-3.3720321904276998E-2</v>
      </c>
      <c r="I227">
        <v>-0.128346931848414</v>
      </c>
      <c r="J227">
        <v>9.8333262190717103E-3</v>
      </c>
      <c r="K227">
        <v>7.2324072733929903E-3</v>
      </c>
    </row>
    <row r="228" spans="1:11" x14ac:dyDescent="0.2">
      <c r="A228">
        <v>227</v>
      </c>
      <c r="B228">
        <v>8</v>
      </c>
      <c r="C228" t="s">
        <v>226</v>
      </c>
      <c r="D228" s="12" t="s">
        <v>913</v>
      </c>
      <c r="E228" s="20">
        <v>271</v>
      </c>
      <c r="F228" s="1">
        <v>-1.3821497952675601</v>
      </c>
      <c r="G228">
        <v>1.7991321370838202E-2</v>
      </c>
      <c r="H228">
        <v>1.03270437401097E-2</v>
      </c>
      <c r="I228">
        <v>0.110515986629351</v>
      </c>
      <c r="J228">
        <v>-1.9129633262233599E-2</v>
      </c>
      <c r="K228">
        <v>-8.3524050360504198E-2</v>
      </c>
    </row>
    <row r="229" spans="1:11" x14ac:dyDescent="0.2">
      <c r="A229">
        <v>228</v>
      </c>
      <c r="B229">
        <v>4</v>
      </c>
      <c r="C229" t="s">
        <v>227</v>
      </c>
      <c r="D229" s="12" t="s">
        <v>913</v>
      </c>
      <c r="E229" s="20">
        <v>271</v>
      </c>
      <c r="F229" s="1">
        <v>-2.1914717774996699</v>
      </c>
      <c r="G229">
        <v>4.7903168953205802E-2</v>
      </c>
      <c r="H229">
        <v>0.17090052273176401</v>
      </c>
      <c r="I229">
        <v>0.47568214509235401</v>
      </c>
      <c r="J229">
        <v>-4.4793706765472598E-2</v>
      </c>
      <c r="K229">
        <v>-0.15610738661032</v>
      </c>
    </row>
    <row r="230" spans="1:11" x14ac:dyDescent="0.2">
      <c r="A230">
        <v>229</v>
      </c>
      <c r="B230">
        <v>15</v>
      </c>
      <c r="C230" t="s">
        <v>228</v>
      </c>
      <c r="D230" s="12" t="s">
        <v>912</v>
      </c>
      <c r="E230" s="20">
        <v>299</v>
      </c>
      <c r="F230" s="1">
        <v>-11.5111141998443</v>
      </c>
      <c r="G230">
        <v>0.12376348024110299</v>
      </c>
      <c r="H230">
        <v>0.16806363432507199</v>
      </c>
      <c r="I230">
        <v>0.75578869096641299</v>
      </c>
      <c r="J230">
        <v>5.8121835277635002E-2</v>
      </c>
      <c r="K230">
        <v>0.14329446686935499</v>
      </c>
    </row>
    <row r="231" spans="1:11" x14ac:dyDescent="0.2">
      <c r="A231">
        <v>230</v>
      </c>
      <c r="B231">
        <v>13</v>
      </c>
      <c r="C231" t="s">
        <v>229</v>
      </c>
      <c r="D231" s="12" t="s">
        <v>912</v>
      </c>
      <c r="E231" s="20">
        <v>289</v>
      </c>
      <c r="F231" s="1">
        <v>-4.3921277615260204</v>
      </c>
      <c r="G231">
        <v>6.2945999448683995E-2</v>
      </c>
      <c r="H231">
        <v>-0.131540224144825</v>
      </c>
      <c r="I231">
        <v>-0.17947854988196499</v>
      </c>
      <c r="J231">
        <v>-5.6541492100592797E-4</v>
      </c>
      <c r="K231">
        <v>9.0115440462255406E-3</v>
      </c>
    </row>
    <row r="232" spans="1:11" x14ac:dyDescent="0.2">
      <c r="A232">
        <v>231</v>
      </c>
      <c r="B232">
        <v>11</v>
      </c>
      <c r="C232" t="s">
        <v>230</v>
      </c>
      <c r="D232" s="12" t="s">
        <v>912</v>
      </c>
      <c r="E232" s="20">
        <v>303</v>
      </c>
      <c r="F232" s="1">
        <v>0.109001392936477</v>
      </c>
      <c r="G232">
        <v>-3.6991379198689903E-2</v>
      </c>
      <c r="H232">
        <v>-4.8869671791837502E-2</v>
      </c>
      <c r="I232">
        <v>-0.224699758615103</v>
      </c>
      <c r="J232">
        <v>3.7552079563774703E-2</v>
      </c>
      <c r="K232">
        <v>8.9718092778223693E-2</v>
      </c>
    </row>
    <row r="233" spans="1:11" x14ac:dyDescent="0.2">
      <c r="A233">
        <v>232</v>
      </c>
      <c r="B233">
        <v>2</v>
      </c>
      <c r="C233" t="s">
        <v>231</v>
      </c>
      <c r="D233" s="12" t="s">
        <v>913</v>
      </c>
      <c r="E233" s="20">
        <v>271</v>
      </c>
      <c r="F233" s="1">
        <v>-4.9735927674770304</v>
      </c>
      <c r="G233">
        <v>6.0523841022814301E-2</v>
      </c>
      <c r="H233">
        <v>0.143368085371233</v>
      </c>
      <c r="I233">
        <v>0.40581883246762501</v>
      </c>
      <c r="J233">
        <v>7.8792640426311403E-3</v>
      </c>
      <c r="K233">
        <v>1.8039350132900998E-2</v>
      </c>
    </row>
    <row r="234" spans="1:11" x14ac:dyDescent="0.2">
      <c r="A234">
        <v>233</v>
      </c>
      <c r="B234">
        <v>14</v>
      </c>
      <c r="C234" t="s">
        <v>232</v>
      </c>
      <c r="D234" s="12" t="s">
        <v>912</v>
      </c>
      <c r="E234" s="20">
        <v>292</v>
      </c>
      <c r="F234" s="1">
        <v>-3.2463719355360499</v>
      </c>
      <c r="G234">
        <v>0.106915513612549</v>
      </c>
      <c r="H234">
        <v>0.29313399076804397</v>
      </c>
      <c r="I234">
        <v>0.70260354448374196</v>
      </c>
      <c r="J234">
        <v>3.6063247260464198E-2</v>
      </c>
      <c r="K234">
        <v>9.8633402361674796E-2</v>
      </c>
    </row>
    <row r="235" spans="1:11" x14ac:dyDescent="0.2">
      <c r="A235">
        <v>234</v>
      </c>
      <c r="B235">
        <v>17</v>
      </c>
      <c r="C235" t="s">
        <v>233</v>
      </c>
      <c r="D235" s="12" t="s">
        <v>912</v>
      </c>
      <c r="E235" s="20">
        <v>276</v>
      </c>
      <c r="F235" s="1">
        <v>-3.9117490902908001</v>
      </c>
      <c r="G235">
        <v>4.03020610825345E-2</v>
      </c>
      <c r="H235">
        <v>3.2800622336569801E-2</v>
      </c>
      <c r="I235">
        <v>9.3064479085538998E-2</v>
      </c>
      <c r="J235">
        <v>6.5146221071677293E-2</v>
      </c>
      <c r="K235">
        <v>0.18505506579962999</v>
      </c>
    </row>
    <row r="236" spans="1:11" x14ac:dyDescent="0.2">
      <c r="A236">
        <v>235</v>
      </c>
      <c r="B236">
        <v>19</v>
      </c>
      <c r="C236" t="s">
        <v>234</v>
      </c>
      <c r="D236" s="12" t="s">
        <v>912</v>
      </c>
      <c r="E236" s="20">
        <v>276</v>
      </c>
      <c r="F236" s="1">
        <v>-9.9011937187595507</v>
      </c>
      <c r="G236">
        <v>0.17346649774117801</v>
      </c>
      <c r="H236">
        <v>0.28009165879411102</v>
      </c>
      <c r="I236">
        <v>0.86612647576686197</v>
      </c>
      <c r="J236">
        <v>5.3795898555779403E-2</v>
      </c>
      <c r="K236">
        <v>0.189120892496773</v>
      </c>
    </row>
    <row r="237" spans="1:11" x14ac:dyDescent="0.2">
      <c r="A237">
        <v>236</v>
      </c>
      <c r="B237">
        <v>14</v>
      </c>
      <c r="C237" t="s">
        <v>235</v>
      </c>
      <c r="D237" s="12" t="s">
        <v>912</v>
      </c>
      <c r="E237" s="20">
        <v>292</v>
      </c>
      <c r="F237" s="1">
        <v>-4.1395715571668896</v>
      </c>
      <c r="G237">
        <v>8.00182899964995E-2</v>
      </c>
      <c r="H237">
        <v>0.30867080810506697</v>
      </c>
      <c r="I237">
        <v>0.55253000492679705</v>
      </c>
      <c r="J237">
        <v>1.9480986560662199E-2</v>
      </c>
      <c r="K237">
        <v>6.4089963325953903E-2</v>
      </c>
    </row>
    <row r="238" spans="1:11" x14ac:dyDescent="0.2">
      <c r="A238">
        <v>237</v>
      </c>
      <c r="B238">
        <v>10</v>
      </c>
      <c r="C238" t="s">
        <v>236</v>
      </c>
      <c r="D238" s="12" t="s">
        <v>912</v>
      </c>
      <c r="E238" s="20">
        <v>292</v>
      </c>
      <c r="F238" s="1">
        <v>-1.94489336452854</v>
      </c>
      <c r="G238">
        <v>2.4684612255513199E-2</v>
      </c>
      <c r="H238">
        <v>-3.4882841560104197E-2</v>
      </c>
      <c r="I238">
        <v>-2.5133492957940099E-2</v>
      </c>
      <c r="J238">
        <v>7.6551145136079898E-2</v>
      </c>
      <c r="K238">
        <v>0.217665848533523</v>
      </c>
    </row>
    <row r="239" spans="1:11" x14ac:dyDescent="0.2">
      <c r="A239">
        <v>238</v>
      </c>
      <c r="B239">
        <v>17</v>
      </c>
      <c r="C239" t="s">
        <v>237</v>
      </c>
      <c r="D239" s="12" t="s">
        <v>912</v>
      </c>
      <c r="E239" s="20">
        <v>276</v>
      </c>
      <c r="F239" s="1">
        <v>-4.4130511556292999</v>
      </c>
      <c r="G239">
        <v>7.5473838184306696E-2</v>
      </c>
      <c r="H239">
        <v>4.9949201336020398E-2</v>
      </c>
      <c r="I239">
        <v>0.14853679001203099</v>
      </c>
      <c r="J239">
        <v>7.9123775737632199E-2</v>
      </c>
      <c r="K239">
        <v>0.219233431158214</v>
      </c>
    </row>
    <row r="240" spans="1:11" x14ac:dyDescent="0.2">
      <c r="A240">
        <v>239</v>
      </c>
      <c r="B240">
        <v>2</v>
      </c>
      <c r="C240" t="s">
        <v>238</v>
      </c>
      <c r="D240" s="12" t="s">
        <v>913</v>
      </c>
      <c r="E240" s="20">
        <v>271</v>
      </c>
      <c r="F240" s="1">
        <v>-3.9686444775744798</v>
      </c>
      <c r="G240">
        <v>8.4141599261880404E-2</v>
      </c>
      <c r="H240">
        <v>9.3485220975272995E-2</v>
      </c>
      <c r="I240">
        <v>0.376903967825581</v>
      </c>
      <c r="J240">
        <v>-1.0840513789294501E-2</v>
      </c>
      <c r="K240">
        <v>-6.5666069320818005E-2</v>
      </c>
    </row>
    <row r="241" spans="1:11" x14ac:dyDescent="0.2">
      <c r="A241">
        <v>240</v>
      </c>
      <c r="B241">
        <v>6</v>
      </c>
      <c r="C241" t="s">
        <v>239</v>
      </c>
      <c r="D241" s="12" t="s">
        <v>913</v>
      </c>
      <c r="E241" s="20">
        <v>278</v>
      </c>
      <c r="F241" s="1">
        <v>2.2022509295149302</v>
      </c>
      <c r="G241">
        <v>-5.07779055247429E-2</v>
      </c>
      <c r="H241">
        <v>-1.3721777255379101E-2</v>
      </c>
      <c r="I241">
        <v>-0.106522883131395</v>
      </c>
      <c r="J241">
        <v>-1.9929092914487401E-2</v>
      </c>
      <c r="K241">
        <v>-8.6721580962937E-2</v>
      </c>
    </row>
    <row r="242" spans="1:11" x14ac:dyDescent="0.2">
      <c r="A242">
        <v>241</v>
      </c>
      <c r="B242">
        <v>19</v>
      </c>
      <c r="C242" t="s">
        <v>240</v>
      </c>
      <c r="D242" s="12" t="s">
        <v>912</v>
      </c>
      <c r="E242" s="20">
        <v>276</v>
      </c>
      <c r="F242" s="1">
        <v>-8.8927172049235104</v>
      </c>
      <c r="G242">
        <v>0.189912291144791</v>
      </c>
      <c r="H242">
        <v>0.25637083035129399</v>
      </c>
      <c r="I242">
        <v>0.832922632662772</v>
      </c>
      <c r="J242">
        <v>5.7994700253931497E-2</v>
      </c>
      <c r="K242">
        <v>0.168479027993097</v>
      </c>
    </row>
    <row r="243" spans="1:11" x14ac:dyDescent="0.2">
      <c r="A243">
        <v>242</v>
      </c>
      <c r="B243">
        <v>12</v>
      </c>
      <c r="C243" t="s">
        <v>241</v>
      </c>
      <c r="D243" s="12" t="s">
        <v>912</v>
      </c>
      <c r="E243" s="20">
        <v>296</v>
      </c>
      <c r="F243" s="1">
        <v>2.66162559736755</v>
      </c>
      <c r="G243">
        <v>-6.1832585636488302E-2</v>
      </c>
      <c r="H243">
        <v>-0.18819163848880699</v>
      </c>
      <c r="I243">
        <v>-0.53625683145276204</v>
      </c>
      <c r="J243">
        <v>-1.4419128986781E-2</v>
      </c>
      <c r="K243">
        <v>-3.7422870707716702E-2</v>
      </c>
    </row>
    <row r="244" spans="1:11" x14ac:dyDescent="0.2">
      <c r="A244">
        <v>243</v>
      </c>
      <c r="B244">
        <v>2</v>
      </c>
      <c r="C244" t="s">
        <v>242</v>
      </c>
      <c r="D244" s="12" t="s">
        <v>913</v>
      </c>
      <c r="E244" s="20">
        <v>271</v>
      </c>
      <c r="F244" s="1">
        <v>-3.69930495385583</v>
      </c>
      <c r="G244">
        <v>2.94076396912793E-2</v>
      </c>
      <c r="H244">
        <v>0.16148056432088401</v>
      </c>
      <c r="I244">
        <v>0.38421282969631998</v>
      </c>
      <c r="J244">
        <v>1.8141335686277901E-2</v>
      </c>
      <c r="K244">
        <v>3.3275600089440298E-2</v>
      </c>
    </row>
    <row r="245" spans="1:11" x14ac:dyDescent="0.2">
      <c r="A245">
        <v>244</v>
      </c>
      <c r="B245">
        <v>5</v>
      </c>
      <c r="C245" t="s">
        <v>243</v>
      </c>
      <c r="D245" s="12" t="s">
        <v>913</v>
      </c>
      <c r="E245" s="20">
        <v>275</v>
      </c>
      <c r="F245" s="1">
        <v>-3.7551611725455301</v>
      </c>
      <c r="G245">
        <v>6.1038612931233999E-2</v>
      </c>
      <c r="H245">
        <v>0.26424259242230802</v>
      </c>
      <c r="I245">
        <v>0.72923925348728003</v>
      </c>
      <c r="J245">
        <v>-1.5129035809872E-2</v>
      </c>
      <c r="K245">
        <v>-2.5468736108823501E-2</v>
      </c>
    </row>
    <row r="246" spans="1:11" x14ac:dyDescent="0.2">
      <c r="A246">
        <v>245</v>
      </c>
      <c r="B246">
        <v>18</v>
      </c>
      <c r="C246" t="s">
        <v>244</v>
      </c>
      <c r="D246" s="12" t="s">
        <v>912</v>
      </c>
      <c r="E246" s="20">
        <v>297</v>
      </c>
      <c r="F246" s="1">
        <v>-3.69218419486843</v>
      </c>
      <c r="G246">
        <v>4.9193986372913202E-2</v>
      </c>
      <c r="H246">
        <v>4.63175697672078E-2</v>
      </c>
      <c r="I246">
        <v>0.28614048409599602</v>
      </c>
      <c r="J246">
        <v>4.4216179406075903E-2</v>
      </c>
      <c r="K246">
        <v>0.146713946282264</v>
      </c>
    </row>
    <row r="247" spans="1:11" x14ac:dyDescent="0.2">
      <c r="A247">
        <v>246</v>
      </c>
      <c r="B247">
        <v>6</v>
      </c>
      <c r="C247" t="s">
        <v>245</v>
      </c>
      <c r="D247" s="12" t="s">
        <v>913</v>
      </c>
      <c r="E247" s="20">
        <v>278</v>
      </c>
      <c r="F247" s="1">
        <v>-5.6364842336098704</v>
      </c>
      <c r="G247">
        <v>7.7119524696969005E-2</v>
      </c>
      <c r="H247">
        <v>0.143982608715055</v>
      </c>
      <c r="I247">
        <v>0.39283363349336797</v>
      </c>
      <c r="J247">
        <v>-1.9462838344985699E-2</v>
      </c>
      <c r="K247">
        <v>-6.3236143300960904E-2</v>
      </c>
    </row>
    <row r="248" spans="1:11" x14ac:dyDescent="0.2">
      <c r="A248">
        <v>247</v>
      </c>
      <c r="B248">
        <v>1</v>
      </c>
      <c r="C248" t="s">
        <v>246</v>
      </c>
      <c r="D248" s="12" t="s">
        <v>913</v>
      </c>
      <c r="E248" s="20">
        <v>269</v>
      </c>
      <c r="F248" s="1">
        <v>-3.14430167812914</v>
      </c>
      <c r="G248">
        <v>5.7190512709171103E-2</v>
      </c>
      <c r="H248">
        <v>-7.6489095829001597E-2</v>
      </c>
      <c r="I248">
        <v>-0.15573769532023601</v>
      </c>
      <c r="J248">
        <v>-3.8082854407405901E-3</v>
      </c>
      <c r="K248">
        <v>-1.6735926931493401E-2</v>
      </c>
    </row>
    <row r="249" spans="1:11" x14ac:dyDescent="0.2">
      <c r="A249">
        <v>248</v>
      </c>
      <c r="B249">
        <v>10</v>
      </c>
      <c r="C249" t="s">
        <v>247</v>
      </c>
      <c r="D249" s="12" t="s">
        <v>912</v>
      </c>
      <c r="E249" s="20">
        <v>292</v>
      </c>
      <c r="F249" s="1">
        <v>-2.6130933831425001</v>
      </c>
      <c r="G249">
        <v>1.4909189499067201E-2</v>
      </c>
      <c r="H249">
        <v>-1.8145907507446001E-2</v>
      </c>
      <c r="I249">
        <v>-6.6603893794619201E-2</v>
      </c>
      <c r="J249">
        <v>3.3696413546739599E-2</v>
      </c>
      <c r="K249">
        <v>0.104008353602073</v>
      </c>
    </row>
    <row r="250" spans="1:11" x14ac:dyDescent="0.2">
      <c r="A250">
        <v>249</v>
      </c>
      <c r="B250">
        <v>10</v>
      </c>
      <c r="C250" t="s">
        <v>248</v>
      </c>
      <c r="D250" s="12" t="s">
        <v>912</v>
      </c>
      <c r="E250" s="20">
        <v>292</v>
      </c>
      <c r="F250" s="1">
        <v>-3.1664006659599102</v>
      </c>
      <c r="G250">
        <v>6.8613442439588807E-2</v>
      </c>
      <c r="H250">
        <v>-8.8859678579881293E-2</v>
      </c>
      <c r="I250">
        <v>-6.5773941249036599E-2</v>
      </c>
      <c r="J250">
        <v>3.4385072068419703E-2</v>
      </c>
      <c r="K250">
        <v>8.1634429589724694E-2</v>
      </c>
    </row>
    <row r="251" spans="1:11" x14ac:dyDescent="0.2">
      <c r="A251">
        <v>250</v>
      </c>
      <c r="B251">
        <v>16</v>
      </c>
      <c r="C251" t="s">
        <v>249</v>
      </c>
      <c r="D251" s="12" t="s">
        <v>912</v>
      </c>
      <c r="E251" s="20">
        <v>291</v>
      </c>
      <c r="F251" s="1">
        <v>-6.45728631043559</v>
      </c>
      <c r="G251">
        <v>3.1440042042911398E-2</v>
      </c>
      <c r="H251">
        <v>0.107500619689608</v>
      </c>
      <c r="I251">
        <v>0.31801969134779701</v>
      </c>
      <c r="J251">
        <v>7.6336001409062298E-2</v>
      </c>
      <c r="K251">
        <v>0.21740666416680099</v>
      </c>
    </row>
    <row r="252" spans="1:11" x14ac:dyDescent="0.2">
      <c r="A252">
        <v>251</v>
      </c>
      <c r="B252">
        <v>34</v>
      </c>
      <c r="C252" t="s">
        <v>250</v>
      </c>
      <c r="D252" s="13" t="s">
        <v>913</v>
      </c>
      <c r="E252" s="21">
        <v>189</v>
      </c>
      <c r="F252" s="1">
        <v>-6.0575339480665598</v>
      </c>
      <c r="G252">
        <v>7.7216688048311097E-2</v>
      </c>
      <c r="H252">
        <v>0.154582701866426</v>
      </c>
      <c r="I252">
        <v>0.60384023175546797</v>
      </c>
      <c r="J252">
        <v>3.0798578112447498E-3</v>
      </c>
      <c r="K252">
        <v>-1.6775062922578601E-2</v>
      </c>
    </row>
    <row r="253" spans="1:11" x14ac:dyDescent="0.2">
      <c r="A253">
        <v>252</v>
      </c>
      <c r="B253">
        <v>1</v>
      </c>
      <c r="C253" t="s">
        <v>251</v>
      </c>
      <c r="D253" s="12" t="s">
        <v>913</v>
      </c>
      <c r="E253" s="20">
        <v>269</v>
      </c>
      <c r="F253" s="1">
        <v>-8.3822512566553993</v>
      </c>
      <c r="G253">
        <v>0.12628530476626701</v>
      </c>
      <c r="H253">
        <v>2.9100506272529102E-2</v>
      </c>
      <c r="I253">
        <v>0.174572531111094</v>
      </c>
      <c r="J253">
        <v>1.45288328426138E-2</v>
      </c>
      <c r="K253">
        <v>2.59863883103062E-2</v>
      </c>
    </row>
    <row r="254" spans="1:11" x14ac:dyDescent="0.2">
      <c r="A254">
        <v>253</v>
      </c>
      <c r="B254">
        <v>22</v>
      </c>
      <c r="C254" t="s">
        <v>252</v>
      </c>
      <c r="D254" s="13" t="s">
        <v>913</v>
      </c>
      <c r="E254" s="21">
        <v>173</v>
      </c>
      <c r="F254" s="1">
        <v>2.6262200172848802</v>
      </c>
      <c r="G254">
        <v>1.2966749580231701E-2</v>
      </c>
      <c r="H254">
        <v>7.4407882730684605E-2</v>
      </c>
      <c r="I254">
        <v>0.37403510899586601</v>
      </c>
      <c r="J254">
        <v>3.5400045215914701E-2</v>
      </c>
      <c r="K254">
        <v>8.2611641282853004E-2</v>
      </c>
    </row>
    <row r="255" spans="1:11" x14ac:dyDescent="0.2">
      <c r="A255">
        <v>254</v>
      </c>
      <c r="B255">
        <v>11</v>
      </c>
      <c r="C255" t="s">
        <v>253</v>
      </c>
      <c r="D255" s="12" t="s">
        <v>912</v>
      </c>
      <c r="E255" s="20">
        <v>303</v>
      </c>
      <c r="F255" s="1">
        <v>-6.4973635768927904</v>
      </c>
      <c r="G255">
        <v>8.3981911642284704E-2</v>
      </c>
      <c r="H255">
        <v>2.5398206596112201E-2</v>
      </c>
      <c r="I255">
        <v>0.24415680864460801</v>
      </c>
      <c r="J255">
        <v>4.9759789699714299E-2</v>
      </c>
      <c r="K255">
        <v>0.13311091406028999</v>
      </c>
    </row>
    <row r="256" spans="1:11" x14ac:dyDescent="0.2">
      <c r="A256">
        <v>255</v>
      </c>
      <c r="B256">
        <v>50</v>
      </c>
      <c r="C256" t="s">
        <v>254</v>
      </c>
      <c r="D256" s="13" t="s">
        <v>912</v>
      </c>
      <c r="E256" s="21">
        <v>172</v>
      </c>
      <c r="F256" s="1">
        <v>3.9526544555612202</v>
      </c>
      <c r="G256">
        <v>-6.6023439746957305E-2</v>
      </c>
      <c r="H256">
        <v>-2.6458677520068599E-2</v>
      </c>
      <c r="I256">
        <v>-0.396667894920613</v>
      </c>
      <c r="J256">
        <v>-5.1436453540303198E-2</v>
      </c>
      <c r="K256">
        <v>-0.114572238439201</v>
      </c>
    </row>
    <row r="257" spans="1:11" x14ac:dyDescent="0.2">
      <c r="A257">
        <v>256</v>
      </c>
      <c r="B257">
        <v>2</v>
      </c>
      <c r="C257" t="s">
        <v>255</v>
      </c>
      <c r="D257" s="12" t="s">
        <v>913</v>
      </c>
      <c r="E257" s="20">
        <v>271</v>
      </c>
      <c r="F257" s="1">
        <v>-8.4321965479020307</v>
      </c>
      <c r="G257">
        <v>9.6551383748432501E-2</v>
      </c>
      <c r="H257">
        <v>0.26019865015496602</v>
      </c>
      <c r="I257">
        <v>0.82302919438482602</v>
      </c>
      <c r="J257">
        <v>1.7034106994670801E-2</v>
      </c>
      <c r="K257">
        <v>4.1791959979608502E-2</v>
      </c>
    </row>
    <row r="258" spans="1:11" x14ac:dyDescent="0.2">
      <c r="A258">
        <v>257</v>
      </c>
      <c r="B258">
        <v>50</v>
      </c>
      <c r="C258" t="s">
        <v>256</v>
      </c>
      <c r="D258" s="13" t="s">
        <v>912</v>
      </c>
      <c r="E258" s="21">
        <v>172</v>
      </c>
      <c r="F258" s="1">
        <v>2.5446282989502098</v>
      </c>
      <c r="G258">
        <v>-2.0196220053347098E-2</v>
      </c>
      <c r="H258">
        <v>3.4490206955190103E-2</v>
      </c>
      <c r="I258">
        <v>-0.16424698937882401</v>
      </c>
      <c r="J258">
        <v>-7.0488399646272598E-2</v>
      </c>
      <c r="K258">
        <v>-0.13119132887370499</v>
      </c>
    </row>
    <row r="259" spans="1:11" x14ac:dyDescent="0.2">
      <c r="A259">
        <v>258</v>
      </c>
      <c r="B259">
        <v>17</v>
      </c>
      <c r="C259" t="s">
        <v>257</v>
      </c>
      <c r="D259" s="12" t="s">
        <v>912</v>
      </c>
      <c r="E259" s="20">
        <v>276</v>
      </c>
      <c r="F259" s="1">
        <v>-5.9251179351509604</v>
      </c>
      <c r="G259">
        <v>9.4801433233189195E-2</v>
      </c>
      <c r="H259">
        <v>7.5683901839011899E-2</v>
      </c>
      <c r="I259">
        <v>0.27688517318186101</v>
      </c>
      <c r="J259">
        <v>7.5171329614197105E-2</v>
      </c>
      <c r="K259">
        <v>0.208778170727111</v>
      </c>
    </row>
    <row r="260" spans="1:11" x14ac:dyDescent="0.2">
      <c r="A260">
        <v>259</v>
      </c>
      <c r="B260">
        <v>24</v>
      </c>
      <c r="C260" t="s">
        <v>258</v>
      </c>
      <c r="D260" s="13" t="s">
        <v>913</v>
      </c>
      <c r="E260" s="21">
        <v>239</v>
      </c>
      <c r="F260" s="1">
        <v>-4.23272187309058</v>
      </c>
      <c r="G260">
        <v>8.7813601936544194E-2</v>
      </c>
      <c r="H260">
        <v>0.31596485369645699</v>
      </c>
      <c r="I260">
        <v>0.88271723568636495</v>
      </c>
      <c r="J260">
        <v>8.9500401421937596E-3</v>
      </c>
      <c r="K260">
        <v>8.0979200173630708E-3</v>
      </c>
    </row>
    <row r="261" spans="1:11" x14ac:dyDescent="0.2">
      <c r="A261">
        <v>260</v>
      </c>
      <c r="B261">
        <v>11</v>
      </c>
      <c r="C261" t="s">
        <v>259</v>
      </c>
      <c r="D261" s="12" t="s">
        <v>912</v>
      </c>
      <c r="E261" s="20">
        <v>303</v>
      </c>
      <c r="F261" s="1">
        <v>-5.4393037740793302</v>
      </c>
      <c r="G261">
        <v>4.9953826186072102E-2</v>
      </c>
      <c r="H261">
        <v>-5.3171238300872396E-4</v>
      </c>
      <c r="I261">
        <v>0.18744887391269099</v>
      </c>
      <c r="J261">
        <v>4.5968006075257202E-2</v>
      </c>
      <c r="K261">
        <v>0.118305162701176</v>
      </c>
    </row>
    <row r="262" spans="1:11" x14ac:dyDescent="0.2">
      <c r="A262">
        <v>261</v>
      </c>
      <c r="B262">
        <v>42</v>
      </c>
      <c r="C262" t="s">
        <v>260</v>
      </c>
      <c r="D262" s="13" t="s">
        <v>912</v>
      </c>
      <c r="E262" s="21">
        <v>185</v>
      </c>
      <c r="F262" s="1">
        <v>4.16268036774024</v>
      </c>
      <c r="G262">
        <v>-1.27863908627805E-2</v>
      </c>
      <c r="H262">
        <v>7.3776658554607896E-2</v>
      </c>
      <c r="I262">
        <v>4.1880120038233397E-3</v>
      </c>
      <c r="J262">
        <v>7.8717710385092805E-3</v>
      </c>
      <c r="K262">
        <v>4.1451279239593103E-2</v>
      </c>
    </row>
    <row r="263" spans="1:11" x14ac:dyDescent="0.2">
      <c r="A263">
        <v>262</v>
      </c>
      <c r="B263">
        <v>14</v>
      </c>
      <c r="C263" t="s">
        <v>261</v>
      </c>
      <c r="D263" s="12" t="s">
        <v>912</v>
      </c>
      <c r="E263" s="20">
        <v>292</v>
      </c>
      <c r="F263" s="1">
        <v>-3.06053126746</v>
      </c>
      <c r="G263">
        <v>7.1155649166924698E-2</v>
      </c>
      <c r="H263">
        <v>0.21451206200418799</v>
      </c>
      <c r="I263">
        <v>0.50354748575036501</v>
      </c>
      <c r="J263">
        <v>4.0664754645651703E-2</v>
      </c>
      <c r="K263">
        <v>0.119804203959104</v>
      </c>
    </row>
    <row r="264" spans="1:11" x14ac:dyDescent="0.2">
      <c r="A264">
        <v>263</v>
      </c>
      <c r="B264">
        <v>34</v>
      </c>
      <c r="C264" t="s">
        <v>262</v>
      </c>
      <c r="D264" s="13" t="s">
        <v>913</v>
      </c>
      <c r="E264" s="21">
        <v>189</v>
      </c>
      <c r="F264" s="1">
        <v>7.9612864610941997E-2</v>
      </c>
      <c r="G264">
        <v>2.4528259124508199E-2</v>
      </c>
      <c r="H264">
        <v>8.5413373025509998E-2</v>
      </c>
      <c r="I264">
        <v>0.39133961133377498</v>
      </c>
      <c r="J264">
        <v>3.6822128015715299E-3</v>
      </c>
      <c r="K264">
        <v>-1.9325213123066801E-2</v>
      </c>
    </row>
    <row r="265" spans="1:11" x14ac:dyDescent="0.2">
      <c r="A265">
        <v>264</v>
      </c>
      <c r="B265">
        <v>15</v>
      </c>
      <c r="C265" t="s">
        <v>263</v>
      </c>
      <c r="D265" s="12" t="s">
        <v>912</v>
      </c>
      <c r="E265" s="20">
        <v>299</v>
      </c>
      <c r="F265" s="1">
        <v>-11.988002366701499</v>
      </c>
      <c r="G265">
        <v>0.134890776671757</v>
      </c>
      <c r="H265">
        <v>0.171224285992884</v>
      </c>
      <c r="I265">
        <v>0.764432355144265</v>
      </c>
      <c r="J265">
        <v>6.1277837443026603E-2</v>
      </c>
      <c r="K265">
        <v>0.15470778182543701</v>
      </c>
    </row>
    <row r="266" spans="1:11" x14ac:dyDescent="0.2">
      <c r="A266">
        <v>265</v>
      </c>
      <c r="B266">
        <v>47</v>
      </c>
      <c r="C266" t="s">
        <v>264</v>
      </c>
      <c r="D266" s="13" t="s">
        <v>912</v>
      </c>
      <c r="E266" s="21">
        <v>175</v>
      </c>
      <c r="F266" s="1">
        <v>3.4510099986220499</v>
      </c>
      <c r="G266">
        <v>-4.55479557311931E-2</v>
      </c>
      <c r="H266">
        <v>-0.120342860776933</v>
      </c>
      <c r="I266">
        <v>-0.26061270861942998</v>
      </c>
      <c r="J266">
        <v>2.8598767073018699E-2</v>
      </c>
      <c r="K266">
        <v>8.7935760846578795E-2</v>
      </c>
    </row>
    <row r="267" spans="1:11" x14ac:dyDescent="0.2">
      <c r="A267">
        <v>266</v>
      </c>
      <c r="B267">
        <v>10</v>
      </c>
      <c r="C267" t="s">
        <v>265</v>
      </c>
      <c r="D267" s="12" t="s">
        <v>912</v>
      </c>
      <c r="E267" s="20">
        <v>292</v>
      </c>
      <c r="F267" s="1">
        <v>-3.5536184614102999</v>
      </c>
      <c r="G267">
        <v>3.6614145121696397E-2</v>
      </c>
      <c r="H267">
        <v>-5.50595268946115E-2</v>
      </c>
      <c r="I267">
        <v>-8.0905987991782502E-2</v>
      </c>
      <c r="J267">
        <v>7.5487040270522998E-2</v>
      </c>
      <c r="K267">
        <v>0.22945120652843001</v>
      </c>
    </row>
    <row r="268" spans="1:11" x14ac:dyDescent="0.2">
      <c r="A268">
        <v>267</v>
      </c>
      <c r="B268">
        <v>43</v>
      </c>
      <c r="C268" t="s">
        <v>266</v>
      </c>
      <c r="D268" s="13" t="s">
        <v>912</v>
      </c>
      <c r="E268" s="21">
        <v>175</v>
      </c>
      <c r="F268" s="1">
        <v>-2.0758440226822801</v>
      </c>
      <c r="G268">
        <v>3.6547203258543298E-3</v>
      </c>
      <c r="H268">
        <v>-1.9613066056345999E-2</v>
      </c>
      <c r="I268">
        <v>7.30860121882594E-2</v>
      </c>
      <c r="J268">
        <v>2.0622388896503201E-3</v>
      </c>
      <c r="K268">
        <v>1.13304706517237E-2</v>
      </c>
    </row>
    <row r="269" spans="1:11" x14ac:dyDescent="0.2">
      <c r="A269">
        <v>268</v>
      </c>
      <c r="B269">
        <v>19</v>
      </c>
      <c r="C269" t="s">
        <v>267</v>
      </c>
      <c r="D269" s="12" t="s">
        <v>912</v>
      </c>
      <c r="E269" s="20">
        <v>276</v>
      </c>
      <c r="F269" s="1">
        <v>-10.558461223201</v>
      </c>
      <c r="G269">
        <v>0.16893081907086899</v>
      </c>
      <c r="H269">
        <v>0.25987038974005999</v>
      </c>
      <c r="I269">
        <v>0.82621139785524</v>
      </c>
      <c r="J269">
        <v>4.8512606415112298E-2</v>
      </c>
      <c r="K269">
        <v>0.128084374823146</v>
      </c>
    </row>
    <row r="270" spans="1:11" x14ac:dyDescent="0.2">
      <c r="A270">
        <v>269</v>
      </c>
      <c r="B270">
        <v>50</v>
      </c>
      <c r="C270" t="s">
        <v>268</v>
      </c>
      <c r="D270" s="13" t="s">
        <v>912</v>
      </c>
      <c r="E270" s="21">
        <v>172</v>
      </c>
      <c r="F270" s="1">
        <v>5.7388285820816503</v>
      </c>
      <c r="G270">
        <v>-7.4274504208602293E-2</v>
      </c>
      <c r="H270">
        <v>1.7521911635950901E-2</v>
      </c>
      <c r="I270">
        <v>-0.19522011366976399</v>
      </c>
      <c r="J270">
        <v>-5.1003477121650397E-2</v>
      </c>
      <c r="K270">
        <v>-0.107847703589477</v>
      </c>
    </row>
    <row r="271" spans="1:11" x14ac:dyDescent="0.2">
      <c r="A271">
        <v>270</v>
      </c>
      <c r="B271">
        <v>19</v>
      </c>
      <c r="C271" t="s">
        <v>269</v>
      </c>
      <c r="D271" s="12" t="s">
        <v>912</v>
      </c>
      <c r="E271" s="20">
        <v>276</v>
      </c>
      <c r="F271" s="1">
        <v>-10.395342504274099</v>
      </c>
      <c r="G271">
        <v>0.190486708729663</v>
      </c>
      <c r="H271">
        <v>0.21820967996391</v>
      </c>
      <c r="I271">
        <v>0.76643124240887095</v>
      </c>
      <c r="J271">
        <v>5.7765051003657399E-2</v>
      </c>
      <c r="K271">
        <v>0.17039918726766201</v>
      </c>
    </row>
    <row r="272" spans="1:11" x14ac:dyDescent="0.2">
      <c r="A272">
        <v>271</v>
      </c>
      <c r="B272">
        <v>32</v>
      </c>
      <c r="C272" t="s">
        <v>270</v>
      </c>
      <c r="D272" s="13" t="s">
        <v>913</v>
      </c>
      <c r="E272" s="21">
        <v>199</v>
      </c>
      <c r="F272" s="1">
        <v>1.67350429070381</v>
      </c>
      <c r="G272">
        <v>-2.8336665201091201E-3</v>
      </c>
      <c r="H272">
        <v>-9.14308709012812E-2</v>
      </c>
      <c r="I272">
        <v>-0.198743676884442</v>
      </c>
      <c r="J272">
        <v>1.5872604686506898E-2</v>
      </c>
      <c r="K272">
        <v>1.8607119332395901E-2</v>
      </c>
    </row>
    <row r="273" spans="1:11" x14ac:dyDescent="0.2">
      <c r="A273">
        <v>272</v>
      </c>
      <c r="B273">
        <v>19</v>
      </c>
      <c r="C273" t="s">
        <v>271</v>
      </c>
      <c r="D273" s="12" t="s">
        <v>912</v>
      </c>
      <c r="E273" s="20">
        <v>276</v>
      </c>
      <c r="F273" s="1">
        <v>-10.817016846422399</v>
      </c>
      <c r="G273">
        <v>0.208071420134158</v>
      </c>
      <c r="H273">
        <v>0.24667480771594499</v>
      </c>
      <c r="I273">
        <v>0.78524749077836997</v>
      </c>
      <c r="J273">
        <v>7.3334006906180305E-2</v>
      </c>
      <c r="K273">
        <v>0.20304423104039099</v>
      </c>
    </row>
    <row r="274" spans="1:11" x14ac:dyDescent="0.2">
      <c r="A274">
        <v>273</v>
      </c>
      <c r="B274">
        <v>5</v>
      </c>
      <c r="C274" t="s">
        <v>272</v>
      </c>
      <c r="D274" s="12" t="s">
        <v>913</v>
      </c>
      <c r="E274" s="20">
        <v>275</v>
      </c>
      <c r="F274" s="1">
        <v>-8.7365482568296002</v>
      </c>
      <c r="G274">
        <v>7.4319140991644994E-2</v>
      </c>
      <c r="H274">
        <v>0.319360624912156</v>
      </c>
      <c r="I274">
        <v>0.905892106617745</v>
      </c>
      <c r="J274">
        <v>-3.5075766717688903E-2</v>
      </c>
      <c r="K274">
        <v>-7.2788750781560094E-2</v>
      </c>
    </row>
    <row r="275" spans="1:11" x14ac:dyDescent="0.2">
      <c r="A275">
        <v>274</v>
      </c>
      <c r="B275">
        <v>2</v>
      </c>
      <c r="C275" t="s">
        <v>273</v>
      </c>
      <c r="D275" s="12" t="s">
        <v>913</v>
      </c>
      <c r="E275" s="20">
        <v>271</v>
      </c>
      <c r="F275" s="1">
        <v>5.1209613549980704</v>
      </c>
      <c r="G275">
        <v>-7.9803170729550996E-2</v>
      </c>
      <c r="H275">
        <v>-0.19281267952839601</v>
      </c>
      <c r="I275">
        <v>-0.50081989241494196</v>
      </c>
      <c r="J275">
        <v>-1.7258547779903999E-3</v>
      </c>
      <c r="K275">
        <v>-1.7163341712225898E-2</v>
      </c>
    </row>
    <row r="276" spans="1:11" x14ac:dyDescent="0.2">
      <c r="A276">
        <v>275</v>
      </c>
      <c r="B276">
        <v>2</v>
      </c>
      <c r="C276" t="s">
        <v>274</v>
      </c>
      <c r="D276" s="12" t="s">
        <v>913</v>
      </c>
      <c r="E276" s="20">
        <v>271</v>
      </c>
      <c r="F276" s="1">
        <v>-7.7381294013557396</v>
      </c>
      <c r="G276">
        <v>9.5215323258566895E-2</v>
      </c>
      <c r="H276">
        <v>0.21696793074728701</v>
      </c>
      <c r="I276">
        <v>0.662706989701353</v>
      </c>
      <c r="J276">
        <v>8.7335306203763993E-3</v>
      </c>
      <c r="K276">
        <v>1.9596012916555199E-2</v>
      </c>
    </row>
    <row r="277" spans="1:11" x14ac:dyDescent="0.2">
      <c r="A277">
        <v>276</v>
      </c>
      <c r="B277">
        <v>6</v>
      </c>
      <c r="C277" t="s">
        <v>275</v>
      </c>
      <c r="D277" s="12" t="s">
        <v>913</v>
      </c>
      <c r="E277" s="20">
        <v>278</v>
      </c>
      <c r="F277" s="1">
        <v>-1.0526180335006801</v>
      </c>
      <c r="G277">
        <v>8.7738187898693705E-3</v>
      </c>
      <c r="H277">
        <v>4.6469107290304699E-2</v>
      </c>
      <c r="I277">
        <v>8.8737804817527494E-2</v>
      </c>
      <c r="J277">
        <v>-1.61455273154942E-2</v>
      </c>
      <c r="K277">
        <v>-6.3518012605830607E-2</v>
      </c>
    </row>
    <row r="278" spans="1:11" x14ac:dyDescent="0.2">
      <c r="A278">
        <v>277</v>
      </c>
      <c r="B278">
        <v>10</v>
      </c>
      <c r="C278" t="s">
        <v>276</v>
      </c>
      <c r="D278" s="12" t="s">
        <v>912</v>
      </c>
      <c r="E278" s="20">
        <v>292</v>
      </c>
      <c r="F278" s="1">
        <v>-3.6667358602351601</v>
      </c>
      <c r="G278">
        <v>0.124974321709883</v>
      </c>
      <c r="H278">
        <v>1.54271666131253E-2</v>
      </c>
      <c r="I278">
        <v>-9.6752899656987398E-4</v>
      </c>
      <c r="J278">
        <v>2.49163694888981E-2</v>
      </c>
      <c r="K278">
        <v>9.3651918214287297E-2</v>
      </c>
    </row>
    <row r="279" spans="1:11" x14ac:dyDescent="0.2">
      <c r="A279">
        <v>278</v>
      </c>
      <c r="B279">
        <v>5</v>
      </c>
      <c r="C279" t="s">
        <v>277</v>
      </c>
      <c r="D279" s="12" t="s">
        <v>913</v>
      </c>
      <c r="E279" s="20">
        <v>275</v>
      </c>
      <c r="F279" s="1">
        <v>-4.1434630644826598</v>
      </c>
      <c r="G279">
        <v>6.5277187714837606E-2</v>
      </c>
      <c r="H279">
        <v>0.14001849908280101</v>
      </c>
      <c r="I279">
        <v>0.37361459032319</v>
      </c>
      <c r="J279">
        <v>-2.3599190347127499E-3</v>
      </c>
      <c r="K279">
        <v>-2.74837606716655E-2</v>
      </c>
    </row>
    <row r="280" spans="1:11" x14ac:dyDescent="0.2">
      <c r="A280">
        <v>279</v>
      </c>
      <c r="B280">
        <v>17</v>
      </c>
      <c r="C280" t="s">
        <v>278</v>
      </c>
      <c r="D280" s="12" t="s">
        <v>912</v>
      </c>
      <c r="E280" s="20">
        <v>276</v>
      </c>
      <c r="F280" s="1">
        <v>-6.1287265030964502</v>
      </c>
      <c r="G280">
        <v>9.8380875223554404E-2</v>
      </c>
      <c r="H280">
        <v>7.0048342815027004E-2</v>
      </c>
      <c r="I280">
        <v>0.28406567839913599</v>
      </c>
      <c r="J280">
        <v>6.7120097648422E-2</v>
      </c>
      <c r="K280">
        <v>0.183415947258077</v>
      </c>
    </row>
    <row r="281" spans="1:11" x14ac:dyDescent="0.2">
      <c r="A281">
        <v>280</v>
      </c>
      <c r="B281">
        <v>6</v>
      </c>
      <c r="C281" t="s">
        <v>279</v>
      </c>
      <c r="D281" s="12" t="s">
        <v>913</v>
      </c>
      <c r="E281" s="20">
        <v>278</v>
      </c>
      <c r="F281" s="1">
        <v>-5.2219688432900204</v>
      </c>
      <c r="G281">
        <v>8.0994689988198101E-2</v>
      </c>
      <c r="H281">
        <v>8.4156795850469104E-2</v>
      </c>
      <c r="I281">
        <v>0.34223024633194998</v>
      </c>
      <c r="J281">
        <v>9.6724377966724197E-3</v>
      </c>
      <c r="K281">
        <v>2.4560896754682801E-2</v>
      </c>
    </row>
    <row r="282" spans="1:11" x14ac:dyDescent="0.2">
      <c r="A282">
        <v>281</v>
      </c>
      <c r="B282">
        <v>2</v>
      </c>
      <c r="C282" t="s">
        <v>280</v>
      </c>
      <c r="D282" s="12" t="s">
        <v>913</v>
      </c>
      <c r="E282" s="20">
        <v>271</v>
      </c>
      <c r="F282" s="1">
        <v>7.5573391181862704</v>
      </c>
      <c r="G282">
        <v>-9.9667242750382606E-2</v>
      </c>
      <c r="H282">
        <v>-0.223972958110429</v>
      </c>
      <c r="I282">
        <v>-0.61420748511137002</v>
      </c>
      <c r="J282">
        <v>-6.7268765790389502E-3</v>
      </c>
      <c r="K282">
        <v>-2.8336182812258599E-2</v>
      </c>
    </row>
    <row r="283" spans="1:11" x14ac:dyDescent="0.2">
      <c r="A283">
        <v>282</v>
      </c>
      <c r="B283">
        <v>7</v>
      </c>
      <c r="C283" t="s">
        <v>281</v>
      </c>
      <c r="D283" s="12" t="s">
        <v>913</v>
      </c>
      <c r="E283" s="20">
        <v>278</v>
      </c>
      <c r="F283" s="1">
        <v>-2.3243838315507799</v>
      </c>
      <c r="G283">
        <v>4.6080197182719398E-2</v>
      </c>
      <c r="H283">
        <v>-6.6171175030802998E-2</v>
      </c>
      <c r="I283">
        <v>-6.1437017627958702E-2</v>
      </c>
      <c r="J283">
        <v>1.2129978270804299E-3</v>
      </c>
      <c r="K283">
        <v>-9.8946771175162408E-3</v>
      </c>
    </row>
    <row r="284" spans="1:11" x14ac:dyDescent="0.2">
      <c r="A284">
        <v>283</v>
      </c>
      <c r="B284">
        <v>17</v>
      </c>
      <c r="C284" t="s">
        <v>282</v>
      </c>
      <c r="D284" s="12" t="s">
        <v>912</v>
      </c>
      <c r="E284" s="20">
        <v>276</v>
      </c>
      <c r="F284" s="1">
        <v>-7.6541617875165304</v>
      </c>
      <c r="G284">
        <v>7.5012699886082598E-2</v>
      </c>
      <c r="H284">
        <v>7.9260645579892194E-2</v>
      </c>
      <c r="I284">
        <v>0.186394882099402</v>
      </c>
      <c r="J284">
        <v>6.4514835571603105E-2</v>
      </c>
      <c r="K284">
        <v>0.16990714275246899</v>
      </c>
    </row>
    <row r="285" spans="1:11" x14ac:dyDescent="0.2">
      <c r="A285">
        <v>284</v>
      </c>
      <c r="B285">
        <v>16</v>
      </c>
      <c r="C285" t="s">
        <v>283</v>
      </c>
      <c r="D285" s="12" t="s">
        <v>912</v>
      </c>
      <c r="E285" s="20">
        <v>291</v>
      </c>
      <c r="F285" s="1">
        <v>-3.44815347832286</v>
      </c>
      <c r="G285">
        <v>3.4091281923809502E-2</v>
      </c>
      <c r="H285">
        <v>-6.2589498714003794E-2</v>
      </c>
      <c r="I285">
        <v>-0.100116360319919</v>
      </c>
      <c r="J285">
        <v>2.2462831572086801E-2</v>
      </c>
      <c r="K285">
        <v>6.1500220951598898E-2</v>
      </c>
    </row>
    <row r="286" spans="1:11" x14ac:dyDescent="0.2">
      <c r="A286">
        <v>285</v>
      </c>
      <c r="B286">
        <v>6</v>
      </c>
      <c r="C286" t="s">
        <v>284</v>
      </c>
      <c r="D286" s="12" t="s">
        <v>913</v>
      </c>
      <c r="E286" s="20">
        <v>278</v>
      </c>
      <c r="F286" s="1">
        <v>-2.7055822543703099</v>
      </c>
      <c r="G286">
        <v>7.5124357974848302E-2</v>
      </c>
      <c r="H286">
        <v>0.19432825895554401</v>
      </c>
      <c r="I286">
        <v>0.53776554917969399</v>
      </c>
      <c r="J286">
        <v>-3.2453210394783903E-2</v>
      </c>
      <c r="K286">
        <v>-0.12969842501492501</v>
      </c>
    </row>
    <row r="287" spans="1:11" x14ac:dyDescent="0.2">
      <c r="A287">
        <v>286</v>
      </c>
      <c r="B287">
        <v>11</v>
      </c>
      <c r="C287" t="s">
        <v>285</v>
      </c>
      <c r="D287" s="12" t="s">
        <v>912</v>
      </c>
      <c r="E287" s="20">
        <v>303</v>
      </c>
      <c r="F287" s="1">
        <v>3.2155112046469099</v>
      </c>
      <c r="G287">
        <v>-6.21928776754649E-2</v>
      </c>
      <c r="H287">
        <v>-0.25197425853240801</v>
      </c>
      <c r="I287">
        <v>-0.541657042713236</v>
      </c>
      <c r="J287">
        <v>3.9776392536355698E-3</v>
      </c>
      <c r="K287">
        <v>1.92034295019788E-2</v>
      </c>
    </row>
    <row r="288" spans="1:11" x14ac:dyDescent="0.2">
      <c r="A288">
        <v>287</v>
      </c>
      <c r="B288">
        <v>1</v>
      </c>
      <c r="C288" t="s">
        <v>286</v>
      </c>
      <c r="D288" s="12" t="s">
        <v>913</v>
      </c>
      <c r="E288" s="20">
        <v>269</v>
      </c>
      <c r="F288" s="1">
        <v>-6.0759721539542602</v>
      </c>
      <c r="G288">
        <v>0.104459374395166</v>
      </c>
      <c r="H288">
        <v>-9.0800636975388697E-3</v>
      </c>
      <c r="I288">
        <v>3.22557454944436E-3</v>
      </c>
      <c r="J288">
        <v>-6.0428361644294503E-3</v>
      </c>
      <c r="K288">
        <v>-4.6505702607128503E-2</v>
      </c>
    </row>
    <row r="289" spans="1:11" x14ac:dyDescent="0.2">
      <c r="A289">
        <v>288</v>
      </c>
      <c r="B289">
        <v>6</v>
      </c>
      <c r="C289" t="s">
        <v>287</v>
      </c>
      <c r="D289" s="12" t="s">
        <v>913</v>
      </c>
      <c r="E289" s="20">
        <v>278</v>
      </c>
      <c r="F289" s="1">
        <v>-6.7116005449388396</v>
      </c>
      <c r="G289">
        <v>0.11398789821973999</v>
      </c>
      <c r="H289">
        <v>0.175863963120242</v>
      </c>
      <c r="I289">
        <v>0.45852111298234</v>
      </c>
      <c r="J289">
        <v>-2.4383124211441402E-3</v>
      </c>
      <c r="K289">
        <v>-4.5348546433769801E-2</v>
      </c>
    </row>
    <row r="290" spans="1:11" x14ac:dyDescent="0.2">
      <c r="A290">
        <v>289</v>
      </c>
      <c r="B290">
        <v>2</v>
      </c>
      <c r="C290" t="s">
        <v>288</v>
      </c>
      <c r="D290" s="12" t="s">
        <v>913</v>
      </c>
      <c r="E290" s="20">
        <v>271</v>
      </c>
      <c r="F290" s="1">
        <v>-8.4244078978257999</v>
      </c>
      <c r="G290">
        <v>5.2362254324830201E-2</v>
      </c>
      <c r="H290">
        <v>0.20610622103453499</v>
      </c>
      <c r="I290">
        <v>0.60100597800899502</v>
      </c>
      <c r="J290">
        <v>1.7714074827215601E-2</v>
      </c>
      <c r="K290">
        <v>5.1133688665258699E-2</v>
      </c>
    </row>
    <row r="291" spans="1:11" x14ac:dyDescent="0.2">
      <c r="A291">
        <v>290</v>
      </c>
      <c r="B291">
        <v>5</v>
      </c>
      <c r="C291" t="s">
        <v>289</v>
      </c>
      <c r="D291" s="12" t="s">
        <v>913</v>
      </c>
      <c r="E291" s="20">
        <v>275</v>
      </c>
      <c r="F291" s="1">
        <v>-7.6513942092702196</v>
      </c>
      <c r="G291">
        <v>0.111856666947766</v>
      </c>
      <c r="H291">
        <v>0.32858760996543501</v>
      </c>
      <c r="I291">
        <v>1.02368862767649</v>
      </c>
      <c r="J291">
        <v>-4.8409526142487003E-2</v>
      </c>
      <c r="K291">
        <v>-0.13029840546122201</v>
      </c>
    </row>
    <row r="292" spans="1:11" x14ac:dyDescent="0.2">
      <c r="A292">
        <v>291</v>
      </c>
      <c r="B292">
        <v>16</v>
      </c>
      <c r="C292" t="s">
        <v>290</v>
      </c>
      <c r="D292" s="12" t="s">
        <v>912</v>
      </c>
      <c r="E292" s="20">
        <v>291</v>
      </c>
      <c r="F292" s="1">
        <v>-5.0432421095009401</v>
      </c>
      <c r="G292">
        <v>2.5506260053146299E-2</v>
      </c>
      <c r="H292">
        <v>3.04351444607057E-2</v>
      </c>
      <c r="I292">
        <v>0.16698791637899499</v>
      </c>
      <c r="J292">
        <v>6.2725657372986396E-2</v>
      </c>
      <c r="K292">
        <v>0.18378940678219999</v>
      </c>
    </row>
    <row r="293" spans="1:11" x14ac:dyDescent="0.2">
      <c r="A293">
        <v>292</v>
      </c>
      <c r="B293">
        <v>7</v>
      </c>
      <c r="C293" t="s">
        <v>291</v>
      </c>
      <c r="D293" s="12" t="s">
        <v>913</v>
      </c>
      <c r="E293" s="20">
        <v>278</v>
      </c>
      <c r="F293" s="1">
        <v>1.76838120790366</v>
      </c>
      <c r="G293">
        <v>-4.0382997406922701E-2</v>
      </c>
      <c r="H293">
        <v>-8.4220146123562101E-2</v>
      </c>
      <c r="I293">
        <v>-0.18351022978216799</v>
      </c>
      <c r="J293">
        <v>-2.2376739336479501E-3</v>
      </c>
      <c r="K293">
        <v>-1.38043029832545E-2</v>
      </c>
    </row>
    <row r="294" spans="1:11" x14ac:dyDescent="0.2">
      <c r="A294">
        <v>293</v>
      </c>
      <c r="B294">
        <v>7</v>
      </c>
      <c r="C294" t="s">
        <v>292</v>
      </c>
      <c r="D294" s="12" t="s">
        <v>913</v>
      </c>
      <c r="E294" s="20">
        <v>278</v>
      </c>
      <c r="F294" s="1">
        <v>2.86760531808598</v>
      </c>
      <c r="G294">
        <v>-4.82468152198373E-2</v>
      </c>
      <c r="H294">
        <v>-0.152006006339126</v>
      </c>
      <c r="I294">
        <v>-0.379591761997221</v>
      </c>
      <c r="J294">
        <v>5.1121534599435697E-3</v>
      </c>
      <c r="K294">
        <v>2.4660518104526498E-3</v>
      </c>
    </row>
    <row r="295" spans="1:11" x14ac:dyDescent="0.2">
      <c r="A295">
        <v>294</v>
      </c>
      <c r="B295">
        <v>15</v>
      </c>
      <c r="C295" t="s">
        <v>293</v>
      </c>
      <c r="D295" s="12" t="s">
        <v>912</v>
      </c>
      <c r="E295" s="20">
        <v>299</v>
      </c>
      <c r="F295" s="1">
        <v>-10.3131466879921</v>
      </c>
      <c r="G295">
        <v>0.12567855060862501</v>
      </c>
      <c r="H295">
        <v>0.184438519155355</v>
      </c>
      <c r="I295">
        <v>0.72733778822701001</v>
      </c>
      <c r="J295">
        <v>7.0333123081221804E-2</v>
      </c>
      <c r="K295">
        <v>0.19559246304125899</v>
      </c>
    </row>
    <row r="296" spans="1:11" x14ac:dyDescent="0.2">
      <c r="A296">
        <v>295</v>
      </c>
      <c r="B296">
        <v>15</v>
      </c>
      <c r="C296" t="s">
        <v>294</v>
      </c>
      <c r="D296" s="12" t="s">
        <v>912</v>
      </c>
      <c r="E296" s="20">
        <v>299</v>
      </c>
      <c r="F296" s="1">
        <v>-1.5610255400008399</v>
      </c>
      <c r="G296">
        <v>-4.32894632250128E-2</v>
      </c>
      <c r="H296">
        <v>-5.6297425192796E-2</v>
      </c>
      <c r="I296">
        <v>-0.103143542186865</v>
      </c>
      <c r="J296">
        <v>3.00947039026359E-2</v>
      </c>
      <c r="K296">
        <v>7.0802193966401694E-2</v>
      </c>
    </row>
    <row r="297" spans="1:11" x14ac:dyDescent="0.2">
      <c r="A297">
        <v>296</v>
      </c>
      <c r="B297">
        <v>14</v>
      </c>
      <c r="C297" t="s">
        <v>295</v>
      </c>
      <c r="D297" s="12" t="s">
        <v>912</v>
      </c>
      <c r="E297" s="20">
        <v>292</v>
      </c>
      <c r="F297" s="1">
        <v>-6.6222607230496804</v>
      </c>
      <c r="G297">
        <v>0.107314529936576</v>
      </c>
      <c r="H297">
        <v>0.31046698680550799</v>
      </c>
      <c r="I297">
        <v>0.61778871002837499</v>
      </c>
      <c r="J297">
        <v>2.1329143300370602E-2</v>
      </c>
      <c r="K297">
        <v>5.7093820717126098E-2</v>
      </c>
    </row>
    <row r="298" spans="1:11" x14ac:dyDescent="0.2">
      <c r="A298">
        <v>297</v>
      </c>
      <c r="B298">
        <v>4</v>
      </c>
      <c r="C298" t="s">
        <v>296</v>
      </c>
      <c r="D298" s="12" t="s">
        <v>913</v>
      </c>
      <c r="E298" s="20">
        <v>271</v>
      </c>
      <c r="F298" s="1">
        <v>-1.7980939980678901</v>
      </c>
      <c r="G298">
        <v>8.1830078982639706E-2</v>
      </c>
      <c r="H298">
        <v>0.16999674816770599</v>
      </c>
      <c r="I298">
        <v>0.52153991164979296</v>
      </c>
      <c r="J298">
        <v>-3.5219854141085499E-2</v>
      </c>
      <c r="K298">
        <v>-0.13079906478971601</v>
      </c>
    </row>
    <row r="299" spans="1:11" x14ac:dyDescent="0.2">
      <c r="A299">
        <v>298</v>
      </c>
      <c r="B299">
        <v>50</v>
      </c>
      <c r="C299" t="s">
        <v>297</v>
      </c>
      <c r="D299" s="13" t="s">
        <v>912</v>
      </c>
      <c r="E299" s="21">
        <v>172</v>
      </c>
      <c r="F299" s="1">
        <v>1.8629820946214799</v>
      </c>
      <c r="G299">
        <v>-2.6830973450608898E-2</v>
      </c>
      <c r="H299">
        <v>-1.9658215511457001E-2</v>
      </c>
      <c r="I299">
        <v>-0.31222601670158801</v>
      </c>
      <c r="J299">
        <v>-5.9897365321823902E-2</v>
      </c>
      <c r="K299">
        <v>-0.13057936057033201</v>
      </c>
    </row>
    <row r="300" spans="1:11" x14ac:dyDescent="0.2">
      <c r="A300">
        <v>299</v>
      </c>
      <c r="B300">
        <v>10</v>
      </c>
      <c r="C300" t="s">
        <v>298</v>
      </c>
      <c r="D300" s="12" t="s">
        <v>912</v>
      </c>
      <c r="E300" s="20">
        <v>292</v>
      </c>
      <c r="F300" s="1">
        <v>-7.3512841157772897</v>
      </c>
      <c r="G300">
        <v>0.11030755954291099</v>
      </c>
      <c r="H300">
        <v>5.0897933138123401E-2</v>
      </c>
      <c r="I300">
        <v>0.118306921414535</v>
      </c>
      <c r="J300">
        <v>3.3873691473687399E-2</v>
      </c>
      <c r="K300">
        <v>9.8019028160072699E-2</v>
      </c>
    </row>
    <row r="301" spans="1:11" x14ac:dyDescent="0.2">
      <c r="A301">
        <v>300</v>
      </c>
      <c r="B301">
        <v>50</v>
      </c>
      <c r="C301" t="s">
        <v>299</v>
      </c>
      <c r="D301" s="13" t="s">
        <v>912</v>
      </c>
      <c r="E301" s="21">
        <v>172</v>
      </c>
      <c r="F301" s="1">
        <v>1.4462524361912601</v>
      </c>
      <c r="G301">
        <v>-3.5324100637677699E-2</v>
      </c>
      <c r="H301">
        <v>1.1465832438479101E-2</v>
      </c>
      <c r="I301">
        <v>-0.38524119468661899</v>
      </c>
      <c r="J301">
        <v>-4.2010077411864903E-2</v>
      </c>
      <c r="K301">
        <v>-8.8287441248664097E-2</v>
      </c>
    </row>
    <row r="302" spans="1:11" x14ac:dyDescent="0.2">
      <c r="A302">
        <v>301</v>
      </c>
      <c r="B302">
        <v>24</v>
      </c>
      <c r="C302" t="s">
        <v>300</v>
      </c>
      <c r="D302" s="13" t="s">
        <v>913</v>
      </c>
      <c r="E302" s="21">
        <v>239</v>
      </c>
      <c r="F302" s="1">
        <v>-3.4651871199589599</v>
      </c>
      <c r="G302">
        <v>5.4152269983888397E-2</v>
      </c>
      <c r="H302">
        <v>0.27093990286012298</v>
      </c>
      <c r="I302">
        <v>0.67435489168451401</v>
      </c>
      <c r="J302">
        <v>3.2125418174011101E-3</v>
      </c>
      <c r="K302">
        <v>-2.54783661351475E-2</v>
      </c>
    </row>
    <row r="303" spans="1:11" x14ac:dyDescent="0.2">
      <c r="A303">
        <v>302</v>
      </c>
      <c r="B303">
        <v>13</v>
      </c>
      <c r="C303" t="s">
        <v>301</v>
      </c>
      <c r="D303" s="12" t="s">
        <v>912</v>
      </c>
      <c r="E303" s="20">
        <v>289</v>
      </c>
      <c r="F303" s="1">
        <v>-4.2267138261585204</v>
      </c>
      <c r="G303">
        <v>7.6932187520123499E-2</v>
      </c>
      <c r="H303">
        <v>-0.12672455910458399</v>
      </c>
      <c r="I303">
        <v>-0.14841990739608901</v>
      </c>
      <c r="J303">
        <v>4.6851757599743998E-2</v>
      </c>
      <c r="K303">
        <v>0.12194338785140101</v>
      </c>
    </row>
    <row r="304" spans="1:11" x14ac:dyDescent="0.2">
      <c r="A304">
        <v>303</v>
      </c>
      <c r="B304">
        <v>34</v>
      </c>
      <c r="C304" t="s">
        <v>302</v>
      </c>
      <c r="D304" s="13" t="s">
        <v>913</v>
      </c>
      <c r="E304" s="21">
        <v>189</v>
      </c>
      <c r="F304" s="1">
        <v>-2.6780442285758701</v>
      </c>
      <c r="G304">
        <v>3.5920132712582202E-2</v>
      </c>
      <c r="H304">
        <v>9.3614994430932394E-2</v>
      </c>
      <c r="I304">
        <v>0.39966105027839199</v>
      </c>
      <c r="J304">
        <v>1.10650420349776E-2</v>
      </c>
      <c r="K304">
        <v>1.6308824887470499E-2</v>
      </c>
    </row>
    <row r="305" spans="1:11" x14ac:dyDescent="0.2">
      <c r="A305">
        <v>304</v>
      </c>
      <c r="B305">
        <v>13</v>
      </c>
      <c r="C305" t="s">
        <v>303</v>
      </c>
      <c r="D305" s="12" t="s">
        <v>912</v>
      </c>
      <c r="E305" s="20">
        <v>289</v>
      </c>
      <c r="F305" s="1">
        <v>-8.8788279091257198</v>
      </c>
      <c r="G305">
        <v>0.12906669226878001</v>
      </c>
      <c r="H305">
        <v>-1.22746678263599E-2</v>
      </c>
      <c r="I305">
        <v>0.14782003801329099</v>
      </c>
      <c r="J305">
        <v>4.41371347538995E-2</v>
      </c>
      <c r="K305">
        <v>0.124800116139291</v>
      </c>
    </row>
    <row r="306" spans="1:11" x14ac:dyDescent="0.2">
      <c r="A306">
        <v>305</v>
      </c>
      <c r="B306">
        <v>37</v>
      </c>
      <c r="C306" t="s">
        <v>304</v>
      </c>
      <c r="D306" s="13" t="s">
        <v>913</v>
      </c>
      <c r="E306" s="21">
        <v>200</v>
      </c>
      <c r="F306" s="1">
        <v>8.1731182144735204</v>
      </c>
      <c r="G306">
        <v>-7.4651379458858302E-2</v>
      </c>
      <c r="H306">
        <v>-0.19777869632421199</v>
      </c>
      <c r="I306">
        <v>-0.45470379445226</v>
      </c>
      <c r="J306">
        <v>1.23648316070135E-2</v>
      </c>
      <c r="K306">
        <v>3.8262319061113097E-2</v>
      </c>
    </row>
    <row r="307" spans="1:11" x14ac:dyDescent="0.2">
      <c r="A307">
        <v>306</v>
      </c>
      <c r="B307">
        <v>8</v>
      </c>
      <c r="C307" t="s">
        <v>305</v>
      </c>
      <c r="D307" s="12" t="s">
        <v>913</v>
      </c>
      <c r="E307" s="20">
        <v>271</v>
      </c>
      <c r="F307" s="1">
        <v>1.3811088886988601</v>
      </c>
      <c r="G307">
        <v>3.88181184875208E-2</v>
      </c>
      <c r="H307">
        <v>4.7130058965866903E-2</v>
      </c>
      <c r="I307">
        <v>0.20756008793709199</v>
      </c>
      <c r="J307">
        <v>-3.1680135791187801E-2</v>
      </c>
      <c r="K307">
        <v>-0.110925220181767</v>
      </c>
    </row>
    <row r="308" spans="1:11" x14ac:dyDescent="0.2">
      <c r="A308">
        <v>307</v>
      </c>
      <c r="B308">
        <v>49</v>
      </c>
      <c r="C308" t="s">
        <v>306</v>
      </c>
      <c r="D308" s="13" t="s">
        <v>912</v>
      </c>
      <c r="E308" s="21">
        <v>175</v>
      </c>
      <c r="F308" s="1">
        <v>2.2939763712655998</v>
      </c>
      <c r="G308">
        <v>-1.4095582025732399E-2</v>
      </c>
      <c r="H308">
        <v>-9.1442233992832495E-2</v>
      </c>
      <c r="I308">
        <v>-0.22798755062385201</v>
      </c>
      <c r="J308">
        <v>-9.6877971808230906E-3</v>
      </c>
      <c r="K308">
        <v>-3.6503693593429698E-2</v>
      </c>
    </row>
    <row r="309" spans="1:11" x14ac:dyDescent="0.2">
      <c r="A309">
        <v>308</v>
      </c>
      <c r="B309">
        <v>7</v>
      </c>
      <c r="C309" t="s">
        <v>307</v>
      </c>
      <c r="D309" s="12" t="s">
        <v>913</v>
      </c>
      <c r="E309" s="20">
        <v>278</v>
      </c>
      <c r="F309" s="1">
        <v>2.7436899843816098</v>
      </c>
      <c r="G309">
        <v>-3.9340227372429697E-2</v>
      </c>
      <c r="H309">
        <v>-0.143047196885628</v>
      </c>
      <c r="I309">
        <v>-0.32393864672883799</v>
      </c>
      <c r="J309">
        <v>-4.6431111953921297E-3</v>
      </c>
      <c r="K309">
        <v>-1.6558494646344801E-2</v>
      </c>
    </row>
    <row r="310" spans="1:11" x14ac:dyDescent="0.2">
      <c r="A310">
        <v>309</v>
      </c>
      <c r="B310">
        <v>51</v>
      </c>
      <c r="C310" t="s">
        <v>308</v>
      </c>
      <c r="D310" s="13" t="s">
        <v>912</v>
      </c>
      <c r="E310" s="21">
        <v>159</v>
      </c>
      <c r="F310" s="1">
        <v>-0.85332375740592104</v>
      </c>
      <c r="G310">
        <v>-1.4016084022583E-2</v>
      </c>
      <c r="H310">
        <v>-3.9084148240995598E-2</v>
      </c>
      <c r="I310">
        <v>-0.25175421702289302</v>
      </c>
      <c r="J310">
        <v>-2.5134238134214E-3</v>
      </c>
      <c r="K310">
        <v>-7.1303454798224098E-3</v>
      </c>
    </row>
    <row r="311" spans="1:11" x14ac:dyDescent="0.2">
      <c r="A311">
        <v>310</v>
      </c>
      <c r="B311">
        <v>48</v>
      </c>
      <c r="C311" t="s">
        <v>309</v>
      </c>
      <c r="D311" s="13" t="s">
        <v>912</v>
      </c>
      <c r="E311" s="21">
        <v>173</v>
      </c>
      <c r="F311" s="1">
        <v>1.1065747329205</v>
      </c>
      <c r="G311">
        <v>1.8736270226657099E-2</v>
      </c>
      <c r="H311">
        <v>-8.7168112466242294E-3</v>
      </c>
      <c r="I311">
        <v>0.112119931962369</v>
      </c>
      <c r="J311">
        <v>-2.6841427831417199E-3</v>
      </c>
      <c r="K311">
        <v>-1.17375659156511E-2</v>
      </c>
    </row>
    <row r="312" spans="1:11" x14ac:dyDescent="0.2">
      <c r="A312">
        <v>311</v>
      </c>
      <c r="B312">
        <v>1</v>
      </c>
      <c r="C312" t="s">
        <v>310</v>
      </c>
      <c r="D312" s="12" t="s">
        <v>913</v>
      </c>
      <c r="E312" s="20">
        <v>269</v>
      </c>
      <c r="F312" s="1">
        <v>-6.1843349171220297</v>
      </c>
      <c r="G312">
        <v>0.122022608121008</v>
      </c>
      <c r="H312">
        <v>-4.2865621672530399E-2</v>
      </c>
      <c r="I312">
        <v>-8.1431598377083206E-2</v>
      </c>
      <c r="J312">
        <v>2.1311822576303801E-2</v>
      </c>
      <c r="K312">
        <v>5.9582524590396799E-2</v>
      </c>
    </row>
    <row r="313" spans="1:11" x14ac:dyDescent="0.2">
      <c r="A313">
        <v>312</v>
      </c>
      <c r="B313">
        <v>22</v>
      </c>
      <c r="C313" t="s">
        <v>311</v>
      </c>
      <c r="D313" s="13" t="s">
        <v>913</v>
      </c>
      <c r="E313" s="21">
        <v>173</v>
      </c>
      <c r="F313" s="1">
        <v>1.9996668153239301</v>
      </c>
      <c r="G313">
        <v>-7.6033726732012202E-3</v>
      </c>
      <c r="H313">
        <v>-1.77951293846241E-2</v>
      </c>
      <c r="I313">
        <v>5.5077576638987998E-2</v>
      </c>
      <c r="J313">
        <v>5.2851021760891098E-2</v>
      </c>
      <c r="K313">
        <v>0.15470199600929399</v>
      </c>
    </row>
    <row r="314" spans="1:11" x14ac:dyDescent="0.2">
      <c r="A314">
        <v>313</v>
      </c>
      <c r="B314">
        <v>3</v>
      </c>
      <c r="C314" t="s">
        <v>312</v>
      </c>
      <c r="D314" s="12" t="s">
        <v>913</v>
      </c>
      <c r="E314" s="20">
        <v>284</v>
      </c>
      <c r="F314" s="1">
        <v>-5.0744291866684499</v>
      </c>
      <c r="G314">
        <v>6.3422667250515694E-2</v>
      </c>
      <c r="H314">
        <v>0.115145710378268</v>
      </c>
      <c r="I314">
        <v>0.200942705135494</v>
      </c>
      <c r="J314">
        <v>-4.8607876302226197E-2</v>
      </c>
      <c r="K314">
        <v>-0.163859454125415</v>
      </c>
    </row>
    <row r="315" spans="1:11" x14ac:dyDescent="0.2">
      <c r="A315">
        <v>314</v>
      </c>
      <c r="B315">
        <v>39</v>
      </c>
      <c r="C315" t="s">
        <v>313</v>
      </c>
      <c r="D315" s="13" t="s">
        <v>913</v>
      </c>
      <c r="E315" s="21">
        <v>206</v>
      </c>
      <c r="F315" s="1">
        <v>4.3537348750087004</v>
      </c>
      <c r="G315">
        <v>-8.0894196441423302E-2</v>
      </c>
      <c r="H315">
        <v>-0.204768856612597</v>
      </c>
      <c r="I315">
        <v>-0.45568225043574001</v>
      </c>
      <c r="J315">
        <v>-1.0850232910257201E-2</v>
      </c>
      <c r="K315">
        <v>-4.5181622545209001E-2</v>
      </c>
    </row>
    <row r="316" spans="1:11" x14ac:dyDescent="0.2">
      <c r="A316">
        <v>315</v>
      </c>
      <c r="B316">
        <v>5</v>
      </c>
      <c r="C316" t="s">
        <v>314</v>
      </c>
      <c r="D316" s="12" t="s">
        <v>913</v>
      </c>
      <c r="E316" s="20">
        <v>275</v>
      </c>
      <c r="F316" s="1">
        <v>-9.3344704636122202</v>
      </c>
      <c r="G316">
        <v>0.116796346069069</v>
      </c>
      <c r="H316">
        <v>0.309203759826288</v>
      </c>
      <c r="I316">
        <v>0.991051137129487</v>
      </c>
      <c r="J316">
        <v>-0.233966332798933</v>
      </c>
      <c r="K316">
        <v>-0.327705937651044</v>
      </c>
    </row>
    <row r="317" spans="1:11" x14ac:dyDescent="0.2">
      <c r="A317">
        <v>316</v>
      </c>
      <c r="B317">
        <v>40</v>
      </c>
      <c r="C317" t="s">
        <v>315</v>
      </c>
      <c r="D317" s="13" t="s">
        <v>913</v>
      </c>
      <c r="E317" s="21">
        <v>202</v>
      </c>
      <c r="F317" s="1">
        <v>-2.50281268174647</v>
      </c>
      <c r="G317">
        <v>8.0558368621028095E-2</v>
      </c>
      <c r="H317">
        <v>0.229730124712371</v>
      </c>
      <c r="I317">
        <v>0.66170800330283897</v>
      </c>
      <c r="J317">
        <v>3.29137763102966E-2</v>
      </c>
      <c r="K317">
        <v>5.1660320627641303E-2</v>
      </c>
    </row>
    <row r="318" spans="1:11" x14ac:dyDescent="0.2">
      <c r="A318">
        <v>317</v>
      </c>
      <c r="B318">
        <v>16</v>
      </c>
      <c r="C318" t="s">
        <v>316</v>
      </c>
      <c r="D318" s="12" t="s">
        <v>912</v>
      </c>
      <c r="E318" s="20">
        <v>291</v>
      </c>
      <c r="F318" s="1">
        <v>-7.54335571136206</v>
      </c>
      <c r="G318">
        <v>3.9325460682010503E-2</v>
      </c>
      <c r="H318">
        <v>4.6211939663353803E-2</v>
      </c>
      <c r="I318">
        <v>0.152238709725173</v>
      </c>
      <c r="J318">
        <v>5.16012975373819E-2</v>
      </c>
      <c r="K318">
        <v>0.123044945100796</v>
      </c>
    </row>
    <row r="319" spans="1:11" x14ac:dyDescent="0.2">
      <c r="A319">
        <v>318</v>
      </c>
      <c r="B319">
        <v>9</v>
      </c>
      <c r="C319" t="s">
        <v>317</v>
      </c>
      <c r="D319" s="12" t="s">
        <v>912</v>
      </c>
      <c r="E319" s="20">
        <v>296</v>
      </c>
      <c r="F319" s="1">
        <v>-0.92828603191967296</v>
      </c>
      <c r="G319">
        <v>-1.9893901779974498E-3</v>
      </c>
      <c r="H319">
        <v>-7.2596661822613803E-2</v>
      </c>
      <c r="I319">
        <v>-0.15593618867314901</v>
      </c>
      <c r="J319">
        <v>2.2288769258278499E-2</v>
      </c>
      <c r="K319">
        <v>7.3468763350025904E-2</v>
      </c>
    </row>
    <row r="320" spans="1:11" x14ac:dyDescent="0.2">
      <c r="A320">
        <v>319</v>
      </c>
      <c r="B320">
        <v>3</v>
      </c>
      <c r="C320" t="s">
        <v>318</v>
      </c>
      <c r="D320" s="12" t="s">
        <v>913</v>
      </c>
      <c r="E320" s="20">
        <v>284</v>
      </c>
      <c r="F320" s="1">
        <v>-2.8444793129886499</v>
      </c>
      <c r="G320">
        <v>4.8183143240644002E-2</v>
      </c>
      <c r="H320">
        <v>0.153774302221349</v>
      </c>
      <c r="I320">
        <v>0.41281622018765901</v>
      </c>
      <c r="J320">
        <v>-2.2389385956920301E-2</v>
      </c>
      <c r="K320">
        <v>-9.56202555517187E-2</v>
      </c>
    </row>
    <row r="321" spans="1:11" x14ac:dyDescent="0.2">
      <c r="A321">
        <v>320</v>
      </c>
      <c r="B321">
        <v>8</v>
      </c>
      <c r="C321" t="s">
        <v>319</v>
      </c>
      <c r="D321" s="12" t="s">
        <v>913</v>
      </c>
      <c r="E321" s="20">
        <v>271</v>
      </c>
      <c r="F321" s="1">
        <v>4.0920339499113503</v>
      </c>
      <c r="G321">
        <v>-6.9010187624508699E-3</v>
      </c>
      <c r="H321">
        <v>2.2713074051556901E-2</v>
      </c>
      <c r="I321">
        <v>0.128437401545408</v>
      </c>
      <c r="J321">
        <v>-2.6030941002268399E-2</v>
      </c>
      <c r="K321">
        <v>-0.100021596384937</v>
      </c>
    </row>
    <row r="322" spans="1:11" x14ac:dyDescent="0.2">
      <c r="A322">
        <v>321</v>
      </c>
      <c r="B322">
        <v>20</v>
      </c>
      <c r="C322" t="s">
        <v>320</v>
      </c>
      <c r="D322" s="12" t="s">
        <v>912</v>
      </c>
      <c r="E322" s="20">
        <v>289</v>
      </c>
      <c r="F322" s="1">
        <v>-1.46659234045177</v>
      </c>
      <c r="G322">
        <v>1.79393766308132E-2</v>
      </c>
      <c r="H322">
        <v>0.16612451753159099</v>
      </c>
      <c r="I322">
        <v>0.11547607292857499</v>
      </c>
      <c r="J322">
        <v>5.3967292154884303E-3</v>
      </c>
      <c r="K322">
        <v>2.2702168102751899E-2</v>
      </c>
    </row>
    <row r="323" spans="1:11" x14ac:dyDescent="0.2">
      <c r="A323">
        <v>322</v>
      </c>
      <c r="B323">
        <v>11</v>
      </c>
      <c r="C323" t="s">
        <v>321</v>
      </c>
      <c r="D323" s="12" t="s">
        <v>912</v>
      </c>
      <c r="E323" s="20">
        <v>303</v>
      </c>
      <c r="F323" s="1">
        <v>-7.8748929741171896</v>
      </c>
      <c r="G323">
        <v>2.99683422775282E-2</v>
      </c>
      <c r="H323">
        <v>5.50373501386512E-2</v>
      </c>
      <c r="I323">
        <v>0.24808232828406099</v>
      </c>
      <c r="J323">
        <v>3.8562161078848002E-2</v>
      </c>
      <c r="K323">
        <v>9.3297177915619103E-2</v>
      </c>
    </row>
    <row r="324" spans="1:11" x14ac:dyDescent="0.2">
      <c r="A324">
        <v>323</v>
      </c>
      <c r="B324">
        <v>4</v>
      </c>
      <c r="C324" t="s">
        <v>322</v>
      </c>
      <c r="D324" s="12" t="s">
        <v>913</v>
      </c>
      <c r="E324" s="20">
        <v>271</v>
      </c>
      <c r="F324" s="1">
        <v>-3.3197830291798001</v>
      </c>
      <c r="G324">
        <v>8.311082616354E-2</v>
      </c>
      <c r="H324">
        <v>0.17398742071103801</v>
      </c>
      <c r="I324">
        <v>0.58260009324552697</v>
      </c>
      <c r="J324">
        <v>-4.03496519420403E-2</v>
      </c>
      <c r="K324">
        <v>-0.13820153838369501</v>
      </c>
    </row>
    <row r="325" spans="1:11" x14ac:dyDescent="0.2">
      <c r="A325">
        <v>324</v>
      </c>
      <c r="B325">
        <v>8</v>
      </c>
      <c r="C325" t="s">
        <v>323</v>
      </c>
      <c r="D325" s="12" t="s">
        <v>913</v>
      </c>
      <c r="E325" s="20">
        <v>271</v>
      </c>
      <c r="F325" s="1">
        <v>-4.1593547766130303</v>
      </c>
      <c r="G325">
        <v>3.7009701490451997E-2</v>
      </c>
      <c r="H325">
        <v>9.4862480665581395E-2</v>
      </c>
      <c r="I325">
        <v>0.36165759169235001</v>
      </c>
      <c r="J325">
        <v>1.4680739703938799E-3</v>
      </c>
      <c r="K325">
        <v>-4.3126202464396296E-3</v>
      </c>
    </row>
    <row r="326" spans="1:11" x14ac:dyDescent="0.2">
      <c r="A326">
        <v>325</v>
      </c>
      <c r="B326">
        <v>5</v>
      </c>
      <c r="C326" t="s">
        <v>324</v>
      </c>
      <c r="D326" s="12" t="s">
        <v>913</v>
      </c>
      <c r="E326" s="20">
        <v>275</v>
      </c>
      <c r="F326" s="1">
        <v>-9.1272354917631606</v>
      </c>
      <c r="G326">
        <v>0.171137106906561</v>
      </c>
      <c r="H326">
        <v>0.37909558478970301</v>
      </c>
      <c r="I326">
        <v>1.1768474322925999</v>
      </c>
      <c r="J326">
        <v>-2.3479784231439298E-2</v>
      </c>
      <c r="K326">
        <v>-3.35326148754981E-2</v>
      </c>
    </row>
    <row r="327" spans="1:11" x14ac:dyDescent="0.2">
      <c r="A327">
        <v>326</v>
      </c>
      <c r="B327">
        <v>16</v>
      </c>
      <c r="C327" t="s">
        <v>325</v>
      </c>
      <c r="D327" s="12" t="s">
        <v>912</v>
      </c>
      <c r="E327" s="20">
        <v>291</v>
      </c>
      <c r="F327" s="1">
        <v>-8.7249637936794606</v>
      </c>
      <c r="G327">
        <v>5.8072688127859498E-2</v>
      </c>
      <c r="H327">
        <v>0.12860110637269201</v>
      </c>
      <c r="I327">
        <v>0.37703114810941102</v>
      </c>
      <c r="J327">
        <v>9.462909814895E-2</v>
      </c>
      <c r="K327">
        <v>0.28284827219493902</v>
      </c>
    </row>
    <row r="328" spans="1:11" x14ac:dyDescent="0.2">
      <c r="A328">
        <v>327</v>
      </c>
      <c r="B328">
        <v>17</v>
      </c>
      <c r="C328" t="s">
        <v>326</v>
      </c>
      <c r="D328" s="12" t="s">
        <v>912</v>
      </c>
      <c r="E328" s="20">
        <v>276</v>
      </c>
      <c r="F328" s="1">
        <v>-7.31687681413747</v>
      </c>
      <c r="G328">
        <v>8.5138662137389701E-2</v>
      </c>
      <c r="H328">
        <v>4.8745619262371503E-2</v>
      </c>
      <c r="I328">
        <v>0.105746982682364</v>
      </c>
      <c r="J328">
        <v>5.9475757814371998E-2</v>
      </c>
      <c r="K328">
        <v>0.17005931678981001</v>
      </c>
    </row>
    <row r="329" spans="1:11" x14ac:dyDescent="0.2">
      <c r="A329">
        <v>328</v>
      </c>
      <c r="B329">
        <v>5</v>
      </c>
      <c r="C329" t="s">
        <v>327</v>
      </c>
      <c r="D329" s="12" t="s">
        <v>913</v>
      </c>
      <c r="E329" s="20">
        <v>275</v>
      </c>
      <c r="F329" s="1">
        <v>-10.522486401954501</v>
      </c>
      <c r="G329">
        <v>0.134458944512925</v>
      </c>
      <c r="H329">
        <v>0.402100297230573</v>
      </c>
      <c r="I329">
        <v>1.24132554921381</v>
      </c>
      <c r="J329">
        <v>-6.9130361916846295E-2</v>
      </c>
      <c r="K329">
        <v>-0.151405491938195</v>
      </c>
    </row>
    <row r="330" spans="1:11" x14ac:dyDescent="0.2">
      <c r="A330">
        <v>329</v>
      </c>
      <c r="B330">
        <v>13</v>
      </c>
      <c r="C330" t="s">
        <v>328</v>
      </c>
      <c r="D330" s="12" t="s">
        <v>912</v>
      </c>
      <c r="E330" s="20">
        <v>289</v>
      </c>
      <c r="F330" s="1">
        <v>-2.4968712697222299</v>
      </c>
      <c r="G330">
        <v>4.3656477996155699E-2</v>
      </c>
      <c r="H330">
        <v>-0.15782805124535601</v>
      </c>
      <c r="I330">
        <v>-0.29202059591058699</v>
      </c>
      <c r="J330">
        <v>1.5692769455434401E-2</v>
      </c>
      <c r="K330">
        <v>4.92918171367355E-2</v>
      </c>
    </row>
    <row r="331" spans="1:11" x14ac:dyDescent="0.2">
      <c r="A331">
        <v>330</v>
      </c>
      <c r="B331">
        <v>1</v>
      </c>
      <c r="C331" t="s">
        <v>329</v>
      </c>
      <c r="D331" s="12" t="s">
        <v>913</v>
      </c>
      <c r="E331" s="20">
        <v>269</v>
      </c>
      <c r="F331" s="1">
        <v>-5.2136560022460703</v>
      </c>
      <c r="G331">
        <v>8.7703362149600603E-2</v>
      </c>
      <c r="H331">
        <v>-7.2504283141434506E-2</v>
      </c>
      <c r="I331">
        <v>-0.16827856418791401</v>
      </c>
      <c r="J331">
        <v>1.47679895001788E-2</v>
      </c>
      <c r="K331">
        <v>3.27666442719508E-2</v>
      </c>
    </row>
    <row r="332" spans="1:11" x14ac:dyDescent="0.2">
      <c r="A332">
        <v>331</v>
      </c>
      <c r="B332">
        <v>9</v>
      </c>
      <c r="C332" t="s">
        <v>330</v>
      </c>
      <c r="D332" s="12" t="s">
        <v>912</v>
      </c>
      <c r="E332" s="20">
        <v>296</v>
      </c>
      <c r="F332" s="1">
        <v>0.89943391930607297</v>
      </c>
      <c r="G332">
        <v>-4.4806442514204001E-2</v>
      </c>
      <c r="H332">
        <v>-0.26061492499559202</v>
      </c>
      <c r="I332">
        <v>-0.62738915668114903</v>
      </c>
      <c r="J332">
        <v>6.2581085837082898E-2</v>
      </c>
      <c r="K332">
        <v>0.178854927069062</v>
      </c>
    </row>
    <row r="333" spans="1:11" x14ac:dyDescent="0.2">
      <c r="A333">
        <v>332</v>
      </c>
      <c r="B333">
        <v>5</v>
      </c>
      <c r="C333" t="s">
        <v>331</v>
      </c>
      <c r="D333" s="12" t="s">
        <v>913</v>
      </c>
      <c r="E333" s="20">
        <v>275</v>
      </c>
      <c r="F333" s="1">
        <v>-12.5644024185432</v>
      </c>
      <c r="G333">
        <v>0.201921880911899</v>
      </c>
      <c r="H333">
        <v>0.417138970807237</v>
      </c>
      <c r="I333">
        <v>1.3340055514645901</v>
      </c>
      <c r="J333">
        <v>-2.8092014649396198E-2</v>
      </c>
      <c r="K333">
        <v>-9.8197173818901806E-2</v>
      </c>
    </row>
    <row r="334" spans="1:11" x14ac:dyDescent="0.2">
      <c r="A334">
        <v>333</v>
      </c>
      <c r="B334">
        <v>4</v>
      </c>
      <c r="C334" t="s">
        <v>332</v>
      </c>
      <c r="D334" s="12" t="s">
        <v>913</v>
      </c>
      <c r="E334" s="20">
        <v>271</v>
      </c>
      <c r="F334" s="1">
        <v>-7.1263139102674904</v>
      </c>
      <c r="G334">
        <v>0.15723204539176799</v>
      </c>
      <c r="H334">
        <v>0.28546331181712797</v>
      </c>
      <c r="I334">
        <v>0.88435165671415294</v>
      </c>
      <c r="J334">
        <v>-4.9108773137350098E-2</v>
      </c>
      <c r="K334">
        <v>-0.172547376328754</v>
      </c>
    </row>
    <row r="335" spans="1:11" x14ac:dyDescent="0.2">
      <c r="A335">
        <v>334</v>
      </c>
      <c r="B335">
        <v>4</v>
      </c>
      <c r="C335" t="s">
        <v>333</v>
      </c>
      <c r="D335" s="12" t="s">
        <v>913</v>
      </c>
      <c r="E335" s="20">
        <v>271</v>
      </c>
      <c r="F335" s="1">
        <v>-4.2218148035761702</v>
      </c>
      <c r="G335">
        <v>0.13100820675460201</v>
      </c>
      <c r="H335">
        <v>0.28097220791414101</v>
      </c>
      <c r="I335">
        <v>0.85328490286950198</v>
      </c>
      <c r="J335">
        <v>-3.3327536843853901E-2</v>
      </c>
      <c r="K335">
        <v>-0.135474813308505</v>
      </c>
    </row>
    <row r="336" spans="1:11" x14ac:dyDescent="0.2">
      <c r="A336">
        <v>335</v>
      </c>
      <c r="B336">
        <v>4</v>
      </c>
      <c r="C336" t="s">
        <v>334</v>
      </c>
      <c r="D336" s="12" t="s">
        <v>913</v>
      </c>
      <c r="E336" s="20">
        <v>271</v>
      </c>
      <c r="F336" s="1">
        <v>-6.3043474564004498</v>
      </c>
      <c r="G336">
        <v>0.12419969118426</v>
      </c>
      <c r="H336">
        <v>0.26189431404658398</v>
      </c>
      <c r="I336">
        <v>0.81435390430003596</v>
      </c>
      <c r="J336">
        <v>-5.9142920104059603E-2</v>
      </c>
      <c r="K336">
        <v>-0.188937610282328</v>
      </c>
    </row>
    <row r="337" spans="1:11" x14ac:dyDescent="0.2">
      <c r="A337">
        <v>336</v>
      </c>
      <c r="B337">
        <v>4</v>
      </c>
      <c r="C337" t="s">
        <v>335</v>
      </c>
      <c r="D337" s="12" t="s">
        <v>913</v>
      </c>
      <c r="E337" s="20">
        <v>271</v>
      </c>
      <c r="F337" s="1">
        <v>-1.37454896937658</v>
      </c>
      <c r="G337">
        <v>5.4395599080876003E-2</v>
      </c>
      <c r="H337">
        <v>0.18254700642781799</v>
      </c>
      <c r="I337">
        <v>0.53514547009318203</v>
      </c>
      <c r="J337">
        <v>-3.8293916924171598E-2</v>
      </c>
      <c r="K337">
        <v>-0.12007252646612999</v>
      </c>
    </row>
    <row r="338" spans="1:11" x14ac:dyDescent="0.2">
      <c r="A338">
        <v>337</v>
      </c>
      <c r="B338">
        <v>6</v>
      </c>
      <c r="C338" t="s">
        <v>336</v>
      </c>
      <c r="D338" s="12" t="s">
        <v>913</v>
      </c>
      <c r="E338" s="20">
        <v>278</v>
      </c>
      <c r="F338" s="1">
        <v>-1.0126031375553299</v>
      </c>
      <c r="G338">
        <v>1.9353241631320201E-2</v>
      </c>
      <c r="H338">
        <v>5.4069116147124001E-2</v>
      </c>
      <c r="I338">
        <v>0.13542515212826201</v>
      </c>
      <c r="J338">
        <v>7.7287451806500301E-3</v>
      </c>
      <c r="K338">
        <v>1.61217473019648E-3</v>
      </c>
    </row>
    <row r="339" spans="1:11" x14ac:dyDescent="0.2">
      <c r="A339">
        <v>338</v>
      </c>
      <c r="B339">
        <v>8</v>
      </c>
      <c r="C339" t="s">
        <v>337</v>
      </c>
      <c r="D339" s="12" t="s">
        <v>913</v>
      </c>
      <c r="E339" s="20">
        <v>271</v>
      </c>
      <c r="F339" s="1">
        <v>1.9364441457505099</v>
      </c>
      <c r="G339">
        <v>3.1019403198624299E-2</v>
      </c>
      <c r="H339">
        <v>8.3746908545970195E-2</v>
      </c>
      <c r="I339">
        <v>0.25604451434284897</v>
      </c>
      <c r="J339">
        <v>-2.78700311131466E-2</v>
      </c>
      <c r="K339">
        <v>-0.126409052338986</v>
      </c>
    </row>
    <row r="340" spans="1:11" x14ac:dyDescent="0.2">
      <c r="A340">
        <v>339</v>
      </c>
      <c r="B340">
        <v>4</v>
      </c>
      <c r="C340" t="s">
        <v>338</v>
      </c>
      <c r="D340" s="12" t="s">
        <v>913</v>
      </c>
      <c r="E340" s="20">
        <v>271</v>
      </c>
      <c r="F340" s="1">
        <v>-5.2970022415440798</v>
      </c>
      <c r="G340">
        <v>6.8250591083453493E-2</v>
      </c>
      <c r="H340">
        <v>0.17511290856110201</v>
      </c>
      <c r="I340">
        <v>0.41495702035403198</v>
      </c>
      <c r="J340">
        <v>-3.1595062185212498E-2</v>
      </c>
      <c r="K340">
        <v>-0.11699977854557</v>
      </c>
    </row>
    <row r="341" spans="1:11" x14ac:dyDescent="0.2">
      <c r="A341">
        <v>340</v>
      </c>
      <c r="B341">
        <v>14</v>
      </c>
      <c r="C341" t="s">
        <v>339</v>
      </c>
      <c r="D341" s="12" t="s">
        <v>912</v>
      </c>
      <c r="E341" s="20">
        <v>292</v>
      </c>
      <c r="F341" s="1">
        <v>-2.1169272674938702</v>
      </c>
      <c r="G341">
        <v>7.9757271155786097E-2</v>
      </c>
      <c r="H341">
        <v>0.25740946817077898</v>
      </c>
      <c r="I341">
        <v>0.48086025515375702</v>
      </c>
      <c r="J341">
        <v>1.9212076493225101E-2</v>
      </c>
      <c r="K341">
        <v>7.9274821731654094E-2</v>
      </c>
    </row>
    <row r="342" spans="1:11" x14ac:dyDescent="0.2">
      <c r="A342">
        <v>341</v>
      </c>
      <c r="B342">
        <v>3</v>
      </c>
      <c r="C342" t="s">
        <v>340</v>
      </c>
      <c r="D342" s="12" t="s">
        <v>913</v>
      </c>
      <c r="E342" s="20">
        <v>284</v>
      </c>
      <c r="F342" s="1">
        <v>-4.5001264191092396</v>
      </c>
      <c r="G342">
        <v>0.119424652258556</v>
      </c>
      <c r="H342">
        <v>0.26889262991949098</v>
      </c>
      <c r="I342">
        <v>0.749852633432323</v>
      </c>
      <c r="J342">
        <v>-3.4537997072715203E-2</v>
      </c>
      <c r="K342">
        <v>-0.13771921090328201</v>
      </c>
    </row>
    <row r="343" spans="1:11" x14ac:dyDescent="0.2">
      <c r="A343">
        <v>342</v>
      </c>
      <c r="B343">
        <v>11</v>
      </c>
      <c r="C343" t="s">
        <v>341</v>
      </c>
      <c r="D343" s="12" t="s">
        <v>912</v>
      </c>
      <c r="E343" s="20">
        <v>303</v>
      </c>
      <c r="F343" s="1">
        <v>0.10388169629917</v>
      </c>
      <c r="G343">
        <v>-1.6646004845651902E-2</v>
      </c>
      <c r="H343">
        <v>-0.121669480391147</v>
      </c>
      <c r="I343">
        <v>-0.243522266391062</v>
      </c>
      <c r="J343">
        <v>3.2604605186251301E-2</v>
      </c>
      <c r="K343">
        <v>8.9286404986063203E-2</v>
      </c>
    </row>
    <row r="344" spans="1:11" x14ac:dyDescent="0.2">
      <c r="A344">
        <v>343</v>
      </c>
      <c r="B344">
        <v>2</v>
      </c>
      <c r="C344" t="s">
        <v>342</v>
      </c>
      <c r="D344" s="12" t="s">
        <v>913</v>
      </c>
      <c r="E344" s="20">
        <v>271</v>
      </c>
      <c r="F344" s="1">
        <v>-5.5834252473666997</v>
      </c>
      <c r="G344">
        <v>4.4742972388873502E-2</v>
      </c>
      <c r="H344">
        <v>0.12283475464035901</v>
      </c>
      <c r="I344">
        <v>0.36961523448351702</v>
      </c>
      <c r="J344">
        <v>2.60215946074852E-2</v>
      </c>
      <c r="K344">
        <v>6.0325359358151899E-2</v>
      </c>
    </row>
    <row r="345" spans="1:11" x14ac:dyDescent="0.2">
      <c r="A345">
        <v>344</v>
      </c>
      <c r="B345">
        <v>50</v>
      </c>
      <c r="C345" t="s">
        <v>343</v>
      </c>
      <c r="D345" s="13" t="s">
        <v>912</v>
      </c>
      <c r="E345" s="21">
        <v>172</v>
      </c>
      <c r="F345" s="1">
        <v>4.11820452266661</v>
      </c>
      <c r="G345">
        <v>-4.3203406026019402E-2</v>
      </c>
      <c r="H345">
        <v>0.187443762525491</v>
      </c>
      <c r="I345">
        <v>9.1650259579936902E-2</v>
      </c>
      <c r="J345">
        <v>-2.5226375006431601E-2</v>
      </c>
      <c r="K345">
        <v>-4.53073563718192E-2</v>
      </c>
    </row>
    <row r="346" spans="1:11" x14ac:dyDescent="0.2">
      <c r="A346">
        <v>345</v>
      </c>
      <c r="B346">
        <v>27</v>
      </c>
      <c r="C346" t="s">
        <v>344</v>
      </c>
      <c r="D346" s="13" t="s">
        <v>913</v>
      </c>
      <c r="E346" s="21">
        <v>208</v>
      </c>
      <c r="F346" s="1">
        <v>4.5362116847238001</v>
      </c>
      <c r="G346">
        <v>-3.4035962916208702E-2</v>
      </c>
      <c r="H346">
        <v>-7.1215415642186003E-2</v>
      </c>
      <c r="I346">
        <v>-0.110248408934265</v>
      </c>
      <c r="J346">
        <v>-1.0995828105516299E-3</v>
      </c>
      <c r="K346">
        <v>1.32097535933282E-2</v>
      </c>
    </row>
    <row r="347" spans="1:11" x14ac:dyDescent="0.2">
      <c r="A347">
        <v>346</v>
      </c>
      <c r="B347">
        <v>13</v>
      </c>
      <c r="C347" t="s">
        <v>345</v>
      </c>
      <c r="D347" s="12" t="s">
        <v>912</v>
      </c>
      <c r="E347" s="20">
        <v>289</v>
      </c>
      <c r="F347" s="1">
        <v>-6.0543146805802497</v>
      </c>
      <c r="G347">
        <v>0.176863050217961</v>
      </c>
      <c r="H347">
        <v>-1.4447989140822E-2</v>
      </c>
      <c r="I347">
        <v>0.16926390682662801</v>
      </c>
      <c r="J347">
        <v>4.4020466585729702E-2</v>
      </c>
      <c r="K347">
        <v>0.110230599234888</v>
      </c>
    </row>
    <row r="348" spans="1:11" x14ac:dyDescent="0.2">
      <c r="A348">
        <v>347</v>
      </c>
      <c r="B348">
        <v>53</v>
      </c>
      <c r="C348" t="s">
        <v>346</v>
      </c>
      <c r="D348" s="13" t="s">
        <v>912</v>
      </c>
      <c r="E348" s="21">
        <v>161</v>
      </c>
      <c r="F348" s="1">
        <v>2.7577886962624598</v>
      </c>
      <c r="G348">
        <v>-5.26493379304303E-2</v>
      </c>
      <c r="H348">
        <v>-0.101331579134061</v>
      </c>
      <c r="I348">
        <v>-0.25283191575248498</v>
      </c>
      <c r="J348">
        <v>-4.84750802946044E-2</v>
      </c>
      <c r="K348">
        <v>-9.9925245674923099E-2</v>
      </c>
    </row>
    <row r="349" spans="1:11" x14ac:dyDescent="0.2">
      <c r="A349">
        <v>348</v>
      </c>
      <c r="B349">
        <v>36</v>
      </c>
      <c r="C349" t="s">
        <v>347</v>
      </c>
      <c r="D349" s="13" t="s">
        <v>913</v>
      </c>
      <c r="E349" s="21">
        <v>192</v>
      </c>
      <c r="F349" s="1">
        <v>5.6663027961698296</v>
      </c>
      <c r="G349">
        <v>-0.124679726800225</v>
      </c>
      <c r="H349">
        <v>-0.27610771165866799</v>
      </c>
      <c r="I349">
        <v>-0.69045213614602097</v>
      </c>
      <c r="J349">
        <v>4.7086062824122102E-2</v>
      </c>
      <c r="K349">
        <v>0.151861856101871</v>
      </c>
    </row>
    <row r="350" spans="1:11" x14ac:dyDescent="0.2">
      <c r="A350">
        <v>349</v>
      </c>
      <c r="B350">
        <v>15</v>
      </c>
      <c r="C350" t="s">
        <v>348</v>
      </c>
      <c r="D350" s="12" t="s">
        <v>912</v>
      </c>
      <c r="E350" s="20">
        <v>299</v>
      </c>
      <c r="F350" s="1">
        <v>-4.3654422600538103</v>
      </c>
      <c r="G350">
        <v>2.4721992315868802E-2</v>
      </c>
      <c r="H350">
        <v>7.8895672186693799E-2</v>
      </c>
      <c r="I350">
        <v>0.290284505045873</v>
      </c>
      <c r="J350">
        <v>3.9546140260165001E-2</v>
      </c>
      <c r="K350">
        <v>9.3413766272646206E-2</v>
      </c>
    </row>
    <row r="351" spans="1:11" x14ac:dyDescent="0.2">
      <c r="A351">
        <v>350</v>
      </c>
      <c r="B351">
        <v>39</v>
      </c>
      <c r="C351" t="s">
        <v>349</v>
      </c>
      <c r="D351" s="13" t="s">
        <v>913</v>
      </c>
      <c r="E351" s="21">
        <v>206</v>
      </c>
      <c r="F351" s="1">
        <v>1.6446982557666501</v>
      </c>
      <c r="G351">
        <v>-1.7591176768594001E-2</v>
      </c>
      <c r="H351">
        <v>-9.1237730945450096E-2</v>
      </c>
      <c r="I351">
        <v>-6.6845352302552896E-2</v>
      </c>
      <c r="J351">
        <v>2.6665775378307999E-2</v>
      </c>
      <c r="K351">
        <v>6.5643570249372493E-2</v>
      </c>
    </row>
    <row r="352" spans="1:11" x14ac:dyDescent="0.2">
      <c r="A352">
        <v>351</v>
      </c>
      <c r="B352">
        <v>13</v>
      </c>
      <c r="C352" t="s">
        <v>350</v>
      </c>
      <c r="D352" s="12" t="s">
        <v>912</v>
      </c>
      <c r="E352" s="20">
        <v>289</v>
      </c>
      <c r="F352" s="1">
        <v>-5.7665885167103204</v>
      </c>
      <c r="G352">
        <v>9.8842568235994702E-2</v>
      </c>
      <c r="H352">
        <v>-5.68392793674624E-2</v>
      </c>
      <c r="I352">
        <v>-9.69457703535208E-3</v>
      </c>
      <c r="J352">
        <v>3.9986648265859903E-2</v>
      </c>
      <c r="K352">
        <v>0.106287068042868</v>
      </c>
    </row>
    <row r="353" spans="1:11" x14ac:dyDescent="0.2">
      <c r="A353">
        <v>352</v>
      </c>
      <c r="B353">
        <v>44</v>
      </c>
      <c r="C353" t="s">
        <v>351</v>
      </c>
      <c r="D353" s="13" t="s">
        <v>912</v>
      </c>
      <c r="E353" s="21">
        <v>173</v>
      </c>
      <c r="F353" s="1">
        <v>7.3294724822694999</v>
      </c>
      <c r="G353">
        <v>-7.1959304347817402E-2</v>
      </c>
      <c r="H353">
        <v>-0.15620382048658699</v>
      </c>
      <c r="I353">
        <v>-0.39415732793040198</v>
      </c>
      <c r="J353">
        <v>-2.8038949591273898E-2</v>
      </c>
      <c r="K353">
        <v>-6.7437996596735897E-2</v>
      </c>
    </row>
    <row r="354" spans="1:11" x14ac:dyDescent="0.2">
      <c r="A354">
        <v>353</v>
      </c>
      <c r="B354">
        <v>6</v>
      </c>
      <c r="C354" t="s">
        <v>352</v>
      </c>
      <c r="D354" s="12" t="s">
        <v>913</v>
      </c>
      <c r="E354" s="20">
        <v>278</v>
      </c>
      <c r="F354" s="1">
        <v>-6.1413415033992296</v>
      </c>
      <c r="G354">
        <v>0.104682506406114</v>
      </c>
      <c r="H354">
        <v>0.167270487337596</v>
      </c>
      <c r="I354">
        <v>0.49778671385079298</v>
      </c>
      <c r="J354">
        <v>-2.1991808454349302E-3</v>
      </c>
      <c r="K354">
        <v>-3.2923798789052099E-2</v>
      </c>
    </row>
    <row r="355" spans="1:11" x14ac:dyDescent="0.2">
      <c r="A355">
        <v>354</v>
      </c>
      <c r="B355">
        <v>53</v>
      </c>
      <c r="C355" t="s">
        <v>353</v>
      </c>
      <c r="D355" s="13" t="s">
        <v>912</v>
      </c>
      <c r="E355" s="21">
        <v>161</v>
      </c>
      <c r="F355" s="1">
        <v>3.9613469158484902</v>
      </c>
      <c r="G355">
        <v>-8.4668216091868698E-2</v>
      </c>
      <c r="H355">
        <v>-0.15159644765746899</v>
      </c>
      <c r="I355">
        <v>-0.44603626152458098</v>
      </c>
      <c r="J355">
        <v>-6.6240656858654795E-2</v>
      </c>
      <c r="K355">
        <v>-0.143690216704836</v>
      </c>
    </row>
    <row r="356" spans="1:11" x14ac:dyDescent="0.2">
      <c r="A356">
        <v>355</v>
      </c>
      <c r="B356">
        <v>6</v>
      </c>
      <c r="C356" t="s">
        <v>354</v>
      </c>
      <c r="D356" s="12" t="s">
        <v>913</v>
      </c>
      <c r="E356" s="20">
        <v>278</v>
      </c>
      <c r="F356" s="1">
        <v>-1.02940614732413</v>
      </c>
      <c r="G356">
        <v>2.30980312679935E-2</v>
      </c>
      <c r="H356">
        <v>-2.5685618311226798E-3</v>
      </c>
      <c r="I356">
        <v>4.1860741711545503E-2</v>
      </c>
      <c r="J356">
        <v>-1.1445935912088499E-2</v>
      </c>
      <c r="K356">
        <v>-5.61799855783972E-2</v>
      </c>
    </row>
    <row r="357" spans="1:11" x14ac:dyDescent="0.2">
      <c r="A357">
        <v>356</v>
      </c>
      <c r="B357">
        <v>35</v>
      </c>
      <c r="C357" t="s">
        <v>355</v>
      </c>
      <c r="D357" s="13" t="s">
        <v>913</v>
      </c>
      <c r="E357" s="21">
        <v>189</v>
      </c>
      <c r="F357" s="1">
        <v>-0.46959278076938099</v>
      </c>
      <c r="G357">
        <v>1.24770756780776E-2</v>
      </c>
      <c r="H357">
        <v>-0.19872677424434401</v>
      </c>
      <c r="I357">
        <v>-0.34749014357589503</v>
      </c>
      <c r="J357">
        <v>3.7281718943530702E-4</v>
      </c>
      <c r="K357">
        <v>-1.52274022978911E-2</v>
      </c>
    </row>
    <row r="358" spans="1:11" x14ac:dyDescent="0.2">
      <c r="A358">
        <v>357</v>
      </c>
      <c r="B358">
        <v>6</v>
      </c>
      <c r="C358" t="s">
        <v>356</v>
      </c>
      <c r="D358" s="12" t="s">
        <v>913</v>
      </c>
      <c r="E358" s="20">
        <v>278</v>
      </c>
      <c r="F358" s="1">
        <v>-3.5306283898019601</v>
      </c>
      <c r="G358">
        <v>6.1685059363087699E-2</v>
      </c>
      <c r="H358">
        <v>0.103881796063923</v>
      </c>
      <c r="I358">
        <v>0.26914093405209899</v>
      </c>
      <c r="J358">
        <v>-9.1801210557133604E-3</v>
      </c>
      <c r="K358">
        <v>-7.2698115313271194E-2</v>
      </c>
    </row>
    <row r="359" spans="1:11" x14ac:dyDescent="0.2">
      <c r="A359">
        <v>358</v>
      </c>
      <c r="B359">
        <v>40</v>
      </c>
      <c r="C359" t="s">
        <v>357</v>
      </c>
      <c r="D359" s="13" t="s">
        <v>913</v>
      </c>
      <c r="E359" s="21">
        <v>202</v>
      </c>
      <c r="F359" s="1">
        <v>-1.3864962132110601</v>
      </c>
      <c r="G359">
        <v>2.2468364367356501E-3</v>
      </c>
      <c r="H359">
        <v>0.113320924555745</v>
      </c>
      <c r="I359">
        <v>0.332117554240908</v>
      </c>
      <c r="J359">
        <v>5.7793797000465696E-3</v>
      </c>
      <c r="K359">
        <v>-3.1903429888709401E-3</v>
      </c>
    </row>
    <row r="360" spans="1:11" x14ac:dyDescent="0.2">
      <c r="A360">
        <v>359</v>
      </c>
      <c r="B360">
        <v>2</v>
      </c>
      <c r="C360" t="s">
        <v>358</v>
      </c>
      <c r="D360" s="12" t="s">
        <v>913</v>
      </c>
      <c r="E360" s="20">
        <v>271</v>
      </c>
      <c r="F360" s="1">
        <v>-9.4596759860478308</v>
      </c>
      <c r="G360">
        <v>0.120938862419586</v>
      </c>
      <c r="H360">
        <v>0.19882292978326599</v>
      </c>
      <c r="I360">
        <v>0.65275466270146898</v>
      </c>
      <c r="J360">
        <v>4.4231732757620502E-3</v>
      </c>
      <c r="K360">
        <v>-1.0486165402897599E-2</v>
      </c>
    </row>
    <row r="361" spans="1:11" x14ac:dyDescent="0.2">
      <c r="A361">
        <v>360</v>
      </c>
      <c r="B361">
        <v>27</v>
      </c>
      <c r="C361" t="s">
        <v>359</v>
      </c>
      <c r="D361" s="13" t="s">
        <v>913</v>
      </c>
      <c r="E361" s="21">
        <v>208</v>
      </c>
      <c r="F361" s="1">
        <v>3.5074878047638198</v>
      </c>
      <c r="G361">
        <v>-3.5451386042855797E-2</v>
      </c>
      <c r="H361">
        <v>-4.70637995230015E-2</v>
      </c>
      <c r="I361">
        <v>-0.105864821000102</v>
      </c>
      <c r="J361">
        <v>-9.6585662799076504E-4</v>
      </c>
      <c r="K361">
        <v>-2.4202284090025701E-3</v>
      </c>
    </row>
    <row r="362" spans="1:11" x14ac:dyDescent="0.2">
      <c r="A362">
        <v>361</v>
      </c>
      <c r="B362">
        <v>52</v>
      </c>
      <c r="C362" t="s">
        <v>360</v>
      </c>
      <c r="D362" s="13" t="s">
        <v>912</v>
      </c>
      <c r="E362" s="21">
        <v>279</v>
      </c>
      <c r="F362" s="1">
        <v>8.1527082723043396</v>
      </c>
      <c r="G362">
        <v>-9.3904942008439393E-2</v>
      </c>
      <c r="H362">
        <v>-2.75932835154107E-2</v>
      </c>
      <c r="I362">
        <v>-0.31676940285949801</v>
      </c>
      <c r="J362">
        <v>-4.4254305915050599E-2</v>
      </c>
      <c r="K362">
        <v>-0.10223458904155699</v>
      </c>
    </row>
    <row r="363" spans="1:11" x14ac:dyDescent="0.2">
      <c r="A363">
        <v>362</v>
      </c>
      <c r="B363">
        <v>36</v>
      </c>
      <c r="C363" t="s">
        <v>361</v>
      </c>
      <c r="D363" s="13" t="s">
        <v>913</v>
      </c>
      <c r="E363" s="21">
        <v>307</v>
      </c>
      <c r="F363" s="1">
        <v>4.1371596676485698</v>
      </c>
      <c r="G363">
        <v>-3.6034204890722801E-2</v>
      </c>
      <c r="H363">
        <v>-0.20539145492830899</v>
      </c>
      <c r="I363">
        <v>-0.38102369332709002</v>
      </c>
      <c r="J363">
        <v>3.0230356317594399E-2</v>
      </c>
      <c r="K363">
        <v>0.121508458958374</v>
      </c>
    </row>
    <row r="364" spans="1:11" x14ac:dyDescent="0.2">
      <c r="A364">
        <v>363</v>
      </c>
      <c r="B364">
        <v>42</v>
      </c>
      <c r="C364" t="s">
        <v>362</v>
      </c>
      <c r="D364" s="13" t="s">
        <v>912</v>
      </c>
      <c r="E364" s="21">
        <v>300</v>
      </c>
      <c r="F364" s="1">
        <v>1.2975216561949601</v>
      </c>
      <c r="G364">
        <v>-6.7903607574475097E-2</v>
      </c>
      <c r="H364">
        <v>-0.13497116224099301</v>
      </c>
      <c r="I364">
        <v>-0.28240738597903497</v>
      </c>
      <c r="J364">
        <v>8.7643403874293497E-3</v>
      </c>
      <c r="K364">
        <v>-7.6749878543127398E-4</v>
      </c>
    </row>
    <row r="365" spans="1:11" x14ac:dyDescent="0.2">
      <c r="A365">
        <v>364</v>
      </c>
      <c r="B365">
        <v>44</v>
      </c>
      <c r="C365" t="s">
        <v>363</v>
      </c>
      <c r="D365" s="13" t="s">
        <v>912</v>
      </c>
      <c r="E365" s="21">
        <v>288</v>
      </c>
      <c r="F365" s="1">
        <v>0.120949372273725</v>
      </c>
      <c r="G365">
        <v>3.7409263897061701E-2</v>
      </c>
      <c r="H365">
        <v>0.235656503877721</v>
      </c>
      <c r="I365">
        <v>0.68049572866330299</v>
      </c>
      <c r="J365">
        <v>2.4096560687771201E-2</v>
      </c>
      <c r="K365">
        <v>4.4061255306895197E-2</v>
      </c>
    </row>
    <row r="366" spans="1:11" x14ac:dyDescent="0.2">
      <c r="A366">
        <v>365</v>
      </c>
      <c r="B366">
        <v>50</v>
      </c>
      <c r="C366" t="s">
        <v>364</v>
      </c>
      <c r="D366" s="13" t="s">
        <v>912</v>
      </c>
      <c r="E366" s="21">
        <v>287</v>
      </c>
      <c r="F366" s="1">
        <v>6.3365057564751002</v>
      </c>
      <c r="G366">
        <v>-7.2178114363197904E-2</v>
      </c>
      <c r="H366">
        <v>-0.159518247627566</v>
      </c>
      <c r="I366">
        <v>-0.39699464021513398</v>
      </c>
      <c r="J366">
        <v>-1.94615529909869E-2</v>
      </c>
      <c r="K366">
        <v>-2.39330607903822E-2</v>
      </c>
    </row>
    <row r="367" spans="1:11" x14ac:dyDescent="0.2">
      <c r="A367">
        <v>366</v>
      </c>
      <c r="B367">
        <v>50</v>
      </c>
      <c r="C367" t="s">
        <v>365</v>
      </c>
      <c r="D367" s="13" t="s">
        <v>912</v>
      </c>
      <c r="E367" s="21">
        <v>287</v>
      </c>
      <c r="F367" s="1">
        <v>3.3153832271372101</v>
      </c>
      <c r="G367">
        <v>-1.2948982496272901E-2</v>
      </c>
      <c r="H367">
        <v>-6.5558282959386094E-2</v>
      </c>
      <c r="I367">
        <v>-5.31272072311385E-2</v>
      </c>
      <c r="J367">
        <v>1.79107721017616E-3</v>
      </c>
      <c r="K367">
        <v>-6.5625098320261201E-3</v>
      </c>
    </row>
    <row r="368" spans="1:11" x14ac:dyDescent="0.2">
      <c r="A368">
        <v>367</v>
      </c>
      <c r="B368">
        <v>44</v>
      </c>
      <c r="C368" t="s">
        <v>366</v>
      </c>
      <c r="D368" s="13" t="s">
        <v>912</v>
      </c>
      <c r="E368" s="21">
        <v>288</v>
      </c>
      <c r="F368" s="1">
        <v>1.4336802091630201</v>
      </c>
      <c r="G368">
        <v>-1.56322828976674E-2</v>
      </c>
      <c r="H368">
        <v>0.115760813444776</v>
      </c>
      <c r="I368">
        <v>0.35074070306366101</v>
      </c>
      <c r="J368">
        <v>-2.8971085736731399E-2</v>
      </c>
      <c r="K368">
        <v>-9.3221967456996097E-2</v>
      </c>
    </row>
    <row r="369" spans="1:11" x14ac:dyDescent="0.2">
      <c r="A369">
        <v>368</v>
      </c>
      <c r="B369">
        <v>44</v>
      </c>
      <c r="C369" t="s">
        <v>367</v>
      </c>
      <c r="D369" s="13" t="s">
        <v>912</v>
      </c>
      <c r="E369" s="21">
        <v>288</v>
      </c>
      <c r="F369" s="1">
        <v>-1.1157237365357699</v>
      </c>
      <c r="G369">
        <v>1.7391258869862199E-2</v>
      </c>
      <c r="H369">
        <v>1.0482104870950601E-2</v>
      </c>
      <c r="I369">
        <v>5.2252279775997099E-2</v>
      </c>
      <c r="J369">
        <v>3.3899286397719802E-2</v>
      </c>
      <c r="K369">
        <v>6.6083603828847301E-2</v>
      </c>
    </row>
    <row r="370" spans="1:11" x14ac:dyDescent="0.2">
      <c r="A370">
        <v>369</v>
      </c>
      <c r="B370">
        <v>42</v>
      </c>
      <c r="C370" t="s">
        <v>368</v>
      </c>
      <c r="D370" s="13" t="s">
        <v>912</v>
      </c>
      <c r="E370" s="21">
        <v>300</v>
      </c>
      <c r="F370" s="1">
        <v>0.57126376651840205</v>
      </c>
      <c r="G370">
        <v>-1.12626755472075E-2</v>
      </c>
      <c r="H370">
        <v>-1.4014526465000799E-2</v>
      </c>
      <c r="I370">
        <v>8.8222753970734896E-2</v>
      </c>
      <c r="J370">
        <v>-1.7696261044971899E-2</v>
      </c>
      <c r="K370">
        <v>-7.13579727274226E-2</v>
      </c>
    </row>
    <row r="371" spans="1:11" x14ac:dyDescent="0.2">
      <c r="A371">
        <v>370</v>
      </c>
      <c r="B371">
        <v>46</v>
      </c>
      <c r="C371" t="s">
        <v>369</v>
      </c>
      <c r="D371" s="13" t="s">
        <v>912</v>
      </c>
      <c r="E371" s="21">
        <v>275</v>
      </c>
      <c r="F371" s="1">
        <v>-2.5291863562197001</v>
      </c>
      <c r="G371">
        <v>3.8227157877477602E-2</v>
      </c>
      <c r="H371">
        <v>1.12484731123971E-2</v>
      </c>
      <c r="I371">
        <v>0.163119254415929</v>
      </c>
      <c r="J371">
        <v>2.5190011308512901E-2</v>
      </c>
      <c r="K371">
        <v>5.4291541615900801E-2</v>
      </c>
    </row>
    <row r="372" spans="1:11" x14ac:dyDescent="0.2">
      <c r="A372">
        <v>371</v>
      </c>
      <c r="B372">
        <v>50</v>
      </c>
      <c r="C372" t="s">
        <v>370</v>
      </c>
      <c r="D372" s="13" t="s">
        <v>912</v>
      </c>
      <c r="E372" s="21">
        <v>287</v>
      </c>
      <c r="F372" s="1">
        <v>-2.4011630407880098</v>
      </c>
      <c r="G372">
        <v>6.0928808061386203E-2</v>
      </c>
      <c r="H372">
        <v>0.14762367064551499</v>
      </c>
      <c r="I372">
        <v>3.6344338989760298E-2</v>
      </c>
      <c r="J372">
        <v>6.0664484379781003E-3</v>
      </c>
      <c r="K372">
        <v>9.4688216089775599E-3</v>
      </c>
    </row>
    <row r="373" spans="1:11" x14ac:dyDescent="0.2">
      <c r="A373">
        <v>372</v>
      </c>
      <c r="B373">
        <v>48</v>
      </c>
      <c r="C373" t="s">
        <v>371</v>
      </c>
      <c r="D373" s="13" t="s">
        <v>912</v>
      </c>
      <c r="E373" s="21">
        <v>288</v>
      </c>
      <c r="F373" s="1">
        <v>1.6325813185106299</v>
      </c>
      <c r="G373">
        <v>-3.8648535812251798E-2</v>
      </c>
      <c r="H373">
        <v>9.8264426843083807E-4</v>
      </c>
      <c r="I373">
        <v>-3.0051546990275398E-2</v>
      </c>
      <c r="J373">
        <v>-3.0145119012392101E-3</v>
      </c>
      <c r="K373">
        <v>-1.42022604935344E-2</v>
      </c>
    </row>
    <row r="374" spans="1:11" x14ac:dyDescent="0.2">
      <c r="A374">
        <v>373</v>
      </c>
      <c r="B374">
        <v>50</v>
      </c>
      <c r="C374" t="s">
        <v>372</v>
      </c>
      <c r="D374" s="13" t="s">
        <v>912</v>
      </c>
      <c r="E374" s="21">
        <v>287</v>
      </c>
      <c r="F374" s="1">
        <v>5.9828552755867896</v>
      </c>
      <c r="G374">
        <v>-9.87345310800328E-2</v>
      </c>
      <c r="H374">
        <v>-0.21163846300433001</v>
      </c>
      <c r="I374">
        <v>-0.51494290199780601</v>
      </c>
      <c r="J374">
        <v>-2.90765416197271E-2</v>
      </c>
      <c r="K374">
        <v>-7.0569552081356193E-2</v>
      </c>
    </row>
    <row r="375" spans="1:11" x14ac:dyDescent="0.2">
      <c r="A375">
        <v>374</v>
      </c>
      <c r="B375">
        <v>48</v>
      </c>
      <c r="C375" t="s">
        <v>373</v>
      </c>
      <c r="D375" s="13" t="s">
        <v>912</v>
      </c>
      <c r="E375" s="21">
        <v>288</v>
      </c>
      <c r="F375" s="1">
        <v>0.456435121860717</v>
      </c>
      <c r="G375">
        <v>2.8300526528863799E-2</v>
      </c>
      <c r="H375">
        <v>0.20779263141498699</v>
      </c>
      <c r="I375">
        <v>0.57084600777947903</v>
      </c>
      <c r="J375">
        <v>2.5080849975585202E-2</v>
      </c>
      <c r="K375">
        <v>4.9027081231066298E-2</v>
      </c>
    </row>
    <row r="376" spans="1:11" x14ac:dyDescent="0.2">
      <c r="A376">
        <v>375</v>
      </c>
      <c r="B376">
        <v>44</v>
      </c>
      <c r="C376" t="s">
        <v>374</v>
      </c>
      <c r="D376" s="13" t="s">
        <v>912</v>
      </c>
      <c r="E376" s="21">
        <v>288</v>
      </c>
      <c r="F376" s="1">
        <v>1.8714608645233699</v>
      </c>
      <c r="G376">
        <v>-4.3050877949870501E-3</v>
      </c>
      <c r="H376">
        <v>6.3896129649283095E-2</v>
      </c>
      <c r="I376">
        <v>-0.13815121472924699</v>
      </c>
      <c r="J376">
        <v>-3.15791501115592E-2</v>
      </c>
      <c r="K376">
        <v>-7.1587682130584099E-2</v>
      </c>
    </row>
    <row r="377" spans="1:11" x14ac:dyDescent="0.2">
      <c r="A377">
        <v>376</v>
      </c>
      <c r="B377">
        <v>49</v>
      </c>
      <c r="C377" t="s">
        <v>375</v>
      </c>
      <c r="D377" s="13" t="s">
        <v>912</v>
      </c>
      <c r="E377" s="21">
        <v>290</v>
      </c>
      <c r="F377" s="1">
        <v>0.29592798787866498</v>
      </c>
      <c r="G377">
        <v>-5.2368666205032102E-3</v>
      </c>
      <c r="H377">
        <v>9.8408959738320298E-2</v>
      </c>
      <c r="I377">
        <v>0.39832749896762898</v>
      </c>
      <c r="J377">
        <v>2.2788564768616699E-2</v>
      </c>
      <c r="K377">
        <v>3.0832028629887102E-2</v>
      </c>
    </row>
    <row r="378" spans="1:11" x14ac:dyDescent="0.2">
      <c r="A378">
        <v>377</v>
      </c>
      <c r="B378">
        <v>41</v>
      </c>
      <c r="C378" t="s">
        <v>376</v>
      </c>
      <c r="D378" s="13" t="s">
        <v>912</v>
      </c>
      <c r="E378" s="21">
        <v>261</v>
      </c>
      <c r="F378" s="1">
        <v>5.1514822994522804</v>
      </c>
      <c r="G378">
        <v>-0.108204027522751</v>
      </c>
      <c r="H378">
        <v>-0.31597187799669602</v>
      </c>
      <c r="I378">
        <v>-0.81754733014078995</v>
      </c>
      <c r="J378">
        <v>7.1789852229474704E-2</v>
      </c>
      <c r="K378">
        <v>0.21872623861527701</v>
      </c>
    </row>
    <row r="379" spans="1:11" x14ac:dyDescent="0.2">
      <c r="A379">
        <v>378</v>
      </c>
      <c r="B379">
        <v>50</v>
      </c>
      <c r="C379" t="s">
        <v>377</v>
      </c>
      <c r="D379" s="13" t="s">
        <v>912</v>
      </c>
      <c r="E379" s="21">
        <v>287</v>
      </c>
      <c r="F379" s="1">
        <v>6.09821731722558</v>
      </c>
      <c r="G379">
        <v>-0.107117758172099</v>
      </c>
      <c r="H379">
        <v>-0.14068471958220399</v>
      </c>
      <c r="I379">
        <v>-0.73936119776166997</v>
      </c>
      <c r="J379">
        <v>-3.29423165096265E-2</v>
      </c>
      <c r="K379">
        <v>-5.78313879824277E-2</v>
      </c>
    </row>
    <row r="380" spans="1:11" x14ac:dyDescent="0.2">
      <c r="A380">
        <v>379</v>
      </c>
      <c r="B380">
        <v>44</v>
      </c>
      <c r="C380" t="s">
        <v>378</v>
      </c>
      <c r="D380" s="13" t="s">
        <v>912</v>
      </c>
      <c r="E380" s="21">
        <v>288</v>
      </c>
      <c r="F380" s="1">
        <v>-0.446800850110742</v>
      </c>
      <c r="G380">
        <v>3.10028507290472E-2</v>
      </c>
      <c r="H380">
        <v>0.24799520322906099</v>
      </c>
      <c r="I380">
        <v>0.67354656804884505</v>
      </c>
      <c r="J380">
        <v>-1.7869312526126099E-2</v>
      </c>
      <c r="K380">
        <v>-6.4268815284551306E-2</v>
      </c>
    </row>
    <row r="381" spans="1:11" x14ac:dyDescent="0.2">
      <c r="A381">
        <v>380</v>
      </c>
      <c r="B381">
        <v>36</v>
      </c>
      <c r="C381" t="s">
        <v>379</v>
      </c>
      <c r="D381" s="13" t="s">
        <v>913</v>
      </c>
      <c r="E381" s="21">
        <v>307</v>
      </c>
      <c r="F381" s="1">
        <v>6.0021842037984898</v>
      </c>
      <c r="G381">
        <v>-8.6410899932845203E-2</v>
      </c>
      <c r="H381">
        <v>-0.165999025154768</v>
      </c>
      <c r="I381">
        <v>-0.41657606670826502</v>
      </c>
      <c r="J381">
        <v>-6.8253865024916604E-3</v>
      </c>
      <c r="K381">
        <v>2.3941810320967E-2</v>
      </c>
    </row>
    <row r="382" spans="1:11" x14ac:dyDescent="0.2">
      <c r="A382">
        <v>381</v>
      </c>
      <c r="B382">
        <v>50</v>
      </c>
      <c r="C382" t="s">
        <v>380</v>
      </c>
      <c r="D382" s="13" t="s">
        <v>912</v>
      </c>
      <c r="E382" s="21">
        <v>287</v>
      </c>
      <c r="F382" s="1">
        <v>1.16291348748391</v>
      </c>
      <c r="G382">
        <v>-1.4964517196081901E-2</v>
      </c>
      <c r="H382">
        <v>1.1607319713091001E-2</v>
      </c>
      <c r="I382">
        <v>1.2023503692550201E-2</v>
      </c>
      <c r="J382">
        <v>1.1920738453164799E-2</v>
      </c>
      <c r="K382">
        <v>2.10545560448306E-3</v>
      </c>
    </row>
    <row r="383" spans="1:11" x14ac:dyDescent="0.2">
      <c r="A383">
        <v>382</v>
      </c>
      <c r="B383">
        <v>27</v>
      </c>
      <c r="C383" t="s">
        <v>381</v>
      </c>
      <c r="D383" s="12" t="s">
        <v>913</v>
      </c>
      <c r="E383" s="21">
        <v>323</v>
      </c>
      <c r="F383" s="1">
        <v>3.2184166467561299</v>
      </c>
      <c r="G383">
        <v>-6.6877176947790898E-2</v>
      </c>
      <c r="H383">
        <v>-4.7961931461247699E-2</v>
      </c>
      <c r="I383">
        <v>-0.196595460709791</v>
      </c>
      <c r="J383">
        <v>1.1031266469230499E-3</v>
      </c>
      <c r="K383">
        <v>9.5360048428629301E-4</v>
      </c>
    </row>
    <row r="384" spans="1:11" x14ac:dyDescent="0.2">
      <c r="A384">
        <v>383</v>
      </c>
      <c r="B384">
        <v>49</v>
      </c>
      <c r="C384" t="s">
        <v>382</v>
      </c>
      <c r="D384" s="13" t="s">
        <v>912</v>
      </c>
      <c r="E384" s="21">
        <v>290</v>
      </c>
      <c r="F384" s="1">
        <v>1.2108575575060401</v>
      </c>
      <c r="G384">
        <v>-8.0403939948688E-3</v>
      </c>
      <c r="H384">
        <v>-6.9057413715753899E-2</v>
      </c>
      <c r="I384">
        <v>-0.184510260861703</v>
      </c>
      <c r="J384">
        <v>-3.1468820646195599E-2</v>
      </c>
      <c r="K384">
        <v>-6.9098651533406802E-2</v>
      </c>
    </row>
    <row r="385" spans="1:11" x14ac:dyDescent="0.2">
      <c r="A385">
        <v>384</v>
      </c>
      <c r="B385">
        <v>46</v>
      </c>
      <c r="C385" t="s">
        <v>383</v>
      </c>
      <c r="D385" s="13" t="s">
        <v>912</v>
      </c>
      <c r="E385" s="21">
        <v>275</v>
      </c>
      <c r="F385" s="1">
        <v>2.6842134683463201</v>
      </c>
      <c r="G385">
        <v>-9.2597957871635106E-2</v>
      </c>
      <c r="H385">
        <v>-0.271072486981903</v>
      </c>
      <c r="I385">
        <v>-0.65119497918620495</v>
      </c>
      <c r="J385">
        <v>-1.2502290827373501E-2</v>
      </c>
      <c r="K385">
        <v>-4.5424006496306603E-2</v>
      </c>
    </row>
    <row r="386" spans="1:11" x14ac:dyDescent="0.2">
      <c r="A386">
        <v>385</v>
      </c>
      <c r="B386">
        <v>49</v>
      </c>
      <c r="C386" t="s">
        <v>384</v>
      </c>
      <c r="D386" s="13" t="s">
        <v>912</v>
      </c>
      <c r="E386" s="21">
        <v>290</v>
      </c>
      <c r="F386" s="1">
        <v>-4.1565717966769302</v>
      </c>
      <c r="G386">
        <v>7.1432950047282104E-2</v>
      </c>
      <c r="H386">
        <v>0.26546464050519197</v>
      </c>
      <c r="I386">
        <v>0.33742809447543298</v>
      </c>
      <c r="J386">
        <v>-1.9935178456475199E-2</v>
      </c>
      <c r="K386">
        <v>-6.1250763103610002E-2</v>
      </c>
    </row>
    <row r="387" spans="1:11" x14ac:dyDescent="0.2">
      <c r="A387">
        <v>386</v>
      </c>
      <c r="B387">
        <v>49</v>
      </c>
      <c r="C387" t="s">
        <v>385</v>
      </c>
      <c r="D387" s="13" t="s">
        <v>912</v>
      </c>
      <c r="E387" s="21">
        <v>290</v>
      </c>
      <c r="F387" s="1">
        <v>2.36936115331505</v>
      </c>
      <c r="G387">
        <v>-6.9528801325227402E-2</v>
      </c>
      <c r="H387">
        <v>-6.1478389936605399E-2</v>
      </c>
      <c r="I387">
        <v>-0.33704448534369902</v>
      </c>
      <c r="J387">
        <v>-6.9129884520744301E-3</v>
      </c>
      <c r="K387">
        <v>-7.8355645729907691E-3</v>
      </c>
    </row>
    <row r="388" spans="1:11" x14ac:dyDescent="0.2">
      <c r="A388">
        <v>387</v>
      </c>
      <c r="B388">
        <v>44</v>
      </c>
      <c r="C388" t="s">
        <v>386</v>
      </c>
      <c r="D388" s="13" t="s">
        <v>912</v>
      </c>
      <c r="E388" s="21">
        <v>288</v>
      </c>
      <c r="F388" s="1">
        <v>0.50087164703699705</v>
      </c>
      <c r="G388">
        <v>-1.7995407555624902E-2</v>
      </c>
      <c r="H388">
        <v>-0.10382377010119299</v>
      </c>
      <c r="I388">
        <v>-0.29256757550593698</v>
      </c>
      <c r="J388">
        <v>-2.86791095887583E-2</v>
      </c>
      <c r="K388">
        <v>-6.8421980643148195E-2</v>
      </c>
    </row>
    <row r="389" spans="1:11" x14ac:dyDescent="0.2">
      <c r="A389">
        <v>388</v>
      </c>
      <c r="B389">
        <v>52</v>
      </c>
      <c r="C389" t="s">
        <v>387</v>
      </c>
      <c r="D389" s="13" t="s">
        <v>912</v>
      </c>
      <c r="E389" s="21">
        <v>279</v>
      </c>
      <c r="F389" s="1">
        <v>4.7959494544153598</v>
      </c>
      <c r="G389">
        <v>-6.3092377815659906E-2</v>
      </c>
      <c r="H389">
        <v>-0.26443931587284197</v>
      </c>
      <c r="I389">
        <v>-0.57398278643893896</v>
      </c>
      <c r="J389">
        <v>1.61474665654571E-2</v>
      </c>
      <c r="K389">
        <v>4.2076564384007802E-2</v>
      </c>
    </row>
    <row r="390" spans="1:11" x14ac:dyDescent="0.2">
      <c r="A390">
        <v>389</v>
      </c>
      <c r="B390">
        <v>50</v>
      </c>
      <c r="C390" t="s">
        <v>388</v>
      </c>
      <c r="D390" s="13" t="s">
        <v>912</v>
      </c>
      <c r="E390" s="21">
        <v>287</v>
      </c>
      <c r="F390" s="1">
        <v>1.15213192484718</v>
      </c>
      <c r="G390">
        <v>-8.7179330877090302E-2</v>
      </c>
      <c r="H390">
        <v>-0.235063484145975</v>
      </c>
      <c r="I390">
        <v>-0.51808703712608295</v>
      </c>
      <c r="J390">
        <v>1.38048800215178E-2</v>
      </c>
      <c r="K390">
        <v>1.7170522513581601E-2</v>
      </c>
    </row>
    <row r="391" spans="1:11" x14ac:dyDescent="0.2">
      <c r="A391">
        <v>390</v>
      </c>
      <c r="B391">
        <v>42</v>
      </c>
      <c r="C391" t="s">
        <v>389</v>
      </c>
      <c r="D391" s="13" t="s">
        <v>912</v>
      </c>
      <c r="E391" s="21">
        <v>300</v>
      </c>
      <c r="F391" s="1">
        <v>4.4719288352750404</v>
      </c>
      <c r="G391">
        <v>-2.8900656121526098E-2</v>
      </c>
      <c r="H391">
        <v>1.9034712218082402E-2</v>
      </c>
      <c r="I391">
        <v>0.14434744120099799</v>
      </c>
      <c r="J391">
        <v>1.9178131574673001E-2</v>
      </c>
      <c r="K391">
        <v>4.1513619699169398E-2</v>
      </c>
    </row>
    <row r="392" spans="1:11" x14ac:dyDescent="0.2">
      <c r="A392">
        <v>391</v>
      </c>
      <c r="B392">
        <v>44</v>
      </c>
      <c r="C392" t="s">
        <v>390</v>
      </c>
      <c r="D392" s="13" t="s">
        <v>912</v>
      </c>
      <c r="E392" s="21">
        <v>288</v>
      </c>
      <c r="F392" s="1">
        <v>7.2214419939567502</v>
      </c>
      <c r="G392">
        <v>-0.155432504408755</v>
      </c>
      <c r="H392">
        <v>-0.37605357957249802</v>
      </c>
      <c r="I392">
        <v>-0.98750266607558301</v>
      </c>
      <c r="J392">
        <v>5.2895100209606798E-2</v>
      </c>
      <c r="K392">
        <v>0.149724720419806</v>
      </c>
    </row>
    <row r="393" spans="1:11" x14ac:dyDescent="0.2">
      <c r="A393">
        <v>392</v>
      </c>
      <c r="B393">
        <v>49</v>
      </c>
      <c r="C393" t="s">
        <v>391</v>
      </c>
      <c r="D393" s="13" t="s">
        <v>912</v>
      </c>
      <c r="E393" s="21">
        <v>290</v>
      </c>
      <c r="F393" s="1">
        <v>6.9992536789184401</v>
      </c>
      <c r="G393">
        <v>-0.118396048692693</v>
      </c>
      <c r="H393">
        <v>-0.22175229930732099</v>
      </c>
      <c r="I393">
        <v>-0.55574745661971803</v>
      </c>
      <c r="J393">
        <v>-2.52385696328929E-2</v>
      </c>
      <c r="K393">
        <v>-9.2881985373054907E-2</v>
      </c>
    </row>
    <row r="394" spans="1:11" x14ac:dyDescent="0.2">
      <c r="A394">
        <v>393</v>
      </c>
      <c r="B394">
        <v>54</v>
      </c>
      <c r="C394" t="s">
        <v>392</v>
      </c>
      <c r="D394" s="13" t="s">
        <v>912</v>
      </c>
      <c r="E394" s="21">
        <v>285</v>
      </c>
      <c r="F394" s="1">
        <v>0.87065969680237498</v>
      </c>
      <c r="G394">
        <v>-2.01523062309058E-2</v>
      </c>
      <c r="H394">
        <v>-4.8018428870142398E-2</v>
      </c>
      <c r="I394">
        <v>-8.3092539441318697E-2</v>
      </c>
      <c r="J394">
        <v>-2.2352350315670701E-2</v>
      </c>
      <c r="K394">
        <v>-4.2963621365261301E-2</v>
      </c>
    </row>
    <row r="395" spans="1:11" x14ac:dyDescent="0.2">
      <c r="A395">
        <v>394</v>
      </c>
      <c r="B395">
        <v>42</v>
      </c>
      <c r="C395" t="s">
        <v>393</v>
      </c>
      <c r="D395" s="13" t="s">
        <v>912</v>
      </c>
      <c r="E395" s="21">
        <v>300</v>
      </c>
      <c r="F395" s="1">
        <v>3.68489103460151</v>
      </c>
      <c r="G395">
        <v>-4.6509816795917598E-2</v>
      </c>
      <c r="H395">
        <v>-8.0760013939567707E-2</v>
      </c>
      <c r="I395">
        <v>-9.2185366035477195E-2</v>
      </c>
      <c r="J395">
        <v>-1.31228930111167E-2</v>
      </c>
      <c r="K395">
        <v>-4.0098233903762201E-2</v>
      </c>
    </row>
    <row r="396" spans="1:11" x14ac:dyDescent="0.2">
      <c r="A396">
        <v>395</v>
      </c>
      <c r="B396">
        <v>44</v>
      </c>
      <c r="C396" t="s">
        <v>394</v>
      </c>
      <c r="D396" s="13" t="s">
        <v>912</v>
      </c>
      <c r="E396" s="21">
        <v>288</v>
      </c>
      <c r="F396" s="1">
        <v>4.9777217686233604</v>
      </c>
      <c r="G396">
        <v>-2.22530130093536E-2</v>
      </c>
      <c r="H396">
        <v>-2.3691594212886601E-2</v>
      </c>
      <c r="I396">
        <v>3.2233286685258399E-2</v>
      </c>
      <c r="J396">
        <v>-1.28182906211363E-2</v>
      </c>
      <c r="K396">
        <v>-4.0082338332937402E-2</v>
      </c>
    </row>
    <row r="397" spans="1:11" x14ac:dyDescent="0.2">
      <c r="A397">
        <v>396</v>
      </c>
      <c r="B397">
        <v>49</v>
      </c>
      <c r="C397" t="s">
        <v>395</v>
      </c>
      <c r="D397" s="13" t="s">
        <v>912</v>
      </c>
      <c r="E397" s="21">
        <v>290</v>
      </c>
      <c r="F397" s="1">
        <v>2.3285802275418099</v>
      </c>
      <c r="G397">
        <v>-1.0481147625791E-2</v>
      </c>
      <c r="H397">
        <v>-7.0250455144142396E-2</v>
      </c>
      <c r="I397">
        <v>-0.11233254824557599</v>
      </c>
      <c r="J397">
        <v>8.2821601900844605E-3</v>
      </c>
      <c r="K397">
        <v>1.8109990642621102E-2</v>
      </c>
    </row>
    <row r="398" spans="1:11" x14ac:dyDescent="0.2">
      <c r="A398">
        <v>397</v>
      </c>
      <c r="B398">
        <v>50</v>
      </c>
      <c r="C398" t="s">
        <v>396</v>
      </c>
      <c r="D398" s="13" t="s">
        <v>912</v>
      </c>
      <c r="E398" s="21">
        <v>287</v>
      </c>
      <c r="F398" s="1">
        <v>-4.5495419539091797</v>
      </c>
      <c r="G398">
        <v>5.3060365720985603E-2</v>
      </c>
      <c r="H398">
        <v>0.11447586376412799</v>
      </c>
      <c r="I398">
        <v>0.376971605017759</v>
      </c>
      <c r="J398">
        <v>1.368090612172E-2</v>
      </c>
      <c r="K398">
        <v>2.40681886168462E-2</v>
      </c>
    </row>
    <row r="399" spans="1:11" x14ac:dyDescent="0.2">
      <c r="A399">
        <v>398</v>
      </c>
      <c r="B399">
        <v>43</v>
      </c>
      <c r="C399" t="s">
        <v>397</v>
      </c>
      <c r="D399" s="13" t="s">
        <v>912</v>
      </c>
      <c r="E399" s="21">
        <v>290</v>
      </c>
      <c r="F399" s="1">
        <v>-3.2549043413465002</v>
      </c>
      <c r="G399">
        <v>8.7512298670326893E-2</v>
      </c>
      <c r="H399">
        <v>0.287198915614849</v>
      </c>
      <c r="I399">
        <v>0.56796224503304804</v>
      </c>
      <c r="J399">
        <v>2.3352386245442801E-2</v>
      </c>
      <c r="K399">
        <v>8.0995361004469399E-2</v>
      </c>
    </row>
    <row r="400" spans="1:11" x14ac:dyDescent="0.2">
      <c r="A400">
        <v>399</v>
      </c>
      <c r="B400">
        <v>50</v>
      </c>
      <c r="C400" t="s">
        <v>398</v>
      </c>
      <c r="D400" s="13" t="s">
        <v>912</v>
      </c>
      <c r="E400" s="21">
        <v>287</v>
      </c>
      <c r="F400" s="1">
        <v>-1.8285242877221599</v>
      </c>
      <c r="G400">
        <v>4.8045513267689903E-2</v>
      </c>
      <c r="H400">
        <v>0.157126582562125</v>
      </c>
      <c r="I400">
        <v>6.0734179654238198E-2</v>
      </c>
      <c r="J400">
        <v>-2.7345045569613698E-2</v>
      </c>
      <c r="K400">
        <v>-6.6226725545747503E-2</v>
      </c>
    </row>
    <row r="401" spans="1:11" x14ac:dyDescent="0.2">
      <c r="A401">
        <v>400</v>
      </c>
      <c r="B401">
        <v>50</v>
      </c>
      <c r="C401" t="s">
        <v>399</v>
      </c>
      <c r="D401" s="13" t="s">
        <v>912</v>
      </c>
      <c r="E401" s="21">
        <v>287</v>
      </c>
      <c r="F401" s="1">
        <v>1.35363733387015</v>
      </c>
      <c r="G401">
        <v>-4.2366841745466302E-2</v>
      </c>
      <c r="H401">
        <v>-5.5030186499074901E-2</v>
      </c>
      <c r="I401">
        <v>-0.115766129720368</v>
      </c>
      <c r="J401">
        <v>1.5021433983495799E-2</v>
      </c>
      <c r="K401">
        <v>4.4483460726013398E-2</v>
      </c>
    </row>
    <row r="402" spans="1:11" x14ac:dyDescent="0.2">
      <c r="A402">
        <v>401</v>
      </c>
      <c r="B402">
        <v>35</v>
      </c>
      <c r="C402" t="s">
        <v>400</v>
      </c>
      <c r="D402" s="13" t="s">
        <v>913</v>
      </c>
      <c r="E402" s="21">
        <v>304</v>
      </c>
      <c r="F402" s="1">
        <v>-0.79734393013782501</v>
      </c>
      <c r="G402">
        <v>-1.2365970825533601E-3</v>
      </c>
      <c r="H402">
        <v>0.13906006142785601</v>
      </c>
      <c r="I402">
        <v>0.32270974775267097</v>
      </c>
      <c r="J402">
        <v>-2.1603189836939301E-2</v>
      </c>
      <c r="K402">
        <v>-7.6026211368208196E-2</v>
      </c>
    </row>
    <row r="403" spans="1:11" x14ac:dyDescent="0.2">
      <c r="A403">
        <v>402</v>
      </c>
      <c r="B403">
        <v>50</v>
      </c>
      <c r="C403" t="s">
        <v>401</v>
      </c>
      <c r="D403" s="13" t="s">
        <v>912</v>
      </c>
      <c r="E403" s="21">
        <v>287</v>
      </c>
      <c r="F403" s="1">
        <v>2.1723615950519601</v>
      </c>
      <c r="G403">
        <v>-1.70351373843593E-2</v>
      </c>
      <c r="H403">
        <v>-2.9374456793245102E-2</v>
      </c>
      <c r="I403">
        <v>-1.9078431564051899E-2</v>
      </c>
      <c r="J403">
        <v>-1.7194400625463801E-2</v>
      </c>
      <c r="K403">
        <v>-3.4385898150865998E-2</v>
      </c>
    </row>
    <row r="404" spans="1:11" x14ac:dyDescent="0.2">
      <c r="A404">
        <v>403</v>
      </c>
      <c r="B404">
        <v>34</v>
      </c>
      <c r="C404" t="s">
        <v>402</v>
      </c>
      <c r="D404" s="13" t="s">
        <v>913</v>
      </c>
      <c r="E404" s="21">
        <v>304</v>
      </c>
      <c r="F404" s="1">
        <v>0.34467162550217101</v>
      </c>
      <c r="G404">
        <v>-2.61951670501494E-2</v>
      </c>
      <c r="H404">
        <v>6.2175070403764597E-3</v>
      </c>
      <c r="I404">
        <v>1.16380110117253E-2</v>
      </c>
      <c r="J404">
        <v>-1.2739532538813001E-2</v>
      </c>
      <c r="K404">
        <v>-4.6750231201351099E-2</v>
      </c>
    </row>
    <row r="405" spans="1:11" x14ac:dyDescent="0.2">
      <c r="A405">
        <v>404</v>
      </c>
      <c r="B405">
        <v>49</v>
      </c>
      <c r="C405" t="s">
        <v>403</v>
      </c>
      <c r="D405" s="13" t="s">
        <v>912</v>
      </c>
      <c r="E405" s="21">
        <v>290</v>
      </c>
      <c r="F405" s="1">
        <v>-3.41048820778401</v>
      </c>
      <c r="G405">
        <v>5.9058259208001597E-2</v>
      </c>
      <c r="H405">
        <v>0.120576021029848</v>
      </c>
      <c r="I405">
        <v>0.40050041229783701</v>
      </c>
      <c r="J405">
        <v>1.9763771151154901E-2</v>
      </c>
      <c r="K405">
        <v>4.2720454433825501E-2</v>
      </c>
    </row>
    <row r="406" spans="1:11" x14ac:dyDescent="0.2">
      <c r="A406">
        <v>405</v>
      </c>
      <c r="B406">
        <v>48</v>
      </c>
      <c r="C406" t="s">
        <v>404</v>
      </c>
      <c r="D406" s="13" t="s">
        <v>912</v>
      </c>
      <c r="E406" s="21">
        <v>288</v>
      </c>
      <c r="F406" s="1">
        <v>3.9535652223487601</v>
      </c>
      <c r="G406">
        <v>-8.0035918270889905E-2</v>
      </c>
      <c r="H406">
        <v>-0.18615805393064999</v>
      </c>
      <c r="I406">
        <v>-0.38201357623362803</v>
      </c>
      <c r="J406">
        <v>3.4145208922135599E-3</v>
      </c>
      <c r="K406">
        <v>-6.8124170022205099E-4</v>
      </c>
    </row>
    <row r="407" spans="1:11" x14ac:dyDescent="0.2">
      <c r="A407">
        <v>406</v>
      </c>
      <c r="B407">
        <v>50</v>
      </c>
      <c r="C407" t="s">
        <v>405</v>
      </c>
      <c r="D407" s="13" t="s">
        <v>912</v>
      </c>
      <c r="E407" s="21">
        <v>287</v>
      </c>
      <c r="F407" s="1">
        <v>0.29241006553125198</v>
      </c>
      <c r="G407">
        <v>-1.89659891365088E-2</v>
      </c>
      <c r="H407">
        <v>-8.2728524509923004E-2</v>
      </c>
      <c r="I407">
        <v>-0.351152099092435</v>
      </c>
      <c r="J407">
        <v>-2.49697701245131E-2</v>
      </c>
      <c r="K407">
        <v>-7.5282620857336502E-2</v>
      </c>
    </row>
    <row r="408" spans="1:11" x14ac:dyDescent="0.2">
      <c r="A408">
        <v>407</v>
      </c>
      <c r="B408">
        <v>51</v>
      </c>
      <c r="C408" t="s">
        <v>406</v>
      </c>
      <c r="D408" s="13" t="s">
        <v>912</v>
      </c>
      <c r="E408" s="21">
        <v>274</v>
      </c>
      <c r="F408" s="1">
        <v>-0.41299807845035202</v>
      </c>
      <c r="G408">
        <v>3.4033889067421802E-2</v>
      </c>
      <c r="H408">
        <v>-5.2424939943999001E-2</v>
      </c>
      <c r="I408">
        <v>-5.1133662211638897E-2</v>
      </c>
      <c r="J408">
        <v>3.6387690789949398E-2</v>
      </c>
      <c r="K408">
        <v>9.0798215313519601E-2</v>
      </c>
    </row>
    <row r="409" spans="1:11" x14ac:dyDescent="0.2">
      <c r="A409">
        <v>408</v>
      </c>
      <c r="B409">
        <v>49</v>
      </c>
      <c r="C409" t="s">
        <v>407</v>
      </c>
      <c r="D409" s="13" t="s">
        <v>912</v>
      </c>
      <c r="E409" s="21">
        <v>290</v>
      </c>
      <c r="F409" s="1">
        <v>2.4479825239569899</v>
      </c>
      <c r="G409">
        <v>2.06385065562119E-2</v>
      </c>
      <c r="H409">
        <v>-0.120972863556259</v>
      </c>
      <c r="I409">
        <v>-0.20893736385995401</v>
      </c>
      <c r="J409">
        <v>-3.4555824991986798E-3</v>
      </c>
      <c r="K409">
        <v>-1.5999734309174299E-2</v>
      </c>
    </row>
    <row r="410" spans="1:11" x14ac:dyDescent="0.2">
      <c r="A410">
        <v>409</v>
      </c>
      <c r="B410">
        <v>51</v>
      </c>
      <c r="C410" t="s">
        <v>408</v>
      </c>
      <c r="D410" s="13" t="s">
        <v>912</v>
      </c>
      <c r="E410" s="21">
        <v>274</v>
      </c>
      <c r="F410" s="1">
        <v>6.1285661197806798</v>
      </c>
      <c r="G410">
        <v>-9.5612084765328606E-2</v>
      </c>
      <c r="H410">
        <v>-0.21820653887863001</v>
      </c>
      <c r="I410">
        <v>-0.599782119650068</v>
      </c>
      <c r="J410">
        <v>-4.2158084269510801E-3</v>
      </c>
      <c r="K410">
        <v>2.62907777888053E-3</v>
      </c>
    </row>
    <row r="411" spans="1:11" x14ac:dyDescent="0.2">
      <c r="A411">
        <v>410</v>
      </c>
      <c r="B411">
        <v>50</v>
      </c>
      <c r="C411" t="s">
        <v>409</v>
      </c>
      <c r="D411" s="13" t="s">
        <v>912</v>
      </c>
      <c r="E411" s="21">
        <v>287</v>
      </c>
      <c r="F411" s="1">
        <v>1.5111961110934899</v>
      </c>
      <c r="G411">
        <v>3.6491304027395201E-3</v>
      </c>
      <c r="H411">
        <v>-1.20960938881129E-2</v>
      </c>
      <c r="I411">
        <v>5.4488026913220598E-2</v>
      </c>
      <c r="J411">
        <v>-2.0982564026746801E-2</v>
      </c>
      <c r="K411">
        <v>-6.4887607480889301E-2</v>
      </c>
    </row>
    <row r="412" spans="1:11" x14ac:dyDescent="0.2">
      <c r="A412">
        <v>411</v>
      </c>
      <c r="B412">
        <v>50</v>
      </c>
      <c r="C412" t="s">
        <v>410</v>
      </c>
      <c r="D412" s="13" t="s">
        <v>912</v>
      </c>
      <c r="E412" s="21">
        <v>287</v>
      </c>
      <c r="F412" s="1">
        <v>6.7363865646855796</v>
      </c>
      <c r="G412">
        <v>-0.116157021101639</v>
      </c>
      <c r="H412">
        <v>-0.17078257115530099</v>
      </c>
      <c r="I412">
        <v>-0.43725953191045802</v>
      </c>
      <c r="J412">
        <v>-5.1146200725726296E-3</v>
      </c>
      <c r="K412">
        <v>-2.9683867923587699E-2</v>
      </c>
    </row>
    <row r="413" spans="1:11" x14ac:dyDescent="0.2">
      <c r="A413">
        <v>412</v>
      </c>
      <c r="B413">
        <v>53</v>
      </c>
      <c r="C413" t="s">
        <v>411</v>
      </c>
      <c r="D413" s="13" t="s">
        <v>912</v>
      </c>
      <c r="E413" s="21">
        <v>276</v>
      </c>
      <c r="F413" s="1">
        <v>6.0730468547740299</v>
      </c>
      <c r="G413">
        <v>-0.117262760448546</v>
      </c>
      <c r="H413">
        <v>-0.38354056849663998</v>
      </c>
      <c r="I413">
        <v>-0.94027988886619995</v>
      </c>
      <c r="J413">
        <v>-2.5629352078220501E-2</v>
      </c>
      <c r="K413">
        <v>-7.4349133196932607E-2</v>
      </c>
    </row>
    <row r="414" spans="1:11" x14ac:dyDescent="0.2">
      <c r="A414">
        <v>413</v>
      </c>
      <c r="B414">
        <v>49</v>
      </c>
      <c r="C414" t="s">
        <v>412</v>
      </c>
      <c r="D414" s="13" t="s">
        <v>912</v>
      </c>
      <c r="E414" s="21">
        <v>290</v>
      </c>
      <c r="F414" s="1">
        <v>0.52638615946669798</v>
      </c>
      <c r="G414">
        <v>1.37550886103825E-2</v>
      </c>
      <c r="H414">
        <v>0.26259458586967799</v>
      </c>
      <c r="I414">
        <v>0.34563584936055097</v>
      </c>
      <c r="J414">
        <v>-4.8551814025036701E-2</v>
      </c>
      <c r="K414">
        <v>-0.118851257789753</v>
      </c>
    </row>
    <row r="415" spans="1:11" x14ac:dyDescent="0.2">
      <c r="A415">
        <v>414</v>
      </c>
      <c r="B415">
        <v>50</v>
      </c>
      <c r="C415" t="s">
        <v>413</v>
      </c>
      <c r="D415" s="13" t="s">
        <v>912</v>
      </c>
      <c r="E415" s="21">
        <v>287</v>
      </c>
      <c r="F415" s="1">
        <v>7.5867450872722202</v>
      </c>
      <c r="G415">
        <v>-0.114929230653051</v>
      </c>
      <c r="H415">
        <v>-8.9921681984075894E-2</v>
      </c>
      <c r="I415">
        <v>-0.537591378298092</v>
      </c>
      <c r="J415">
        <v>-1.1530581166351301E-2</v>
      </c>
      <c r="K415">
        <v>-3.3267342922737399E-2</v>
      </c>
    </row>
    <row r="416" spans="1:11" x14ac:dyDescent="0.2">
      <c r="A416">
        <v>415</v>
      </c>
      <c r="B416">
        <v>48</v>
      </c>
      <c r="C416" t="s">
        <v>414</v>
      </c>
      <c r="D416" s="13" t="s">
        <v>912</v>
      </c>
      <c r="E416" s="21">
        <v>288</v>
      </c>
      <c r="F416" s="1">
        <v>4.5312506169971503</v>
      </c>
      <c r="G416">
        <v>-5.2450631791543002E-2</v>
      </c>
      <c r="H416">
        <v>-0.102342741340361</v>
      </c>
      <c r="I416">
        <v>-0.24287801618548599</v>
      </c>
      <c r="J416">
        <v>-4.0475163818510497E-2</v>
      </c>
      <c r="K416">
        <v>-8.97245422471174E-2</v>
      </c>
    </row>
    <row r="417" spans="1:11" x14ac:dyDescent="0.2">
      <c r="A417">
        <v>416</v>
      </c>
      <c r="B417">
        <v>45</v>
      </c>
      <c r="C417" t="s">
        <v>415</v>
      </c>
      <c r="D417" s="13" t="s">
        <v>912</v>
      </c>
      <c r="E417" s="21">
        <v>297</v>
      </c>
      <c r="F417" s="1">
        <v>-1.63006054501116</v>
      </c>
      <c r="G417">
        <v>2.43780235956715E-2</v>
      </c>
      <c r="H417">
        <v>2.8866510493828601E-2</v>
      </c>
      <c r="I417">
        <v>0.238729669060852</v>
      </c>
      <c r="J417">
        <v>1.6527003713415801E-2</v>
      </c>
      <c r="K417">
        <v>3.1051867481773202E-2</v>
      </c>
    </row>
    <row r="418" spans="1:11" x14ac:dyDescent="0.2">
      <c r="A418">
        <v>417</v>
      </c>
      <c r="B418">
        <v>42</v>
      </c>
      <c r="C418" t="s">
        <v>416</v>
      </c>
      <c r="D418" s="13" t="s">
        <v>912</v>
      </c>
      <c r="E418" s="21">
        <v>300</v>
      </c>
      <c r="F418" s="1">
        <v>2.22706098033462</v>
      </c>
      <c r="G418">
        <v>4.3806551656788003E-3</v>
      </c>
      <c r="H418">
        <v>-2.49201845359232E-2</v>
      </c>
      <c r="I418">
        <v>-9.31531525735E-3</v>
      </c>
      <c r="J418">
        <v>-3.0510890402163902E-2</v>
      </c>
      <c r="K418">
        <v>-6.1708594433236903E-2</v>
      </c>
    </row>
    <row r="419" spans="1:11" x14ac:dyDescent="0.2">
      <c r="A419">
        <v>418</v>
      </c>
      <c r="B419">
        <v>42</v>
      </c>
      <c r="C419" t="s">
        <v>417</v>
      </c>
      <c r="D419" s="13" t="s">
        <v>912</v>
      </c>
      <c r="E419" s="21">
        <v>300</v>
      </c>
      <c r="F419" s="1">
        <v>0.76305074285948304</v>
      </c>
      <c r="G419">
        <v>-3.1089408295531602E-2</v>
      </c>
      <c r="H419">
        <v>-9.2264159676024401E-2</v>
      </c>
      <c r="I419">
        <v>-0.37976395885181902</v>
      </c>
      <c r="J419">
        <v>5.3360153024250697E-3</v>
      </c>
      <c r="K419">
        <v>8.3488905791058894E-3</v>
      </c>
    </row>
    <row r="420" spans="1:11" x14ac:dyDescent="0.2">
      <c r="A420">
        <v>419</v>
      </c>
      <c r="B420">
        <v>54</v>
      </c>
      <c r="C420" t="s">
        <v>418</v>
      </c>
      <c r="D420" s="13" t="s">
        <v>912</v>
      </c>
      <c r="E420" s="21">
        <v>285</v>
      </c>
      <c r="F420" s="1">
        <v>7.4206804020258996</v>
      </c>
      <c r="G420">
        <v>-0.11337494968499801</v>
      </c>
      <c r="H420">
        <v>-0.20790963697125001</v>
      </c>
      <c r="I420">
        <v>-0.516998675798504</v>
      </c>
      <c r="J420">
        <v>-2.0601575349236401E-2</v>
      </c>
      <c r="K420">
        <v>-6.5454211471458204E-2</v>
      </c>
    </row>
    <row r="421" spans="1:11" x14ac:dyDescent="0.2">
      <c r="A421">
        <v>420</v>
      </c>
      <c r="B421">
        <v>53</v>
      </c>
      <c r="C421" t="s">
        <v>419</v>
      </c>
      <c r="D421" s="13" t="s">
        <v>912</v>
      </c>
      <c r="E421" s="21">
        <v>276</v>
      </c>
      <c r="F421" s="1">
        <v>-0.385457529675863</v>
      </c>
      <c r="G421">
        <v>7.9299464285598493E-3</v>
      </c>
      <c r="H421">
        <v>4.8270275934323304E-3</v>
      </c>
      <c r="I421">
        <v>3.5047383894749998E-2</v>
      </c>
      <c r="J421">
        <v>-3.1622034645290002E-2</v>
      </c>
      <c r="K421">
        <v>-8.5317480782672594E-2</v>
      </c>
    </row>
    <row r="422" spans="1:11" x14ac:dyDescent="0.2">
      <c r="A422">
        <v>421</v>
      </c>
      <c r="B422">
        <v>42</v>
      </c>
      <c r="C422" t="s">
        <v>420</v>
      </c>
      <c r="D422" s="13" t="s">
        <v>912</v>
      </c>
      <c r="E422" s="21">
        <v>300</v>
      </c>
      <c r="F422" s="1">
        <v>2.4366155254940298</v>
      </c>
      <c r="G422">
        <v>-4.1154680125537697E-2</v>
      </c>
      <c r="H422">
        <v>-0.15184216219591501</v>
      </c>
      <c r="I422">
        <v>-0.41039511178002003</v>
      </c>
      <c r="J422">
        <v>-2.6996188703612801E-2</v>
      </c>
      <c r="K422">
        <v>-6.73264392191147E-2</v>
      </c>
    </row>
    <row r="423" spans="1:11" x14ac:dyDescent="0.2">
      <c r="A423">
        <v>422</v>
      </c>
      <c r="B423">
        <v>31</v>
      </c>
      <c r="C423" t="s">
        <v>421</v>
      </c>
      <c r="D423" s="13" t="s">
        <v>913</v>
      </c>
      <c r="E423" s="21">
        <v>314</v>
      </c>
      <c r="F423" s="1">
        <v>-4.2834191576376899</v>
      </c>
      <c r="G423">
        <v>7.2489786001558906E-2</v>
      </c>
      <c r="H423">
        <v>0.28712659888948999</v>
      </c>
      <c r="I423">
        <v>0.74804735766497099</v>
      </c>
      <c r="J423">
        <v>-8.2659565817282607E-3</v>
      </c>
      <c r="K423">
        <v>-5.0796722852822697E-2</v>
      </c>
    </row>
    <row r="424" spans="1:11" x14ac:dyDescent="0.2">
      <c r="A424">
        <v>423</v>
      </c>
      <c r="B424">
        <v>48</v>
      </c>
      <c r="C424" t="s">
        <v>422</v>
      </c>
      <c r="D424" s="13" t="s">
        <v>912</v>
      </c>
      <c r="E424" s="21">
        <v>288</v>
      </c>
      <c r="F424" s="1">
        <v>-3.1912623136307601</v>
      </c>
      <c r="G424">
        <v>2.0421797053266699E-2</v>
      </c>
      <c r="H424">
        <v>1.09271254171006E-2</v>
      </c>
      <c r="I424">
        <v>0.17970284104142001</v>
      </c>
      <c r="J424">
        <v>1.1314181094060001E-2</v>
      </c>
      <c r="K424">
        <v>1.03656613611285E-2</v>
      </c>
    </row>
    <row r="425" spans="1:11" x14ac:dyDescent="0.2">
      <c r="A425">
        <v>424</v>
      </c>
      <c r="B425">
        <v>29</v>
      </c>
      <c r="C425" t="s">
        <v>423</v>
      </c>
      <c r="D425" s="13" t="s">
        <v>913</v>
      </c>
      <c r="E425" s="21">
        <v>317</v>
      </c>
      <c r="F425" s="1">
        <v>0.431436826786738</v>
      </c>
      <c r="G425">
        <v>-3.5658574457525499E-3</v>
      </c>
      <c r="H425">
        <v>7.3438181841764899E-2</v>
      </c>
      <c r="I425">
        <v>0.28999047298528502</v>
      </c>
      <c r="J425">
        <v>9.4480482726594004E-4</v>
      </c>
      <c r="K425">
        <v>-2.1367525946307898E-2</v>
      </c>
    </row>
    <row r="426" spans="1:11" x14ac:dyDescent="0.2">
      <c r="A426">
        <v>425</v>
      </c>
      <c r="B426">
        <v>52</v>
      </c>
      <c r="C426" t="s">
        <v>424</v>
      </c>
      <c r="D426" s="13" t="s">
        <v>912</v>
      </c>
      <c r="E426" s="21">
        <v>279</v>
      </c>
      <c r="F426" s="1">
        <v>4.3817990963529798</v>
      </c>
      <c r="G426">
        <v>-7.66377561581877E-2</v>
      </c>
      <c r="H426">
        <v>-7.1402320620919696E-2</v>
      </c>
      <c r="I426">
        <v>-0.477128649065587</v>
      </c>
      <c r="J426">
        <v>4.8890269957752399E-4</v>
      </c>
      <c r="K426">
        <v>-3.7239258225634101E-3</v>
      </c>
    </row>
    <row r="427" spans="1:11" x14ac:dyDescent="0.2">
      <c r="A427">
        <v>426</v>
      </c>
      <c r="B427">
        <v>50</v>
      </c>
      <c r="C427" t="s">
        <v>425</v>
      </c>
      <c r="D427" s="13" t="s">
        <v>912</v>
      </c>
      <c r="E427" s="21">
        <v>287</v>
      </c>
      <c r="F427" s="1">
        <v>5.4920118764738604</v>
      </c>
      <c r="G427">
        <v>-5.4041942940578E-2</v>
      </c>
      <c r="H427">
        <v>-0.146289954268567</v>
      </c>
      <c r="I427">
        <v>-0.33234141631438002</v>
      </c>
      <c r="J427">
        <v>-2.05828804183577E-2</v>
      </c>
      <c r="K427">
        <v>-3.7858169230562802E-2</v>
      </c>
    </row>
    <row r="428" spans="1:11" x14ac:dyDescent="0.2">
      <c r="A428">
        <v>427</v>
      </c>
      <c r="B428">
        <v>49</v>
      </c>
      <c r="C428" t="s">
        <v>426</v>
      </c>
      <c r="D428" s="13" t="s">
        <v>912</v>
      </c>
      <c r="E428" s="21">
        <v>290</v>
      </c>
      <c r="F428" s="1">
        <v>4.8901822553393304</v>
      </c>
      <c r="G428">
        <v>-0.110627142557022</v>
      </c>
      <c r="H428">
        <v>-0.21032825335295999</v>
      </c>
      <c r="I428">
        <v>-0.59904176934773701</v>
      </c>
      <c r="J428">
        <v>-1.8177542697161399E-2</v>
      </c>
      <c r="K428">
        <v>-5.28437423984605E-2</v>
      </c>
    </row>
    <row r="429" spans="1:11" x14ac:dyDescent="0.2">
      <c r="A429">
        <v>428</v>
      </c>
      <c r="B429">
        <v>53</v>
      </c>
      <c r="C429" t="s">
        <v>427</v>
      </c>
      <c r="D429" s="13" t="s">
        <v>912</v>
      </c>
      <c r="E429" s="21">
        <v>276</v>
      </c>
      <c r="F429" s="1">
        <v>-2.2422700728341098</v>
      </c>
      <c r="G429">
        <v>5.71818705310803E-2</v>
      </c>
      <c r="H429">
        <v>0.14618825284459</v>
      </c>
      <c r="I429">
        <v>0.58102389840903401</v>
      </c>
      <c r="J429">
        <v>-6.9127760949598003E-3</v>
      </c>
      <c r="K429">
        <v>-4.7432360112894298E-2</v>
      </c>
    </row>
    <row r="430" spans="1:11" x14ac:dyDescent="0.2">
      <c r="A430">
        <v>429</v>
      </c>
      <c r="B430">
        <v>50</v>
      </c>
      <c r="C430" t="s">
        <v>428</v>
      </c>
      <c r="D430" s="13" t="s">
        <v>912</v>
      </c>
      <c r="E430" s="21">
        <v>287</v>
      </c>
      <c r="F430" s="1">
        <v>6.3952503947185697</v>
      </c>
      <c r="G430">
        <v>-8.9817573186186495E-2</v>
      </c>
      <c r="H430">
        <v>2.86265608037619E-3</v>
      </c>
      <c r="I430">
        <v>-0.231196473809018</v>
      </c>
      <c r="J430">
        <v>-4.8729579579518401E-2</v>
      </c>
      <c r="K430">
        <v>-0.117742432282557</v>
      </c>
    </row>
    <row r="431" spans="1:11" x14ac:dyDescent="0.2">
      <c r="A431">
        <v>430</v>
      </c>
      <c r="B431">
        <v>43</v>
      </c>
      <c r="C431" t="s">
        <v>429</v>
      </c>
      <c r="D431" s="13" t="s">
        <v>912</v>
      </c>
      <c r="E431" s="21">
        <v>290</v>
      </c>
      <c r="F431" s="1">
        <v>-2.0708859648620002</v>
      </c>
      <c r="G431">
        <v>1.2710213292484999E-2</v>
      </c>
      <c r="H431">
        <v>5.5741807092245702E-2</v>
      </c>
      <c r="I431">
        <v>0.30563180901514198</v>
      </c>
      <c r="J431">
        <v>3.0961676261349599E-2</v>
      </c>
      <c r="K431">
        <v>7.1237388054326195E-2</v>
      </c>
    </row>
    <row r="432" spans="1:11" x14ac:dyDescent="0.2">
      <c r="A432">
        <v>431</v>
      </c>
      <c r="B432">
        <v>42</v>
      </c>
      <c r="C432" t="s">
        <v>430</v>
      </c>
      <c r="D432" s="13" t="s">
        <v>912</v>
      </c>
      <c r="E432" s="21">
        <v>300</v>
      </c>
      <c r="F432" s="1">
        <v>-4.04520457010935</v>
      </c>
      <c r="G432">
        <v>6.4538075881190995E-2</v>
      </c>
      <c r="H432">
        <v>8.5957876793138793E-2</v>
      </c>
      <c r="I432">
        <v>0.33428928366557198</v>
      </c>
      <c r="J432">
        <v>4.08117781334105E-3</v>
      </c>
      <c r="K432">
        <v>1.3722524524369501E-2</v>
      </c>
    </row>
    <row r="433" spans="1:11" x14ac:dyDescent="0.2">
      <c r="A433">
        <v>432</v>
      </c>
      <c r="B433">
        <v>50</v>
      </c>
      <c r="C433" t="s">
        <v>431</v>
      </c>
      <c r="D433" s="13" t="s">
        <v>912</v>
      </c>
      <c r="E433" s="21">
        <v>287</v>
      </c>
      <c r="F433" s="1">
        <v>5.1645111422493102</v>
      </c>
      <c r="G433">
        <v>-5.9768478538192303E-2</v>
      </c>
      <c r="H433">
        <v>-0.15614772713112801</v>
      </c>
      <c r="I433">
        <v>-0.38960814687044798</v>
      </c>
      <c r="J433">
        <v>-6.5814676617557299E-2</v>
      </c>
      <c r="K433">
        <v>-0.14354226036449699</v>
      </c>
    </row>
    <row r="434" spans="1:11" x14ac:dyDescent="0.2">
      <c r="A434">
        <v>433</v>
      </c>
      <c r="B434">
        <v>45</v>
      </c>
      <c r="C434" t="s">
        <v>432</v>
      </c>
      <c r="D434" s="13" t="s">
        <v>912</v>
      </c>
      <c r="E434" s="21">
        <v>297</v>
      </c>
      <c r="F434" s="1">
        <v>7.2980141326748003</v>
      </c>
      <c r="G434">
        <v>-0.13553584478226499</v>
      </c>
      <c r="H434">
        <v>-0.111103260516263</v>
      </c>
      <c r="I434">
        <v>-0.61722701375784605</v>
      </c>
      <c r="J434">
        <v>-4.2970471214592798E-2</v>
      </c>
      <c r="K434">
        <v>-0.10053799593240099</v>
      </c>
    </row>
    <row r="435" spans="1:11" x14ac:dyDescent="0.2">
      <c r="A435">
        <v>434</v>
      </c>
      <c r="B435">
        <v>42</v>
      </c>
      <c r="C435" t="s">
        <v>433</v>
      </c>
      <c r="D435" s="13" t="s">
        <v>912</v>
      </c>
      <c r="E435" s="21">
        <v>300</v>
      </c>
      <c r="F435" s="1">
        <v>2.7581256049902398</v>
      </c>
      <c r="G435">
        <v>-6.5524079590240702E-2</v>
      </c>
      <c r="H435">
        <v>-9.0256896300753203E-2</v>
      </c>
      <c r="I435">
        <v>-0.24483726547999499</v>
      </c>
      <c r="J435">
        <v>-3.26855628136261E-3</v>
      </c>
      <c r="K435">
        <v>-1.8435502017147502E-2</v>
      </c>
    </row>
    <row r="436" spans="1:11" x14ac:dyDescent="0.2">
      <c r="A436">
        <v>435</v>
      </c>
      <c r="B436">
        <v>42</v>
      </c>
      <c r="C436" t="s">
        <v>434</v>
      </c>
      <c r="D436" s="13" t="s">
        <v>912</v>
      </c>
      <c r="E436" s="21">
        <v>300</v>
      </c>
      <c r="F436" s="1">
        <v>3.6733234024071901</v>
      </c>
      <c r="G436">
        <v>-5.87829666091578E-2</v>
      </c>
      <c r="H436">
        <v>-1.1651461257986301E-2</v>
      </c>
      <c r="I436">
        <v>-9.1843940191531206E-2</v>
      </c>
      <c r="J436">
        <v>-1.99512261882227E-2</v>
      </c>
      <c r="K436">
        <v>-6.0070883843801499E-2</v>
      </c>
    </row>
    <row r="437" spans="1:11" x14ac:dyDescent="0.2">
      <c r="A437">
        <v>436</v>
      </c>
      <c r="B437">
        <v>41</v>
      </c>
      <c r="C437" t="s">
        <v>435</v>
      </c>
      <c r="D437" s="13" t="s">
        <v>912</v>
      </c>
      <c r="E437" s="21">
        <v>261</v>
      </c>
      <c r="F437" s="1">
        <v>1.0749524787390099</v>
      </c>
      <c r="G437">
        <v>6.35321430033149E-3</v>
      </c>
      <c r="H437">
        <v>-4.6177187188378203E-2</v>
      </c>
      <c r="I437">
        <v>2.60333688422307E-2</v>
      </c>
      <c r="J437">
        <v>7.6684884605410494E-2</v>
      </c>
      <c r="K437">
        <v>0.24915578256586701</v>
      </c>
    </row>
    <row r="438" spans="1:11" x14ac:dyDescent="0.2">
      <c r="A438">
        <v>437</v>
      </c>
      <c r="B438">
        <v>49</v>
      </c>
      <c r="C438" t="s">
        <v>436</v>
      </c>
      <c r="D438" s="13" t="s">
        <v>912</v>
      </c>
      <c r="E438" s="21">
        <v>290</v>
      </c>
      <c r="F438" s="1">
        <v>0.11543765334202701</v>
      </c>
      <c r="G438">
        <v>-4.13561342166772E-2</v>
      </c>
      <c r="H438">
        <v>-0.19925325645827199</v>
      </c>
      <c r="I438">
        <v>-0.54933819837901499</v>
      </c>
      <c r="J438">
        <v>-1.0865533389376099E-2</v>
      </c>
      <c r="K438">
        <v>-2.0575935107394999E-2</v>
      </c>
    </row>
    <row r="439" spans="1:11" x14ac:dyDescent="0.2">
      <c r="A439">
        <v>438</v>
      </c>
      <c r="B439">
        <v>50</v>
      </c>
      <c r="C439" t="s">
        <v>437</v>
      </c>
      <c r="D439" s="13" t="s">
        <v>912</v>
      </c>
      <c r="E439" s="21">
        <v>287</v>
      </c>
      <c r="F439" s="1">
        <v>-1.5771203980561099</v>
      </c>
      <c r="G439">
        <v>5.5604122545273298E-2</v>
      </c>
      <c r="H439">
        <v>0.20999025519848799</v>
      </c>
      <c r="I439">
        <v>0.35380328886808599</v>
      </c>
      <c r="J439">
        <v>-2.07932038874695E-2</v>
      </c>
      <c r="K439">
        <v>-7.1904951431244105E-2</v>
      </c>
    </row>
    <row r="440" spans="1:11" x14ac:dyDescent="0.2">
      <c r="A440">
        <v>439</v>
      </c>
      <c r="B440">
        <v>54</v>
      </c>
      <c r="C440" t="s">
        <v>438</v>
      </c>
      <c r="D440" s="13" t="s">
        <v>912</v>
      </c>
      <c r="E440" s="21">
        <v>285</v>
      </c>
      <c r="F440" s="1">
        <v>-0.341298352342366</v>
      </c>
      <c r="G440">
        <v>2.2519677600176799E-2</v>
      </c>
      <c r="H440">
        <v>4.3843750990426297E-2</v>
      </c>
      <c r="I440">
        <v>0.19757610374665599</v>
      </c>
      <c r="J440">
        <v>-9.9674276960358497E-3</v>
      </c>
      <c r="K440">
        <v>-5.71356574536733E-2</v>
      </c>
    </row>
    <row r="441" spans="1:11" x14ac:dyDescent="0.2">
      <c r="A441">
        <v>440</v>
      </c>
      <c r="B441">
        <v>52</v>
      </c>
      <c r="C441" t="s">
        <v>439</v>
      </c>
      <c r="D441" s="13" t="s">
        <v>912</v>
      </c>
      <c r="E441" s="21">
        <v>279</v>
      </c>
      <c r="F441" s="1">
        <v>-0.899455317930134</v>
      </c>
      <c r="G441">
        <v>3.2426976490191203E-2</v>
      </c>
      <c r="H441">
        <v>8.15985443849188E-2</v>
      </c>
      <c r="I441">
        <v>0.40052219156747199</v>
      </c>
      <c r="J441">
        <v>1.01475518487582E-2</v>
      </c>
      <c r="K441">
        <v>1.48873258385557E-2</v>
      </c>
    </row>
    <row r="442" spans="1:11" x14ac:dyDescent="0.2">
      <c r="A442">
        <v>441</v>
      </c>
      <c r="B442">
        <v>40</v>
      </c>
      <c r="C442" t="s">
        <v>440</v>
      </c>
      <c r="D442" s="13" t="s">
        <v>913</v>
      </c>
      <c r="E442" s="21">
        <v>317</v>
      </c>
      <c r="F442" s="1">
        <v>1.0931138034105901</v>
      </c>
      <c r="G442">
        <v>-2.9357349882225801E-2</v>
      </c>
      <c r="H442">
        <v>0.161592201787567</v>
      </c>
      <c r="I442">
        <v>4.0489010544685101E-2</v>
      </c>
      <c r="J442">
        <v>-4.8044741529112103E-2</v>
      </c>
      <c r="K442">
        <v>-0.120760076591133</v>
      </c>
    </row>
    <row r="443" spans="1:11" x14ac:dyDescent="0.2">
      <c r="A443">
        <v>442</v>
      </c>
      <c r="B443">
        <v>50</v>
      </c>
      <c r="C443" t="s">
        <v>441</v>
      </c>
      <c r="D443" s="13" t="s">
        <v>912</v>
      </c>
      <c r="E443" s="21">
        <v>287</v>
      </c>
      <c r="F443" s="1">
        <v>1.52598856745833</v>
      </c>
      <c r="G443">
        <v>-3.0790166857521801E-2</v>
      </c>
      <c r="H443">
        <v>-3.7464237764403101E-2</v>
      </c>
      <c r="I443">
        <v>-0.12684906381499</v>
      </c>
      <c r="J443">
        <v>1.38040173928908E-2</v>
      </c>
      <c r="K443">
        <v>1.49631066879879E-2</v>
      </c>
    </row>
    <row r="444" spans="1:11" x14ac:dyDescent="0.2">
      <c r="A444">
        <v>443</v>
      </c>
      <c r="B444">
        <v>29</v>
      </c>
      <c r="C444" t="s">
        <v>442</v>
      </c>
      <c r="D444" s="13" t="s">
        <v>913</v>
      </c>
      <c r="E444" s="21">
        <v>317</v>
      </c>
      <c r="F444" s="1">
        <v>3.9396022339609398</v>
      </c>
      <c r="G444">
        <v>-3.9292897893247997E-2</v>
      </c>
      <c r="H444">
        <v>-5.6490932509649198E-2</v>
      </c>
      <c r="I444">
        <v>-0.120337668363396</v>
      </c>
      <c r="J444">
        <v>-4.8085487006182199E-3</v>
      </c>
      <c r="K444">
        <v>-2.6179839480119801E-2</v>
      </c>
    </row>
    <row r="445" spans="1:11" x14ac:dyDescent="0.2">
      <c r="A445">
        <v>444</v>
      </c>
      <c r="B445">
        <v>46</v>
      </c>
      <c r="C445" t="s">
        <v>443</v>
      </c>
      <c r="D445" s="13" t="s">
        <v>912</v>
      </c>
      <c r="E445" s="21">
        <v>275</v>
      </c>
      <c r="F445" s="1">
        <v>2.0208042235034398</v>
      </c>
      <c r="G445">
        <v>-4.2078437733218304E-3</v>
      </c>
      <c r="H445">
        <v>-8.8909852235757592E-3</v>
      </c>
      <c r="I445">
        <v>1.6852153946497E-2</v>
      </c>
      <c r="J445">
        <v>1.3565495090135301E-2</v>
      </c>
      <c r="K445">
        <v>3.8096930682811003E-2</v>
      </c>
    </row>
    <row r="446" spans="1:11" x14ac:dyDescent="0.2">
      <c r="A446">
        <v>445</v>
      </c>
      <c r="B446">
        <v>52</v>
      </c>
      <c r="C446" t="s">
        <v>444</v>
      </c>
      <c r="D446" s="13" t="s">
        <v>912</v>
      </c>
      <c r="E446" s="21">
        <v>279</v>
      </c>
      <c r="F446" s="1">
        <v>3.6018254135438101</v>
      </c>
      <c r="G446">
        <v>-3.4697701817712499E-2</v>
      </c>
      <c r="H446">
        <v>1.6020869526682E-2</v>
      </c>
      <c r="I446">
        <v>9.1422783758871203E-3</v>
      </c>
      <c r="J446">
        <v>-2.2915295498047199E-2</v>
      </c>
      <c r="K446">
        <v>-6.7551751279754393E-2</v>
      </c>
    </row>
    <row r="447" spans="1:11" x14ac:dyDescent="0.2">
      <c r="A447">
        <v>446</v>
      </c>
      <c r="B447">
        <v>46</v>
      </c>
      <c r="C447" t="s">
        <v>445</v>
      </c>
      <c r="D447" s="13" t="s">
        <v>912</v>
      </c>
      <c r="E447" s="21">
        <v>275</v>
      </c>
      <c r="F447" s="1">
        <v>1.8832980741743699</v>
      </c>
      <c r="G447">
        <v>-2.1314194838707001E-2</v>
      </c>
      <c r="H447">
        <v>1.40501708448424E-2</v>
      </c>
      <c r="I447">
        <v>-1.40741442726025E-2</v>
      </c>
      <c r="J447" s="18">
        <v>-5.02668925837102E-5</v>
      </c>
      <c r="K447">
        <v>1.0311205346333801E-3</v>
      </c>
    </row>
    <row r="448" spans="1:11" x14ac:dyDescent="0.2">
      <c r="A448">
        <v>447</v>
      </c>
      <c r="B448">
        <v>50</v>
      </c>
      <c r="C448" t="s">
        <v>446</v>
      </c>
      <c r="D448" s="13" t="s">
        <v>912</v>
      </c>
      <c r="E448" s="21">
        <v>287</v>
      </c>
      <c r="F448" s="1">
        <v>-3.3716506685216499</v>
      </c>
      <c r="G448">
        <v>4.1677979809042302E-3</v>
      </c>
      <c r="H448">
        <v>-0.139148179208617</v>
      </c>
      <c r="I448">
        <v>-0.29523932505901801</v>
      </c>
      <c r="J448">
        <v>-3.9135198726352502E-2</v>
      </c>
      <c r="K448">
        <v>-8.4845502797791406E-2</v>
      </c>
    </row>
    <row r="449" spans="1:11" x14ac:dyDescent="0.2">
      <c r="A449">
        <v>448</v>
      </c>
      <c r="B449">
        <v>42</v>
      </c>
      <c r="C449" t="s">
        <v>447</v>
      </c>
      <c r="D449" s="13" t="s">
        <v>912</v>
      </c>
      <c r="E449" s="21">
        <v>300</v>
      </c>
      <c r="F449" s="1">
        <v>-3.5421439209751102</v>
      </c>
      <c r="G449">
        <v>8.5468925702082296E-2</v>
      </c>
      <c r="H449">
        <v>0.101814972446677</v>
      </c>
      <c r="I449">
        <v>0.52055190835210197</v>
      </c>
      <c r="J449">
        <v>2.3660486953235998E-2</v>
      </c>
      <c r="K449">
        <v>4.1914428686417503E-2</v>
      </c>
    </row>
    <row r="450" spans="1:11" x14ac:dyDescent="0.2">
      <c r="A450">
        <v>449</v>
      </c>
      <c r="B450">
        <v>53</v>
      </c>
      <c r="C450" t="s">
        <v>448</v>
      </c>
      <c r="D450" s="13" t="s">
        <v>912</v>
      </c>
      <c r="E450" s="21">
        <v>276</v>
      </c>
      <c r="F450" s="1">
        <v>4.2683215459233796</v>
      </c>
      <c r="G450">
        <v>-5.05577827863712E-2</v>
      </c>
      <c r="H450">
        <v>0.15133608654736899</v>
      </c>
      <c r="I450">
        <v>2.0383528685255701E-2</v>
      </c>
      <c r="J450">
        <v>-3.5213923134615299E-2</v>
      </c>
      <c r="K450">
        <v>-8.2004128390633299E-2</v>
      </c>
    </row>
    <row r="451" spans="1:11" x14ac:dyDescent="0.2">
      <c r="A451">
        <v>450</v>
      </c>
      <c r="B451">
        <v>49</v>
      </c>
      <c r="C451" t="s">
        <v>449</v>
      </c>
      <c r="D451" s="13" t="s">
        <v>912</v>
      </c>
      <c r="E451" s="21">
        <v>290</v>
      </c>
      <c r="F451" s="1">
        <v>-1.0808992135433</v>
      </c>
      <c r="G451">
        <v>6.17427046929412E-3</v>
      </c>
      <c r="H451">
        <v>0.16959748139035599</v>
      </c>
      <c r="I451">
        <v>0.40942780030141501</v>
      </c>
      <c r="J451">
        <v>-3.3693651174960003E-2</v>
      </c>
      <c r="K451">
        <v>-8.5084773993635204E-2</v>
      </c>
    </row>
    <row r="452" spans="1:11" x14ac:dyDescent="0.2">
      <c r="A452">
        <v>451</v>
      </c>
      <c r="B452">
        <v>44</v>
      </c>
      <c r="C452" t="s">
        <v>450</v>
      </c>
      <c r="D452" s="13" t="s">
        <v>912</v>
      </c>
      <c r="E452" s="21">
        <v>288</v>
      </c>
      <c r="F452" s="1">
        <v>1.2755250837712999</v>
      </c>
      <c r="G452">
        <v>-3.7705017867343503E-2</v>
      </c>
      <c r="H452">
        <v>-3.0773697016471101E-2</v>
      </c>
      <c r="I452">
        <v>-0.404950115620761</v>
      </c>
      <c r="J452">
        <v>-4.2157684338286303E-2</v>
      </c>
      <c r="K452">
        <v>-9.0518742471423899E-2</v>
      </c>
    </row>
    <row r="453" spans="1:11" x14ac:dyDescent="0.2">
      <c r="A453">
        <v>452</v>
      </c>
      <c r="B453">
        <v>42</v>
      </c>
      <c r="C453" t="s">
        <v>451</v>
      </c>
      <c r="D453" s="13" t="s">
        <v>912</v>
      </c>
      <c r="E453" s="21">
        <v>300</v>
      </c>
      <c r="F453" s="1">
        <v>0.43582175546523999</v>
      </c>
      <c r="G453">
        <v>5.8422414885505097E-3</v>
      </c>
      <c r="H453">
        <v>-3.95125028103918E-2</v>
      </c>
      <c r="I453">
        <v>-7.4411306081264297E-2</v>
      </c>
      <c r="J453">
        <v>-1.3294700868063201E-2</v>
      </c>
      <c r="K453">
        <v>-4.9934784042727803E-2</v>
      </c>
    </row>
    <row r="454" spans="1:11" x14ac:dyDescent="0.2">
      <c r="A454">
        <v>453</v>
      </c>
      <c r="B454">
        <v>53</v>
      </c>
      <c r="C454" t="s">
        <v>452</v>
      </c>
      <c r="D454" s="13" t="s">
        <v>912</v>
      </c>
      <c r="E454" s="21">
        <v>276</v>
      </c>
      <c r="F454" s="1">
        <v>5.2872768264483501</v>
      </c>
      <c r="G454">
        <v>-0.13164314458582899</v>
      </c>
      <c r="H454">
        <v>-0.28728978643053898</v>
      </c>
      <c r="I454">
        <v>-0.66596395737596603</v>
      </c>
      <c r="J454">
        <v>2.3079813578022499E-2</v>
      </c>
      <c r="K454">
        <v>4.5449898069629499E-2</v>
      </c>
    </row>
    <row r="455" spans="1:11" x14ac:dyDescent="0.2">
      <c r="A455">
        <v>454</v>
      </c>
      <c r="B455">
        <v>45</v>
      </c>
      <c r="C455" t="s">
        <v>453</v>
      </c>
      <c r="D455" s="13" t="s">
        <v>912</v>
      </c>
      <c r="E455" s="21">
        <v>297</v>
      </c>
      <c r="F455" s="1">
        <v>0.50806266428605695</v>
      </c>
      <c r="G455">
        <v>-4.3886022751677203E-2</v>
      </c>
      <c r="H455">
        <v>1.8089574034725001E-2</v>
      </c>
      <c r="I455">
        <v>-0.29382518829878101</v>
      </c>
      <c r="J455">
        <v>-3.64662881574533E-2</v>
      </c>
      <c r="K455">
        <v>-8.4549355315217706E-2</v>
      </c>
    </row>
    <row r="456" spans="1:11" x14ac:dyDescent="0.2">
      <c r="A456">
        <v>455</v>
      </c>
      <c r="B456">
        <v>48</v>
      </c>
      <c r="C456" t="s">
        <v>454</v>
      </c>
      <c r="D456" s="13" t="s">
        <v>912</v>
      </c>
      <c r="E456" s="21">
        <v>288</v>
      </c>
      <c r="F456" s="1">
        <v>4.5648227726479504</v>
      </c>
      <c r="G456">
        <v>-2.6281007645014998E-2</v>
      </c>
      <c r="H456">
        <v>-7.3274079331936401E-2</v>
      </c>
      <c r="I456">
        <v>-0.10495894185737301</v>
      </c>
      <c r="J456">
        <v>7.36949151115122E-3</v>
      </c>
      <c r="K456">
        <v>4.3060369180707696E-3</v>
      </c>
    </row>
    <row r="457" spans="1:11" x14ac:dyDescent="0.2">
      <c r="A457">
        <v>456</v>
      </c>
      <c r="B457">
        <v>53</v>
      </c>
      <c r="C457" t="s">
        <v>455</v>
      </c>
      <c r="D457" s="13" t="s">
        <v>912</v>
      </c>
      <c r="E457" s="21">
        <v>276</v>
      </c>
      <c r="F457" s="1">
        <v>4.0474303280938404</v>
      </c>
      <c r="G457">
        <v>-9.4705378299912199E-2</v>
      </c>
      <c r="H457">
        <v>-5.5635856770834498E-2</v>
      </c>
      <c r="I457">
        <v>-0.59355078101919401</v>
      </c>
      <c r="J457">
        <v>-2.8775045914425298E-2</v>
      </c>
      <c r="K457">
        <v>-6.5287211084422994E-2</v>
      </c>
    </row>
    <row r="458" spans="1:11" x14ac:dyDescent="0.2">
      <c r="A458">
        <v>457</v>
      </c>
      <c r="B458">
        <v>45</v>
      </c>
      <c r="C458" t="s">
        <v>456</v>
      </c>
      <c r="D458" s="13" t="s">
        <v>912</v>
      </c>
      <c r="E458" s="21">
        <v>297</v>
      </c>
      <c r="F458" s="1">
        <v>5.61458037917465</v>
      </c>
      <c r="G458">
        <v>-9.8816286056757199E-2</v>
      </c>
      <c r="H458">
        <v>-0.12235345685351701</v>
      </c>
      <c r="I458">
        <v>-0.33529088463512502</v>
      </c>
      <c r="J458">
        <v>2.6912702409055699E-2</v>
      </c>
      <c r="K458">
        <v>7.0848339391349893E-2</v>
      </c>
    </row>
    <row r="459" spans="1:11" x14ac:dyDescent="0.2">
      <c r="A459">
        <v>458</v>
      </c>
      <c r="B459">
        <v>50</v>
      </c>
      <c r="C459" t="s">
        <v>457</v>
      </c>
      <c r="D459" s="13" t="s">
        <v>912</v>
      </c>
      <c r="E459" s="21">
        <v>287</v>
      </c>
      <c r="F459" s="1">
        <v>-2.1761905493539202</v>
      </c>
      <c r="G459">
        <v>1.3119152913383701E-2</v>
      </c>
      <c r="H459">
        <v>1.068665120961E-2</v>
      </c>
      <c r="I459">
        <v>0.158384784568284</v>
      </c>
      <c r="J459">
        <v>-3.2878306636745101E-3</v>
      </c>
      <c r="K459">
        <v>-3.1905658352122099E-2</v>
      </c>
    </row>
    <row r="460" spans="1:11" x14ac:dyDescent="0.2">
      <c r="A460">
        <v>459</v>
      </c>
      <c r="B460">
        <v>47</v>
      </c>
      <c r="C460" t="s">
        <v>458</v>
      </c>
      <c r="D460" s="13" t="s">
        <v>912</v>
      </c>
      <c r="E460" s="21">
        <v>290</v>
      </c>
      <c r="F460" s="1">
        <v>-2.94667296032332E-2</v>
      </c>
      <c r="G460">
        <v>-2.23843021982175E-2</v>
      </c>
      <c r="H460">
        <v>2.70783074461543E-2</v>
      </c>
      <c r="I460">
        <v>-0.28820940704248099</v>
      </c>
      <c r="J460">
        <v>-4.0896908935860801E-2</v>
      </c>
      <c r="K460">
        <v>-9.0830400205327497E-2</v>
      </c>
    </row>
    <row r="461" spans="1:11" x14ac:dyDescent="0.2">
      <c r="A461">
        <v>460</v>
      </c>
      <c r="B461">
        <v>50</v>
      </c>
      <c r="C461" t="s">
        <v>459</v>
      </c>
      <c r="D461" s="13" t="s">
        <v>912</v>
      </c>
      <c r="E461" s="21">
        <v>287</v>
      </c>
      <c r="F461" s="1">
        <v>2.6285365862155499</v>
      </c>
      <c r="G461">
        <v>-3.8574695270692301E-2</v>
      </c>
      <c r="H461">
        <v>-0.13395894074720099</v>
      </c>
      <c r="I461">
        <v>-0.26466572063647498</v>
      </c>
      <c r="J461">
        <v>-4.4766957683594198E-2</v>
      </c>
      <c r="K461">
        <v>-0.10636412074427801</v>
      </c>
    </row>
    <row r="462" spans="1:11" x14ac:dyDescent="0.2">
      <c r="A462">
        <v>461</v>
      </c>
      <c r="B462">
        <v>51</v>
      </c>
      <c r="C462" t="s">
        <v>460</v>
      </c>
      <c r="D462" s="13" t="s">
        <v>912</v>
      </c>
      <c r="E462" s="21">
        <v>274</v>
      </c>
      <c r="F462" s="1">
        <v>-7.6719491574502197</v>
      </c>
      <c r="G462">
        <v>0.16257557861687</v>
      </c>
      <c r="H462">
        <v>0.37673271659941199</v>
      </c>
      <c r="I462">
        <v>1.1310162507692001</v>
      </c>
      <c r="J462">
        <v>-1.7505794701335901E-2</v>
      </c>
      <c r="K462">
        <v>1.7224845225780199E-2</v>
      </c>
    </row>
    <row r="463" spans="1:11" x14ac:dyDescent="0.2">
      <c r="A463">
        <v>462</v>
      </c>
      <c r="B463">
        <v>32</v>
      </c>
      <c r="C463" t="s">
        <v>461</v>
      </c>
      <c r="D463" s="13" t="s">
        <v>913</v>
      </c>
      <c r="E463" s="21">
        <v>314</v>
      </c>
      <c r="F463" s="1">
        <v>4.7741408973888397</v>
      </c>
      <c r="G463">
        <v>-4.0739307066520201E-2</v>
      </c>
      <c r="H463">
        <v>-2.4253140842505599E-2</v>
      </c>
      <c r="I463">
        <v>-0.122413692700667</v>
      </c>
      <c r="J463">
        <v>-7.24275719746428E-3</v>
      </c>
      <c r="K463">
        <v>1.36614305732964E-3</v>
      </c>
    </row>
    <row r="464" spans="1:11" x14ac:dyDescent="0.2">
      <c r="A464">
        <v>463</v>
      </c>
      <c r="B464">
        <v>44</v>
      </c>
      <c r="C464" t="s">
        <v>462</v>
      </c>
      <c r="D464" s="13" t="s">
        <v>912</v>
      </c>
      <c r="E464" s="21">
        <v>288</v>
      </c>
      <c r="F464" s="1">
        <v>0.117640843422271</v>
      </c>
      <c r="G464">
        <v>-4.5107424411518701E-2</v>
      </c>
      <c r="H464">
        <v>-5.6435551329249302E-2</v>
      </c>
      <c r="I464">
        <v>-0.29648709015088398</v>
      </c>
      <c r="J464">
        <v>-4.6620776399957597E-2</v>
      </c>
      <c r="K464">
        <v>-0.106375446691645</v>
      </c>
    </row>
    <row r="465" spans="1:11" x14ac:dyDescent="0.2">
      <c r="A465">
        <v>464</v>
      </c>
      <c r="B465">
        <v>21</v>
      </c>
      <c r="C465" t="s">
        <v>463</v>
      </c>
      <c r="D465" s="13" t="s">
        <v>913</v>
      </c>
      <c r="E465" s="21">
        <v>333</v>
      </c>
      <c r="F465" s="1">
        <v>7.6541537354650897</v>
      </c>
      <c r="G465">
        <v>-0.109300783369087</v>
      </c>
      <c r="H465">
        <v>-0.34996163648214301</v>
      </c>
      <c r="I465">
        <v>-0.85846459426223598</v>
      </c>
      <c r="J465">
        <v>1.0113369806819801E-2</v>
      </c>
      <c r="K465">
        <v>3.9878752553773898E-2</v>
      </c>
    </row>
    <row r="466" spans="1:11" x14ac:dyDescent="0.2">
      <c r="A466">
        <v>465</v>
      </c>
      <c r="B466">
        <v>52</v>
      </c>
      <c r="C466" t="s">
        <v>464</v>
      </c>
      <c r="D466" s="13" t="s">
        <v>912</v>
      </c>
      <c r="E466" s="21">
        <v>279</v>
      </c>
      <c r="F466" s="1">
        <v>-0.75544003553850303</v>
      </c>
      <c r="G466">
        <v>-6.2029411150906801E-3</v>
      </c>
      <c r="H466">
        <v>9.8755957098407496E-2</v>
      </c>
      <c r="I466">
        <v>0.31220437311039501</v>
      </c>
      <c r="J466">
        <v>1.99442470399608E-2</v>
      </c>
      <c r="K466">
        <v>7.2187461550108399E-3</v>
      </c>
    </row>
    <row r="467" spans="1:11" x14ac:dyDescent="0.2">
      <c r="A467">
        <v>466</v>
      </c>
      <c r="B467">
        <v>54</v>
      </c>
      <c r="C467" t="s">
        <v>465</v>
      </c>
      <c r="D467" s="13" t="s">
        <v>912</v>
      </c>
      <c r="E467" s="21">
        <v>285</v>
      </c>
      <c r="F467" s="1">
        <v>5.1134331798890003</v>
      </c>
      <c r="G467">
        <v>-7.2927102767312901E-2</v>
      </c>
      <c r="H467">
        <v>-5.0302880697573799E-2</v>
      </c>
      <c r="I467">
        <v>-0.231110220428319</v>
      </c>
      <c r="J467">
        <v>1.41213168476787E-2</v>
      </c>
      <c r="K467">
        <v>2.6680571206840201E-2</v>
      </c>
    </row>
    <row r="468" spans="1:11" x14ac:dyDescent="0.2">
      <c r="A468">
        <v>467</v>
      </c>
      <c r="B468">
        <v>42</v>
      </c>
      <c r="C468" t="s">
        <v>466</v>
      </c>
      <c r="D468" s="13" t="s">
        <v>912</v>
      </c>
      <c r="E468" s="21">
        <v>300</v>
      </c>
      <c r="F468" s="1">
        <v>3.0553354087391602</v>
      </c>
      <c r="G468">
        <v>-1.3383783250413899E-2</v>
      </c>
      <c r="H468">
        <v>-5.6237869308125001E-2</v>
      </c>
      <c r="I468">
        <v>-3.6146733194677101E-2</v>
      </c>
      <c r="J468">
        <v>3.7588169149394999E-3</v>
      </c>
      <c r="K468">
        <v>-2.9310714036516201E-4</v>
      </c>
    </row>
    <row r="469" spans="1:11" x14ac:dyDescent="0.2">
      <c r="A469">
        <v>468</v>
      </c>
      <c r="B469">
        <v>44</v>
      </c>
      <c r="C469" t="s">
        <v>467</v>
      </c>
      <c r="D469" s="13" t="s">
        <v>912</v>
      </c>
      <c r="E469" s="21">
        <v>288</v>
      </c>
      <c r="F469" s="1">
        <v>2.9848236191102999</v>
      </c>
      <c r="G469">
        <v>-3.4401044527823103E-2</v>
      </c>
      <c r="H469">
        <v>-5.6166977146353901E-2</v>
      </c>
      <c r="I469">
        <v>-0.12794551364207801</v>
      </c>
      <c r="J469">
        <v>-4.99609933535465E-2</v>
      </c>
      <c r="K469">
        <v>-0.13058925968844901</v>
      </c>
    </row>
    <row r="470" spans="1:11" x14ac:dyDescent="0.2">
      <c r="A470">
        <v>469</v>
      </c>
      <c r="B470">
        <v>47</v>
      </c>
      <c r="C470" t="s">
        <v>468</v>
      </c>
      <c r="D470" s="13" t="s">
        <v>912</v>
      </c>
      <c r="E470" s="21">
        <v>290</v>
      </c>
      <c r="F470" s="1">
        <v>-3.2018719258364099</v>
      </c>
      <c r="G470">
        <v>9.5319019990368806E-2</v>
      </c>
      <c r="H470">
        <v>0.16955197843401601</v>
      </c>
      <c r="I470">
        <v>0.229089525526566</v>
      </c>
      <c r="J470">
        <v>2.5633156020582801E-4</v>
      </c>
      <c r="K470">
        <v>3.0789800045030801E-2</v>
      </c>
    </row>
    <row r="471" spans="1:11" x14ac:dyDescent="0.2">
      <c r="A471">
        <v>470</v>
      </c>
      <c r="B471">
        <v>49</v>
      </c>
      <c r="C471" t="s">
        <v>469</v>
      </c>
      <c r="D471" s="13" t="s">
        <v>912</v>
      </c>
      <c r="E471" s="21">
        <v>290</v>
      </c>
      <c r="F471" s="1">
        <v>4.3709871590703102</v>
      </c>
      <c r="G471">
        <v>-7.6636130646923803E-2</v>
      </c>
      <c r="H471">
        <v>-0.138935132507603</v>
      </c>
      <c r="I471">
        <v>-0.35347714632782901</v>
      </c>
      <c r="J471">
        <v>7.6793153854226998E-3</v>
      </c>
      <c r="K471">
        <v>1.9766021830987301E-2</v>
      </c>
    </row>
    <row r="472" spans="1:11" x14ac:dyDescent="0.2">
      <c r="A472">
        <v>471</v>
      </c>
      <c r="B472">
        <v>54</v>
      </c>
      <c r="C472" t="s">
        <v>470</v>
      </c>
      <c r="D472" s="13" t="s">
        <v>912</v>
      </c>
      <c r="E472" s="21">
        <v>285</v>
      </c>
      <c r="F472" s="1">
        <v>4.4323394936512104</v>
      </c>
      <c r="G472">
        <v>-6.0787079701528399E-2</v>
      </c>
      <c r="H472">
        <v>-0.14652273095463</v>
      </c>
      <c r="I472">
        <v>-0.31779467763420399</v>
      </c>
      <c r="J472">
        <v>-1.10375229999404E-3</v>
      </c>
      <c r="K472">
        <v>-2.31688193648398E-3</v>
      </c>
    </row>
    <row r="473" spans="1:11" x14ac:dyDescent="0.2">
      <c r="A473">
        <v>472</v>
      </c>
      <c r="B473">
        <v>46</v>
      </c>
      <c r="C473" t="s">
        <v>471</v>
      </c>
      <c r="D473" s="13" t="s">
        <v>912</v>
      </c>
      <c r="E473" s="21">
        <v>275</v>
      </c>
      <c r="F473" s="1">
        <v>1.6493871153175701</v>
      </c>
      <c r="G473">
        <v>-1.6344437998132899E-2</v>
      </c>
      <c r="H473">
        <v>-7.5355677559759401E-2</v>
      </c>
      <c r="I473">
        <v>-0.14123158636567101</v>
      </c>
      <c r="J473">
        <v>-2.3256940903590199E-2</v>
      </c>
      <c r="K473">
        <v>-5.8947127759409398E-2</v>
      </c>
    </row>
    <row r="474" spans="1:11" x14ac:dyDescent="0.2">
      <c r="A474">
        <v>473</v>
      </c>
      <c r="B474">
        <v>51</v>
      </c>
      <c r="C474" t="s">
        <v>472</v>
      </c>
      <c r="D474" s="13" t="s">
        <v>912</v>
      </c>
      <c r="E474" s="21">
        <v>274</v>
      </c>
      <c r="F474" s="1">
        <v>4.5548805310643603</v>
      </c>
      <c r="G474">
        <v>-0.12835860190432</v>
      </c>
      <c r="H474">
        <v>-0.228644573137333</v>
      </c>
      <c r="I474">
        <v>-0.698580231133755</v>
      </c>
      <c r="J474">
        <v>-7.5038447005794599E-3</v>
      </c>
      <c r="K474">
        <v>-1.7303576717609102E-2</v>
      </c>
    </row>
    <row r="475" spans="1:11" x14ac:dyDescent="0.2">
      <c r="A475">
        <v>474</v>
      </c>
      <c r="B475">
        <v>54</v>
      </c>
      <c r="C475" t="s">
        <v>473</v>
      </c>
      <c r="D475" s="13" t="s">
        <v>912</v>
      </c>
      <c r="E475" s="21">
        <v>285</v>
      </c>
      <c r="F475" s="1">
        <v>4.9253184725935997</v>
      </c>
      <c r="G475">
        <v>-0.11720036572758399</v>
      </c>
      <c r="H475">
        <v>-9.1127694289657404E-2</v>
      </c>
      <c r="I475">
        <v>-0.57530563006171198</v>
      </c>
      <c r="J475">
        <v>-2.8698501537041201E-2</v>
      </c>
      <c r="K475">
        <v>-7.4778267156520903E-2</v>
      </c>
    </row>
    <row r="476" spans="1:11" x14ac:dyDescent="0.2">
      <c r="A476">
        <v>475</v>
      </c>
      <c r="B476">
        <v>44</v>
      </c>
      <c r="C476" t="s">
        <v>474</v>
      </c>
      <c r="D476" s="13" t="s">
        <v>912</v>
      </c>
      <c r="E476" s="21">
        <v>288</v>
      </c>
      <c r="F476" s="1">
        <v>-0.32104530487499</v>
      </c>
      <c r="G476">
        <v>1.18865737152137E-2</v>
      </c>
      <c r="H476">
        <v>4.2872114562819301E-2</v>
      </c>
      <c r="I476">
        <v>0.10608158245376199</v>
      </c>
      <c r="J476">
        <v>-1.31224254831786E-2</v>
      </c>
      <c r="K476">
        <v>-1.6838403879055001E-2</v>
      </c>
    </row>
    <row r="477" spans="1:11" x14ac:dyDescent="0.2">
      <c r="A477">
        <v>476</v>
      </c>
      <c r="B477">
        <v>45</v>
      </c>
      <c r="C477" t="s">
        <v>475</v>
      </c>
      <c r="D477" s="13" t="s">
        <v>912</v>
      </c>
      <c r="E477" s="21">
        <v>297</v>
      </c>
      <c r="F477" s="1">
        <v>0.33690243657395003</v>
      </c>
      <c r="G477">
        <v>-3.8672543286848E-3</v>
      </c>
      <c r="H477">
        <v>-1.62379137814752E-2</v>
      </c>
      <c r="I477">
        <v>9.8345435973219195E-2</v>
      </c>
      <c r="J477">
        <v>2.8963787132190201E-2</v>
      </c>
      <c r="K477">
        <v>7.7670227581727203E-2</v>
      </c>
    </row>
    <row r="478" spans="1:11" x14ac:dyDescent="0.2">
      <c r="A478">
        <v>477</v>
      </c>
      <c r="B478">
        <v>49</v>
      </c>
      <c r="C478" t="s">
        <v>476</v>
      </c>
      <c r="D478" s="13" t="s">
        <v>912</v>
      </c>
      <c r="E478" s="21">
        <v>290</v>
      </c>
      <c r="F478" s="1">
        <v>-0.78247459492849303</v>
      </c>
      <c r="G478">
        <v>-2.4234082750062901E-2</v>
      </c>
      <c r="H478">
        <v>9.2402410489643802E-2</v>
      </c>
      <c r="I478">
        <v>0.14031850693289899</v>
      </c>
      <c r="J478">
        <v>9.8280113456123905E-3</v>
      </c>
      <c r="K478">
        <v>2.9870141901740298E-3</v>
      </c>
    </row>
    <row r="479" spans="1:11" x14ac:dyDescent="0.2">
      <c r="A479">
        <v>478</v>
      </c>
      <c r="B479">
        <v>42</v>
      </c>
      <c r="C479" t="s">
        <v>477</v>
      </c>
      <c r="D479" s="13" t="s">
        <v>912</v>
      </c>
      <c r="E479" s="21">
        <v>300</v>
      </c>
      <c r="F479" s="1">
        <v>1.45580894534311</v>
      </c>
      <c r="G479">
        <v>-1.5823408809823199E-2</v>
      </c>
      <c r="H479">
        <v>-2.2342890947795901E-2</v>
      </c>
      <c r="I479">
        <v>-2.1609971156234899E-2</v>
      </c>
      <c r="J479">
        <v>7.6457865251731202E-3</v>
      </c>
      <c r="K479">
        <v>2.2211338005295001E-2</v>
      </c>
    </row>
    <row r="480" spans="1:11" x14ac:dyDescent="0.2">
      <c r="A480">
        <v>479</v>
      </c>
      <c r="B480">
        <v>54</v>
      </c>
      <c r="C480" t="s">
        <v>478</v>
      </c>
      <c r="D480" s="13" t="s">
        <v>912</v>
      </c>
      <c r="E480" s="21">
        <v>285</v>
      </c>
      <c r="F480" s="1">
        <v>-4.4132350176000701</v>
      </c>
      <c r="G480">
        <v>3.5543196464253697E-2</v>
      </c>
      <c r="H480">
        <v>0.18055573932329799</v>
      </c>
      <c r="I480">
        <v>0.53361287750859299</v>
      </c>
      <c r="J480">
        <v>-2.9787714397604401E-2</v>
      </c>
      <c r="K480">
        <v>-7.6332601127634903E-2</v>
      </c>
    </row>
    <row r="481" spans="1:11" x14ac:dyDescent="0.2">
      <c r="A481">
        <v>480</v>
      </c>
      <c r="B481">
        <v>53</v>
      </c>
      <c r="C481" t="s">
        <v>479</v>
      </c>
      <c r="D481" s="13" t="s">
        <v>912</v>
      </c>
      <c r="E481" s="21">
        <v>276</v>
      </c>
      <c r="F481" s="1">
        <v>5.9590126125409704</v>
      </c>
      <c r="G481">
        <v>-0.11144658302112199</v>
      </c>
      <c r="H481">
        <v>-0.29566519986178103</v>
      </c>
      <c r="I481">
        <v>-0.67993316696783002</v>
      </c>
      <c r="J481">
        <v>-3.0419611234097602E-2</v>
      </c>
      <c r="K481">
        <v>-8.6830327917754802E-2</v>
      </c>
    </row>
    <row r="482" spans="1:11" x14ac:dyDescent="0.2">
      <c r="A482">
        <v>481</v>
      </c>
      <c r="B482">
        <v>34</v>
      </c>
      <c r="C482" t="s">
        <v>480</v>
      </c>
      <c r="D482" s="13" t="s">
        <v>913</v>
      </c>
      <c r="E482" s="21">
        <v>304</v>
      </c>
      <c r="F482" s="1">
        <v>4.4166087078993996</v>
      </c>
      <c r="G482">
        <v>-6.6768523588840098E-2</v>
      </c>
      <c r="H482">
        <v>-0.20753048808563801</v>
      </c>
      <c r="I482">
        <v>-0.50452922695387203</v>
      </c>
      <c r="J482">
        <v>-1.4459336389860199E-2</v>
      </c>
      <c r="K482">
        <v>-5.6622939202435697E-2</v>
      </c>
    </row>
    <row r="483" spans="1:11" x14ac:dyDescent="0.2">
      <c r="A483">
        <v>482</v>
      </c>
      <c r="B483">
        <v>50</v>
      </c>
      <c r="C483" t="s">
        <v>481</v>
      </c>
      <c r="D483" s="13" t="s">
        <v>912</v>
      </c>
      <c r="E483" s="21">
        <v>287</v>
      </c>
      <c r="F483" s="1">
        <v>-2.7380582858679401</v>
      </c>
      <c r="G483">
        <v>3.3843469870590899E-2</v>
      </c>
      <c r="H483">
        <v>0.22477615540866899</v>
      </c>
      <c r="I483">
        <v>0.55806492525637497</v>
      </c>
      <c r="J483">
        <v>-3.3794300331422202E-2</v>
      </c>
      <c r="K483">
        <v>-9.06542790001032E-2</v>
      </c>
    </row>
    <row r="484" spans="1:11" x14ac:dyDescent="0.2">
      <c r="A484">
        <v>483</v>
      </c>
      <c r="B484">
        <v>36</v>
      </c>
      <c r="C484" t="s">
        <v>482</v>
      </c>
      <c r="D484" s="13" t="s">
        <v>913</v>
      </c>
      <c r="E484" s="21">
        <v>307</v>
      </c>
      <c r="F484" s="1">
        <v>-8.5799010593173204</v>
      </c>
      <c r="G484">
        <v>8.8357924465298193E-2</v>
      </c>
      <c r="H484">
        <v>0.27215344751487602</v>
      </c>
      <c r="I484">
        <v>0.88557979296481604</v>
      </c>
      <c r="J484">
        <v>-0.10353782138749899</v>
      </c>
      <c r="K484">
        <v>-0.21541375854195199</v>
      </c>
    </row>
    <row r="485" spans="1:11" x14ac:dyDescent="0.2">
      <c r="A485">
        <v>484</v>
      </c>
      <c r="B485">
        <v>50</v>
      </c>
      <c r="C485" t="s">
        <v>483</v>
      </c>
      <c r="D485" s="13" t="s">
        <v>912</v>
      </c>
      <c r="E485" s="21">
        <v>287</v>
      </c>
      <c r="F485" s="1">
        <v>2.7360609724178002</v>
      </c>
      <c r="G485">
        <v>-5.63444979977029E-2</v>
      </c>
      <c r="H485">
        <v>-8.3885974131424498E-2</v>
      </c>
      <c r="I485">
        <v>-0.20189347000225699</v>
      </c>
      <c r="J485">
        <v>-1.2604287710995799E-2</v>
      </c>
      <c r="K485">
        <v>-4.01349004699353E-2</v>
      </c>
    </row>
    <row r="486" spans="1:11" x14ac:dyDescent="0.2">
      <c r="A486">
        <v>485</v>
      </c>
      <c r="B486">
        <v>50</v>
      </c>
      <c r="C486" t="s">
        <v>484</v>
      </c>
      <c r="D486" s="13" t="s">
        <v>912</v>
      </c>
      <c r="E486" s="21">
        <v>287</v>
      </c>
      <c r="F486" s="1">
        <v>4.8740806187663601</v>
      </c>
      <c r="G486">
        <v>-7.1055197398362099E-3</v>
      </c>
      <c r="H486">
        <v>-0.16082178621082899</v>
      </c>
      <c r="I486">
        <v>-0.28751743859280299</v>
      </c>
      <c r="J486">
        <v>-1.7127907910721201E-2</v>
      </c>
      <c r="K486">
        <v>-4.77275743353269E-2</v>
      </c>
    </row>
    <row r="487" spans="1:11" x14ac:dyDescent="0.2">
      <c r="A487">
        <v>486</v>
      </c>
      <c r="B487">
        <v>50</v>
      </c>
      <c r="C487" t="s">
        <v>485</v>
      </c>
      <c r="D487" s="13" t="s">
        <v>912</v>
      </c>
      <c r="E487" s="21">
        <v>287</v>
      </c>
      <c r="F487" s="1">
        <v>0.29976530742497098</v>
      </c>
      <c r="G487">
        <v>1.8328178128466099E-3</v>
      </c>
      <c r="H487">
        <v>-5.9221748951067903E-2</v>
      </c>
      <c r="I487">
        <v>-0.14815438607808501</v>
      </c>
      <c r="J487">
        <v>-1.7262670507705798E-2</v>
      </c>
      <c r="K487">
        <v>-5.4092611326200399E-2</v>
      </c>
    </row>
    <row r="488" spans="1:11" x14ac:dyDescent="0.2">
      <c r="A488">
        <v>487</v>
      </c>
      <c r="B488">
        <v>48</v>
      </c>
      <c r="C488" t="s">
        <v>486</v>
      </c>
      <c r="D488" s="13" t="s">
        <v>912</v>
      </c>
      <c r="E488" s="21">
        <v>288</v>
      </c>
      <c r="F488" s="1">
        <v>0.84480627309080203</v>
      </c>
      <c r="G488">
        <v>2.8213819462601802E-2</v>
      </c>
      <c r="H488">
        <v>0.119627254865774</v>
      </c>
      <c r="I488">
        <v>0.50694531551070998</v>
      </c>
      <c r="J488">
        <v>1.5725032944813099E-2</v>
      </c>
      <c r="K488">
        <v>6.6219855047866096E-3</v>
      </c>
    </row>
    <row r="489" spans="1:11" x14ac:dyDescent="0.2">
      <c r="A489">
        <v>488</v>
      </c>
      <c r="B489">
        <v>46</v>
      </c>
      <c r="C489" t="s">
        <v>487</v>
      </c>
      <c r="D489" s="13" t="s">
        <v>912</v>
      </c>
      <c r="E489" s="21">
        <v>275</v>
      </c>
      <c r="F489" s="1">
        <v>-2.4603807199787102</v>
      </c>
      <c r="G489">
        <v>1.8238466842612999E-2</v>
      </c>
      <c r="H489">
        <v>0.19140022120901501</v>
      </c>
      <c r="I489">
        <v>0.61326627627003305</v>
      </c>
      <c r="J489">
        <v>-1.69477009942888E-2</v>
      </c>
      <c r="K489">
        <v>-5.7952819533785498E-2</v>
      </c>
    </row>
    <row r="490" spans="1:11" x14ac:dyDescent="0.2">
      <c r="A490">
        <v>489</v>
      </c>
      <c r="B490">
        <v>50</v>
      </c>
      <c r="C490" t="s">
        <v>488</v>
      </c>
      <c r="D490" s="13" t="s">
        <v>912</v>
      </c>
      <c r="E490" s="21">
        <v>287</v>
      </c>
      <c r="F490" s="1">
        <v>3.5425899906459701</v>
      </c>
      <c r="G490">
        <v>-1.6528741931909299E-2</v>
      </c>
      <c r="H490">
        <v>4.31850555107001E-2</v>
      </c>
      <c r="I490">
        <v>-0.11563121218832199</v>
      </c>
      <c r="J490">
        <v>-2.13252305673731E-2</v>
      </c>
      <c r="K490">
        <v>-4.6416256243870198E-2</v>
      </c>
    </row>
    <row r="491" spans="1:11" x14ac:dyDescent="0.2">
      <c r="A491">
        <v>490</v>
      </c>
      <c r="B491">
        <v>46</v>
      </c>
      <c r="C491" t="s">
        <v>489</v>
      </c>
      <c r="D491" s="13" t="s">
        <v>912</v>
      </c>
      <c r="E491" s="21">
        <v>275</v>
      </c>
      <c r="F491" s="1">
        <v>6.5365992740422696</v>
      </c>
      <c r="G491">
        <v>-0.136689317027262</v>
      </c>
      <c r="H491">
        <v>-0.37981044378149398</v>
      </c>
      <c r="I491">
        <v>-0.93381987881541795</v>
      </c>
      <c r="J491">
        <v>-1.5076116834372801E-2</v>
      </c>
      <c r="K491">
        <v>-5.1644949762270603E-2</v>
      </c>
    </row>
    <row r="492" spans="1:11" x14ac:dyDescent="0.2">
      <c r="A492">
        <v>491</v>
      </c>
      <c r="B492">
        <v>46</v>
      </c>
      <c r="C492" t="s">
        <v>490</v>
      </c>
      <c r="D492" s="13" t="s">
        <v>912</v>
      </c>
      <c r="E492" s="21">
        <v>275</v>
      </c>
      <c r="F492" s="1">
        <v>3.5536571610096099</v>
      </c>
      <c r="G492">
        <v>-2.6617445151469799E-2</v>
      </c>
      <c r="H492">
        <v>-5.0285569467696502E-2</v>
      </c>
      <c r="I492">
        <v>-0.10189799651862801</v>
      </c>
      <c r="J492">
        <v>-2.4232877093849199E-2</v>
      </c>
      <c r="K492">
        <v>-6.2498486951931803E-2</v>
      </c>
    </row>
    <row r="493" spans="1:11" x14ac:dyDescent="0.2">
      <c r="A493">
        <v>492</v>
      </c>
      <c r="B493">
        <v>48</v>
      </c>
      <c r="C493" t="s">
        <v>491</v>
      </c>
      <c r="D493" s="13" t="s">
        <v>912</v>
      </c>
      <c r="E493" s="21">
        <v>288</v>
      </c>
      <c r="F493" s="1">
        <v>1.13972432371183</v>
      </c>
      <c r="G493">
        <v>-5.4146921381188103E-2</v>
      </c>
      <c r="H493">
        <v>-0.16549089762785901</v>
      </c>
      <c r="I493">
        <v>-0.32949066534444499</v>
      </c>
      <c r="J493">
        <v>1.2714155679325E-2</v>
      </c>
      <c r="K493">
        <v>2.2715657846194202E-2</v>
      </c>
    </row>
    <row r="494" spans="1:11" x14ac:dyDescent="0.2">
      <c r="A494">
        <v>493</v>
      </c>
      <c r="B494">
        <v>50</v>
      </c>
      <c r="C494" t="s">
        <v>492</v>
      </c>
      <c r="D494" s="13" t="s">
        <v>912</v>
      </c>
      <c r="E494" s="21">
        <v>287</v>
      </c>
      <c r="F494" s="1">
        <v>4.9316406347109201</v>
      </c>
      <c r="G494">
        <v>-0.10106159713886199</v>
      </c>
      <c r="H494">
        <v>-0.21981306304953099</v>
      </c>
      <c r="I494">
        <v>-0.450929678986425</v>
      </c>
      <c r="J494">
        <v>-2.7708935290400399E-2</v>
      </c>
      <c r="K494">
        <v>-9.1129431145192993E-2</v>
      </c>
    </row>
    <row r="495" spans="1:11" x14ac:dyDescent="0.2">
      <c r="A495">
        <v>494</v>
      </c>
      <c r="B495">
        <v>47</v>
      </c>
      <c r="C495" t="s">
        <v>493</v>
      </c>
      <c r="D495" s="13" t="s">
        <v>912</v>
      </c>
      <c r="E495" s="21">
        <v>290</v>
      </c>
      <c r="F495" s="1">
        <v>5.3662199311339496</v>
      </c>
      <c r="G495">
        <v>-6.8575042076299594E-2</v>
      </c>
      <c r="H495">
        <v>4.1186686523366198E-2</v>
      </c>
      <c r="I495">
        <v>-0.19915590779749401</v>
      </c>
      <c r="J495">
        <v>-3.0165275830962499E-2</v>
      </c>
      <c r="K495">
        <v>-4.6112704374469203E-2</v>
      </c>
    </row>
    <row r="496" spans="1:11" x14ac:dyDescent="0.2">
      <c r="A496">
        <v>495</v>
      </c>
      <c r="B496">
        <v>50</v>
      </c>
      <c r="C496" t="s">
        <v>494</v>
      </c>
      <c r="D496" s="13" t="s">
        <v>912</v>
      </c>
      <c r="E496" s="21">
        <v>287</v>
      </c>
      <c r="F496" s="1">
        <v>1.6051601945359699</v>
      </c>
      <c r="G496">
        <v>-1.38328425197956E-2</v>
      </c>
      <c r="H496">
        <v>-3.5788518012601099E-2</v>
      </c>
      <c r="I496">
        <v>-5.1698626159029801E-2</v>
      </c>
      <c r="J496">
        <v>-7.0274450953747699E-3</v>
      </c>
      <c r="K496">
        <v>-3.1870809563632703E-2</v>
      </c>
    </row>
    <row r="497" spans="1:11" x14ac:dyDescent="0.2">
      <c r="A497">
        <v>496</v>
      </c>
      <c r="B497">
        <v>45</v>
      </c>
      <c r="C497" t="s">
        <v>495</v>
      </c>
      <c r="D497" s="13" t="s">
        <v>912</v>
      </c>
      <c r="E497" s="21">
        <v>297</v>
      </c>
      <c r="F497" s="1">
        <v>-0.56798589332496097</v>
      </c>
      <c r="G497">
        <v>-4.8311635420113103E-3</v>
      </c>
      <c r="H497">
        <v>2.5914354877200899E-2</v>
      </c>
      <c r="I497">
        <v>0.192986154243033</v>
      </c>
      <c r="J497">
        <v>6.7531665336062804E-3</v>
      </c>
      <c r="K497">
        <v>8.2105980279468405E-3</v>
      </c>
    </row>
    <row r="498" spans="1:11" x14ac:dyDescent="0.2">
      <c r="A498">
        <v>497</v>
      </c>
      <c r="B498">
        <v>54</v>
      </c>
      <c r="C498" t="s">
        <v>496</v>
      </c>
      <c r="D498" s="13" t="s">
        <v>912</v>
      </c>
      <c r="E498" s="21">
        <v>285</v>
      </c>
      <c r="F498" s="1">
        <v>2.1195281546848501</v>
      </c>
      <c r="G498">
        <v>-4.4909478794905998E-2</v>
      </c>
      <c r="H498">
        <v>-6.8194105064223895E-2</v>
      </c>
      <c r="I498">
        <v>-0.14983647123714799</v>
      </c>
      <c r="J498">
        <v>-2.0427980498788301E-2</v>
      </c>
      <c r="K498">
        <v>-5.5869534119209897E-2</v>
      </c>
    </row>
    <row r="499" spans="1:11" x14ac:dyDescent="0.2">
      <c r="A499">
        <v>498</v>
      </c>
      <c r="B499">
        <v>49</v>
      </c>
      <c r="C499" t="s">
        <v>497</v>
      </c>
      <c r="D499" s="13" t="s">
        <v>912</v>
      </c>
      <c r="E499" s="21">
        <v>290</v>
      </c>
      <c r="F499" s="1">
        <v>2.9124507230915802</v>
      </c>
      <c r="G499">
        <v>-2.8248876444385999E-2</v>
      </c>
      <c r="H499">
        <v>3.7917078006038198E-2</v>
      </c>
      <c r="I499">
        <v>0.18619629833781301</v>
      </c>
      <c r="J499">
        <v>2.5264221687501601E-2</v>
      </c>
      <c r="K499">
        <v>4.5142942872588999E-2</v>
      </c>
    </row>
    <row r="500" spans="1:11" x14ac:dyDescent="0.2">
      <c r="A500">
        <v>499</v>
      </c>
      <c r="B500">
        <v>53</v>
      </c>
      <c r="C500" t="s">
        <v>498</v>
      </c>
      <c r="D500" s="13" t="s">
        <v>912</v>
      </c>
      <c r="E500" s="21">
        <v>276</v>
      </c>
      <c r="F500" s="1">
        <v>-1.5978810730041599</v>
      </c>
      <c r="G500">
        <v>-7.3329061961758604E-3</v>
      </c>
      <c r="H500">
        <v>0.14668683556718801</v>
      </c>
      <c r="I500">
        <v>0.36056042711799502</v>
      </c>
      <c r="J500">
        <v>-3.0718930557672702E-2</v>
      </c>
      <c r="K500">
        <v>-7.7828434127008406E-2</v>
      </c>
    </row>
    <row r="501" spans="1:11" x14ac:dyDescent="0.2">
      <c r="A501">
        <v>500</v>
      </c>
      <c r="B501">
        <v>36</v>
      </c>
      <c r="C501" t="s">
        <v>499</v>
      </c>
      <c r="D501" s="13" t="s">
        <v>913</v>
      </c>
      <c r="E501" s="21">
        <v>307</v>
      </c>
      <c r="F501" s="1">
        <v>-3.1475682028977698</v>
      </c>
      <c r="G501">
        <v>5.9171425061594701E-2</v>
      </c>
      <c r="H501">
        <v>0.108402727560965</v>
      </c>
      <c r="I501">
        <v>-9.2075684901537905E-2</v>
      </c>
      <c r="J501">
        <v>-4.5176017504940602E-2</v>
      </c>
      <c r="K501">
        <v>-0.13248127032707899</v>
      </c>
    </row>
    <row r="502" spans="1:11" x14ac:dyDescent="0.2">
      <c r="A502">
        <v>501</v>
      </c>
      <c r="B502">
        <v>49</v>
      </c>
      <c r="C502" t="s">
        <v>500</v>
      </c>
      <c r="D502" s="13" t="s">
        <v>912</v>
      </c>
      <c r="E502" s="21">
        <v>290</v>
      </c>
      <c r="F502" s="1">
        <v>3.4393455467195699</v>
      </c>
      <c r="G502">
        <v>-6.4833297647616797E-3</v>
      </c>
      <c r="H502">
        <v>-3.3081345107452101E-2</v>
      </c>
      <c r="I502">
        <v>3.6704815074556703E-2</v>
      </c>
      <c r="J502">
        <v>5.9648300900873802E-3</v>
      </c>
      <c r="K502">
        <v>3.6494784765499799E-3</v>
      </c>
    </row>
    <row r="503" spans="1:11" x14ac:dyDescent="0.2">
      <c r="A503">
        <v>502</v>
      </c>
      <c r="B503">
        <v>42</v>
      </c>
      <c r="C503" t="s">
        <v>501</v>
      </c>
      <c r="D503" s="13" t="s">
        <v>912</v>
      </c>
      <c r="E503" s="21">
        <v>300</v>
      </c>
      <c r="F503" s="1">
        <v>-0.84868296705217094</v>
      </c>
      <c r="G503">
        <v>7.1135826326882605E-4</v>
      </c>
      <c r="H503">
        <v>-7.6034749052834694E-2</v>
      </c>
      <c r="I503">
        <v>-9.0036057981325995E-2</v>
      </c>
      <c r="J503">
        <v>-1.17398484973937E-2</v>
      </c>
      <c r="K503">
        <v>-4.7226094477389201E-2</v>
      </c>
    </row>
    <row r="504" spans="1:11" x14ac:dyDescent="0.2">
      <c r="A504">
        <v>503</v>
      </c>
      <c r="B504">
        <v>52</v>
      </c>
      <c r="C504" t="s">
        <v>502</v>
      </c>
      <c r="D504" s="13" t="s">
        <v>912</v>
      </c>
      <c r="E504" s="21">
        <v>279</v>
      </c>
      <c r="F504" s="1">
        <v>3.7223836878641801</v>
      </c>
      <c r="G504">
        <v>1.10516859703821E-2</v>
      </c>
      <c r="H504">
        <v>-1.47178472671692E-3</v>
      </c>
      <c r="I504">
        <v>0.208195152540184</v>
      </c>
      <c r="J504">
        <v>1.3718940242701099E-2</v>
      </c>
      <c r="K504">
        <v>8.6930790192777403E-3</v>
      </c>
    </row>
    <row r="505" spans="1:11" x14ac:dyDescent="0.2">
      <c r="A505">
        <v>504</v>
      </c>
      <c r="B505">
        <v>50</v>
      </c>
      <c r="C505" t="s">
        <v>503</v>
      </c>
      <c r="D505" s="13" t="s">
        <v>912</v>
      </c>
      <c r="E505" s="21">
        <v>287</v>
      </c>
      <c r="F505" s="1">
        <v>4.5496471014022797</v>
      </c>
      <c r="G505">
        <v>-3.04582198132341E-2</v>
      </c>
      <c r="H505">
        <v>-6.1395389257150997E-2</v>
      </c>
      <c r="I505">
        <v>-8.8749838770586398E-2</v>
      </c>
      <c r="J505">
        <v>-2.13605357428613E-2</v>
      </c>
      <c r="K505">
        <v>-7.0432839265830702E-2</v>
      </c>
    </row>
    <row r="506" spans="1:11" x14ac:dyDescent="0.2">
      <c r="A506">
        <v>505</v>
      </c>
      <c r="B506">
        <v>44</v>
      </c>
      <c r="C506" t="s">
        <v>504</v>
      </c>
      <c r="D506" s="13" t="s">
        <v>912</v>
      </c>
      <c r="E506" s="21">
        <v>288</v>
      </c>
      <c r="F506" s="1">
        <v>-1.1682398804470501E-2</v>
      </c>
      <c r="G506">
        <v>1.2782475096336799E-2</v>
      </c>
      <c r="H506">
        <v>6.9685801389590199E-3</v>
      </c>
      <c r="I506">
        <v>4.5684864746909401E-2</v>
      </c>
      <c r="J506">
        <v>-5.2628838270123001E-3</v>
      </c>
      <c r="K506">
        <v>-3.3365369005282301E-2</v>
      </c>
    </row>
    <row r="507" spans="1:11" x14ac:dyDescent="0.2">
      <c r="A507">
        <v>506</v>
      </c>
      <c r="B507">
        <v>42</v>
      </c>
      <c r="C507" t="s">
        <v>505</v>
      </c>
      <c r="D507" s="13" t="s">
        <v>912</v>
      </c>
      <c r="E507" s="21">
        <v>300</v>
      </c>
      <c r="F507" s="1">
        <v>7.5193862836718202</v>
      </c>
      <c r="G507">
        <v>-0.10487828370171701</v>
      </c>
      <c r="H507">
        <v>-9.0258587371908505E-2</v>
      </c>
      <c r="I507">
        <v>-0.59267497950557002</v>
      </c>
      <c r="J507">
        <v>-1.8979651938472501E-2</v>
      </c>
      <c r="K507">
        <v>-5.0279928806855598E-2</v>
      </c>
    </row>
    <row r="508" spans="1:11" x14ac:dyDescent="0.2">
      <c r="A508">
        <v>507</v>
      </c>
      <c r="B508">
        <v>46</v>
      </c>
      <c r="C508" t="s">
        <v>506</v>
      </c>
      <c r="D508" s="13" t="s">
        <v>912</v>
      </c>
      <c r="E508" s="21">
        <v>275</v>
      </c>
      <c r="F508" s="1">
        <v>3.18660662793588</v>
      </c>
      <c r="G508">
        <v>-3.9651846108594999E-2</v>
      </c>
      <c r="H508">
        <v>0.14985526437451099</v>
      </c>
      <c r="I508">
        <v>8.6651993479888806E-2</v>
      </c>
      <c r="J508">
        <v>-1.9443585024948001E-2</v>
      </c>
      <c r="K508">
        <v>-4.4497009707004702E-2</v>
      </c>
    </row>
    <row r="509" spans="1:11" x14ac:dyDescent="0.2">
      <c r="A509">
        <v>508</v>
      </c>
      <c r="B509">
        <v>50</v>
      </c>
      <c r="C509" t="s">
        <v>507</v>
      </c>
      <c r="D509" s="13" t="s">
        <v>912</v>
      </c>
      <c r="E509" s="21">
        <v>287</v>
      </c>
      <c r="F509" s="1">
        <v>-0.21247889017213301</v>
      </c>
      <c r="G509">
        <v>1.05858409021242E-3</v>
      </c>
      <c r="H509">
        <v>-6.3278066365075505E-2</v>
      </c>
      <c r="I509">
        <v>-9.7265543759783302E-2</v>
      </c>
      <c r="J509">
        <v>-2.0326051284568901E-2</v>
      </c>
      <c r="K509">
        <v>-7.5444154192837107E-2</v>
      </c>
    </row>
    <row r="510" spans="1:11" x14ac:dyDescent="0.2">
      <c r="A510">
        <v>509</v>
      </c>
      <c r="B510">
        <v>45</v>
      </c>
      <c r="C510" t="s">
        <v>508</v>
      </c>
      <c r="D510" s="13" t="s">
        <v>912</v>
      </c>
      <c r="E510" s="21">
        <v>297</v>
      </c>
      <c r="F510" s="1">
        <v>-2.4906391124415102</v>
      </c>
      <c r="G510">
        <v>2.5392144600271501E-2</v>
      </c>
      <c r="H510">
        <v>4.5345922228660698E-2</v>
      </c>
      <c r="I510">
        <v>0.26306575608131999</v>
      </c>
      <c r="J510">
        <v>1.99450000203872E-2</v>
      </c>
      <c r="K510">
        <v>4.0081816500291301E-2</v>
      </c>
    </row>
    <row r="511" spans="1:11" x14ac:dyDescent="0.2">
      <c r="A511">
        <v>510</v>
      </c>
      <c r="B511">
        <v>49</v>
      </c>
      <c r="C511" t="s">
        <v>509</v>
      </c>
      <c r="D511" s="13" t="s">
        <v>912</v>
      </c>
      <c r="E511" s="21">
        <v>290</v>
      </c>
      <c r="F511" s="1">
        <v>6.3950130270424497</v>
      </c>
      <c r="G511">
        <v>-0.113596870613369</v>
      </c>
      <c r="H511">
        <v>-0.10966999799090101</v>
      </c>
      <c r="I511">
        <v>-0.58790219617567496</v>
      </c>
      <c r="J511">
        <v>1.3138252663673701E-2</v>
      </c>
      <c r="K511">
        <v>4.55720529098406E-2</v>
      </c>
    </row>
    <row r="512" spans="1:11" x14ac:dyDescent="0.2">
      <c r="A512">
        <v>511</v>
      </c>
      <c r="B512">
        <v>54</v>
      </c>
      <c r="C512" t="s">
        <v>510</v>
      </c>
      <c r="D512" s="13" t="s">
        <v>912</v>
      </c>
      <c r="E512" s="21">
        <v>285</v>
      </c>
      <c r="F512" s="1">
        <v>-5.6281027763256999</v>
      </c>
      <c r="G512">
        <v>7.66208613921599E-2</v>
      </c>
      <c r="H512">
        <v>0.34398189257346701</v>
      </c>
      <c r="I512">
        <v>1.0127993833565101</v>
      </c>
      <c r="J512">
        <v>-2.56780467684985E-2</v>
      </c>
      <c r="K512">
        <v>-9.65391453547495E-2</v>
      </c>
    </row>
    <row r="513" spans="1:11" x14ac:dyDescent="0.2">
      <c r="A513">
        <v>512</v>
      </c>
      <c r="B513">
        <v>50</v>
      </c>
      <c r="C513" t="s">
        <v>511</v>
      </c>
      <c r="D513" s="13" t="s">
        <v>912</v>
      </c>
      <c r="E513" s="21">
        <v>287</v>
      </c>
      <c r="F513" s="1">
        <v>-6.2783689344140496</v>
      </c>
      <c r="G513">
        <v>0.130755505027977</v>
      </c>
      <c r="H513">
        <v>0.19299250770588899</v>
      </c>
      <c r="I513">
        <v>0.26465849136624803</v>
      </c>
      <c r="J513">
        <v>-4.1065096106019203E-2</v>
      </c>
      <c r="K513">
        <v>-0.110546631889055</v>
      </c>
    </row>
    <row r="514" spans="1:11" x14ac:dyDescent="0.2">
      <c r="A514">
        <v>513</v>
      </c>
      <c r="B514">
        <v>42</v>
      </c>
      <c r="C514" t="s">
        <v>512</v>
      </c>
      <c r="D514" s="13" t="s">
        <v>912</v>
      </c>
      <c r="E514" s="21">
        <v>300</v>
      </c>
      <c r="F514" s="1">
        <v>1.16755117291009</v>
      </c>
      <c r="G514">
        <v>-1.54067790233128E-2</v>
      </c>
      <c r="H514">
        <v>0.24841485251973799</v>
      </c>
      <c r="I514">
        <v>0.20329810086508701</v>
      </c>
      <c r="J514">
        <v>-1.8648143568404899E-2</v>
      </c>
      <c r="K514">
        <v>-3.4312556064203803E-2</v>
      </c>
    </row>
    <row r="515" spans="1:11" x14ac:dyDescent="0.2">
      <c r="A515">
        <v>514</v>
      </c>
      <c r="B515">
        <v>50</v>
      </c>
      <c r="C515" t="s">
        <v>513</v>
      </c>
      <c r="D515" s="13" t="s">
        <v>912</v>
      </c>
      <c r="E515" s="21">
        <v>287</v>
      </c>
      <c r="F515" s="1">
        <v>5.5097643616288501</v>
      </c>
      <c r="G515">
        <v>-5.7445477792793999E-2</v>
      </c>
      <c r="H515">
        <v>-8.9977986999402099E-2</v>
      </c>
      <c r="I515">
        <v>-0.28550044218812198</v>
      </c>
      <c r="J515">
        <v>9.70993221330624E-3</v>
      </c>
      <c r="K515">
        <v>2.12549389536211E-2</v>
      </c>
    </row>
    <row r="516" spans="1:11" x14ac:dyDescent="0.2">
      <c r="A516">
        <v>515</v>
      </c>
      <c r="B516">
        <v>54</v>
      </c>
      <c r="C516" t="s">
        <v>514</v>
      </c>
      <c r="D516" s="13" t="s">
        <v>912</v>
      </c>
      <c r="E516" s="21">
        <v>285</v>
      </c>
      <c r="F516" s="1">
        <v>7.7945317770549698</v>
      </c>
      <c r="G516">
        <v>-0.115734806366653</v>
      </c>
      <c r="H516">
        <v>-0.34052892444733301</v>
      </c>
      <c r="I516">
        <v>-0.88243252766690405</v>
      </c>
      <c r="J516">
        <v>6.5439498157620702E-3</v>
      </c>
      <c r="K516">
        <v>2.50152197924014E-2</v>
      </c>
    </row>
    <row r="517" spans="1:11" x14ac:dyDescent="0.2">
      <c r="A517">
        <v>516</v>
      </c>
      <c r="B517">
        <v>44</v>
      </c>
      <c r="C517" t="s">
        <v>515</v>
      </c>
      <c r="D517" s="13" t="s">
        <v>912</v>
      </c>
      <c r="E517" s="21">
        <v>288</v>
      </c>
      <c r="F517" s="1">
        <v>2.6595889522745599</v>
      </c>
      <c r="G517">
        <v>-5.6721222118031697E-2</v>
      </c>
      <c r="H517">
        <v>-0.146625246635566</v>
      </c>
      <c r="I517">
        <v>-0.31599308715347901</v>
      </c>
      <c r="J517">
        <v>-2.0752437168875398E-2</v>
      </c>
      <c r="K517">
        <v>-7.4297054585932998E-2</v>
      </c>
    </row>
    <row r="518" spans="1:11" x14ac:dyDescent="0.2">
      <c r="A518">
        <v>517</v>
      </c>
      <c r="B518">
        <v>49</v>
      </c>
      <c r="C518" t="s">
        <v>516</v>
      </c>
      <c r="D518" s="13" t="s">
        <v>912</v>
      </c>
      <c r="E518" s="21">
        <v>290</v>
      </c>
      <c r="F518" s="1">
        <v>2.2363585552521101</v>
      </c>
      <c r="G518">
        <v>-3.0412667073187499E-2</v>
      </c>
      <c r="H518">
        <v>-0.15478289876694901</v>
      </c>
      <c r="I518">
        <v>-0.358785949551716</v>
      </c>
      <c r="J518">
        <v>-1.39531815375721E-2</v>
      </c>
      <c r="K518">
        <v>-3.77038797616846E-2</v>
      </c>
    </row>
    <row r="519" spans="1:11" x14ac:dyDescent="0.2">
      <c r="A519">
        <v>518</v>
      </c>
      <c r="B519">
        <v>53</v>
      </c>
      <c r="C519" t="s">
        <v>517</v>
      </c>
      <c r="D519" s="13" t="s">
        <v>912</v>
      </c>
      <c r="E519" s="21">
        <v>276</v>
      </c>
      <c r="F519" s="1">
        <v>2.9477614912544099</v>
      </c>
      <c r="G519">
        <v>-3.1677983372582298E-2</v>
      </c>
      <c r="H519">
        <v>-2.1017857019910501E-2</v>
      </c>
      <c r="I519">
        <v>2.1110906454654101E-2</v>
      </c>
      <c r="J519">
        <v>-3.0046308051272199E-2</v>
      </c>
      <c r="K519">
        <v>-6.4203428896993806E-2</v>
      </c>
    </row>
    <row r="520" spans="1:11" x14ac:dyDescent="0.2">
      <c r="A520">
        <v>519</v>
      </c>
      <c r="B520">
        <v>16</v>
      </c>
      <c r="C520" t="s">
        <v>518</v>
      </c>
      <c r="D520" s="12" t="s">
        <v>912</v>
      </c>
      <c r="E520" s="20">
        <v>291</v>
      </c>
      <c r="F520" s="1">
        <v>-10.2663625564514</v>
      </c>
      <c r="G520">
        <v>8.6145560091315895E-2</v>
      </c>
      <c r="H520">
        <v>0.110100455561632</v>
      </c>
      <c r="I520">
        <v>0.37937824435907602</v>
      </c>
      <c r="J520">
        <v>9.5853542573266406E-2</v>
      </c>
      <c r="K520">
        <v>0.29294749355118699</v>
      </c>
    </row>
    <row r="521" spans="1:11" x14ac:dyDescent="0.2">
      <c r="A521">
        <v>520</v>
      </c>
      <c r="B521">
        <v>3</v>
      </c>
      <c r="C521" t="s">
        <v>519</v>
      </c>
      <c r="D521" s="12" t="s">
        <v>913</v>
      </c>
      <c r="E521" s="20">
        <v>284</v>
      </c>
      <c r="F521" s="1">
        <v>-4.3833542048599599</v>
      </c>
      <c r="G521">
        <v>8.4512917144726599E-2</v>
      </c>
      <c r="H521">
        <v>0.25556892405979498</v>
      </c>
      <c r="I521">
        <v>0.775687705570972</v>
      </c>
      <c r="J521">
        <v>-2.2299497388757899E-2</v>
      </c>
      <c r="K521">
        <v>-9.6287343768382397E-2</v>
      </c>
    </row>
    <row r="522" spans="1:11" x14ac:dyDescent="0.2">
      <c r="A522">
        <v>521</v>
      </c>
      <c r="B522">
        <v>21</v>
      </c>
      <c r="C522" t="s">
        <v>520</v>
      </c>
      <c r="D522" s="13" t="s">
        <v>913</v>
      </c>
      <c r="E522" s="21">
        <v>218</v>
      </c>
      <c r="F522" s="1">
        <v>-2.85762769764515</v>
      </c>
      <c r="G522">
        <v>4.4963872432422003E-2</v>
      </c>
      <c r="H522">
        <v>-1.4629541948466799E-2</v>
      </c>
      <c r="I522">
        <v>8.9187103596123293E-2</v>
      </c>
      <c r="J522">
        <v>2.9096126048578998E-2</v>
      </c>
      <c r="K522">
        <v>4.84345690133135E-2</v>
      </c>
    </row>
    <row r="523" spans="1:11" x14ac:dyDescent="0.2">
      <c r="A523">
        <v>522</v>
      </c>
      <c r="B523">
        <v>3</v>
      </c>
      <c r="C523" t="s">
        <v>521</v>
      </c>
      <c r="D523" s="12" t="s">
        <v>913</v>
      </c>
      <c r="E523" s="20">
        <v>284</v>
      </c>
      <c r="F523" s="1">
        <v>-1.3811308462845</v>
      </c>
      <c r="G523">
        <v>1.66277716519873E-2</v>
      </c>
      <c r="H523">
        <v>0.183778315102303</v>
      </c>
      <c r="I523">
        <v>0.27041405630162502</v>
      </c>
      <c r="J523">
        <v>-4.8184562432215298E-2</v>
      </c>
      <c r="K523">
        <v>-0.173786018022695</v>
      </c>
    </row>
    <row r="524" spans="1:11" x14ac:dyDescent="0.2">
      <c r="A524">
        <v>523</v>
      </c>
      <c r="B524">
        <v>3</v>
      </c>
      <c r="C524" t="s">
        <v>522</v>
      </c>
      <c r="D524" s="12" t="s">
        <v>913</v>
      </c>
      <c r="E524" s="20">
        <v>284</v>
      </c>
      <c r="F524" s="1">
        <v>-3.6729505265884002</v>
      </c>
      <c r="G524">
        <v>5.8228777182933997E-2</v>
      </c>
      <c r="H524">
        <v>0.15432329764177499</v>
      </c>
      <c r="I524">
        <v>0.35986439421544802</v>
      </c>
      <c r="J524">
        <v>-1.92216240552712E-2</v>
      </c>
      <c r="K524">
        <v>-7.1856294784010094E-2</v>
      </c>
    </row>
    <row r="525" spans="1:11" x14ac:dyDescent="0.2">
      <c r="A525">
        <v>524</v>
      </c>
      <c r="B525">
        <v>30</v>
      </c>
      <c r="C525" t="s">
        <v>523</v>
      </c>
      <c r="D525" s="13" t="s">
        <v>913</v>
      </c>
      <c r="E525" s="21">
        <v>202</v>
      </c>
      <c r="F525" s="1">
        <v>1.1725958548248101</v>
      </c>
      <c r="G525">
        <v>-2.4198046691865101E-2</v>
      </c>
      <c r="H525">
        <v>-1.3354398151145801E-2</v>
      </c>
      <c r="I525">
        <v>-7.1375671777333102E-2</v>
      </c>
      <c r="J525">
        <v>7.9762809287759195E-3</v>
      </c>
      <c r="K525">
        <v>7.9498517426882E-3</v>
      </c>
    </row>
    <row r="526" spans="1:11" x14ac:dyDescent="0.2">
      <c r="A526">
        <v>525</v>
      </c>
      <c r="B526">
        <v>24</v>
      </c>
      <c r="C526" t="s">
        <v>524</v>
      </c>
      <c r="D526" s="13" t="s">
        <v>913</v>
      </c>
      <c r="E526" s="21">
        <v>239</v>
      </c>
      <c r="F526" s="1">
        <v>-3.47927342433533</v>
      </c>
      <c r="G526">
        <v>5.4036130053467399E-2</v>
      </c>
      <c r="H526">
        <v>0.29806093844939302</v>
      </c>
      <c r="I526">
        <v>0.74006816002866405</v>
      </c>
      <c r="J526">
        <v>-1.9865907925999401E-2</v>
      </c>
      <c r="K526">
        <v>-6.8642953538024798E-2</v>
      </c>
    </row>
    <row r="527" spans="1:11" x14ac:dyDescent="0.2">
      <c r="A527">
        <v>526</v>
      </c>
      <c r="B527">
        <v>30</v>
      </c>
      <c r="C527" t="s">
        <v>525</v>
      </c>
      <c r="D527" s="13" t="s">
        <v>913</v>
      </c>
      <c r="E527" s="21">
        <v>202</v>
      </c>
      <c r="F527" s="1">
        <v>-0.155468468972148</v>
      </c>
      <c r="G527">
        <v>-2.37471358982642E-3</v>
      </c>
      <c r="H527">
        <v>4.1429071482012199E-3</v>
      </c>
      <c r="I527">
        <v>-3.4889603069276701E-3</v>
      </c>
      <c r="J527">
        <v>-1.0366723415814599E-2</v>
      </c>
      <c r="K527">
        <v>-5.1446916188142497E-2</v>
      </c>
    </row>
    <row r="528" spans="1:11" x14ac:dyDescent="0.2">
      <c r="A528">
        <v>527</v>
      </c>
      <c r="B528">
        <v>26</v>
      </c>
      <c r="C528" t="s">
        <v>526</v>
      </c>
      <c r="D528" s="13" t="s">
        <v>913</v>
      </c>
      <c r="E528" s="21">
        <v>208</v>
      </c>
      <c r="F528" s="1">
        <v>4.1965279835073801</v>
      </c>
      <c r="G528">
        <v>-3.1549191375497401E-2</v>
      </c>
      <c r="H528">
        <v>-0.109931210990104</v>
      </c>
      <c r="I528">
        <v>-0.184396979623345</v>
      </c>
      <c r="J528">
        <v>3.89763809206847E-2</v>
      </c>
      <c r="K528">
        <v>0.11783334081022299</v>
      </c>
    </row>
    <row r="529" spans="1:11" x14ac:dyDescent="0.2">
      <c r="A529">
        <v>528</v>
      </c>
      <c r="B529">
        <v>49</v>
      </c>
      <c r="C529" t="s">
        <v>527</v>
      </c>
      <c r="D529" s="13" t="s">
        <v>912</v>
      </c>
      <c r="E529" s="21">
        <v>175</v>
      </c>
      <c r="F529" s="1">
        <v>3.5902727512180501</v>
      </c>
      <c r="G529">
        <v>-3.4153619118469203E-2</v>
      </c>
      <c r="H529">
        <v>-0.10852538617924699</v>
      </c>
      <c r="I529">
        <v>-0.25373370163504699</v>
      </c>
      <c r="J529">
        <v>-1.6730734927510101E-2</v>
      </c>
      <c r="K529">
        <v>-5.2956552285998097E-2</v>
      </c>
    </row>
    <row r="530" spans="1:11" x14ac:dyDescent="0.2">
      <c r="A530">
        <v>529</v>
      </c>
      <c r="B530">
        <v>49</v>
      </c>
      <c r="C530" t="s">
        <v>528</v>
      </c>
      <c r="D530" s="13" t="s">
        <v>912</v>
      </c>
      <c r="E530" s="21">
        <v>175</v>
      </c>
      <c r="F530" s="1">
        <v>4.4170684992710996</v>
      </c>
      <c r="G530">
        <v>-4.3785448712508397E-2</v>
      </c>
      <c r="H530">
        <v>-0.103135355633412</v>
      </c>
      <c r="I530">
        <v>-0.24788939598543999</v>
      </c>
      <c r="J530">
        <v>-3.7472648006253502E-2</v>
      </c>
      <c r="K530">
        <v>-9.9834546560648899E-2</v>
      </c>
    </row>
    <row r="531" spans="1:11" x14ac:dyDescent="0.2">
      <c r="A531">
        <v>530</v>
      </c>
      <c r="B531">
        <v>33</v>
      </c>
      <c r="C531" t="s">
        <v>529</v>
      </c>
      <c r="D531" s="13" t="s">
        <v>913</v>
      </c>
      <c r="E531" s="21">
        <v>189</v>
      </c>
      <c r="F531" s="1">
        <v>-2.3469078940897901</v>
      </c>
      <c r="G531">
        <v>3.9552935144400399E-2</v>
      </c>
      <c r="H531">
        <v>0.13967976566243101</v>
      </c>
      <c r="I531">
        <v>0.51160313205015995</v>
      </c>
      <c r="J531">
        <v>-1.1235492646487499E-3</v>
      </c>
      <c r="K531">
        <v>-3.3637628674624998E-2</v>
      </c>
    </row>
    <row r="532" spans="1:11" x14ac:dyDescent="0.2">
      <c r="A532">
        <v>531</v>
      </c>
      <c r="B532">
        <v>34</v>
      </c>
      <c r="C532" t="s">
        <v>530</v>
      </c>
      <c r="D532" s="13" t="s">
        <v>913</v>
      </c>
      <c r="E532" s="21">
        <v>189</v>
      </c>
      <c r="F532" s="1">
        <v>-3.7837424141395699</v>
      </c>
      <c r="G532">
        <v>0.122381883909221</v>
      </c>
      <c r="H532">
        <v>0.117144401934416</v>
      </c>
      <c r="I532">
        <v>0.54724889375450703</v>
      </c>
      <c r="J532">
        <v>1.34011129435372E-2</v>
      </c>
      <c r="K532">
        <v>1.33197866506157E-2</v>
      </c>
    </row>
    <row r="533" spans="1:11" x14ac:dyDescent="0.2">
      <c r="A533">
        <v>532</v>
      </c>
      <c r="B533">
        <v>44</v>
      </c>
      <c r="C533" t="s">
        <v>531</v>
      </c>
      <c r="D533" s="13" t="s">
        <v>912</v>
      </c>
      <c r="E533" s="21">
        <v>173</v>
      </c>
      <c r="F533" s="1">
        <v>0.45694769785332301</v>
      </c>
      <c r="G533">
        <v>-5.1359297351446502E-2</v>
      </c>
      <c r="H533">
        <v>-0.11275200858567901</v>
      </c>
      <c r="I533">
        <v>-0.180528230865518</v>
      </c>
      <c r="J533">
        <v>3.5207849598128701E-3</v>
      </c>
      <c r="K533">
        <v>9.0619365972802006E-3</v>
      </c>
    </row>
    <row r="534" spans="1:11" x14ac:dyDescent="0.2">
      <c r="A534">
        <v>533</v>
      </c>
      <c r="B534">
        <v>42</v>
      </c>
      <c r="C534" t="s">
        <v>532</v>
      </c>
      <c r="D534" s="13" t="s">
        <v>912</v>
      </c>
      <c r="E534" s="21">
        <v>185</v>
      </c>
      <c r="F534" s="1">
        <v>4.3046184559469201E-2</v>
      </c>
      <c r="G534">
        <v>2.2838876285108198E-2</v>
      </c>
      <c r="H534">
        <v>5.9104006310589902E-2</v>
      </c>
      <c r="I534">
        <v>-9.7221608719441993E-2</v>
      </c>
      <c r="J534">
        <v>-4.4973559519896698E-2</v>
      </c>
      <c r="K534">
        <v>-8.83132415380362E-2</v>
      </c>
    </row>
    <row r="535" spans="1:11" x14ac:dyDescent="0.2">
      <c r="A535">
        <v>534</v>
      </c>
      <c r="B535">
        <v>31</v>
      </c>
      <c r="C535" t="s">
        <v>533</v>
      </c>
      <c r="D535" s="13" t="s">
        <v>913</v>
      </c>
      <c r="E535" s="21">
        <v>199</v>
      </c>
      <c r="F535" s="1">
        <v>0.223294179710604</v>
      </c>
      <c r="G535">
        <v>3.3326514385454399E-2</v>
      </c>
      <c r="H535">
        <v>2.7310196632659E-3</v>
      </c>
      <c r="I535">
        <v>0.116055090020319</v>
      </c>
      <c r="J535">
        <v>1.93984970709138E-2</v>
      </c>
      <c r="K535">
        <v>3.08808452290757E-2</v>
      </c>
    </row>
    <row r="536" spans="1:11" x14ac:dyDescent="0.2">
      <c r="A536">
        <v>535</v>
      </c>
      <c r="B536">
        <v>36</v>
      </c>
      <c r="C536" t="s">
        <v>534</v>
      </c>
      <c r="D536" s="13" t="s">
        <v>913</v>
      </c>
      <c r="E536" s="21">
        <v>192</v>
      </c>
      <c r="F536" s="1">
        <v>4.5653816744090099</v>
      </c>
      <c r="G536">
        <v>-0.118706859046552</v>
      </c>
      <c r="H536">
        <v>-0.31282364971345</v>
      </c>
      <c r="I536">
        <v>-0.81216170668864895</v>
      </c>
      <c r="J536">
        <v>3.1546306990375701E-2</v>
      </c>
      <c r="K536">
        <v>0.116055367123024</v>
      </c>
    </row>
    <row r="537" spans="1:11" x14ac:dyDescent="0.2">
      <c r="A537">
        <v>536</v>
      </c>
      <c r="B537">
        <v>40</v>
      </c>
      <c r="C537" t="s">
        <v>535</v>
      </c>
      <c r="D537" s="13" t="s">
        <v>913</v>
      </c>
      <c r="E537" s="21">
        <v>202</v>
      </c>
      <c r="F537" s="1">
        <v>-2.2851626637579399</v>
      </c>
      <c r="G537">
        <v>3.52165723778557E-2</v>
      </c>
      <c r="H537">
        <v>0.20734984629494899</v>
      </c>
      <c r="I537">
        <v>0.68503109127000605</v>
      </c>
      <c r="J537">
        <v>2.3318747691607699E-2</v>
      </c>
      <c r="K537">
        <v>4.5024176582833898E-2</v>
      </c>
    </row>
    <row r="538" spans="1:11" x14ac:dyDescent="0.2">
      <c r="A538">
        <v>537</v>
      </c>
      <c r="B538">
        <v>26</v>
      </c>
      <c r="C538" t="s">
        <v>536</v>
      </c>
      <c r="D538" s="13" t="s">
        <v>913</v>
      </c>
      <c r="E538" s="21">
        <v>208</v>
      </c>
      <c r="F538" s="1">
        <v>3.7483434304190699</v>
      </c>
      <c r="G538">
        <v>-1.34519054020091E-2</v>
      </c>
      <c r="H538">
        <v>-5.2155094562819998E-2</v>
      </c>
      <c r="I538">
        <v>-3.5156350646694201E-2</v>
      </c>
      <c r="J538">
        <v>2.8242706614236401E-2</v>
      </c>
      <c r="K538">
        <v>8.3237397397351406E-2</v>
      </c>
    </row>
    <row r="539" spans="1:11" x14ac:dyDescent="0.2">
      <c r="A539">
        <v>538</v>
      </c>
      <c r="B539">
        <v>25</v>
      </c>
      <c r="C539" t="s">
        <v>537</v>
      </c>
      <c r="D539" s="13" t="s">
        <v>913</v>
      </c>
      <c r="E539" s="21">
        <v>208</v>
      </c>
      <c r="F539" s="1">
        <v>6.8053087210185197</v>
      </c>
      <c r="G539">
        <v>-8.92660358915109E-2</v>
      </c>
      <c r="H539">
        <v>-0.115603344966191</v>
      </c>
      <c r="I539">
        <v>-0.358088502957363</v>
      </c>
      <c r="J539">
        <v>2.94280995508426E-2</v>
      </c>
      <c r="K539">
        <v>8.2047514815422204E-2</v>
      </c>
    </row>
    <row r="540" spans="1:11" x14ac:dyDescent="0.2">
      <c r="A540">
        <v>539</v>
      </c>
      <c r="B540">
        <v>49</v>
      </c>
      <c r="C540" t="s">
        <v>538</v>
      </c>
      <c r="D540" s="13" t="s">
        <v>912</v>
      </c>
      <c r="E540" s="21">
        <v>175</v>
      </c>
      <c r="F540" s="1">
        <v>1.51340943431523</v>
      </c>
      <c r="G540">
        <v>-3.0399511426504301E-2</v>
      </c>
      <c r="H540">
        <v>-0.118670590242671</v>
      </c>
      <c r="I540">
        <v>-0.33116188351714398</v>
      </c>
      <c r="J540">
        <v>-3.7964745807999799E-3</v>
      </c>
      <c r="K540">
        <v>-1.14960728439842E-2</v>
      </c>
    </row>
    <row r="541" spans="1:11" x14ac:dyDescent="0.2">
      <c r="A541">
        <v>540</v>
      </c>
      <c r="B541">
        <v>26</v>
      </c>
      <c r="C541" t="s">
        <v>539</v>
      </c>
      <c r="D541" s="13" t="s">
        <v>913</v>
      </c>
      <c r="E541" s="21">
        <v>208</v>
      </c>
      <c r="F541" s="1">
        <v>4.3706928684611297</v>
      </c>
      <c r="G541">
        <v>-4.22291966923206E-2</v>
      </c>
      <c r="H541">
        <v>-0.107967427379581</v>
      </c>
      <c r="I541">
        <v>-0.24926027692584099</v>
      </c>
      <c r="J541">
        <v>2.2317739483800499E-2</v>
      </c>
      <c r="K541">
        <v>7.1607529760649005E-2</v>
      </c>
    </row>
    <row r="542" spans="1:11" x14ac:dyDescent="0.2">
      <c r="A542">
        <v>541</v>
      </c>
      <c r="B542">
        <v>45</v>
      </c>
      <c r="C542" t="s">
        <v>540</v>
      </c>
      <c r="D542" s="13" t="s">
        <v>912</v>
      </c>
      <c r="E542" s="21">
        <v>182</v>
      </c>
      <c r="F542" s="1">
        <v>2.9793041428901401</v>
      </c>
      <c r="G542">
        <v>-6.3108198467323406E-2</v>
      </c>
      <c r="H542">
        <v>-3.5891402190688197E-2</v>
      </c>
      <c r="I542">
        <v>-0.52598930777696296</v>
      </c>
      <c r="J542">
        <v>-1.6000288240857401E-2</v>
      </c>
      <c r="K542">
        <v>-4.3652438358010699E-2</v>
      </c>
    </row>
    <row r="543" spans="1:11" x14ac:dyDescent="0.2">
      <c r="A543">
        <v>542</v>
      </c>
      <c r="B543">
        <v>53</v>
      </c>
      <c r="C543" t="s">
        <v>541</v>
      </c>
      <c r="D543" s="13" t="s">
        <v>912</v>
      </c>
      <c r="E543" s="21">
        <v>161</v>
      </c>
      <c r="F543" s="1">
        <v>1.5162455803757799</v>
      </c>
      <c r="G543">
        <v>-1.29844566288658E-2</v>
      </c>
      <c r="H543">
        <v>-2.46378756080513E-2</v>
      </c>
      <c r="I543">
        <v>0.116502037997523</v>
      </c>
      <c r="J543">
        <v>-2.3693554284416302E-2</v>
      </c>
      <c r="K543">
        <v>-5.7989158511278803E-2</v>
      </c>
    </row>
    <row r="544" spans="1:11" x14ac:dyDescent="0.2">
      <c r="A544">
        <v>543</v>
      </c>
      <c r="B544">
        <v>53</v>
      </c>
      <c r="C544" t="s">
        <v>542</v>
      </c>
      <c r="D544" s="13" t="s">
        <v>912</v>
      </c>
      <c r="E544" s="21">
        <v>161</v>
      </c>
      <c r="F544" s="1">
        <v>7.9071991003221402</v>
      </c>
      <c r="G544">
        <v>-0.114087566475332</v>
      </c>
      <c r="H544">
        <v>-0.15539277728281201</v>
      </c>
      <c r="I544">
        <v>-0.406497490962548</v>
      </c>
      <c r="J544">
        <v>-3.59185314548413E-2</v>
      </c>
      <c r="K544">
        <v>-5.6678511813049698E-2</v>
      </c>
    </row>
    <row r="545" spans="1:11" x14ac:dyDescent="0.2">
      <c r="A545">
        <v>544</v>
      </c>
      <c r="B545">
        <v>39</v>
      </c>
      <c r="C545" t="s">
        <v>543</v>
      </c>
      <c r="D545" s="13" t="s">
        <v>913</v>
      </c>
      <c r="E545" s="21">
        <v>206</v>
      </c>
      <c r="F545" s="1">
        <v>6.9389648876650396</v>
      </c>
      <c r="G545">
        <v>-0.103062793779788</v>
      </c>
      <c r="H545">
        <v>-0.17468373888055</v>
      </c>
      <c r="I545">
        <v>-0.36198849853600101</v>
      </c>
      <c r="J545">
        <v>-4.5013057380758996E-3</v>
      </c>
      <c r="K545">
        <v>-3.7699150259680202E-2</v>
      </c>
    </row>
    <row r="546" spans="1:11" x14ac:dyDescent="0.2">
      <c r="A546">
        <v>545</v>
      </c>
      <c r="B546">
        <v>28</v>
      </c>
      <c r="C546" t="s">
        <v>544</v>
      </c>
      <c r="D546" s="13" t="s">
        <v>913</v>
      </c>
      <c r="E546" s="21">
        <v>242</v>
      </c>
      <c r="F546" s="1">
        <v>-9.97579027624937</v>
      </c>
      <c r="G546">
        <v>0.12739380646784601</v>
      </c>
      <c r="H546">
        <v>0.37402042176820999</v>
      </c>
      <c r="I546">
        <v>1.1455868624308001</v>
      </c>
      <c r="J546">
        <v>-1.5354979236573699E-2</v>
      </c>
      <c r="K546">
        <v>-2.0524031955379701E-2</v>
      </c>
    </row>
    <row r="547" spans="1:11" x14ac:dyDescent="0.2">
      <c r="A547">
        <v>546</v>
      </c>
      <c r="B547">
        <v>54</v>
      </c>
      <c r="C547" t="s">
        <v>545</v>
      </c>
      <c r="D547" s="13" t="s">
        <v>912</v>
      </c>
      <c r="E547" s="21">
        <v>170</v>
      </c>
      <c r="F547" s="1">
        <v>1.6259243303495701</v>
      </c>
      <c r="G547">
        <v>-5.4191857054017599E-2</v>
      </c>
      <c r="H547">
        <v>-0.20279437721614699</v>
      </c>
      <c r="I547">
        <v>-0.58106201524199697</v>
      </c>
      <c r="J547">
        <v>-2.02320204072612E-2</v>
      </c>
      <c r="K547">
        <v>-4.2106325053138598E-2</v>
      </c>
    </row>
    <row r="548" spans="1:11" x14ac:dyDescent="0.2">
      <c r="A548">
        <v>547</v>
      </c>
      <c r="B548">
        <v>45</v>
      </c>
      <c r="C548" t="s">
        <v>546</v>
      </c>
      <c r="D548" s="13" t="s">
        <v>912</v>
      </c>
      <c r="E548" s="21">
        <v>182</v>
      </c>
      <c r="F548" s="1">
        <v>4.9220427131690503</v>
      </c>
      <c r="G548">
        <v>-6.4806715480718896E-2</v>
      </c>
      <c r="H548">
        <v>-2.7072352366977699E-2</v>
      </c>
      <c r="I548">
        <v>-0.300142270158679</v>
      </c>
      <c r="J548">
        <v>-9.8868574807209307E-3</v>
      </c>
      <c r="K548">
        <v>-1.30860470535308E-2</v>
      </c>
    </row>
    <row r="549" spans="1:11" x14ac:dyDescent="0.2">
      <c r="A549">
        <v>548</v>
      </c>
      <c r="B549">
        <v>44</v>
      </c>
      <c r="C549" t="s">
        <v>547</v>
      </c>
      <c r="D549" s="13" t="s">
        <v>912</v>
      </c>
      <c r="E549" s="21">
        <v>173</v>
      </c>
      <c r="F549" s="1">
        <v>4.5941887452426702</v>
      </c>
      <c r="G549">
        <v>-4.0398952366330503E-2</v>
      </c>
      <c r="H549">
        <v>-0.14566875478889699</v>
      </c>
      <c r="I549">
        <v>-0.30612317800193101</v>
      </c>
      <c r="J549">
        <v>-3.0870646584776899E-2</v>
      </c>
      <c r="K549">
        <v>-6.5776216692275999E-2</v>
      </c>
    </row>
    <row r="550" spans="1:11" x14ac:dyDescent="0.2">
      <c r="A550">
        <v>549</v>
      </c>
      <c r="B550">
        <v>39</v>
      </c>
      <c r="C550" t="s">
        <v>548</v>
      </c>
      <c r="D550" s="13" t="s">
        <v>913</v>
      </c>
      <c r="E550" s="21">
        <v>321</v>
      </c>
      <c r="F550" s="1">
        <v>4.1897235313970302</v>
      </c>
      <c r="G550">
        <v>-5.1749486282786999E-2</v>
      </c>
      <c r="H550">
        <v>-0.15450907078674</v>
      </c>
      <c r="I550">
        <v>-0.39574862239828901</v>
      </c>
      <c r="J550">
        <v>-3.3437528893726698E-2</v>
      </c>
      <c r="K550">
        <v>-7.7535112373065193E-2</v>
      </c>
    </row>
    <row r="551" spans="1:11" x14ac:dyDescent="0.2">
      <c r="A551">
        <v>550</v>
      </c>
      <c r="B551">
        <v>44</v>
      </c>
      <c r="C551" t="s">
        <v>549</v>
      </c>
      <c r="D551" s="13" t="s">
        <v>912</v>
      </c>
      <c r="E551" s="21">
        <v>173</v>
      </c>
      <c r="F551" s="1">
        <v>2.3841696554731202</v>
      </c>
      <c r="G551">
        <v>-3.8779918538353102E-2</v>
      </c>
      <c r="H551">
        <v>-0.14060434396100399</v>
      </c>
      <c r="I551">
        <v>-0.30195185147286902</v>
      </c>
      <c r="J551">
        <v>-3.7700992716943403E-2</v>
      </c>
      <c r="K551">
        <v>-7.9646610139827406E-2</v>
      </c>
    </row>
    <row r="552" spans="1:11" x14ac:dyDescent="0.2">
      <c r="A552">
        <v>551</v>
      </c>
      <c r="B552">
        <v>33</v>
      </c>
      <c r="C552" t="s">
        <v>550</v>
      </c>
      <c r="D552" s="13" t="s">
        <v>913</v>
      </c>
      <c r="E552" s="21">
        <v>304</v>
      </c>
      <c r="F552" s="1">
        <v>-3.9601241446543098</v>
      </c>
      <c r="G552">
        <v>2.8651444311979499E-2</v>
      </c>
      <c r="H552">
        <v>-6.7327978589634102E-2</v>
      </c>
      <c r="I552">
        <v>-0.16212375493706199</v>
      </c>
      <c r="J552">
        <v>1.62863105914064E-3</v>
      </c>
      <c r="K552">
        <v>-3.92824423551826E-4</v>
      </c>
    </row>
    <row r="553" spans="1:11" x14ac:dyDescent="0.2">
      <c r="A553">
        <v>552</v>
      </c>
      <c r="B553">
        <v>50</v>
      </c>
      <c r="C553" t="s">
        <v>551</v>
      </c>
      <c r="D553" s="13" t="s">
        <v>912</v>
      </c>
      <c r="E553" s="21">
        <v>172</v>
      </c>
      <c r="F553" s="1">
        <v>-0.24207369576146001</v>
      </c>
      <c r="G553">
        <v>-4.9630900098230901E-2</v>
      </c>
      <c r="H553">
        <v>-5.9901650398527604E-3</v>
      </c>
      <c r="I553">
        <v>-0.39468179769767497</v>
      </c>
      <c r="J553">
        <v>-2.70313767536523E-2</v>
      </c>
      <c r="K553">
        <v>-5.41637610181087E-2</v>
      </c>
    </row>
    <row r="554" spans="1:11" x14ac:dyDescent="0.2">
      <c r="A554">
        <v>553</v>
      </c>
      <c r="B554">
        <v>25</v>
      </c>
      <c r="C554" t="s">
        <v>552</v>
      </c>
      <c r="D554" s="13" t="s">
        <v>913</v>
      </c>
      <c r="E554" s="21">
        <v>323</v>
      </c>
      <c r="F554" s="1">
        <v>1.44648920431384</v>
      </c>
      <c r="G554">
        <v>-4.5529733069410903E-2</v>
      </c>
      <c r="H554">
        <v>-9.9144078836535504E-2</v>
      </c>
      <c r="I554">
        <v>-0.415188519386822</v>
      </c>
      <c r="J554">
        <v>2.7919697193276301E-2</v>
      </c>
      <c r="K554">
        <v>8.10101726415106E-2</v>
      </c>
    </row>
    <row r="555" spans="1:11" x14ac:dyDescent="0.2">
      <c r="A555">
        <v>554</v>
      </c>
      <c r="B555">
        <v>33</v>
      </c>
      <c r="C555" t="s">
        <v>553</v>
      </c>
      <c r="D555" s="13" t="s">
        <v>913</v>
      </c>
      <c r="E555" s="21">
        <v>189</v>
      </c>
      <c r="F555" s="1">
        <v>1.99663257935795</v>
      </c>
      <c r="G555">
        <v>-1.7784340859982501E-2</v>
      </c>
      <c r="H555">
        <v>6.8492345627482798E-2</v>
      </c>
      <c r="I555">
        <v>0.32122370381785997</v>
      </c>
      <c r="J555">
        <v>1.9068554588899202E-2</v>
      </c>
      <c r="K555">
        <v>2.9029938864272499E-2</v>
      </c>
    </row>
    <row r="556" spans="1:11" x14ac:dyDescent="0.2">
      <c r="A556">
        <v>555</v>
      </c>
      <c r="B556">
        <v>39</v>
      </c>
      <c r="C556" t="s">
        <v>554</v>
      </c>
      <c r="D556" s="13" t="s">
        <v>913</v>
      </c>
      <c r="E556" s="21">
        <v>321</v>
      </c>
      <c r="F556" s="1">
        <v>2.7594194007610202</v>
      </c>
      <c r="G556">
        <v>-4.4889503185121298E-2</v>
      </c>
      <c r="H556">
        <v>-3.4067679673701001E-2</v>
      </c>
      <c r="I556">
        <v>-0.156782571160095</v>
      </c>
      <c r="J556">
        <v>-1.6284478665854699E-2</v>
      </c>
      <c r="K556">
        <v>-6.3662241759502497E-2</v>
      </c>
    </row>
    <row r="557" spans="1:11" x14ac:dyDescent="0.2">
      <c r="A557">
        <v>556</v>
      </c>
      <c r="B557">
        <v>42</v>
      </c>
      <c r="C557" t="s">
        <v>555</v>
      </c>
      <c r="D557" s="13" t="s">
        <v>912</v>
      </c>
      <c r="E557" s="21">
        <v>185</v>
      </c>
      <c r="F557" s="1">
        <v>-5.8267324715167303</v>
      </c>
      <c r="G557">
        <v>0.114051703818671</v>
      </c>
      <c r="H557">
        <v>0.15622554419260301</v>
      </c>
      <c r="I557">
        <v>0.219227497357735</v>
      </c>
      <c r="J557">
        <v>-2.6155017834586E-2</v>
      </c>
      <c r="K557">
        <v>-5.7612821497142398E-2</v>
      </c>
    </row>
    <row r="558" spans="1:11" x14ac:dyDescent="0.2">
      <c r="A558">
        <v>557</v>
      </c>
      <c r="B558">
        <v>33</v>
      </c>
      <c r="C558" t="s">
        <v>556</v>
      </c>
      <c r="D558" s="13" t="s">
        <v>913</v>
      </c>
      <c r="E558" s="21">
        <v>304</v>
      </c>
      <c r="F558" s="1">
        <v>2.9425819472698498</v>
      </c>
      <c r="G558">
        <v>-1.3649359951654399E-2</v>
      </c>
      <c r="H558">
        <v>1.54107919971638E-2</v>
      </c>
      <c r="I558">
        <v>4.2615202998784199E-2</v>
      </c>
      <c r="J558">
        <v>2.5318842403914001E-2</v>
      </c>
      <c r="K558">
        <v>6.3674663297680095E-2</v>
      </c>
    </row>
    <row r="559" spans="1:11" x14ac:dyDescent="0.2">
      <c r="A559">
        <v>558</v>
      </c>
      <c r="B559">
        <v>39</v>
      </c>
      <c r="C559" t="s">
        <v>557</v>
      </c>
      <c r="D559" s="13" t="s">
        <v>913</v>
      </c>
      <c r="E559" s="21">
        <v>321</v>
      </c>
      <c r="F559" s="1">
        <v>3.0302426325419498</v>
      </c>
      <c r="G559">
        <v>2.41614257242008E-2</v>
      </c>
      <c r="H559">
        <v>3.4943345604545199E-2</v>
      </c>
      <c r="I559">
        <v>0.23503940965178299</v>
      </c>
      <c r="J559">
        <v>1.10435021435232E-2</v>
      </c>
      <c r="K559">
        <v>3.0149709736195199E-2</v>
      </c>
    </row>
    <row r="560" spans="1:11" x14ac:dyDescent="0.2">
      <c r="A560">
        <v>559</v>
      </c>
      <c r="B560">
        <v>26</v>
      </c>
      <c r="C560" t="s">
        <v>558</v>
      </c>
      <c r="D560" s="13" t="s">
        <v>913</v>
      </c>
      <c r="E560" s="21">
        <v>323</v>
      </c>
      <c r="F560" s="1">
        <v>2.2836169043650099</v>
      </c>
      <c r="G560">
        <v>-2.2354150856359702E-2</v>
      </c>
      <c r="H560">
        <v>1.0038278482117399E-2</v>
      </c>
      <c r="I560">
        <v>-9.2105721071621804E-3</v>
      </c>
      <c r="J560">
        <v>-1.4899873992786E-2</v>
      </c>
      <c r="K560">
        <v>-2.8753332145389901E-2</v>
      </c>
    </row>
    <row r="561" spans="1:11" x14ac:dyDescent="0.2">
      <c r="A561">
        <v>560</v>
      </c>
      <c r="B561">
        <v>32</v>
      </c>
      <c r="C561" t="s">
        <v>559</v>
      </c>
      <c r="D561" s="13" t="s">
        <v>913</v>
      </c>
      <c r="E561" s="21">
        <v>314</v>
      </c>
      <c r="F561" s="1">
        <v>4.9813977901263096</v>
      </c>
      <c r="G561">
        <v>-5.1261891638333203E-2</v>
      </c>
      <c r="H561">
        <v>-6.0161274546897001E-2</v>
      </c>
      <c r="I561">
        <v>-0.10492023433839701</v>
      </c>
      <c r="J561">
        <v>3.7632019662174297E-2</v>
      </c>
      <c r="K561">
        <v>0.11101702366378199</v>
      </c>
    </row>
    <row r="562" spans="1:11" x14ac:dyDescent="0.2">
      <c r="A562">
        <v>561</v>
      </c>
      <c r="B562">
        <v>23</v>
      </c>
      <c r="C562" t="s">
        <v>560</v>
      </c>
      <c r="D562" s="13" t="s">
        <v>913</v>
      </c>
      <c r="E562" s="21">
        <v>304</v>
      </c>
      <c r="F562" s="1">
        <v>3.40047865353282</v>
      </c>
      <c r="G562">
        <v>-6.8384041883896393E-2</v>
      </c>
      <c r="H562">
        <v>-3.9951417622508402E-2</v>
      </c>
      <c r="I562">
        <v>-0.205046596326495</v>
      </c>
      <c r="J562">
        <v>1.3151138356281299E-2</v>
      </c>
      <c r="K562">
        <v>3.3954338043965998E-2</v>
      </c>
    </row>
    <row r="563" spans="1:11" x14ac:dyDescent="0.2">
      <c r="A563">
        <v>562</v>
      </c>
      <c r="B563">
        <v>39</v>
      </c>
      <c r="C563" t="s">
        <v>561</v>
      </c>
      <c r="D563" s="13" t="s">
        <v>913</v>
      </c>
      <c r="E563" s="21">
        <v>321</v>
      </c>
      <c r="F563" s="1">
        <v>2.7589137926348699</v>
      </c>
      <c r="G563">
        <v>-5.6964462302015101E-2</v>
      </c>
      <c r="H563">
        <v>-6.1089391787620899E-2</v>
      </c>
      <c r="I563">
        <v>-0.46472724105271102</v>
      </c>
      <c r="J563">
        <v>-5.3278182275213103E-2</v>
      </c>
      <c r="K563">
        <v>-0.127881914106248</v>
      </c>
    </row>
    <row r="564" spans="1:11" x14ac:dyDescent="0.2">
      <c r="A564">
        <v>563</v>
      </c>
      <c r="B564">
        <v>26</v>
      </c>
      <c r="C564" t="s">
        <v>562</v>
      </c>
      <c r="D564" s="13" t="s">
        <v>913</v>
      </c>
      <c r="E564" s="21">
        <v>323</v>
      </c>
      <c r="F564" s="1">
        <v>-1.70262206691758</v>
      </c>
      <c r="G564">
        <v>3.3489850803530397E-2</v>
      </c>
      <c r="H564">
        <v>3.0800165281047499E-2</v>
      </c>
      <c r="I564">
        <v>0.14988723167943799</v>
      </c>
      <c r="J564">
        <v>-4.02454121917228E-4</v>
      </c>
      <c r="K564">
        <v>-4.0639881452448996E-3</v>
      </c>
    </row>
    <row r="565" spans="1:11" x14ac:dyDescent="0.2">
      <c r="A565">
        <v>564</v>
      </c>
      <c r="B565">
        <v>34</v>
      </c>
      <c r="C565" t="s">
        <v>563</v>
      </c>
      <c r="D565" s="13" t="s">
        <v>913</v>
      </c>
      <c r="E565" s="21">
        <v>304</v>
      </c>
      <c r="F565" s="1">
        <v>5.1581726766441296</v>
      </c>
      <c r="G565">
        <v>-4.1189423091372503E-2</v>
      </c>
      <c r="H565">
        <v>-0.25676540011633198</v>
      </c>
      <c r="I565">
        <v>-0.55886033055629103</v>
      </c>
      <c r="J565">
        <v>-3.0668783172822199E-2</v>
      </c>
      <c r="K565">
        <v>-0.104341113422693</v>
      </c>
    </row>
    <row r="566" spans="1:11" x14ac:dyDescent="0.2">
      <c r="A566">
        <v>565</v>
      </c>
      <c r="B566">
        <v>32</v>
      </c>
      <c r="C566" t="s">
        <v>564</v>
      </c>
      <c r="D566" s="13" t="s">
        <v>913</v>
      </c>
      <c r="E566" s="21">
        <v>314</v>
      </c>
      <c r="F566" s="1">
        <v>-0.82012750498841702</v>
      </c>
      <c r="G566">
        <v>-6.1157788274322101E-3</v>
      </c>
      <c r="H566">
        <v>-1.9937319670116398E-2</v>
      </c>
      <c r="I566">
        <v>3.1703049190364402E-2</v>
      </c>
      <c r="J566">
        <v>-1.40250494532984E-2</v>
      </c>
      <c r="K566">
        <v>-5.1922268177187397E-2</v>
      </c>
    </row>
    <row r="567" spans="1:11" x14ac:dyDescent="0.2">
      <c r="A567">
        <v>566</v>
      </c>
      <c r="B567">
        <v>21</v>
      </c>
      <c r="C567" t="s">
        <v>565</v>
      </c>
      <c r="D567" s="13" t="s">
        <v>913</v>
      </c>
      <c r="E567" s="21">
        <v>333</v>
      </c>
      <c r="F567" s="1">
        <v>1.96060719234855</v>
      </c>
      <c r="G567">
        <v>1.7901548957134299E-2</v>
      </c>
      <c r="H567">
        <v>5.9642283456737097E-2</v>
      </c>
      <c r="I567">
        <v>0.27809735180587303</v>
      </c>
      <c r="J567">
        <v>2.00316902569402E-2</v>
      </c>
      <c r="K567">
        <v>4.0104859529607198E-2</v>
      </c>
    </row>
    <row r="568" spans="1:11" x14ac:dyDescent="0.2">
      <c r="A568">
        <v>567</v>
      </c>
      <c r="B568">
        <v>35</v>
      </c>
      <c r="C568" t="s">
        <v>566</v>
      </c>
      <c r="D568" s="13" t="s">
        <v>913</v>
      </c>
      <c r="E568" s="21">
        <v>304</v>
      </c>
      <c r="F568" s="1">
        <v>4.41449767901294</v>
      </c>
      <c r="G568">
        <v>-4.9220559517938398E-2</v>
      </c>
      <c r="H568">
        <v>-7.8085061724546004E-2</v>
      </c>
      <c r="I568">
        <v>-0.16186153644885501</v>
      </c>
      <c r="J568">
        <v>-2.4949429614251499E-2</v>
      </c>
      <c r="K568">
        <v>-5.4184065412937098E-2</v>
      </c>
    </row>
    <row r="569" spans="1:11" x14ac:dyDescent="0.2">
      <c r="A569">
        <v>568</v>
      </c>
      <c r="B569">
        <v>40</v>
      </c>
      <c r="C569" t="s">
        <v>567</v>
      </c>
      <c r="D569" s="13" t="s">
        <v>913</v>
      </c>
      <c r="E569" s="21">
        <v>317</v>
      </c>
      <c r="F569" s="1">
        <v>2.01084074835576</v>
      </c>
      <c r="G569">
        <v>-5.6211723816753503E-2</v>
      </c>
      <c r="H569">
        <v>-0.15223799075584901</v>
      </c>
      <c r="I569">
        <v>-0.45583803209073598</v>
      </c>
      <c r="J569">
        <v>-4.0898247398825097E-2</v>
      </c>
      <c r="K569">
        <v>-8.6360044953811693E-2</v>
      </c>
    </row>
    <row r="570" spans="1:11" x14ac:dyDescent="0.2">
      <c r="A570">
        <v>569</v>
      </c>
      <c r="B570">
        <v>40</v>
      </c>
      <c r="C570" t="s">
        <v>568</v>
      </c>
      <c r="D570" s="13" t="s">
        <v>913</v>
      </c>
      <c r="E570" s="21">
        <v>317</v>
      </c>
      <c r="F570" s="1">
        <v>4.1734343101936799</v>
      </c>
      <c r="G570">
        <v>-9.25326628341583E-2</v>
      </c>
      <c r="H570">
        <v>-0.13173570029580201</v>
      </c>
      <c r="I570">
        <v>-0.362573556346515</v>
      </c>
      <c r="J570">
        <v>2.8224821274682899E-2</v>
      </c>
      <c r="K570">
        <v>7.8590679380856301E-2</v>
      </c>
    </row>
    <row r="571" spans="1:11" x14ac:dyDescent="0.2">
      <c r="A571">
        <v>570</v>
      </c>
      <c r="B571">
        <v>33</v>
      </c>
      <c r="C571" t="s">
        <v>569</v>
      </c>
      <c r="D571" s="13" t="s">
        <v>913</v>
      </c>
      <c r="E571" s="21">
        <v>304</v>
      </c>
      <c r="F571" s="1">
        <v>5.9221783754397803</v>
      </c>
      <c r="G571">
        <v>-0.13085912677880601</v>
      </c>
      <c r="H571">
        <v>-0.28574892679243902</v>
      </c>
      <c r="I571">
        <v>-0.71614299830393902</v>
      </c>
      <c r="J571">
        <v>2.4715754312836201E-2</v>
      </c>
      <c r="K571">
        <v>7.18839391424205E-2</v>
      </c>
    </row>
    <row r="572" spans="1:11" x14ac:dyDescent="0.2">
      <c r="A572">
        <v>571</v>
      </c>
      <c r="B572">
        <v>41</v>
      </c>
      <c r="C572" t="s">
        <v>570</v>
      </c>
      <c r="D572" s="13" t="s">
        <v>912</v>
      </c>
      <c r="E572" s="21">
        <v>146</v>
      </c>
      <c r="F572" s="1">
        <v>4.5872765566026796</v>
      </c>
      <c r="G572">
        <v>-0.109409918156445</v>
      </c>
      <c r="H572">
        <v>-0.15317946779517899</v>
      </c>
      <c r="I572">
        <v>-0.59907999935334499</v>
      </c>
      <c r="J572">
        <v>5.46117284809364E-2</v>
      </c>
      <c r="K572">
        <v>0.14370009848711399</v>
      </c>
    </row>
    <row r="573" spans="1:11" x14ac:dyDescent="0.2">
      <c r="A573">
        <v>572</v>
      </c>
      <c r="B573">
        <v>23</v>
      </c>
      <c r="C573" t="s">
        <v>571</v>
      </c>
      <c r="D573" s="13" t="s">
        <v>913</v>
      </c>
      <c r="E573" s="21">
        <v>189</v>
      </c>
      <c r="F573" s="1">
        <v>1.9620952948264001</v>
      </c>
      <c r="G573">
        <v>-4.8958917268081201E-2</v>
      </c>
      <c r="H573">
        <v>-5.2472430626805698E-2</v>
      </c>
      <c r="I573">
        <v>-0.15977372488019301</v>
      </c>
      <c r="J573">
        <v>3.1855656733872903E-2</v>
      </c>
      <c r="K573">
        <v>9.7196860250445799E-2</v>
      </c>
    </row>
    <row r="574" spans="1:11" x14ac:dyDescent="0.2">
      <c r="A574">
        <v>573</v>
      </c>
      <c r="B574">
        <v>45</v>
      </c>
      <c r="C574" t="s">
        <v>572</v>
      </c>
      <c r="D574" s="13" t="s">
        <v>912</v>
      </c>
      <c r="E574" s="21">
        <v>182</v>
      </c>
      <c r="F574" s="1">
        <v>6.2209696562644101</v>
      </c>
      <c r="G574">
        <v>-0.123872762981503</v>
      </c>
      <c r="H574">
        <v>-0.12370858532990101</v>
      </c>
      <c r="I574">
        <v>-0.72428026846993698</v>
      </c>
      <c r="J574">
        <v>-7.0764583756318996E-3</v>
      </c>
      <c r="K574">
        <v>-5.4910978038332199E-3</v>
      </c>
    </row>
    <row r="575" spans="1:11" x14ac:dyDescent="0.2">
      <c r="A575">
        <v>574</v>
      </c>
      <c r="B575">
        <v>54</v>
      </c>
      <c r="C575" t="s">
        <v>573</v>
      </c>
      <c r="D575" s="13" t="s">
        <v>912</v>
      </c>
      <c r="E575" s="21">
        <v>170</v>
      </c>
      <c r="F575" s="1">
        <v>-0.14739190693658999</v>
      </c>
      <c r="G575">
        <v>-3.8321399755183699E-2</v>
      </c>
      <c r="H575">
        <v>-0.19042955714886201</v>
      </c>
      <c r="I575">
        <v>-0.48608704671083702</v>
      </c>
      <c r="J575">
        <v>-3.1263409435486597E-2</v>
      </c>
      <c r="K575">
        <v>-6.9784061454297705E-2</v>
      </c>
    </row>
    <row r="576" spans="1:11" x14ac:dyDescent="0.2">
      <c r="A576">
        <v>575</v>
      </c>
      <c r="B576">
        <v>54</v>
      </c>
      <c r="C576" t="s">
        <v>574</v>
      </c>
      <c r="D576" s="13" t="s">
        <v>912</v>
      </c>
      <c r="E576" s="21">
        <v>170</v>
      </c>
      <c r="F576" s="1">
        <v>0.50969443733673503</v>
      </c>
      <c r="G576">
        <v>-3.5730265910003799E-2</v>
      </c>
      <c r="H576">
        <v>-0.10772737408202999</v>
      </c>
      <c r="I576">
        <v>-0.30860490208204999</v>
      </c>
      <c r="J576">
        <v>-2.66360639532046E-2</v>
      </c>
      <c r="K576">
        <v>-5.94577375253552E-2</v>
      </c>
    </row>
    <row r="577" spans="1:11" x14ac:dyDescent="0.2">
      <c r="A577">
        <v>576</v>
      </c>
      <c r="B577">
        <v>49</v>
      </c>
      <c r="C577" t="s">
        <v>575</v>
      </c>
      <c r="D577" s="13" t="s">
        <v>912</v>
      </c>
      <c r="E577" s="21">
        <v>175</v>
      </c>
      <c r="F577" s="1">
        <v>1.8713588877312599</v>
      </c>
      <c r="G577">
        <v>-4.4265638551962503E-3</v>
      </c>
      <c r="H577">
        <v>-7.9869685563385098E-2</v>
      </c>
      <c r="I577">
        <v>-0.12766726902537401</v>
      </c>
      <c r="J577">
        <v>-1.337976313384E-3</v>
      </c>
      <c r="K577">
        <v>1.81844718251192E-3</v>
      </c>
    </row>
    <row r="578" spans="1:11" x14ac:dyDescent="0.2">
      <c r="A578">
        <v>577</v>
      </c>
      <c r="B578">
        <v>42</v>
      </c>
      <c r="C578" t="s">
        <v>576</v>
      </c>
      <c r="D578" s="13" t="s">
        <v>912</v>
      </c>
      <c r="E578" s="21">
        <v>185</v>
      </c>
      <c r="F578" s="1">
        <v>0.92476001871170399</v>
      </c>
      <c r="G578">
        <v>2.2423570133543801E-2</v>
      </c>
      <c r="H578">
        <v>9.2428973919310597E-2</v>
      </c>
      <c r="I578">
        <v>2.83512160211499E-2</v>
      </c>
      <c r="J578">
        <v>-9.5787886487349906E-3</v>
      </c>
      <c r="K578">
        <v>-2.0910039338306999E-2</v>
      </c>
    </row>
    <row r="579" spans="1:11" x14ac:dyDescent="0.2">
      <c r="A579">
        <v>578</v>
      </c>
      <c r="B579">
        <v>34</v>
      </c>
      <c r="C579" t="s">
        <v>577</v>
      </c>
      <c r="D579" s="13" t="s">
        <v>913</v>
      </c>
      <c r="E579" s="21">
        <v>189</v>
      </c>
      <c r="F579" s="1">
        <v>-0.59431806308050295</v>
      </c>
      <c r="G579">
        <v>-1.46526057497398E-3</v>
      </c>
      <c r="H579">
        <v>2.8508751068023599E-2</v>
      </c>
      <c r="I579">
        <v>0.22432822381015999</v>
      </c>
      <c r="J579">
        <v>2.3672295661614402E-2</v>
      </c>
      <c r="K579">
        <v>5.55827449386204E-2</v>
      </c>
    </row>
    <row r="580" spans="1:11" x14ac:dyDescent="0.2">
      <c r="A580">
        <v>579</v>
      </c>
      <c r="B580">
        <v>42</v>
      </c>
      <c r="C580" t="s">
        <v>578</v>
      </c>
      <c r="D580" s="13" t="s">
        <v>912</v>
      </c>
      <c r="E580" s="21">
        <v>185</v>
      </c>
      <c r="F580" s="1">
        <v>2.8515567163438802</v>
      </c>
      <c r="G580">
        <v>-3.8071583369914799E-2</v>
      </c>
      <c r="H580">
        <v>-3.0368953110278998E-2</v>
      </c>
      <c r="I580">
        <v>-0.54129791781422998</v>
      </c>
      <c r="J580">
        <v>-3.54039257491333E-2</v>
      </c>
      <c r="K580">
        <v>-9.6536286385209405E-2</v>
      </c>
    </row>
    <row r="581" spans="1:11" x14ac:dyDescent="0.2">
      <c r="A581">
        <v>580</v>
      </c>
      <c r="B581">
        <v>34</v>
      </c>
      <c r="C581" t="s">
        <v>579</v>
      </c>
      <c r="D581" s="13" t="s">
        <v>913</v>
      </c>
      <c r="E581" s="21">
        <v>189</v>
      </c>
      <c r="F581" s="1">
        <v>-2.5370793186577498</v>
      </c>
      <c r="G581">
        <v>4.8413385263524303E-2</v>
      </c>
      <c r="H581">
        <v>9.4103238588454097E-2</v>
      </c>
      <c r="I581">
        <v>0.45608487791310998</v>
      </c>
      <c r="J581">
        <v>2.6671411024232601E-2</v>
      </c>
      <c r="K581">
        <v>4.89442366727212E-2</v>
      </c>
    </row>
    <row r="582" spans="1:11" x14ac:dyDescent="0.2">
      <c r="A582">
        <v>581</v>
      </c>
      <c r="B582">
        <v>53</v>
      </c>
      <c r="C582" t="s">
        <v>580</v>
      </c>
      <c r="D582" s="13" t="s">
        <v>912</v>
      </c>
      <c r="E582" s="21">
        <v>161</v>
      </c>
      <c r="F582" s="1">
        <v>2.2302186739013101</v>
      </c>
      <c r="G582">
        <v>-5.8372616137415803E-2</v>
      </c>
      <c r="H582">
        <v>-9.8953980320607995E-2</v>
      </c>
      <c r="I582">
        <v>-0.19945716305639599</v>
      </c>
      <c r="J582">
        <v>-5.4010053963853201E-2</v>
      </c>
      <c r="K582">
        <v>-9.7864289541759103E-2</v>
      </c>
    </row>
    <row r="583" spans="1:11" x14ac:dyDescent="0.2">
      <c r="A583">
        <v>582</v>
      </c>
      <c r="B583">
        <v>49</v>
      </c>
      <c r="C583" t="s">
        <v>581</v>
      </c>
      <c r="D583" s="13" t="s">
        <v>912</v>
      </c>
      <c r="E583" s="21">
        <v>175</v>
      </c>
      <c r="F583" s="1">
        <v>2.7959055382776801</v>
      </c>
      <c r="G583">
        <v>-4.6660298875660602E-2</v>
      </c>
      <c r="H583">
        <v>-0.15042648901766301</v>
      </c>
      <c r="I583">
        <v>-0.395795157638759</v>
      </c>
      <c r="J583">
        <v>3.0910589975780499E-3</v>
      </c>
      <c r="K583">
        <v>-5.5136316318465401E-3</v>
      </c>
    </row>
    <row r="584" spans="1:11" x14ac:dyDescent="0.2">
      <c r="A584">
        <v>583</v>
      </c>
      <c r="B584">
        <v>44</v>
      </c>
      <c r="C584" t="s">
        <v>582</v>
      </c>
      <c r="D584" s="13" t="s">
        <v>912</v>
      </c>
      <c r="E584" s="21">
        <v>173</v>
      </c>
      <c r="F584" s="1">
        <v>1.3462037712214501</v>
      </c>
      <c r="G584">
        <v>-1.8944446322977399E-2</v>
      </c>
      <c r="H584">
        <v>-2.92097357825085E-2</v>
      </c>
      <c r="I584">
        <v>6.1325721704606699E-2</v>
      </c>
      <c r="J584">
        <v>1.3950103025605599E-2</v>
      </c>
      <c r="K584">
        <v>2.5350394913874901E-2</v>
      </c>
    </row>
    <row r="585" spans="1:11" x14ac:dyDescent="0.2">
      <c r="A585">
        <v>584</v>
      </c>
      <c r="B585">
        <v>46</v>
      </c>
      <c r="C585" t="s">
        <v>583</v>
      </c>
      <c r="D585" s="13" t="s">
        <v>912</v>
      </c>
      <c r="E585" s="21">
        <v>160</v>
      </c>
      <c r="F585" s="1">
        <v>3.7426088280110799</v>
      </c>
      <c r="G585">
        <v>-1.0703290767228099E-2</v>
      </c>
      <c r="H585">
        <v>-3.2971598049902497E-2</v>
      </c>
      <c r="I585">
        <v>-7.2197686724688098E-2</v>
      </c>
      <c r="J585">
        <v>-2.7833985631316099E-2</v>
      </c>
      <c r="K585">
        <v>-4.8032470065947998E-2</v>
      </c>
    </row>
    <row r="586" spans="1:11" x14ac:dyDescent="0.2">
      <c r="A586">
        <v>585</v>
      </c>
      <c r="B586">
        <v>34</v>
      </c>
      <c r="C586" t="s">
        <v>584</v>
      </c>
      <c r="D586" s="13" t="s">
        <v>913</v>
      </c>
      <c r="E586" s="21">
        <v>189</v>
      </c>
      <c r="F586" s="1">
        <v>0.150394731190401</v>
      </c>
      <c r="G586">
        <v>1.9750885963955502E-2</v>
      </c>
      <c r="H586">
        <v>0.10975102449388401</v>
      </c>
      <c r="I586">
        <v>0.38339043126421202</v>
      </c>
      <c r="J586">
        <v>5.8220022751550001E-3</v>
      </c>
      <c r="K586">
        <v>-6.5115377660430801E-3</v>
      </c>
    </row>
    <row r="587" spans="1:11" x14ac:dyDescent="0.2">
      <c r="A587">
        <v>586</v>
      </c>
      <c r="B587">
        <v>45</v>
      </c>
      <c r="C587" t="s">
        <v>585</v>
      </c>
      <c r="D587" s="13" t="s">
        <v>912</v>
      </c>
      <c r="E587" s="21">
        <v>182</v>
      </c>
      <c r="F587" s="1">
        <v>4.8327041634128598</v>
      </c>
      <c r="G587">
        <v>-7.1151323786616802E-2</v>
      </c>
      <c r="H587">
        <v>-5.1173157937854798E-2</v>
      </c>
      <c r="I587">
        <v>-0.38484871485581301</v>
      </c>
      <c r="J587">
        <v>-8.8774224975221305E-3</v>
      </c>
      <c r="K587">
        <v>-2.1989040189807699E-2</v>
      </c>
    </row>
    <row r="588" spans="1:11" x14ac:dyDescent="0.2">
      <c r="A588">
        <v>587</v>
      </c>
      <c r="B588">
        <v>44</v>
      </c>
      <c r="C588" t="s">
        <v>586</v>
      </c>
      <c r="D588" s="13" t="s">
        <v>912</v>
      </c>
      <c r="E588" s="21">
        <v>173</v>
      </c>
      <c r="F588" s="1">
        <v>7.4713330893419601</v>
      </c>
      <c r="G588">
        <v>-6.5004966374464096E-2</v>
      </c>
      <c r="H588">
        <v>-0.14191818181337201</v>
      </c>
      <c r="I588">
        <v>-0.31390331490148199</v>
      </c>
      <c r="J588">
        <v>-2.5524337834597E-2</v>
      </c>
      <c r="K588">
        <v>-5.3990063889730398E-2</v>
      </c>
    </row>
    <row r="589" spans="1:11" x14ac:dyDescent="0.2">
      <c r="A589">
        <v>588</v>
      </c>
      <c r="B589">
        <v>37</v>
      </c>
      <c r="C589" t="s">
        <v>587</v>
      </c>
      <c r="D589" s="13" t="s">
        <v>913</v>
      </c>
      <c r="E589" s="21">
        <v>200</v>
      </c>
      <c r="F589" s="1">
        <v>3.92708474630111</v>
      </c>
      <c r="G589">
        <v>-7.5898389629583493E-2</v>
      </c>
      <c r="H589">
        <v>-0.23442207929666001</v>
      </c>
      <c r="I589">
        <v>-0.58269584579420997</v>
      </c>
      <c r="J589">
        <v>2.8241359271732502E-2</v>
      </c>
      <c r="K589">
        <v>9.3741118639893095E-2</v>
      </c>
    </row>
    <row r="590" spans="1:11" x14ac:dyDescent="0.2">
      <c r="A590">
        <v>589</v>
      </c>
      <c r="B590">
        <v>50</v>
      </c>
      <c r="C590" t="s">
        <v>588</v>
      </c>
      <c r="D590" s="13" t="s">
        <v>912</v>
      </c>
      <c r="E590" s="21">
        <v>172</v>
      </c>
      <c r="F590" s="1">
        <v>4.5448455828238901</v>
      </c>
      <c r="G590">
        <v>-0.103681245849022</v>
      </c>
      <c r="H590">
        <v>-8.7636293415273805E-2</v>
      </c>
      <c r="I590">
        <v>-0.63209055338681397</v>
      </c>
      <c r="J590">
        <v>-7.1464343268564601E-2</v>
      </c>
      <c r="K590">
        <v>-0.15992465230183101</v>
      </c>
    </row>
    <row r="591" spans="1:11" x14ac:dyDescent="0.2">
      <c r="A591">
        <v>590</v>
      </c>
      <c r="B591">
        <v>42</v>
      </c>
      <c r="C591" t="s">
        <v>589</v>
      </c>
      <c r="D591" s="13" t="s">
        <v>912</v>
      </c>
      <c r="E591" s="21">
        <v>185</v>
      </c>
      <c r="F591" s="1">
        <v>2.94163918206171</v>
      </c>
      <c r="G591">
        <v>-1.0515485414965E-2</v>
      </c>
      <c r="H591">
        <v>4.3794419644928098E-2</v>
      </c>
      <c r="I591">
        <v>-0.22661547953583</v>
      </c>
      <c r="J591">
        <v>-4.27518683776884E-2</v>
      </c>
      <c r="K591">
        <v>-9.62095416872496E-2</v>
      </c>
    </row>
    <row r="592" spans="1:11" x14ac:dyDescent="0.2">
      <c r="A592">
        <v>591</v>
      </c>
      <c r="B592">
        <v>42</v>
      </c>
      <c r="C592" t="s">
        <v>590</v>
      </c>
      <c r="D592" s="13" t="s">
        <v>912</v>
      </c>
      <c r="E592" s="21">
        <v>185</v>
      </c>
      <c r="F592" s="1">
        <v>5.2421701361236703</v>
      </c>
      <c r="G592">
        <v>-1.9663014392879999E-2</v>
      </c>
      <c r="H592">
        <v>2.3229674948832699E-2</v>
      </c>
      <c r="I592">
        <v>-0.157222067756349</v>
      </c>
      <c r="J592">
        <v>-2.5344800681203501E-2</v>
      </c>
      <c r="K592">
        <v>-6.4606555084796902E-2</v>
      </c>
    </row>
    <row r="593" spans="1:11" x14ac:dyDescent="0.2">
      <c r="A593">
        <v>592</v>
      </c>
      <c r="B593">
        <v>38</v>
      </c>
      <c r="C593" t="s">
        <v>591</v>
      </c>
      <c r="D593" s="13" t="s">
        <v>913</v>
      </c>
      <c r="E593" s="21">
        <v>200</v>
      </c>
      <c r="F593" s="1">
        <v>8.8299318960929103</v>
      </c>
      <c r="G593">
        <v>-6.8088825264505201E-2</v>
      </c>
      <c r="H593">
        <v>-0.24669624040517699</v>
      </c>
      <c r="I593">
        <v>-0.51209768283800405</v>
      </c>
      <c r="J593">
        <v>1.23297135985443E-2</v>
      </c>
      <c r="K593">
        <v>3.31792774044272E-2</v>
      </c>
    </row>
    <row r="594" spans="1:11" x14ac:dyDescent="0.2">
      <c r="A594">
        <v>593</v>
      </c>
      <c r="B594">
        <v>45</v>
      </c>
      <c r="C594" t="s">
        <v>592</v>
      </c>
      <c r="D594" s="13" t="s">
        <v>912</v>
      </c>
      <c r="E594" s="21">
        <v>182</v>
      </c>
      <c r="F594" s="1">
        <v>4.1292034318860296</v>
      </c>
      <c r="G594">
        <v>-6.6791148699312602E-2</v>
      </c>
      <c r="H594">
        <v>-5.8762873509095197E-2</v>
      </c>
      <c r="I594">
        <v>-0.44981513717709798</v>
      </c>
      <c r="J594">
        <v>-6.3216100401080801E-3</v>
      </c>
      <c r="K594">
        <v>-2.1191899194086702E-2</v>
      </c>
    </row>
    <row r="595" spans="1:11" x14ac:dyDescent="0.2">
      <c r="A595">
        <v>594</v>
      </c>
      <c r="B595">
        <v>25</v>
      </c>
      <c r="C595" t="s">
        <v>593</v>
      </c>
      <c r="D595" s="13" t="s">
        <v>913</v>
      </c>
      <c r="E595" s="21">
        <v>208</v>
      </c>
      <c r="F595" s="1">
        <v>0.46673933785166499</v>
      </c>
      <c r="G595">
        <v>-7.5145952658240506E-2</v>
      </c>
      <c r="H595">
        <v>-9.5599623133352504E-2</v>
      </c>
      <c r="I595">
        <v>-0.37360761373873702</v>
      </c>
      <c r="J595">
        <v>-4.5740736565387198E-3</v>
      </c>
      <c r="K595">
        <v>-1.20012020962413E-2</v>
      </c>
    </row>
    <row r="596" spans="1:11" x14ac:dyDescent="0.2">
      <c r="A596">
        <v>595</v>
      </c>
      <c r="B596">
        <v>25</v>
      </c>
      <c r="C596" t="s">
        <v>594</v>
      </c>
      <c r="D596" s="13" t="s">
        <v>913</v>
      </c>
      <c r="E596" s="21">
        <v>323</v>
      </c>
      <c r="F596" s="1">
        <v>4.11596195426183</v>
      </c>
      <c r="G596">
        <v>-8.7543370614226804E-2</v>
      </c>
      <c r="H596">
        <v>-0.21348485960684799</v>
      </c>
      <c r="I596">
        <v>-0.44260464343087502</v>
      </c>
      <c r="J596">
        <v>7.0218769148826798E-3</v>
      </c>
      <c r="K596">
        <v>-1.5955522498551E-3</v>
      </c>
    </row>
    <row r="597" spans="1:11" x14ac:dyDescent="0.2">
      <c r="A597">
        <v>596</v>
      </c>
      <c r="B597">
        <v>32</v>
      </c>
      <c r="C597" t="s">
        <v>595</v>
      </c>
      <c r="D597" s="13" t="s">
        <v>913</v>
      </c>
      <c r="E597" s="21">
        <v>199</v>
      </c>
      <c r="F597" s="1">
        <v>2.8343282887975199</v>
      </c>
      <c r="G597">
        <v>-5.3206196110878297E-2</v>
      </c>
      <c r="H597">
        <v>-0.14857870425057401</v>
      </c>
      <c r="I597">
        <v>-0.35438694697516399</v>
      </c>
      <c r="J597">
        <v>6.6704512822834299E-4</v>
      </c>
      <c r="K597">
        <v>3.6101024501341999E-3</v>
      </c>
    </row>
    <row r="598" spans="1:11" x14ac:dyDescent="0.2">
      <c r="A598">
        <v>597</v>
      </c>
      <c r="B598">
        <v>38</v>
      </c>
      <c r="C598" t="s">
        <v>596</v>
      </c>
      <c r="D598" s="13" t="s">
        <v>913</v>
      </c>
      <c r="E598" s="21">
        <v>315</v>
      </c>
      <c r="F598" s="1">
        <v>-0.79092289566359697</v>
      </c>
      <c r="G598">
        <v>1.4528885455531201E-3</v>
      </c>
      <c r="H598">
        <v>0.179111629809455</v>
      </c>
      <c r="I598">
        <v>0.11709656120827699</v>
      </c>
      <c r="J598">
        <v>-2.0534329913254701E-2</v>
      </c>
      <c r="K598">
        <v>-2.65980456587218E-2</v>
      </c>
    </row>
    <row r="599" spans="1:11" x14ac:dyDescent="0.2">
      <c r="A599">
        <v>598</v>
      </c>
      <c r="B599">
        <v>25</v>
      </c>
      <c r="C599" t="s">
        <v>597</v>
      </c>
      <c r="D599" s="13" t="s">
        <v>913</v>
      </c>
      <c r="E599" s="21">
        <v>208</v>
      </c>
      <c r="F599" s="1">
        <v>0.953866007143789</v>
      </c>
      <c r="G599">
        <v>-2.07475785375782E-2</v>
      </c>
      <c r="H599">
        <v>-3.9139829826913197E-3</v>
      </c>
      <c r="I599">
        <v>-1.86018156040073E-2</v>
      </c>
      <c r="J599">
        <v>8.6916571364496695E-3</v>
      </c>
      <c r="K599">
        <v>-4.9448195497648402E-4</v>
      </c>
    </row>
    <row r="600" spans="1:11" x14ac:dyDescent="0.2">
      <c r="A600">
        <v>599</v>
      </c>
      <c r="B600">
        <v>33</v>
      </c>
      <c r="C600" t="s">
        <v>598</v>
      </c>
      <c r="D600" s="13" t="s">
        <v>913</v>
      </c>
      <c r="E600" s="21">
        <v>304</v>
      </c>
      <c r="F600" s="1">
        <v>8.9311385798117904</v>
      </c>
      <c r="G600">
        <v>-0.1803568108369</v>
      </c>
      <c r="H600">
        <v>-0.431989824022526</v>
      </c>
      <c r="I600">
        <v>-1.1160138261666801</v>
      </c>
      <c r="J600">
        <v>-1.14367868528153E-2</v>
      </c>
      <c r="K600">
        <v>-3.3124144092887199E-2</v>
      </c>
    </row>
    <row r="601" spans="1:11" x14ac:dyDescent="0.2">
      <c r="A601">
        <v>600</v>
      </c>
      <c r="B601">
        <v>36</v>
      </c>
      <c r="C601" t="s">
        <v>599</v>
      </c>
      <c r="D601" s="13" t="s">
        <v>913</v>
      </c>
      <c r="E601" s="21">
        <v>192</v>
      </c>
      <c r="F601" s="1">
        <v>6.0777076736721698</v>
      </c>
      <c r="G601">
        <v>-0.107422181649461</v>
      </c>
      <c r="H601">
        <v>-0.30349197472932199</v>
      </c>
      <c r="I601">
        <v>-0.74283451524925703</v>
      </c>
      <c r="J601">
        <v>5.9415144543350999E-2</v>
      </c>
      <c r="K601">
        <v>0.182482467805828</v>
      </c>
    </row>
    <row r="602" spans="1:11" x14ac:dyDescent="0.2">
      <c r="A602">
        <v>601</v>
      </c>
      <c r="B602">
        <v>38</v>
      </c>
      <c r="C602" t="s">
        <v>600</v>
      </c>
      <c r="D602" s="13" t="s">
        <v>913</v>
      </c>
      <c r="E602" s="21">
        <v>315</v>
      </c>
      <c r="F602" s="1">
        <v>0.57429740590005396</v>
      </c>
      <c r="G602">
        <v>-6.0995088214117E-3</v>
      </c>
      <c r="H602">
        <v>5.9674074629107697E-2</v>
      </c>
      <c r="I602">
        <v>-0.27709031861747102</v>
      </c>
      <c r="J602">
        <v>-5.1634560230129E-3</v>
      </c>
      <c r="K602">
        <v>-8.3591526023801006E-3</v>
      </c>
    </row>
    <row r="603" spans="1:11" x14ac:dyDescent="0.2">
      <c r="A603">
        <v>602</v>
      </c>
      <c r="B603">
        <v>49</v>
      </c>
      <c r="C603" t="s">
        <v>601</v>
      </c>
      <c r="D603" s="13" t="s">
        <v>912</v>
      </c>
      <c r="E603" s="21">
        <v>175</v>
      </c>
      <c r="F603" s="1">
        <v>0.12710054910802099</v>
      </c>
      <c r="G603">
        <v>-1.2158680595589199E-2</v>
      </c>
      <c r="H603">
        <v>-8.0370021904956498E-2</v>
      </c>
      <c r="I603">
        <v>-0.33025842946228401</v>
      </c>
      <c r="J603">
        <v>3.0928395662833799E-2</v>
      </c>
      <c r="K603">
        <v>6.2911948922088901E-2</v>
      </c>
    </row>
    <row r="604" spans="1:11" x14ac:dyDescent="0.2">
      <c r="A604">
        <v>603</v>
      </c>
      <c r="B604">
        <v>34</v>
      </c>
      <c r="C604" t="s">
        <v>602</v>
      </c>
      <c r="D604" s="13" t="s">
        <v>913</v>
      </c>
      <c r="E604" s="21">
        <v>304</v>
      </c>
      <c r="F604" s="1">
        <v>6.4192772143555201</v>
      </c>
      <c r="G604">
        <v>-0.12553178284048899</v>
      </c>
      <c r="H604">
        <v>-0.15037013470016</v>
      </c>
      <c r="I604">
        <v>-0.73785777402664199</v>
      </c>
      <c r="J604">
        <v>-2.9516166568882901E-3</v>
      </c>
      <c r="K604">
        <v>-2.61241125109348E-3</v>
      </c>
    </row>
    <row r="605" spans="1:11" x14ac:dyDescent="0.2">
      <c r="A605">
        <v>604</v>
      </c>
      <c r="B605">
        <v>34</v>
      </c>
      <c r="C605" t="s">
        <v>603</v>
      </c>
      <c r="D605" s="13" t="s">
        <v>913</v>
      </c>
      <c r="E605" s="21">
        <v>304</v>
      </c>
      <c r="F605" s="1">
        <v>3.3255745227436799</v>
      </c>
      <c r="G605">
        <v>4.5341132399098301E-3</v>
      </c>
      <c r="H605">
        <v>-7.3945273713863793E-2</v>
      </c>
      <c r="I605">
        <v>-0.107223924618619</v>
      </c>
      <c r="J605">
        <v>-0.12544118219598999</v>
      </c>
      <c r="K605">
        <v>-0.27472449842457503</v>
      </c>
    </row>
    <row r="606" spans="1:11" x14ac:dyDescent="0.2">
      <c r="A606">
        <v>605</v>
      </c>
      <c r="B606">
        <v>40</v>
      </c>
      <c r="C606" t="s">
        <v>604</v>
      </c>
      <c r="D606" s="13" t="s">
        <v>913</v>
      </c>
      <c r="E606" s="21">
        <v>317</v>
      </c>
      <c r="F606" s="1">
        <v>5.34791934192328</v>
      </c>
      <c r="G606">
        <v>-4.90155484422772E-2</v>
      </c>
      <c r="H606">
        <v>-0.23888636769202701</v>
      </c>
      <c r="I606">
        <v>-0.475045629873938</v>
      </c>
      <c r="J606">
        <v>-2.1978808800301201E-3</v>
      </c>
      <c r="K606">
        <v>-1.57970170607298E-2</v>
      </c>
    </row>
    <row r="607" spans="1:11" x14ac:dyDescent="0.2">
      <c r="A607">
        <v>606</v>
      </c>
      <c r="B607">
        <v>21</v>
      </c>
      <c r="C607" t="s">
        <v>605</v>
      </c>
      <c r="D607" s="13" t="s">
        <v>913</v>
      </c>
      <c r="E607" s="21">
        <v>333</v>
      </c>
      <c r="F607" s="1">
        <v>3.2712946219757399</v>
      </c>
      <c r="G607">
        <v>-4.5293912537466501E-2</v>
      </c>
      <c r="H607">
        <v>-7.1508356807717E-2</v>
      </c>
      <c r="I607">
        <v>-0.17594619109174101</v>
      </c>
      <c r="J607">
        <v>4.4716650967350302E-3</v>
      </c>
      <c r="K607">
        <v>2.71823361516145E-2</v>
      </c>
    </row>
    <row r="608" spans="1:11" x14ac:dyDescent="0.2">
      <c r="A608">
        <v>607</v>
      </c>
      <c r="B608">
        <v>34</v>
      </c>
      <c r="C608" t="s">
        <v>606</v>
      </c>
      <c r="D608" s="13" t="s">
        <v>913</v>
      </c>
      <c r="E608" s="21">
        <v>304</v>
      </c>
      <c r="F608" s="1">
        <v>1.9324070449978099</v>
      </c>
      <c r="G608">
        <v>-3.9533332472323102E-2</v>
      </c>
      <c r="H608">
        <v>-4.3392887267046598E-2</v>
      </c>
      <c r="I608">
        <v>-0.12155930661231901</v>
      </c>
      <c r="J608">
        <v>-2.6204148249181301E-2</v>
      </c>
      <c r="K608">
        <v>-9.0103684231468098E-2</v>
      </c>
    </row>
    <row r="609" spans="1:11" x14ac:dyDescent="0.2">
      <c r="A609">
        <v>608</v>
      </c>
      <c r="B609">
        <v>36</v>
      </c>
      <c r="C609" t="s">
        <v>607</v>
      </c>
      <c r="D609" s="13" t="s">
        <v>913</v>
      </c>
      <c r="E609" s="21">
        <v>307</v>
      </c>
      <c r="F609" s="1">
        <v>4.0881081368638696</v>
      </c>
      <c r="G609">
        <v>-7.9152809180947706E-2</v>
      </c>
      <c r="H609">
        <v>-5.6843951597163003E-2</v>
      </c>
      <c r="I609">
        <v>-0.42800380420898798</v>
      </c>
      <c r="J609">
        <v>-8.5787173498701894E-2</v>
      </c>
      <c r="K609">
        <v>-0.22139975011662</v>
      </c>
    </row>
    <row r="610" spans="1:11" x14ac:dyDescent="0.2">
      <c r="A610">
        <v>609</v>
      </c>
      <c r="B610">
        <v>37</v>
      </c>
      <c r="C610" t="s">
        <v>608</v>
      </c>
      <c r="D610" s="13" t="s">
        <v>913</v>
      </c>
      <c r="E610" s="21">
        <v>315</v>
      </c>
      <c r="F610" s="1">
        <v>5.0814887064335901</v>
      </c>
      <c r="G610">
        <v>-8.2588038176932999E-2</v>
      </c>
      <c r="H610">
        <v>-0.15209997370967901</v>
      </c>
      <c r="I610">
        <v>-0.485104950059422</v>
      </c>
      <c r="J610">
        <v>-6.7557023787150602E-2</v>
      </c>
      <c r="K610">
        <v>-0.18084186008761699</v>
      </c>
    </row>
    <row r="611" spans="1:11" x14ac:dyDescent="0.2">
      <c r="A611">
        <v>610</v>
      </c>
      <c r="B611">
        <v>32</v>
      </c>
      <c r="C611" t="s">
        <v>609</v>
      </c>
      <c r="D611" s="13" t="s">
        <v>913</v>
      </c>
      <c r="E611" s="21">
        <v>314</v>
      </c>
      <c r="F611" s="1">
        <v>1.37449527026604</v>
      </c>
      <c r="G611">
        <v>-3.3177439717210301E-2</v>
      </c>
      <c r="H611">
        <v>-3.0984432599144501E-2</v>
      </c>
      <c r="I611">
        <v>-0.14821118349585999</v>
      </c>
      <c r="J611">
        <v>3.9153717346844903E-3</v>
      </c>
      <c r="K611">
        <v>7.1062955473640103E-3</v>
      </c>
    </row>
    <row r="612" spans="1:11" x14ac:dyDescent="0.2">
      <c r="A612">
        <v>611</v>
      </c>
      <c r="B612">
        <v>21</v>
      </c>
      <c r="C612" t="s">
        <v>610</v>
      </c>
      <c r="D612" s="13" t="s">
        <v>913</v>
      </c>
      <c r="E612" s="21">
        <v>333</v>
      </c>
      <c r="F612" s="1">
        <v>1.8598357742207099</v>
      </c>
      <c r="G612">
        <v>-4.7352305044914597E-2</v>
      </c>
      <c r="H612">
        <v>-7.5698703088875496E-2</v>
      </c>
      <c r="I612">
        <v>-0.22496269794938301</v>
      </c>
      <c r="J612">
        <v>-1.16751901192504E-2</v>
      </c>
      <c r="K612">
        <v>1.76977547296814E-3</v>
      </c>
    </row>
    <row r="613" spans="1:11" x14ac:dyDescent="0.2">
      <c r="A613">
        <v>612</v>
      </c>
      <c r="B613">
        <v>29</v>
      </c>
      <c r="C613" t="s">
        <v>611</v>
      </c>
      <c r="D613" s="13" t="s">
        <v>913</v>
      </c>
      <c r="E613" s="21">
        <v>317</v>
      </c>
      <c r="F613" s="1">
        <v>-3.6812137118810702</v>
      </c>
      <c r="G613">
        <v>5.4546209932693802E-2</v>
      </c>
      <c r="H613">
        <v>0.100611424779068</v>
      </c>
      <c r="I613">
        <v>0.44250457408211202</v>
      </c>
      <c r="J613">
        <v>1.1102002722857199E-2</v>
      </c>
      <c r="K613">
        <v>2.6282416930708902E-2</v>
      </c>
    </row>
    <row r="614" spans="1:11" x14ac:dyDescent="0.2">
      <c r="A614">
        <v>613</v>
      </c>
      <c r="B614">
        <v>27</v>
      </c>
      <c r="C614" t="s">
        <v>612</v>
      </c>
      <c r="D614" s="13" t="s">
        <v>913</v>
      </c>
      <c r="E614" s="21">
        <v>323</v>
      </c>
      <c r="F614" s="1">
        <v>2.3555378521047201</v>
      </c>
      <c r="G614">
        <v>-1.9701130672334002E-2</v>
      </c>
      <c r="H614">
        <v>1.95066430606162E-2</v>
      </c>
      <c r="I614">
        <v>-0.228322651120451</v>
      </c>
      <c r="J614">
        <v>-2.0274482246675302E-2</v>
      </c>
      <c r="K614">
        <v>-5.4860084567187703E-2</v>
      </c>
    </row>
    <row r="615" spans="1:11" x14ac:dyDescent="0.2">
      <c r="A615">
        <v>614</v>
      </c>
      <c r="B615">
        <v>23</v>
      </c>
      <c r="C615" t="s">
        <v>613</v>
      </c>
      <c r="D615" s="13" t="s">
        <v>913</v>
      </c>
      <c r="E615" s="21">
        <v>304</v>
      </c>
      <c r="F615" s="1">
        <v>4.6792735871337801</v>
      </c>
      <c r="G615">
        <v>-0.100737156996069</v>
      </c>
      <c r="H615">
        <v>-0.259907898816017</v>
      </c>
      <c r="I615">
        <v>-0.60249994950121499</v>
      </c>
      <c r="J615">
        <v>-1.3792197705204101E-2</v>
      </c>
      <c r="K615">
        <v>-3.5548786972564902E-2</v>
      </c>
    </row>
    <row r="616" spans="1:11" x14ac:dyDescent="0.2">
      <c r="A616">
        <v>615</v>
      </c>
      <c r="B616">
        <v>35</v>
      </c>
      <c r="C616" t="s">
        <v>614</v>
      </c>
      <c r="D616" s="13" t="s">
        <v>913</v>
      </c>
      <c r="E616" s="21">
        <v>304</v>
      </c>
      <c r="F616" s="1">
        <v>3.2840894155397402</v>
      </c>
      <c r="G616">
        <v>-4.8359332557610699E-2</v>
      </c>
      <c r="H616">
        <v>-7.5683269137755194E-2</v>
      </c>
      <c r="I616">
        <v>-0.189790928085001</v>
      </c>
      <c r="J616">
        <v>-3.7973361382350503E-2</v>
      </c>
      <c r="K616">
        <v>-0.105076589702844</v>
      </c>
    </row>
    <row r="617" spans="1:11" x14ac:dyDescent="0.2">
      <c r="A617">
        <v>616</v>
      </c>
      <c r="B617">
        <v>40</v>
      </c>
      <c r="C617" t="s">
        <v>615</v>
      </c>
      <c r="D617" s="13" t="s">
        <v>913</v>
      </c>
      <c r="E617" s="21">
        <v>317</v>
      </c>
      <c r="F617" s="1">
        <v>1.4317793965690699</v>
      </c>
      <c r="G617">
        <v>-6.3087881006972199E-4</v>
      </c>
      <c r="H617">
        <v>9.1259177547348705E-2</v>
      </c>
      <c r="I617">
        <v>0.35001887704948997</v>
      </c>
      <c r="J617">
        <v>-4.6947411412648901E-3</v>
      </c>
      <c r="K617">
        <v>-3.00929117250027E-2</v>
      </c>
    </row>
    <row r="618" spans="1:11" x14ac:dyDescent="0.2">
      <c r="A618">
        <v>617</v>
      </c>
      <c r="B618">
        <v>21</v>
      </c>
      <c r="C618" t="s">
        <v>616</v>
      </c>
      <c r="D618" s="13" t="s">
        <v>913</v>
      </c>
      <c r="E618" s="21">
        <v>218</v>
      </c>
      <c r="F618" s="1">
        <v>1.4547823522238501</v>
      </c>
      <c r="G618">
        <v>-3.3298671580991701E-2</v>
      </c>
      <c r="H618">
        <v>-0.107069617584182</v>
      </c>
      <c r="I618">
        <v>-0.20990683091385801</v>
      </c>
      <c r="J618">
        <v>1.3385283060911E-2</v>
      </c>
      <c r="K618">
        <v>3.9529297875399202E-2</v>
      </c>
    </row>
    <row r="619" spans="1:11" x14ac:dyDescent="0.2">
      <c r="A619">
        <v>618</v>
      </c>
      <c r="B619">
        <v>42</v>
      </c>
      <c r="C619" t="s">
        <v>617</v>
      </c>
      <c r="D619" s="13" t="s">
        <v>912</v>
      </c>
      <c r="E619" s="21">
        <v>185</v>
      </c>
      <c r="F619" s="1">
        <v>0.80915765913900095</v>
      </c>
      <c r="G619">
        <v>3.5504718191677997E-2</v>
      </c>
      <c r="H619">
        <v>0.109836784466607</v>
      </c>
      <c r="I619">
        <v>5.8105413187319203E-2</v>
      </c>
      <c r="J619">
        <v>-3.0347310076150699E-2</v>
      </c>
      <c r="K619">
        <v>-6.6193746394132696E-2</v>
      </c>
    </row>
    <row r="620" spans="1:11" x14ac:dyDescent="0.2">
      <c r="A620">
        <v>619</v>
      </c>
      <c r="B620">
        <v>33</v>
      </c>
      <c r="C620" t="s">
        <v>618</v>
      </c>
      <c r="D620" s="13" t="s">
        <v>913</v>
      </c>
      <c r="E620" s="21">
        <v>189</v>
      </c>
      <c r="F620" s="1">
        <v>-0.52076523075827996</v>
      </c>
      <c r="G620">
        <v>1.48040130161465E-2</v>
      </c>
      <c r="H620">
        <v>2.54367288948452E-2</v>
      </c>
      <c r="I620">
        <v>0.200303268076689</v>
      </c>
      <c r="J620">
        <v>6.9423940510633898E-3</v>
      </c>
      <c r="K620">
        <v>6.4818982212800898E-4</v>
      </c>
    </row>
    <row r="621" spans="1:11" x14ac:dyDescent="0.2">
      <c r="A621">
        <v>620</v>
      </c>
      <c r="B621">
        <v>38</v>
      </c>
      <c r="C621" t="s">
        <v>619</v>
      </c>
      <c r="D621" s="13" t="s">
        <v>913</v>
      </c>
      <c r="E621" s="21">
        <v>200</v>
      </c>
      <c r="F621" s="1">
        <v>2.8682251964484702</v>
      </c>
      <c r="G621">
        <v>-2.61536907554984E-2</v>
      </c>
      <c r="H621">
        <v>-0.176085368648742</v>
      </c>
      <c r="I621">
        <v>-0.27502158730617099</v>
      </c>
      <c r="J621">
        <v>5.3595419386625598E-2</v>
      </c>
      <c r="K621">
        <v>0.15566295278161599</v>
      </c>
    </row>
    <row r="622" spans="1:11" x14ac:dyDescent="0.2">
      <c r="A622">
        <v>621</v>
      </c>
      <c r="B622">
        <v>25</v>
      </c>
      <c r="C622" t="s">
        <v>620</v>
      </c>
      <c r="D622" s="13" t="s">
        <v>913</v>
      </c>
      <c r="E622" s="21">
        <v>208</v>
      </c>
      <c r="F622" s="1">
        <v>3.9917592289895198</v>
      </c>
      <c r="G622">
        <v>-4.20753162169029E-2</v>
      </c>
      <c r="H622">
        <v>3.8380328809043997E-2</v>
      </c>
      <c r="I622">
        <v>0.12492015578754399</v>
      </c>
      <c r="J622">
        <v>2.3933150372691999E-2</v>
      </c>
      <c r="K622">
        <v>6.3927851486140802E-2</v>
      </c>
    </row>
    <row r="623" spans="1:11" x14ac:dyDescent="0.2">
      <c r="A623">
        <v>622</v>
      </c>
      <c r="B623">
        <v>40</v>
      </c>
      <c r="C623" t="s">
        <v>621</v>
      </c>
      <c r="D623" s="13" t="s">
        <v>913</v>
      </c>
      <c r="E623" s="21">
        <v>202</v>
      </c>
      <c r="F623" s="1">
        <v>-1.1252083427674999</v>
      </c>
      <c r="G623">
        <v>5.3912207951383904E-3</v>
      </c>
      <c r="H623">
        <v>0.165579939025985</v>
      </c>
      <c r="I623">
        <v>0.478440324578148</v>
      </c>
      <c r="J623">
        <v>9.7029620003825905E-3</v>
      </c>
      <c r="K623">
        <v>-9.13682224831237E-3</v>
      </c>
    </row>
    <row r="624" spans="1:11" x14ac:dyDescent="0.2">
      <c r="A624">
        <v>623</v>
      </c>
      <c r="B624">
        <v>23</v>
      </c>
      <c r="C624" t="s">
        <v>622</v>
      </c>
      <c r="D624" s="13" t="s">
        <v>913</v>
      </c>
      <c r="E624" s="21">
        <v>189</v>
      </c>
      <c r="F624" s="1">
        <v>3.0655183822296301</v>
      </c>
      <c r="G624">
        <v>-5.6429467366384399E-2</v>
      </c>
      <c r="H624">
        <v>-7.1493111345799498E-2</v>
      </c>
      <c r="I624">
        <v>-0.20481417703211499</v>
      </c>
      <c r="J624">
        <v>3.3463493760081502E-2</v>
      </c>
      <c r="K624">
        <v>8.8151462692770105E-2</v>
      </c>
    </row>
    <row r="625" spans="1:11" x14ac:dyDescent="0.2">
      <c r="A625">
        <v>624</v>
      </c>
      <c r="B625">
        <v>27</v>
      </c>
      <c r="C625" t="s">
        <v>623</v>
      </c>
      <c r="D625" s="13" t="s">
        <v>913</v>
      </c>
      <c r="E625" s="21">
        <v>208</v>
      </c>
      <c r="F625" s="1">
        <v>1.53179503584347</v>
      </c>
      <c r="G625">
        <v>-1.87807158362422E-2</v>
      </c>
      <c r="H625">
        <v>-4.5836701040648901E-2</v>
      </c>
      <c r="I625">
        <v>-0.127587772003453</v>
      </c>
      <c r="J625">
        <v>1.04076579807168E-2</v>
      </c>
      <c r="K625">
        <v>4.0425173861865803E-2</v>
      </c>
    </row>
    <row r="626" spans="1:11" x14ac:dyDescent="0.2">
      <c r="A626">
        <v>625</v>
      </c>
      <c r="B626">
        <v>30</v>
      </c>
      <c r="C626" t="s">
        <v>624</v>
      </c>
      <c r="D626" s="13" t="s">
        <v>913</v>
      </c>
      <c r="E626" s="21">
        <v>202</v>
      </c>
      <c r="F626" s="1">
        <v>1.0370870191408299</v>
      </c>
      <c r="G626">
        <v>-1.3800706666881201E-2</v>
      </c>
      <c r="H626">
        <v>6.0692664359630697E-3</v>
      </c>
      <c r="I626">
        <v>5.9113457010617203E-2</v>
      </c>
      <c r="J626">
        <v>8.0730664579985907E-3</v>
      </c>
      <c r="K626">
        <v>1.6529533104544698E-2</v>
      </c>
    </row>
    <row r="627" spans="1:11" x14ac:dyDescent="0.2">
      <c r="A627">
        <v>626</v>
      </c>
      <c r="B627">
        <v>27</v>
      </c>
      <c r="C627" t="s">
        <v>625</v>
      </c>
      <c r="D627" s="13" t="s">
        <v>913</v>
      </c>
      <c r="E627" s="21">
        <v>208</v>
      </c>
      <c r="F627" s="1">
        <v>4.0647574000649298</v>
      </c>
      <c r="G627">
        <v>-1.19091307079733E-2</v>
      </c>
      <c r="H627">
        <v>-7.5726055293440196E-3</v>
      </c>
      <c r="I627">
        <v>6.1137757987598601E-2</v>
      </c>
      <c r="J627">
        <v>3.04063445080314E-2</v>
      </c>
      <c r="K627">
        <v>8.0182022478128501E-2</v>
      </c>
    </row>
    <row r="628" spans="1:11" x14ac:dyDescent="0.2">
      <c r="A628">
        <v>627</v>
      </c>
      <c r="B628">
        <v>32</v>
      </c>
      <c r="C628" t="s">
        <v>626</v>
      </c>
      <c r="D628" s="13" t="s">
        <v>913</v>
      </c>
      <c r="E628" s="21">
        <v>199</v>
      </c>
      <c r="F628" s="1">
        <v>-1.42717277608208</v>
      </c>
      <c r="G628">
        <v>2.7906260555326301E-2</v>
      </c>
      <c r="H628">
        <v>-6.9847107823125504E-2</v>
      </c>
      <c r="I628">
        <v>-5.7979037105096699E-2</v>
      </c>
      <c r="J628">
        <v>2.92083752527501E-2</v>
      </c>
      <c r="K628">
        <v>6.6389369030394593E-2</v>
      </c>
    </row>
    <row r="629" spans="1:11" x14ac:dyDescent="0.2">
      <c r="A629">
        <v>628</v>
      </c>
      <c r="B629">
        <v>40</v>
      </c>
      <c r="C629" t="s">
        <v>627</v>
      </c>
      <c r="D629" s="13" t="s">
        <v>913</v>
      </c>
      <c r="E629" s="21">
        <v>202</v>
      </c>
      <c r="F629" s="1">
        <v>-0.97887692045181396</v>
      </c>
      <c r="G629">
        <v>1.8915467749253598E-2</v>
      </c>
      <c r="H629">
        <v>0.19149568679937501</v>
      </c>
      <c r="I629">
        <v>0.57557927121621599</v>
      </c>
      <c r="J629">
        <v>8.4272472173723707E-3</v>
      </c>
      <c r="K629">
        <v>-2.0423392848203201E-2</v>
      </c>
    </row>
    <row r="630" spans="1:11" x14ac:dyDescent="0.2">
      <c r="A630">
        <v>629</v>
      </c>
      <c r="B630">
        <v>27</v>
      </c>
      <c r="C630" t="s">
        <v>628</v>
      </c>
      <c r="D630" s="13" t="s">
        <v>913</v>
      </c>
      <c r="E630" s="21">
        <v>208</v>
      </c>
      <c r="F630" s="1">
        <v>5.3320016061782702</v>
      </c>
      <c r="G630">
        <v>-3.0927800196765599E-2</v>
      </c>
      <c r="H630">
        <v>-5.8232312570988501E-2</v>
      </c>
      <c r="I630">
        <v>-0.13934658917023199</v>
      </c>
      <c r="J630">
        <v>3.3466157974226501E-2</v>
      </c>
      <c r="K630">
        <v>9.4798453870296201E-2</v>
      </c>
    </row>
    <row r="631" spans="1:11" x14ac:dyDescent="0.2">
      <c r="A631">
        <v>630</v>
      </c>
      <c r="B631">
        <v>36</v>
      </c>
      <c r="C631" t="s">
        <v>629</v>
      </c>
      <c r="D631" s="13" t="s">
        <v>913</v>
      </c>
      <c r="E631" s="21">
        <v>192</v>
      </c>
      <c r="F631" s="1">
        <v>2.10741230187628</v>
      </c>
      <c r="G631">
        <v>1.5873268534867099E-3</v>
      </c>
      <c r="H631">
        <v>-9.2817331161065206E-2</v>
      </c>
      <c r="I631">
        <v>-0.13306308413663101</v>
      </c>
      <c r="J631">
        <v>4.1758580688510197E-2</v>
      </c>
      <c r="K631">
        <v>0.13293511111605599</v>
      </c>
    </row>
    <row r="632" spans="1:11" x14ac:dyDescent="0.2">
      <c r="A632">
        <v>631</v>
      </c>
      <c r="B632">
        <v>28</v>
      </c>
      <c r="C632" t="s">
        <v>630</v>
      </c>
      <c r="D632" s="13" t="s">
        <v>913</v>
      </c>
      <c r="E632" s="21">
        <v>242</v>
      </c>
      <c r="F632" s="1">
        <v>2.9487085564432101</v>
      </c>
      <c r="G632">
        <v>-1.3218044035411E-2</v>
      </c>
      <c r="H632">
        <v>-2.2534439127164699E-2</v>
      </c>
      <c r="I632">
        <v>-3.6551341395659701E-2</v>
      </c>
      <c r="J632">
        <v>1.71342214989289E-2</v>
      </c>
      <c r="K632">
        <v>8.3548801053041105E-2</v>
      </c>
    </row>
    <row r="633" spans="1:11" x14ac:dyDescent="0.2">
      <c r="A633">
        <v>632</v>
      </c>
      <c r="B633">
        <v>29</v>
      </c>
      <c r="C633" t="s">
        <v>631</v>
      </c>
      <c r="D633" s="13" t="s">
        <v>913</v>
      </c>
      <c r="E633" s="21">
        <v>202</v>
      </c>
      <c r="F633" s="1">
        <v>-5.4907373581129999</v>
      </c>
      <c r="G633">
        <v>6.6332450825539596E-2</v>
      </c>
      <c r="H633">
        <v>0.12845633563338499</v>
      </c>
      <c r="I633">
        <v>0.41493884975329498</v>
      </c>
      <c r="J633">
        <v>9.2092585790462204E-3</v>
      </c>
      <c r="K633">
        <v>-8.5325643629246498E-4</v>
      </c>
    </row>
    <row r="634" spans="1:11" x14ac:dyDescent="0.2">
      <c r="A634">
        <v>633</v>
      </c>
      <c r="B634">
        <v>23</v>
      </c>
      <c r="C634" t="s">
        <v>632</v>
      </c>
      <c r="D634" s="13" t="s">
        <v>913</v>
      </c>
      <c r="E634" s="21">
        <v>189</v>
      </c>
      <c r="F634" s="1">
        <v>3.7428032902188799</v>
      </c>
      <c r="G634">
        <v>-6.8241419504278103E-2</v>
      </c>
      <c r="H634">
        <v>-5.4374516057735703E-2</v>
      </c>
      <c r="I634">
        <v>-0.17364761647142399</v>
      </c>
      <c r="J634">
        <v>1.29548645550197E-2</v>
      </c>
      <c r="K634">
        <v>2.3115648420065499E-2</v>
      </c>
    </row>
    <row r="635" spans="1:11" x14ac:dyDescent="0.2">
      <c r="A635">
        <v>634</v>
      </c>
      <c r="B635">
        <v>26</v>
      </c>
      <c r="C635" t="s">
        <v>633</v>
      </c>
      <c r="D635" s="13" t="s">
        <v>913</v>
      </c>
      <c r="E635" s="21">
        <v>208</v>
      </c>
      <c r="F635" s="1">
        <v>4.7246109646440697</v>
      </c>
      <c r="G635">
        <v>-3.9219443933166398E-2</v>
      </c>
      <c r="H635">
        <v>-8.7349084462549201E-2</v>
      </c>
      <c r="I635">
        <v>-0.19444582309009301</v>
      </c>
      <c r="J635">
        <v>2.21297312635063E-2</v>
      </c>
      <c r="K635">
        <v>7.9856123166705401E-2</v>
      </c>
    </row>
    <row r="636" spans="1:11" x14ac:dyDescent="0.2">
      <c r="A636">
        <v>635</v>
      </c>
      <c r="B636">
        <v>50</v>
      </c>
      <c r="C636" t="s">
        <v>634</v>
      </c>
      <c r="D636" s="13" t="s">
        <v>912</v>
      </c>
      <c r="E636" s="21">
        <v>172</v>
      </c>
      <c r="F636" s="1">
        <v>-0.32596360447651102</v>
      </c>
      <c r="G636">
        <v>1.41063369499185E-2</v>
      </c>
      <c r="H636">
        <v>0.25324185515300901</v>
      </c>
      <c r="I636">
        <v>0.26730333565526798</v>
      </c>
      <c r="J636">
        <v>-2.8084287608368001E-2</v>
      </c>
      <c r="K636">
        <v>-4.5690229077452398E-2</v>
      </c>
    </row>
    <row r="637" spans="1:11" x14ac:dyDescent="0.2">
      <c r="A637">
        <v>636</v>
      </c>
      <c r="B637">
        <v>40</v>
      </c>
      <c r="C637" t="s">
        <v>635</v>
      </c>
      <c r="D637" s="13" t="s">
        <v>913</v>
      </c>
      <c r="E637" s="21">
        <v>202</v>
      </c>
      <c r="F637" s="1">
        <v>7.4666782322520595E-2</v>
      </c>
      <c r="G637">
        <v>6.9013767842072707E-2</v>
      </c>
      <c r="H637">
        <v>0.188982458240983</v>
      </c>
      <c r="I637">
        <v>0.62589341517477104</v>
      </c>
      <c r="J637">
        <v>-1.23988123888181E-2</v>
      </c>
      <c r="K637">
        <v>-5.5727799649344802E-2</v>
      </c>
    </row>
    <row r="638" spans="1:11" x14ac:dyDescent="0.2">
      <c r="A638">
        <v>637</v>
      </c>
      <c r="B638">
        <v>46</v>
      </c>
      <c r="C638" t="s">
        <v>636</v>
      </c>
      <c r="D638" s="13" t="s">
        <v>912</v>
      </c>
      <c r="E638" s="21">
        <v>160</v>
      </c>
      <c r="F638" s="1">
        <v>3.2037962769934998</v>
      </c>
      <c r="G638">
        <v>-3.6868666860857498E-2</v>
      </c>
      <c r="H638">
        <v>-6.3727141461797504E-2</v>
      </c>
      <c r="I638">
        <v>-0.17590249426128199</v>
      </c>
      <c r="J638">
        <v>-4.2110254109486503E-2</v>
      </c>
      <c r="K638">
        <v>-9.3765042481626107E-2</v>
      </c>
    </row>
    <row r="639" spans="1:11" x14ac:dyDescent="0.2">
      <c r="A639">
        <v>638</v>
      </c>
      <c r="B639">
        <v>22</v>
      </c>
      <c r="C639" t="s">
        <v>637</v>
      </c>
      <c r="D639" s="13" t="s">
        <v>913</v>
      </c>
      <c r="E639" s="21">
        <v>173</v>
      </c>
      <c r="F639" s="1">
        <v>1.7304312731867</v>
      </c>
      <c r="G639">
        <v>-1.3683614716418499E-2</v>
      </c>
      <c r="H639">
        <v>-4.90773650126606E-2</v>
      </c>
      <c r="I639">
        <v>1.3679365526161099E-3</v>
      </c>
      <c r="J639">
        <v>7.1723282085515802E-2</v>
      </c>
      <c r="K639">
        <v>0.20821040996477699</v>
      </c>
    </row>
    <row r="640" spans="1:11" x14ac:dyDescent="0.2">
      <c r="A640">
        <v>639</v>
      </c>
      <c r="B640">
        <v>34</v>
      </c>
      <c r="C640" t="s">
        <v>638</v>
      </c>
      <c r="D640" s="13" t="s">
        <v>913</v>
      </c>
      <c r="E640" s="21">
        <v>189</v>
      </c>
      <c r="F640" s="1">
        <v>1.34110684709838</v>
      </c>
      <c r="G640">
        <v>7.7674004068340697E-3</v>
      </c>
      <c r="H640">
        <v>0.114215448308358</v>
      </c>
      <c r="I640">
        <v>0.45394285840029402</v>
      </c>
      <c r="J640">
        <v>1.4203575513396899E-2</v>
      </c>
      <c r="K640">
        <v>-4.1636275080416399E-4</v>
      </c>
    </row>
    <row r="641" spans="1:11" x14ac:dyDescent="0.2">
      <c r="A641">
        <v>640</v>
      </c>
      <c r="B641">
        <v>40</v>
      </c>
      <c r="C641" t="s">
        <v>639</v>
      </c>
      <c r="D641" s="13" t="s">
        <v>913</v>
      </c>
      <c r="E641" s="21">
        <v>202</v>
      </c>
      <c r="F641" s="1">
        <v>-4.3970119822444396</v>
      </c>
      <c r="G641">
        <v>0.107869649300684</v>
      </c>
      <c r="H641">
        <v>0.23380174402388301</v>
      </c>
      <c r="I641">
        <v>0.73068142715969897</v>
      </c>
      <c r="J641">
        <v>-1.2887481387954299E-3</v>
      </c>
      <c r="K641">
        <v>-3.42868359513459E-2</v>
      </c>
    </row>
    <row r="642" spans="1:11" x14ac:dyDescent="0.2">
      <c r="A642">
        <v>641</v>
      </c>
      <c r="B642">
        <v>21</v>
      </c>
      <c r="C642" t="s">
        <v>640</v>
      </c>
      <c r="D642" s="13" t="s">
        <v>913</v>
      </c>
      <c r="E642" s="21">
        <v>333</v>
      </c>
      <c r="F642" s="1">
        <v>3.9808432481913698</v>
      </c>
      <c r="G642">
        <v>-6.00340421479773E-2</v>
      </c>
      <c r="H642">
        <v>-1.22890925444816E-2</v>
      </c>
      <c r="I642">
        <v>-0.464898607411111</v>
      </c>
      <c r="J642">
        <v>-2.83638304243326E-2</v>
      </c>
      <c r="K642">
        <v>-6.7365891980965195E-2</v>
      </c>
    </row>
    <row r="643" spans="1:11" x14ac:dyDescent="0.2">
      <c r="A643">
        <v>642</v>
      </c>
      <c r="B643">
        <v>29</v>
      </c>
      <c r="C643" t="s">
        <v>641</v>
      </c>
      <c r="D643" s="13" t="s">
        <v>913</v>
      </c>
      <c r="E643" s="21">
        <v>202</v>
      </c>
      <c r="F643" s="1">
        <v>0.336502742224768</v>
      </c>
      <c r="G643">
        <v>9.2536739140129196E-3</v>
      </c>
      <c r="H643">
        <v>4.2520559455967201E-3</v>
      </c>
      <c r="I643">
        <v>-2.37471818463021E-2</v>
      </c>
      <c r="J643">
        <v>2.56724054240979E-3</v>
      </c>
      <c r="K643">
        <v>3.4059651533093001E-3</v>
      </c>
    </row>
    <row r="644" spans="1:11" x14ac:dyDescent="0.2">
      <c r="A644">
        <v>643</v>
      </c>
      <c r="B644">
        <v>22</v>
      </c>
      <c r="C644" t="s">
        <v>642</v>
      </c>
      <c r="D644" s="13" t="s">
        <v>913</v>
      </c>
      <c r="E644" s="21">
        <v>173</v>
      </c>
      <c r="F644" s="1">
        <v>3.7367509435660802</v>
      </c>
      <c r="G644">
        <v>-3.1537180154479802E-2</v>
      </c>
      <c r="H644">
        <v>-5.8994437421706E-2</v>
      </c>
      <c r="I644">
        <v>-7.7344205308974304E-2</v>
      </c>
      <c r="J644">
        <v>2.3106708648624699E-2</v>
      </c>
      <c r="K644">
        <v>3.8492444547194297E-2</v>
      </c>
    </row>
    <row r="645" spans="1:11" x14ac:dyDescent="0.2">
      <c r="A645">
        <v>644</v>
      </c>
      <c r="B645">
        <v>26</v>
      </c>
      <c r="C645" t="s">
        <v>643</v>
      </c>
      <c r="D645" s="13" t="s">
        <v>913</v>
      </c>
      <c r="E645" s="21">
        <v>323</v>
      </c>
      <c r="F645" s="1">
        <v>6.2052655922406403</v>
      </c>
      <c r="G645">
        <v>-0.106544608332045</v>
      </c>
      <c r="H645">
        <v>-0.289482846570353</v>
      </c>
      <c r="I645">
        <v>-0.73149255061275997</v>
      </c>
      <c r="J645">
        <v>2.15433817068936E-2</v>
      </c>
      <c r="K645">
        <v>9.9398802477096801E-2</v>
      </c>
    </row>
    <row r="646" spans="1:11" x14ac:dyDescent="0.2">
      <c r="A646">
        <v>645</v>
      </c>
      <c r="B646">
        <v>52</v>
      </c>
      <c r="C646" t="s">
        <v>644</v>
      </c>
      <c r="D646" s="13" t="s">
        <v>912</v>
      </c>
      <c r="E646" s="21">
        <v>164</v>
      </c>
      <c r="F646" s="1">
        <v>1.1505907368475501</v>
      </c>
      <c r="G646">
        <v>-3.1016741277596401E-2</v>
      </c>
      <c r="H646">
        <v>-0.128617017634059</v>
      </c>
      <c r="I646">
        <v>-0.27850180848367301</v>
      </c>
      <c r="J646">
        <v>-1.9847631235407899E-2</v>
      </c>
      <c r="K646">
        <v>-3.5989364618027202E-2</v>
      </c>
    </row>
    <row r="647" spans="1:11" x14ac:dyDescent="0.2">
      <c r="A647">
        <v>646</v>
      </c>
      <c r="B647">
        <v>26</v>
      </c>
      <c r="C647" t="s">
        <v>645</v>
      </c>
      <c r="D647" s="13" t="s">
        <v>913</v>
      </c>
      <c r="E647" s="21">
        <v>323</v>
      </c>
      <c r="F647" s="1">
        <v>3.26730769790408</v>
      </c>
      <c r="G647">
        <v>-2.85146027484823E-2</v>
      </c>
      <c r="H647">
        <v>0.18255522782390901</v>
      </c>
      <c r="I647">
        <v>0.117448684516174</v>
      </c>
      <c r="J647">
        <v>-3.2809238406570802E-2</v>
      </c>
      <c r="K647">
        <v>-4.8978009909779699E-2</v>
      </c>
    </row>
    <row r="648" spans="1:11" x14ac:dyDescent="0.2">
      <c r="A648">
        <v>647</v>
      </c>
      <c r="B648">
        <v>31</v>
      </c>
      <c r="C648" t="s">
        <v>646</v>
      </c>
      <c r="D648" s="13" t="s">
        <v>913</v>
      </c>
      <c r="E648" s="21">
        <v>199</v>
      </c>
      <c r="F648" s="1">
        <v>2.7112705724356601</v>
      </c>
      <c r="G648">
        <v>1.8981733712770898E-2</v>
      </c>
      <c r="H648">
        <v>-2.09814542298115E-2</v>
      </c>
      <c r="I648">
        <v>7.4567701336949205E-2</v>
      </c>
      <c r="J648">
        <v>3.9643779273143996E-3</v>
      </c>
      <c r="K648">
        <v>9.0984405467395193E-3</v>
      </c>
    </row>
    <row r="649" spans="1:11" x14ac:dyDescent="0.2">
      <c r="A649">
        <v>648</v>
      </c>
      <c r="B649">
        <v>30</v>
      </c>
      <c r="C649" t="s">
        <v>647</v>
      </c>
      <c r="D649" s="13" t="s">
        <v>913</v>
      </c>
      <c r="E649" s="21">
        <v>317</v>
      </c>
      <c r="F649" s="1">
        <v>-7.9085418168125601E-2</v>
      </c>
      <c r="G649">
        <v>-2.91047639597199E-2</v>
      </c>
      <c r="H649">
        <v>-2.04636048956356E-2</v>
      </c>
      <c r="I649">
        <v>-9.5501668053184399E-2</v>
      </c>
      <c r="J649">
        <v>-8.8663172965686293E-3</v>
      </c>
      <c r="K649">
        <v>-4.2372658190986102E-2</v>
      </c>
    </row>
    <row r="650" spans="1:11" x14ac:dyDescent="0.2">
      <c r="A650">
        <v>649</v>
      </c>
      <c r="B650">
        <v>39</v>
      </c>
      <c r="C650" t="s">
        <v>648</v>
      </c>
      <c r="D650" s="13" t="s">
        <v>913</v>
      </c>
      <c r="E650" s="21">
        <v>321</v>
      </c>
      <c r="F650" s="1">
        <v>4.0239232972541403</v>
      </c>
      <c r="G650">
        <v>-5.1081139363837298E-2</v>
      </c>
      <c r="H650">
        <v>-9.1820377068655201E-2</v>
      </c>
      <c r="I650">
        <v>-0.243633983409212</v>
      </c>
      <c r="J650">
        <v>-9.92184604804706E-4</v>
      </c>
      <c r="K650">
        <v>5.0398602179951802E-4</v>
      </c>
    </row>
    <row r="651" spans="1:11" x14ac:dyDescent="0.2">
      <c r="A651">
        <v>650</v>
      </c>
      <c r="B651">
        <v>31</v>
      </c>
      <c r="C651" t="s">
        <v>649</v>
      </c>
      <c r="D651" s="13" t="s">
        <v>913</v>
      </c>
      <c r="E651" s="21">
        <v>314</v>
      </c>
      <c r="F651" s="1">
        <v>2.6225811329376301</v>
      </c>
      <c r="G651">
        <v>-4.8883776546875396E-3</v>
      </c>
      <c r="H651">
        <v>0.145850265560898</v>
      </c>
      <c r="I651">
        <v>0.34275403982063102</v>
      </c>
      <c r="J651">
        <v>-6.9434586479258601E-3</v>
      </c>
      <c r="K651">
        <v>-5.31732101565092E-2</v>
      </c>
    </row>
    <row r="652" spans="1:11" x14ac:dyDescent="0.2">
      <c r="A652">
        <v>651</v>
      </c>
      <c r="B652">
        <v>27</v>
      </c>
      <c r="C652" t="s">
        <v>650</v>
      </c>
      <c r="D652" s="13" t="s">
        <v>913</v>
      </c>
      <c r="E652" s="21">
        <v>323</v>
      </c>
      <c r="F652" s="1">
        <v>-2.24781566225032</v>
      </c>
      <c r="G652">
        <v>3.3293929427211301E-2</v>
      </c>
      <c r="H652">
        <v>0.20529197785512199</v>
      </c>
      <c r="I652">
        <v>0.65975024681176297</v>
      </c>
      <c r="J652">
        <v>8.6338371514845004E-3</v>
      </c>
      <c r="K652">
        <v>2.1698042593765999E-2</v>
      </c>
    </row>
    <row r="653" spans="1:11" x14ac:dyDescent="0.2">
      <c r="A653">
        <v>652</v>
      </c>
      <c r="B653">
        <v>23</v>
      </c>
      <c r="C653" t="s">
        <v>651</v>
      </c>
      <c r="D653" s="13" t="s">
        <v>913</v>
      </c>
      <c r="E653" s="21">
        <v>304</v>
      </c>
      <c r="F653" s="1">
        <v>1.07997586484136</v>
      </c>
      <c r="G653">
        <v>-5.9714761823861401E-2</v>
      </c>
      <c r="H653">
        <v>-0.124651837500525</v>
      </c>
      <c r="I653">
        <v>-0.35386823971745002</v>
      </c>
      <c r="J653">
        <v>-7.1181090690504304E-3</v>
      </c>
      <c r="K653">
        <v>-1.12709967524042E-2</v>
      </c>
    </row>
    <row r="654" spans="1:11" x14ac:dyDescent="0.2">
      <c r="A654">
        <v>653</v>
      </c>
      <c r="B654">
        <v>23</v>
      </c>
      <c r="C654" t="s">
        <v>652</v>
      </c>
      <c r="D654" s="13" t="s">
        <v>913</v>
      </c>
      <c r="E654" s="21">
        <v>304</v>
      </c>
      <c r="F654" s="1">
        <v>4.0549588146336397</v>
      </c>
      <c r="G654">
        <v>-8.5674036950321705E-2</v>
      </c>
      <c r="H654">
        <v>-0.17595260472003901</v>
      </c>
      <c r="I654">
        <v>-0.48715632734168801</v>
      </c>
      <c r="J654">
        <v>-4.4470669384896397E-2</v>
      </c>
      <c r="K654">
        <v>-8.5616396541510098E-2</v>
      </c>
    </row>
    <row r="655" spans="1:11" x14ac:dyDescent="0.2">
      <c r="A655">
        <v>654</v>
      </c>
      <c r="B655">
        <v>39</v>
      </c>
      <c r="C655" t="s">
        <v>653</v>
      </c>
      <c r="D655" s="13" t="s">
        <v>913</v>
      </c>
      <c r="E655" s="21">
        <v>321</v>
      </c>
      <c r="F655" s="1">
        <v>5.3567910527112996</v>
      </c>
      <c r="G655">
        <v>-6.8550193650394595E-2</v>
      </c>
      <c r="H655">
        <v>-0.15017964703011899</v>
      </c>
      <c r="I655">
        <v>-0.44318367027235001</v>
      </c>
      <c r="J655">
        <v>-3.5997333484283099E-2</v>
      </c>
      <c r="K655">
        <v>-8.7231841245212494E-2</v>
      </c>
    </row>
    <row r="656" spans="1:11" x14ac:dyDescent="0.2">
      <c r="A656">
        <v>655</v>
      </c>
      <c r="B656">
        <v>27</v>
      </c>
      <c r="C656" t="s">
        <v>654</v>
      </c>
      <c r="D656" s="13" t="s">
        <v>913</v>
      </c>
      <c r="E656" s="21">
        <v>323</v>
      </c>
      <c r="F656" s="1">
        <v>2.1327545218156598</v>
      </c>
      <c r="G656">
        <v>6.8113023561628596E-3</v>
      </c>
      <c r="H656">
        <v>-4.1604502787828401E-2</v>
      </c>
      <c r="I656">
        <v>-4.0221939243177303E-2</v>
      </c>
      <c r="J656">
        <v>-6.7101625913604898E-2</v>
      </c>
      <c r="K656">
        <v>-0.162611632533217</v>
      </c>
    </row>
    <row r="657" spans="1:11" x14ac:dyDescent="0.2">
      <c r="A657">
        <v>656</v>
      </c>
      <c r="B657">
        <v>26</v>
      </c>
      <c r="C657" t="s">
        <v>655</v>
      </c>
      <c r="D657" s="13" t="s">
        <v>913</v>
      </c>
      <c r="E657" s="21">
        <v>323</v>
      </c>
      <c r="F657" s="1">
        <v>0.78516203681102703</v>
      </c>
      <c r="G657">
        <v>7.7202440209718001E-3</v>
      </c>
      <c r="H657">
        <v>9.8000650464621294E-2</v>
      </c>
      <c r="I657">
        <v>-0.16352162423144101</v>
      </c>
      <c r="J657">
        <v>-1.42840126350069E-2</v>
      </c>
      <c r="K657">
        <v>-4.4240809591087997E-2</v>
      </c>
    </row>
    <row r="658" spans="1:11" x14ac:dyDescent="0.2">
      <c r="A658">
        <v>657</v>
      </c>
      <c r="B658">
        <v>36</v>
      </c>
      <c r="C658" t="s">
        <v>656</v>
      </c>
      <c r="D658" s="13" t="s">
        <v>913</v>
      </c>
      <c r="E658" s="21">
        <v>307</v>
      </c>
      <c r="F658" s="1">
        <v>0.37332882275467899</v>
      </c>
      <c r="G658">
        <v>-3.4225400926786699E-2</v>
      </c>
      <c r="H658">
        <v>-1.17806354579986E-2</v>
      </c>
      <c r="I658">
        <v>-3.7826103863826399E-2</v>
      </c>
      <c r="J658">
        <v>3.4644312612190697E-2</v>
      </c>
      <c r="K658">
        <v>9.2522447538539804E-2</v>
      </c>
    </row>
    <row r="659" spans="1:11" x14ac:dyDescent="0.2">
      <c r="A659">
        <v>658</v>
      </c>
      <c r="B659">
        <v>32</v>
      </c>
      <c r="C659" t="s">
        <v>657</v>
      </c>
      <c r="D659" s="13" t="s">
        <v>913</v>
      </c>
      <c r="E659" s="21">
        <v>314</v>
      </c>
      <c r="F659" s="1">
        <v>3.8694428386644901</v>
      </c>
      <c r="G659">
        <v>-3.7615808294056197E-2</v>
      </c>
      <c r="H659">
        <v>-9.0106161048763497E-2</v>
      </c>
      <c r="I659">
        <v>-0.175314800091421</v>
      </c>
      <c r="J659">
        <v>-3.7997725778711799E-2</v>
      </c>
      <c r="K659">
        <v>-6.2558472294495293E-2</v>
      </c>
    </row>
    <row r="660" spans="1:11" x14ac:dyDescent="0.2">
      <c r="A660">
        <v>659</v>
      </c>
      <c r="B660">
        <v>36</v>
      </c>
      <c r="C660" t="s">
        <v>658</v>
      </c>
      <c r="D660" s="13" t="s">
        <v>913</v>
      </c>
      <c r="E660" s="21">
        <v>307</v>
      </c>
      <c r="F660" s="1">
        <v>8.2886637615912608</v>
      </c>
      <c r="G660">
        <v>-0.11386394925254301</v>
      </c>
      <c r="H660">
        <v>-0.103830520914773</v>
      </c>
      <c r="I660">
        <v>-0.52839801243124196</v>
      </c>
      <c r="J660">
        <v>-5.03164651371261E-2</v>
      </c>
      <c r="K660">
        <v>-0.140307425685432</v>
      </c>
    </row>
    <row r="661" spans="1:11" x14ac:dyDescent="0.2">
      <c r="A661">
        <v>660</v>
      </c>
      <c r="B661">
        <v>34</v>
      </c>
      <c r="C661" t="s">
        <v>659</v>
      </c>
      <c r="D661" s="13" t="s">
        <v>913</v>
      </c>
      <c r="E661" s="21">
        <v>304</v>
      </c>
      <c r="F661" s="1">
        <v>5.0556350388606202</v>
      </c>
      <c r="G661">
        <v>-9.5255840085055707E-2</v>
      </c>
      <c r="H661">
        <v>-0.135016198808807</v>
      </c>
      <c r="I661">
        <v>-0.60137478209125605</v>
      </c>
      <c r="J661">
        <v>-4.3700518907592002E-2</v>
      </c>
      <c r="K661">
        <v>-7.3961213908857307E-2</v>
      </c>
    </row>
    <row r="662" spans="1:11" x14ac:dyDescent="0.2">
      <c r="A662">
        <v>661</v>
      </c>
      <c r="B662">
        <v>37</v>
      </c>
      <c r="C662" t="s">
        <v>660</v>
      </c>
      <c r="D662" s="13" t="s">
        <v>913</v>
      </c>
      <c r="E662" s="21">
        <v>200</v>
      </c>
      <c r="F662" s="1">
        <v>8.1721230235748497</v>
      </c>
      <c r="G662">
        <v>-0.145214129304301</v>
      </c>
      <c r="H662">
        <v>-0.390033927654656</v>
      </c>
      <c r="I662">
        <v>-1.0165068447205201</v>
      </c>
      <c r="J662">
        <v>-1.80499191639194E-2</v>
      </c>
      <c r="K662">
        <v>-6.4948403453166395E-2</v>
      </c>
    </row>
    <row r="663" spans="1:11" x14ac:dyDescent="0.2">
      <c r="A663">
        <v>662</v>
      </c>
      <c r="B663">
        <v>39</v>
      </c>
      <c r="C663" t="s">
        <v>661</v>
      </c>
      <c r="D663" s="13" t="s">
        <v>913</v>
      </c>
      <c r="E663" s="21">
        <v>206</v>
      </c>
      <c r="F663" s="1">
        <v>4.8403535559270896</v>
      </c>
      <c r="G663">
        <v>-6.2029843874800303E-2</v>
      </c>
      <c r="H663">
        <v>-0.17454588641452501</v>
      </c>
      <c r="I663">
        <v>-0.33117407637692797</v>
      </c>
      <c r="J663">
        <v>-7.2468013892991803E-4</v>
      </c>
      <c r="K663">
        <v>-1.3423877156979499E-3</v>
      </c>
    </row>
    <row r="664" spans="1:11" x14ac:dyDescent="0.2">
      <c r="A664">
        <v>663</v>
      </c>
      <c r="B664">
        <v>42</v>
      </c>
      <c r="C664" t="s">
        <v>662</v>
      </c>
      <c r="D664" s="13" t="s">
        <v>912</v>
      </c>
      <c r="E664" s="21">
        <v>185</v>
      </c>
      <c r="F664" s="1">
        <v>4.1701195353703504</v>
      </c>
      <c r="G664">
        <v>-5.2290557717318199E-2</v>
      </c>
      <c r="H664">
        <v>-8.0634334722665003E-3</v>
      </c>
      <c r="I664">
        <v>-0.29196414702437701</v>
      </c>
      <c r="J664">
        <v>8.5680009744368898E-3</v>
      </c>
      <c r="K664">
        <v>1.5802264674475899E-2</v>
      </c>
    </row>
    <row r="665" spans="1:11" x14ac:dyDescent="0.2">
      <c r="A665">
        <v>664</v>
      </c>
      <c r="B665">
        <v>42</v>
      </c>
      <c r="C665" t="s">
        <v>663</v>
      </c>
      <c r="D665" s="13" t="s">
        <v>912</v>
      </c>
      <c r="E665" s="21">
        <v>185</v>
      </c>
      <c r="F665" s="1">
        <v>1.32664311201606</v>
      </c>
      <c r="G665">
        <v>4.3670388015340303E-2</v>
      </c>
      <c r="H665">
        <v>0.10698125476296599</v>
      </c>
      <c r="I665">
        <v>0.18043274091546799</v>
      </c>
      <c r="J665">
        <v>-3.6135028538474903E-2</v>
      </c>
      <c r="K665">
        <v>-7.0438799157130499E-2</v>
      </c>
    </row>
    <row r="666" spans="1:11" x14ac:dyDescent="0.2">
      <c r="A666">
        <v>665</v>
      </c>
      <c r="B666">
        <v>46</v>
      </c>
      <c r="C666" t="s">
        <v>664</v>
      </c>
      <c r="D666" s="13" t="s">
        <v>912</v>
      </c>
      <c r="E666" s="21">
        <v>160</v>
      </c>
      <c r="F666" s="1">
        <v>1.3853698194798001</v>
      </c>
      <c r="G666">
        <v>-2.1025091500813602E-2</v>
      </c>
      <c r="H666">
        <v>-9.3575368824228202E-3</v>
      </c>
      <c r="I666">
        <v>5.4617712644652899E-2</v>
      </c>
      <c r="J666">
        <v>-3.8233873194635802E-2</v>
      </c>
      <c r="K666">
        <v>-9.1070437675517396E-2</v>
      </c>
    </row>
    <row r="667" spans="1:11" x14ac:dyDescent="0.2">
      <c r="A667">
        <v>666</v>
      </c>
      <c r="B667">
        <v>54</v>
      </c>
      <c r="C667" t="s">
        <v>665</v>
      </c>
      <c r="D667" s="13" t="s">
        <v>912</v>
      </c>
      <c r="E667" s="21">
        <v>170</v>
      </c>
      <c r="F667" s="1">
        <v>0.163578934741543</v>
      </c>
      <c r="G667">
        <v>-2.4102235170619001E-2</v>
      </c>
      <c r="H667">
        <v>-0.138192212285421</v>
      </c>
      <c r="I667">
        <v>-0.40786332153558602</v>
      </c>
      <c r="J667">
        <v>-3.0173193896235299E-2</v>
      </c>
      <c r="K667">
        <v>-6.2711908091176605E-2</v>
      </c>
    </row>
    <row r="668" spans="1:11" x14ac:dyDescent="0.2">
      <c r="A668">
        <v>667</v>
      </c>
      <c r="B668">
        <v>51</v>
      </c>
      <c r="C668" t="s">
        <v>666</v>
      </c>
      <c r="D668" s="13" t="s">
        <v>912</v>
      </c>
      <c r="E668" s="21">
        <v>159</v>
      </c>
      <c r="F668" s="1">
        <v>5.2458238963512596</v>
      </c>
      <c r="G668">
        <v>-9.3779681378121302E-2</v>
      </c>
      <c r="H668">
        <v>-7.9972112191076306E-2</v>
      </c>
      <c r="I668">
        <v>-0.57682545132643603</v>
      </c>
      <c r="J668">
        <v>-1.7049742561967E-2</v>
      </c>
      <c r="K668">
        <v>-6.9043506411199607E-2</v>
      </c>
    </row>
    <row r="669" spans="1:11" x14ac:dyDescent="0.2">
      <c r="A669">
        <v>668</v>
      </c>
      <c r="B669">
        <v>32</v>
      </c>
      <c r="C669" t="s">
        <v>667</v>
      </c>
      <c r="D669" s="13" t="s">
        <v>913</v>
      </c>
      <c r="E669" s="21">
        <v>199</v>
      </c>
      <c r="F669" s="1">
        <v>2.1340441872670199</v>
      </c>
      <c r="G669">
        <v>2.2138387906525201E-2</v>
      </c>
      <c r="H669">
        <v>9.4397837088884395E-3</v>
      </c>
      <c r="I669">
        <v>9.6429302615047702E-2</v>
      </c>
      <c r="J669">
        <v>1.1737131537081299E-2</v>
      </c>
      <c r="K669">
        <v>3.6968331656847798E-2</v>
      </c>
    </row>
    <row r="670" spans="1:11" x14ac:dyDescent="0.2">
      <c r="A670">
        <v>669</v>
      </c>
      <c r="B670">
        <v>50</v>
      </c>
      <c r="C670" t="s">
        <v>668</v>
      </c>
      <c r="D670" s="13" t="s">
        <v>912</v>
      </c>
      <c r="E670" s="21">
        <v>172</v>
      </c>
      <c r="F670" s="1">
        <v>5.8688963462004198</v>
      </c>
      <c r="G670">
        <v>-0.10531034437092</v>
      </c>
      <c r="H670">
        <v>-0.14457331316148</v>
      </c>
      <c r="I670">
        <v>-0.72049306691713599</v>
      </c>
      <c r="J670">
        <v>-4.0874025782183E-2</v>
      </c>
      <c r="K670">
        <v>-8.2840883537866394E-2</v>
      </c>
    </row>
    <row r="671" spans="1:11" x14ac:dyDescent="0.2">
      <c r="A671">
        <v>670</v>
      </c>
      <c r="B671">
        <v>42</v>
      </c>
      <c r="C671" t="s">
        <v>669</v>
      </c>
      <c r="D671" s="13" t="s">
        <v>912</v>
      </c>
      <c r="E671" s="21">
        <v>185</v>
      </c>
      <c r="F671" s="1">
        <v>0.77463730758801097</v>
      </c>
      <c r="G671">
        <v>-1.1517589393706E-2</v>
      </c>
      <c r="H671">
        <v>4.8769625911792798E-2</v>
      </c>
      <c r="I671">
        <v>-0.193094071032062</v>
      </c>
      <c r="J671">
        <v>-3.1472919084832199E-2</v>
      </c>
      <c r="K671">
        <v>-6.6514691967136302E-2</v>
      </c>
    </row>
    <row r="672" spans="1:11" x14ac:dyDescent="0.2">
      <c r="A672">
        <v>671</v>
      </c>
      <c r="B672">
        <v>22</v>
      </c>
      <c r="C672" t="s">
        <v>670</v>
      </c>
      <c r="D672" s="13" t="s">
        <v>913</v>
      </c>
      <c r="E672" s="21">
        <v>173</v>
      </c>
      <c r="F672" s="1">
        <v>5.7746902113398502</v>
      </c>
      <c r="G672">
        <v>-7.7258782359398301E-2</v>
      </c>
      <c r="H672">
        <v>-0.121305987263551</v>
      </c>
      <c r="I672">
        <v>-0.26707167422125799</v>
      </c>
      <c r="J672">
        <v>2.0411131732781501E-2</v>
      </c>
      <c r="K672">
        <v>5.1024696675791799E-2</v>
      </c>
    </row>
    <row r="673" spans="1:11" x14ac:dyDescent="0.2">
      <c r="A673">
        <v>672</v>
      </c>
      <c r="B673">
        <v>49</v>
      </c>
      <c r="C673" t="s">
        <v>671</v>
      </c>
      <c r="D673" s="13" t="s">
        <v>912</v>
      </c>
      <c r="E673" s="21">
        <v>175</v>
      </c>
      <c r="F673" s="1">
        <v>4.0264801322807902</v>
      </c>
      <c r="G673">
        <v>-3.86901079778579E-2</v>
      </c>
      <c r="H673">
        <v>-4.4162979421719997E-3</v>
      </c>
      <c r="I673">
        <v>-7.4318801373110005E-2</v>
      </c>
      <c r="J673" s="18">
        <v>7.6584693910461003E-5</v>
      </c>
      <c r="K673">
        <v>-1.7800719871888799E-3</v>
      </c>
    </row>
    <row r="674" spans="1:11" x14ac:dyDescent="0.2">
      <c r="A674">
        <v>673</v>
      </c>
      <c r="B674">
        <v>29</v>
      </c>
      <c r="C674" t="s">
        <v>672</v>
      </c>
      <c r="D674" s="13" t="s">
        <v>913</v>
      </c>
      <c r="E674" s="21">
        <v>202</v>
      </c>
      <c r="F674" s="1">
        <v>-0.89919234562016104</v>
      </c>
      <c r="G674">
        <v>7.8721979412002898E-4</v>
      </c>
      <c r="H674">
        <v>6.7929245090700599E-2</v>
      </c>
      <c r="I674">
        <v>0.108546628269325</v>
      </c>
      <c r="J674">
        <v>6.3317476654745604E-3</v>
      </c>
      <c r="K674">
        <v>-2.37504445520164E-2</v>
      </c>
    </row>
    <row r="675" spans="1:11" x14ac:dyDescent="0.2">
      <c r="A675">
        <v>674</v>
      </c>
      <c r="B675">
        <v>40</v>
      </c>
      <c r="C675" t="s">
        <v>673</v>
      </c>
      <c r="D675" s="13" t="s">
        <v>913</v>
      </c>
      <c r="E675" s="21">
        <v>202</v>
      </c>
      <c r="F675" s="1">
        <v>-5.1676515718999596</v>
      </c>
      <c r="G675">
        <v>7.9632273138832699E-2</v>
      </c>
      <c r="H675">
        <v>0.24013113651669299</v>
      </c>
      <c r="I675">
        <v>0.749533025494176</v>
      </c>
      <c r="J675">
        <v>2.3283738054049201E-2</v>
      </c>
      <c r="K675">
        <v>3.2714114839795798E-2</v>
      </c>
    </row>
    <row r="676" spans="1:11" x14ac:dyDescent="0.2">
      <c r="A676">
        <v>675</v>
      </c>
      <c r="B676">
        <v>25</v>
      </c>
      <c r="C676" t="s">
        <v>674</v>
      </c>
      <c r="D676" s="13" t="s">
        <v>913</v>
      </c>
      <c r="E676" s="21">
        <v>208</v>
      </c>
      <c r="F676" s="1">
        <v>5.3899249187697</v>
      </c>
      <c r="G676">
        <v>-5.8593936062752303E-2</v>
      </c>
      <c r="H676">
        <v>-4.0671829951065899E-2</v>
      </c>
      <c r="I676">
        <v>-0.15970795830304699</v>
      </c>
      <c r="J676">
        <v>1.4273782694020199E-2</v>
      </c>
      <c r="K676">
        <v>3.08008705304052E-2</v>
      </c>
    </row>
    <row r="677" spans="1:11" x14ac:dyDescent="0.2">
      <c r="A677">
        <v>676</v>
      </c>
      <c r="B677">
        <v>31</v>
      </c>
      <c r="C677" t="s">
        <v>675</v>
      </c>
      <c r="D677" s="13" t="s">
        <v>913</v>
      </c>
      <c r="E677" s="21">
        <v>199</v>
      </c>
      <c r="F677" s="1">
        <v>1.8701488841792799</v>
      </c>
      <c r="G677">
        <v>-3.4864483658291E-2</v>
      </c>
      <c r="H677">
        <v>-0.145594511191245</v>
      </c>
      <c r="I677">
        <v>-0.36019226782305402</v>
      </c>
      <c r="J677">
        <v>1.9949973661928098E-2</v>
      </c>
      <c r="K677">
        <v>2.7304450122343001E-2</v>
      </c>
    </row>
    <row r="678" spans="1:11" x14ac:dyDescent="0.2">
      <c r="A678">
        <v>677</v>
      </c>
      <c r="B678">
        <v>31</v>
      </c>
      <c r="C678" t="s">
        <v>676</v>
      </c>
      <c r="D678" s="13" t="s">
        <v>913</v>
      </c>
      <c r="E678" s="21">
        <v>199</v>
      </c>
      <c r="F678" s="1">
        <v>3.7746753089588299</v>
      </c>
      <c r="G678" s="18">
        <v>8.48693974357551E-5</v>
      </c>
      <c r="H678">
        <v>-4.4319623565524701E-3</v>
      </c>
      <c r="I678">
        <v>0.100895083676805</v>
      </c>
      <c r="J678">
        <v>1.96044148739364E-2</v>
      </c>
      <c r="K678">
        <v>3.8426758621474801E-2</v>
      </c>
    </row>
    <row r="679" spans="1:11" x14ac:dyDescent="0.2">
      <c r="A679">
        <v>678</v>
      </c>
      <c r="B679">
        <v>52</v>
      </c>
      <c r="C679" t="s">
        <v>677</v>
      </c>
      <c r="D679" s="13" t="s">
        <v>912</v>
      </c>
      <c r="E679" s="21">
        <v>164</v>
      </c>
      <c r="F679" s="1">
        <v>-1.3499016620386901</v>
      </c>
      <c r="G679">
        <v>-1.48586537529327E-2</v>
      </c>
      <c r="H679">
        <v>-0.166584761556967</v>
      </c>
      <c r="I679">
        <v>-0.34721898119280797</v>
      </c>
      <c r="J679">
        <v>-4.2862895575065001E-2</v>
      </c>
      <c r="K679">
        <v>-8.6560822664327505E-2</v>
      </c>
    </row>
    <row r="680" spans="1:11" x14ac:dyDescent="0.2">
      <c r="A680">
        <v>679</v>
      </c>
      <c r="B680">
        <v>51</v>
      </c>
      <c r="C680" t="s">
        <v>678</v>
      </c>
      <c r="D680" s="13" t="s">
        <v>912</v>
      </c>
      <c r="E680" s="21">
        <v>159</v>
      </c>
      <c r="F680" s="1">
        <v>1.29835345267749</v>
      </c>
      <c r="G680">
        <v>-3.92108487767346E-2</v>
      </c>
      <c r="H680">
        <v>-8.3140561961405193E-2</v>
      </c>
      <c r="I680">
        <v>-0.400945430276198</v>
      </c>
      <c r="J680">
        <v>-6.5288722194252998E-3</v>
      </c>
      <c r="K680">
        <v>-2.2226151541095501E-2</v>
      </c>
    </row>
    <row r="681" spans="1:11" x14ac:dyDescent="0.2">
      <c r="A681">
        <v>680</v>
      </c>
      <c r="B681">
        <v>35</v>
      </c>
      <c r="C681" t="s">
        <v>679</v>
      </c>
      <c r="D681" s="13" t="s">
        <v>913</v>
      </c>
      <c r="E681" s="21">
        <v>189</v>
      </c>
      <c r="F681" s="1">
        <v>4.08389893259484</v>
      </c>
      <c r="G681">
        <v>-6.8890015501079802E-2</v>
      </c>
      <c r="H681">
        <v>-0.25970525776535902</v>
      </c>
      <c r="I681">
        <v>-0.52501951292493698</v>
      </c>
      <c r="J681">
        <v>3.45942164922751E-2</v>
      </c>
      <c r="K681">
        <v>7.8116816653546903E-2</v>
      </c>
    </row>
    <row r="682" spans="1:11" x14ac:dyDescent="0.2">
      <c r="A682">
        <v>681</v>
      </c>
      <c r="B682">
        <v>38</v>
      </c>
      <c r="C682" t="s">
        <v>680</v>
      </c>
      <c r="D682" s="13" t="s">
        <v>913</v>
      </c>
      <c r="E682" s="21">
        <v>200</v>
      </c>
      <c r="F682" s="1">
        <v>6.6786829012297302</v>
      </c>
      <c r="G682">
        <v>-5.0145579418657597E-2</v>
      </c>
      <c r="H682">
        <v>-0.19910828728893301</v>
      </c>
      <c r="I682">
        <v>-0.42697290315831599</v>
      </c>
      <c r="J682">
        <v>3.3925327054960902E-2</v>
      </c>
      <c r="K682">
        <v>0.108477495795764</v>
      </c>
    </row>
    <row r="683" spans="1:11" x14ac:dyDescent="0.2">
      <c r="A683">
        <v>682</v>
      </c>
      <c r="B683">
        <v>35</v>
      </c>
      <c r="C683" t="s">
        <v>681</v>
      </c>
      <c r="D683" s="13" t="s">
        <v>913</v>
      </c>
      <c r="E683" s="21">
        <v>189</v>
      </c>
      <c r="F683" s="1">
        <v>2.69550590029385</v>
      </c>
      <c r="G683">
        <v>-5.9576466648092298E-3</v>
      </c>
      <c r="H683">
        <v>-0.16707784154157199</v>
      </c>
      <c r="I683">
        <v>-0.26629380149939602</v>
      </c>
      <c r="J683">
        <v>1.1032225690459901E-2</v>
      </c>
      <c r="K683">
        <v>1.8239245775256999E-2</v>
      </c>
    </row>
    <row r="684" spans="1:11" x14ac:dyDescent="0.2">
      <c r="A684">
        <v>683</v>
      </c>
      <c r="B684">
        <v>42</v>
      </c>
      <c r="C684" t="s">
        <v>682</v>
      </c>
      <c r="D684" s="13" t="s">
        <v>912</v>
      </c>
      <c r="E684" s="21">
        <v>185</v>
      </c>
      <c r="F684" s="1">
        <v>3.58388523373472</v>
      </c>
      <c r="G684">
        <v>-3.6488564138837602E-2</v>
      </c>
      <c r="H684">
        <v>2.1394675601766801E-2</v>
      </c>
      <c r="I684">
        <v>-0.42083129026152</v>
      </c>
      <c r="J684">
        <v>-1.6862506501773199E-2</v>
      </c>
      <c r="K684">
        <v>-4.1872513713795398E-2</v>
      </c>
    </row>
    <row r="685" spans="1:11" x14ac:dyDescent="0.2">
      <c r="A685">
        <v>684</v>
      </c>
      <c r="B685">
        <v>24</v>
      </c>
      <c r="C685" t="s">
        <v>683</v>
      </c>
      <c r="D685" s="13" t="s">
        <v>913</v>
      </c>
      <c r="E685" s="21">
        <v>239</v>
      </c>
      <c r="F685" s="1">
        <v>-4.0576977196269297</v>
      </c>
      <c r="G685">
        <v>4.9705309785098101E-2</v>
      </c>
      <c r="H685">
        <v>0.24611172052254299</v>
      </c>
      <c r="I685">
        <v>0.60988825873049901</v>
      </c>
      <c r="J685">
        <v>-1.34391698965458E-2</v>
      </c>
      <c r="K685">
        <v>-5.6471938087942097E-2</v>
      </c>
    </row>
    <row r="686" spans="1:11" x14ac:dyDescent="0.2">
      <c r="A686">
        <v>685</v>
      </c>
      <c r="B686">
        <v>30</v>
      </c>
      <c r="C686" t="s">
        <v>684</v>
      </c>
      <c r="D686" s="13" t="s">
        <v>913</v>
      </c>
      <c r="E686" s="21">
        <v>202</v>
      </c>
      <c r="F686" s="1">
        <v>-3.1531975925334699</v>
      </c>
      <c r="G686">
        <v>4.7578179620267398E-2</v>
      </c>
      <c r="H686">
        <v>6.9633163897442896E-2</v>
      </c>
      <c r="I686">
        <v>0.205751734185839</v>
      </c>
      <c r="J686">
        <v>1.0368289996710699E-3</v>
      </c>
      <c r="K686">
        <v>-9.1743271236841405E-3</v>
      </c>
    </row>
    <row r="687" spans="1:11" x14ac:dyDescent="0.2">
      <c r="A687">
        <v>686</v>
      </c>
      <c r="B687">
        <v>35</v>
      </c>
      <c r="C687" t="s">
        <v>685</v>
      </c>
      <c r="D687" s="13" t="s">
        <v>913</v>
      </c>
      <c r="E687" s="21">
        <v>304</v>
      </c>
      <c r="F687" s="1">
        <v>1.49412581218142</v>
      </c>
      <c r="G687">
        <v>-2.9413934938107801E-3</v>
      </c>
      <c r="H687">
        <v>-3.5464398666943397E-2</v>
      </c>
      <c r="I687">
        <v>-2.6944048711565902E-2</v>
      </c>
      <c r="J687">
        <v>-4.5896092924273997E-2</v>
      </c>
      <c r="K687">
        <v>-0.11699969458019201</v>
      </c>
    </row>
    <row r="688" spans="1:11" x14ac:dyDescent="0.2">
      <c r="A688">
        <v>687</v>
      </c>
      <c r="B688">
        <v>44</v>
      </c>
      <c r="C688" t="s">
        <v>686</v>
      </c>
      <c r="D688" s="13" t="s">
        <v>912</v>
      </c>
      <c r="E688" s="21">
        <v>173</v>
      </c>
      <c r="F688" s="1">
        <v>6.6995568928147504</v>
      </c>
      <c r="G688">
        <v>-9.2445569867192004E-2</v>
      </c>
      <c r="H688">
        <v>-0.202365202011759</v>
      </c>
      <c r="I688">
        <v>-0.47748004283276801</v>
      </c>
      <c r="J688">
        <v>-2.1355257354886501E-2</v>
      </c>
      <c r="K688">
        <v>-3.82497559666196E-2</v>
      </c>
    </row>
    <row r="689" spans="1:11" x14ac:dyDescent="0.2">
      <c r="A689">
        <v>688</v>
      </c>
      <c r="B689">
        <v>33</v>
      </c>
      <c r="C689" t="s">
        <v>687</v>
      </c>
      <c r="D689" s="13" t="s">
        <v>913</v>
      </c>
      <c r="E689" s="21">
        <v>304</v>
      </c>
      <c r="F689" s="1">
        <v>1.1733475900316801</v>
      </c>
      <c r="G689">
        <v>-8.3921282451038196E-3</v>
      </c>
      <c r="H689">
        <v>-0.12820467212822201</v>
      </c>
      <c r="I689">
        <v>-9.7988350487756004E-2</v>
      </c>
      <c r="J689">
        <v>5.1959954063739698E-4</v>
      </c>
      <c r="K689">
        <v>1.6824902014147901E-2</v>
      </c>
    </row>
    <row r="690" spans="1:11" x14ac:dyDescent="0.2">
      <c r="A690">
        <v>689</v>
      </c>
      <c r="B690">
        <v>50</v>
      </c>
      <c r="C690" t="s">
        <v>688</v>
      </c>
      <c r="D690" s="13" t="s">
        <v>912</v>
      </c>
      <c r="E690" s="21">
        <v>172</v>
      </c>
      <c r="F690" s="1">
        <v>4.3860513393269303</v>
      </c>
      <c r="G690">
        <v>-0.106041362480695</v>
      </c>
      <c r="H690">
        <v>-0.102300933942767</v>
      </c>
      <c r="I690">
        <v>-0.65840923874929103</v>
      </c>
      <c r="J690">
        <v>-4.4485099261500398E-2</v>
      </c>
      <c r="K690">
        <v>-9.0641489737332395E-2</v>
      </c>
    </row>
    <row r="691" spans="1:11" x14ac:dyDescent="0.2">
      <c r="A691">
        <v>690</v>
      </c>
      <c r="B691">
        <v>37</v>
      </c>
      <c r="C691" t="s">
        <v>689</v>
      </c>
      <c r="D691" s="13" t="s">
        <v>913</v>
      </c>
      <c r="E691" s="21">
        <v>315</v>
      </c>
      <c r="F691" s="1">
        <v>2.0166992184243102</v>
      </c>
      <c r="G691">
        <v>-6.5554727620057707E-2</v>
      </c>
      <c r="H691">
        <v>-3.70650700874477E-2</v>
      </c>
      <c r="I691">
        <v>-0.29002532991237401</v>
      </c>
      <c r="J691">
        <v>-2.4770582632685002E-3</v>
      </c>
      <c r="K691">
        <v>-4.8438853014776901E-3</v>
      </c>
    </row>
    <row r="692" spans="1:11" x14ac:dyDescent="0.2">
      <c r="A692">
        <v>691</v>
      </c>
      <c r="B692">
        <v>48</v>
      </c>
      <c r="C692" t="s">
        <v>690</v>
      </c>
      <c r="D692" s="13" t="s">
        <v>912</v>
      </c>
      <c r="E692" s="21">
        <v>173</v>
      </c>
      <c r="F692" s="1">
        <v>0.35052217790958901</v>
      </c>
      <c r="G692">
        <v>-9.8025324622905904E-2</v>
      </c>
      <c r="H692">
        <v>-0.161214725415428</v>
      </c>
      <c r="I692">
        <v>-0.50343891271500996</v>
      </c>
      <c r="J692">
        <v>-2.95974065566545E-2</v>
      </c>
      <c r="K692">
        <v>-8.1139533677604694E-2</v>
      </c>
    </row>
    <row r="693" spans="1:11" x14ac:dyDescent="0.2">
      <c r="A693">
        <v>692</v>
      </c>
      <c r="B693">
        <v>37</v>
      </c>
      <c r="C693" t="s">
        <v>691</v>
      </c>
      <c r="D693" s="13" t="s">
        <v>913</v>
      </c>
      <c r="E693" s="21">
        <v>315</v>
      </c>
      <c r="F693" s="1">
        <v>6.4448045434425598</v>
      </c>
      <c r="G693">
        <v>-9.5829952287069101E-2</v>
      </c>
      <c r="H693">
        <v>-6.8503731898019907E-2</v>
      </c>
      <c r="I693">
        <v>-0.565214048909495</v>
      </c>
      <c r="J693">
        <v>2.4330452325338802E-3</v>
      </c>
      <c r="K693">
        <v>2.0811171513784098E-2</v>
      </c>
    </row>
    <row r="694" spans="1:11" x14ac:dyDescent="0.2">
      <c r="A694">
        <v>693</v>
      </c>
      <c r="B694">
        <v>47</v>
      </c>
      <c r="C694" t="s">
        <v>692</v>
      </c>
      <c r="D694" s="13" t="s">
        <v>912</v>
      </c>
      <c r="E694" s="21">
        <v>175</v>
      </c>
      <c r="F694" s="1">
        <v>3.4203989203263401</v>
      </c>
      <c r="G694">
        <v>-2.3995904981382099E-2</v>
      </c>
      <c r="H694">
        <v>-6.3612870683165998E-2</v>
      </c>
      <c r="I694">
        <v>-8.9960324602730901E-2</v>
      </c>
      <c r="J694">
        <v>1.3301890276294699E-2</v>
      </c>
      <c r="K694">
        <v>5.4233902405893097E-2</v>
      </c>
    </row>
    <row r="695" spans="1:11" x14ac:dyDescent="0.2">
      <c r="A695">
        <v>694</v>
      </c>
      <c r="B695">
        <v>30</v>
      </c>
      <c r="C695" t="s">
        <v>693</v>
      </c>
      <c r="D695" s="13" t="s">
        <v>913</v>
      </c>
      <c r="E695" s="21">
        <v>317</v>
      </c>
      <c r="F695" s="1">
        <v>-0.81421642895813395</v>
      </c>
      <c r="G695">
        <v>-1.55610965757868E-2</v>
      </c>
      <c r="H695">
        <v>-0.123953157426584</v>
      </c>
      <c r="I695">
        <v>-0.32010012409368999</v>
      </c>
      <c r="J695">
        <v>-7.5631715403376197E-3</v>
      </c>
      <c r="K695">
        <v>-5.6644311453993299E-3</v>
      </c>
    </row>
    <row r="696" spans="1:11" x14ac:dyDescent="0.2">
      <c r="A696">
        <v>695</v>
      </c>
      <c r="B696">
        <v>23</v>
      </c>
      <c r="C696" t="s">
        <v>694</v>
      </c>
      <c r="D696" s="13" t="s">
        <v>913</v>
      </c>
      <c r="E696" s="21">
        <v>304</v>
      </c>
      <c r="F696" s="1">
        <v>4.8983506570177502</v>
      </c>
      <c r="G696">
        <v>-5.9666763878951201E-2</v>
      </c>
      <c r="H696">
        <v>-0.289697742927847</v>
      </c>
      <c r="I696">
        <v>-0.64744903221369698</v>
      </c>
      <c r="J696">
        <v>2.9800702600755902E-2</v>
      </c>
      <c r="K696">
        <v>0.10064278269488899</v>
      </c>
    </row>
    <row r="697" spans="1:11" x14ac:dyDescent="0.2">
      <c r="A697">
        <v>696</v>
      </c>
      <c r="B697">
        <v>23</v>
      </c>
      <c r="C697" t="s">
        <v>695</v>
      </c>
      <c r="D697" s="13" t="s">
        <v>913</v>
      </c>
      <c r="E697" s="21">
        <v>304</v>
      </c>
      <c r="F697" s="1">
        <v>0.277325321615426</v>
      </c>
      <c r="G697">
        <v>-9.9152027068680096E-4</v>
      </c>
      <c r="H697">
        <v>5.62608987729461E-2</v>
      </c>
      <c r="I697">
        <v>0.27605144797412001</v>
      </c>
      <c r="J697">
        <v>1.26411469249612E-2</v>
      </c>
      <c r="K697">
        <v>1.6799562014150001E-2</v>
      </c>
    </row>
    <row r="698" spans="1:11" x14ac:dyDescent="0.2">
      <c r="A698">
        <v>697</v>
      </c>
      <c r="B698">
        <v>39</v>
      </c>
      <c r="C698" t="s">
        <v>696</v>
      </c>
      <c r="D698" s="13" t="s">
        <v>913</v>
      </c>
      <c r="E698" s="21">
        <v>321</v>
      </c>
      <c r="F698" s="1">
        <v>3.9832383286831301</v>
      </c>
      <c r="G698">
        <v>-6.9197340936120996E-2</v>
      </c>
      <c r="H698">
        <v>-0.21598493277450401</v>
      </c>
      <c r="I698">
        <v>-0.52825302474204905</v>
      </c>
      <c r="J698">
        <v>-1.1464013432892E-2</v>
      </c>
      <c r="K698">
        <v>-4.23898414328241E-2</v>
      </c>
    </row>
    <row r="699" spans="1:11" x14ac:dyDescent="0.2">
      <c r="A699">
        <v>698</v>
      </c>
      <c r="B699">
        <v>27</v>
      </c>
      <c r="C699" t="s">
        <v>697</v>
      </c>
      <c r="D699" s="13" t="s">
        <v>913</v>
      </c>
      <c r="E699" s="21">
        <v>323</v>
      </c>
      <c r="F699" s="1">
        <v>4.2626206397946298</v>
      </c>
      <c r="G699">
        <v>-7.9603660102252005E-2</v>
      </c>
      <c r="H699">
        <v>-0.134098719471379</v>
      </c>
      <c r="I699">
        <v>-0.57338513992276297</v>
      </c>
      <c r="J699">
        <v>-2.3677162318343901E-2</v>
      </c>
      <c r="K699">
        <v>-7.8535478427625399E-2</v>
      </c>
    </row>
    <row r="700" spans="1:11" x14ac:dyDescent="0.2">
      <c r="A700">
        <v>699</v>
      </c>
      <c r="B700">
        <v>25</v>
      </c>
      <c r="C700" t="s">
        <v>698</v>
      </c>
      <c r="D700" s="13" t="s">
        <v>913</v>
      </c>
      <c r="E700" s="21">
        <v>323</v>
      </c>
      <c r="F700" s="1">
        <v>0.299209475203286</v>
      </c>
      <c r="G700">
        <v>5.3245147627807701E-2</v>
      </c>
      <c r="H700">
        <v>6.43447883800356E-2</v>
      </c>
      <c r="I700">
        <v>0.32410876042981801</v>
      </c>
      <c r="J700">
        <v>-9.9017993983330499E-3</v>
      </c>
      <c r="K700">
        <v>-4.55012693376661E-2</v>
      </c>
    </row>
    <row r="701" spans="1:11" x14ac:dyDescent="0.2">
      <c r="A701">
        <v>700</v>
      </c>
      <c r="B701">
        <v>23</v>
      </c>
      <c r="C701" t="s">
        <v>699</v>
      </c>
      <c r="D701" s="13" t="s">
        <v>913</v>
      </c>
      <c r="E701" s="21">
        <v>304</v>
      </c>
      <c r="F701" s="1">
        <v>5.1619705187699401</v>
      </c>
      <c r="G701">
        <v>-0.108566867872529</v>
      </c>
      <c r="H701">
        <v>-0.16661889887582601</v>
      </c>
      <c r="I701">
        <v>-0.58220988126667605</v>
      </c>
      <c r="J701">
        <v>-5.7564458500048701E-3</v>
      </c>
      <c r="K701">
        <v>2.9668860898844501E-2</v>
      </c>
    </row>
    <row r="702" spans="1:11" x14ac:dyDescent="0.2">
      <c r="A702">
        <v>701</v>
      </c>
      <c r="B702">
        <v>30</v>
      </c>
      <c r="C702" t="s">
        <v>700</v>
      </c>
      <c r="D702" s="13" t="s">
        <v>913</v>
      </c>
      <c r="E702" s="21">
        <v>317</v>
      </c>
      <c r="F702" s="1">
        <v>3.3615890138436302</v>
      </c>
      <c r="G702">
        <v>-4.4022804341612799E-2</v>
      </c>
      <c r="H702">
        <v>1.01372392303547E-2</v>
      </c>
      <c r="I702">
        <v>4.33120491863987E-2</v>
      </c>
      <c r="J702">
        <v>1.80694198685179E-2</v>
      </c>
      <c r="K702">
        <v>5.17871211321633E-2</v>
      </c>
    </row>
    <row r="703" spans="1:11" x14ac:dyDescent="0.2">
      <c r="A703">
        <v>702</v>
      </c>
      <c r="B703">
        <v>24</v>
      </c>
      <c r="C703" t="s">
        <v>701</v>
      </c>
      <c r="D703" s="13" t="s">
        <v>913</v>
      </c>
      <c r="E703" s="21">
        <v>354</v>
      </c>
      <c r="F703" s="1">
        <v>2.99084648898554</v>
      </c>
      <c r="G703">
        <v>-5.8442103008987202E-2</v>
      </c>
      <c r="H703">
        <v>-0.16449866293465201</v>
      </c>
      <c r="I703">
        <v>-0.42440587862888601</v>
      </c>
      <c r="J703">
        <v>-2.2401018159749E-2</v>
      </c>
      <c r="K703">
        <v>-4.4059215728947998E-2</v>
      </c>
    </row>
    <row r="704" spans="1:11" x14ac:dyDescent="0.2">
      <c r="A704">
        <v>703</v>
      </c>
      <c r="B704">
        <v>26</v>
      </c>
      <c r="C704" t="s">
        <v>702</v>
      </c>
      <c r="D704" s="13" t="s">
        <v>913</v>
      </c>
      <c r="E704" s="21">
        <v>323</v>
      </c>
      <c r="F704" s="1">
        <v>3.2243223866078501</v>
      </c>
      <c r="G704">
        <v>-2.9838309099411899E-2</v>
      </c>
      <c r="H704">
        <v>0.227850269491957</v>
      </c>
      <c r="I704">
        <v>4.7255224878016797E-2</v>
      </c>
      <c r="J704">
        <v>-2.3909441204904801E-2</v>
      </c>
      <c r="K704">
        <v>-2.8239710753066E-2</v>
      </c>
    </row>
    <row r="705" spans="1:11" x14ac:dyDescent="0.2">
      <c r="A705">
        <v>704</v>
      </c>
      <c r="B705">
        <v>26</v>
      </c>
      <c r="C705" t="s">
        <v>703</v>
      </c>
      <c r="D705" s="13" t="s">
        <v>913</v>
      </c>
      <c r="E705" s="21">
        <v>323</v>
      </c>
      <c r="F705" s="1">
        <v>-4.5642801930798997</v>
      </c>
      <c r="G705">
        <v>7.8990811763961194E-2</v>
      </c>
      <c r="H705">
        <v>9.6653976142426296E-2</v>
      </c>
      <c r="I705">
        <v>0.33271817548280502</v>
      </c>
      <c r="J705">
        <v>2.3566151434850002E-3</v>
      </c>
      <c r="K705">
        <v>2.9921940933348601E-2</v>
      </c>
    </row>
    <row r="706" spans="1:11" x14ac:dyDescent="0.2">
      <c r="A706">
        <v>705</v>
      </c>
      <c r="B706">
        <v>25</v>
      </c>
      <c r="C706" t="s">
        <v>704</v>
      </c>
      <c r="D706" s="13" t="s">
        <v>913</v>
      </c>
      <c r="E706" s="21">
        <v>323</v>
      </c>
      <c r="F706" s="1">
        <v>2.7482247756065599</v>
      </c>
      <c r="G706">
        <v>-3.7738279914036603E-2</v>
      </c>
      <c r="H706">
        <v>0.14511523580183699</v>
      </c>
      <c r="I706">
        <v>0.12589981861590099</v>
      </c>
      <c r="J706">
        <v>-1.84325352362797E-3</v>
      </c>
      <c r="K706">
        <v>2.8226173606220401E-2</v>
      </c>
    </row>
    <row r="707" spans="1:11" x14ac:dyDescent="0.2">
      <c r="A707">
        <v>706</v>
      </c>
      <c r="B707">
        <v>31</v>
      </c>
      <c r="C707" t="s">
        <v>705</v>
      </c>
      <c r="D707" s="13" t="s">
        <v>913</v>
      </c>
      <c r="E707" s="21">
        <v>314</v>
      </c>
      <c r="F707" s="1">
        <v>1.4683584020390199</v>
      </c>
      <c r="G707">
        <v>-2.9400771518679199E-3</v>
      </c>
      <c r="H707">
        <v>0.206312027425717</v>
      </c>
      <c r="I707">
        <v>0.301719449948951</v>
      </c>
      <c r="J707">
        <v>-5.2002620852543702E-2</v>
      </c>
      <c r="K707">
        <v>-0.13110098260008601</v>
      </c>
    </row>
    <row r="708" spans="1:11" x14ac:dyDescent="0.2">
      <c r="A708">
        <v>707</v>
      </c>
      <c r="B708">
        <v>50</v>
      </c>
      <c r="C708" t="s">
        <v>706</v>
      </c>
      <c r="D708" s="13" t="s">
        <v>912</v>
      </c>
      <c r="E708" s="21">
        <v>172</v>
      </c>
      <c r="F708" s="1">
        <v>7.1641591301378602</v>
      </c>
      <c r="G708">
        <v>-9.93561039699207E-2</v>
      </c>
      <c r="H708">
        <v>-7.6476682987476202E-2</v>
      </c>
      <c r="I708">
        <v>-0.475261036547034</v>
      </c>
      <c r="J708">
        <v>-5.1789083799372998E-2</v>
      </c>
      <c r="K708">
        <v>-9.7847587430867897E-2</v>
      </c>
    </row>
    <row r="709" spans="1:11" x14ac:dyDescent="0.2">
      <c r="A709">
        <v>708</v>
      </c>
      <c r="B709">
        <v>44</v>
      </c>
      <c r="C709" t="s">
        <v>707</v>
      </c>
      <c r="D709" s="13" t="s">
        <v>912</v>
      </c>
      <c r="E709" s="21">
        <v>173</v>
      </c>
      <c r="F709" s="1">
        <v>4.9079350340310999</v>
      </c>
      <c r="G709">
        <v>-8.5606167496218605E-2</v>
      </c>
      <c r="H709">
        <v>-0.246636410718578</v>
      </c>
      <c r="I709">
        <v>-0.60176399938338998</v>
      </c>
      <c r="J709">
        <v>-4.1145400544383898E-2</v>
      </c>
      <c r="K709">
        <v>-7.8652568232781606E-2</v>
      </c>
    </row>
    <row r="710" spans="1:11" x14ac:dyDescent="0.2">
      <c r="A710">
        <v>709</v>
      </c>
      <c r="B710">
        <v>36</v>
      </c>
      <c r="C710" t="s">
        <v>708</v>
      </c>
      <c r="D710" s="13" t="s">
        <v>913</v>
      </c>
      <c r="E710" s="21">
        <v>192</v>
      </c>
      <c r="F710" s="1">
        <v>6.9034256170206296</v>
      </c>
      <c r="G710">
        <v>-0.149654682682133</v>
      </c>
      <c r="H710">
        <v>-0.40354978302984901</v>
      </c>
      <c r="I710">
        <v>-1.04640132213162</v>
      </c>
      <c r="J710">
        <v>6.71949032893253E-2</v>
      </c>
      <c r="K710">
        <v>0.205421077564541</v>
      </c>
    </row>
    <row r="711" spans="1:11" x14ac:dyDescent="0.2">
      <c r="A711">
        <v>710</v>
      </c>
      <c r="B711">
        <v>22</v>
      </c>
      <c r="C711" t="s">
        <v>709</v>
      </c>
      <c r="D711" s="13" t="s">
        <v>913</v>
      </c>
      <c r="E711" s="21">
        <v>173</v>
      </c>
      <c r="F711" s="1">
        <v>-0.29096501128241298</v>
      </c>
      <c r="G711">
        <v>4.1670788822232997E-2</v>
      </c>
      <c r="H711">
        <v>5.4653493616911297E-2</v>
      </c>
      <c r="I711">
        <v>0.33978429838988999</v>
      </c>
      <c r="J711">
        <v>4.13732354315344E-2</v>
      </c>
      <c r="K711">
        <v>0.109070535862579</v>
      </c>
    </row>
    <row r="712" spans="1:11" x14ac:dyDescent="0.2">
      <c r="A712">
        <v>711</v>
      </c>
      <c r="B712">
        <v>26</v>
      </c>
      <c r="C712" t="s">
        <v>710</v>
      </c>
      <c r="D712" s="13" t="s">
        <v>913</v>
      </c>
      <c r="E712" s="21">
        <v>208</v>
      </c>
      <c r="F712" s="1">
        <v>5.3234347678605296</v>
      </c>
      <c r="G712">
        <v>-5.6210973229873402E-2</v>
      </c>
      <c r="H712">
        <v>-0.115355526491072</v>
      </c>
      <c r="I712">
        <v>-0.28138630012626897</v>
      </c>
      <c r="J712">
        <v>5.3812522449104401E-2</v>
      </c>
      <c r="K712">
        <v>0.16536367463429</v>
      </c>
    </row>
    <row r="713" spans="1:11" x14ac:dyDescent="0.2">
      <c r="A713">
        <v>712</v>
      </c>
      <c r="B713">
        <v>50</v>
      </c>
      <c r="C713" t="s">
        <v>711</v>
      </c>
      <c r="D713" s="13" t="s">
        <v>912</v>
      </c>
      <c r="E713" s="21">
        <v>172</v>
      </c>
      <c r="F713" s="1">
        <v>6.2473285402154</v>
      </c>
      <c r="G713">
        <v>-6.8964926680137595E-2</v>
      </c>
      <c r="H713">
        <v>5.6451965796740899E-3</v>
      </c>
      <c r="I713">
        <v>-0.29416070945447498</v>
      </c>
      <c r="J713">
        <v>-3.8137350983748999E-2</v>
      </c>
      <c r="K713">
        <v>-9.7394107992977597E-2</v>
      </c>
    </row>
    <row r="714" spans="1:11" x14ac:dyDescent="0.2">
      <c r="A714">
        <v>713</v>
      </c>
      <c r="B714">
        <v>35</v>
      </c>
      <c r="C714" t="s">
        <v>712</v>
      </c>
      <c r="D714" s="13" t="s">
        <v>913</v>
      </c>
      <c r="E714" s="21">
        <v>189</v>
      </c>
      <c r="F714" s="1">
        <v>3.3313943126108598</v>
      </c>
      <c r="G714">
        <v>-0.121220521100638</v>
      </c>
      <c r="H714">
        <v>-0.31653348119674102</v>
      </c>
      <c r="I714">
        <v>-0.77547632263018396</v>
      </c>
      <c r="J714">
        <v>1.6281855817226201E-2</v>
      </c>
      <c r="K714">
        <v>3.7814775262718703E-2</v>
      </c>
    </row>
    <row r="715" spans="1:11" x14ac:dyDescent="0.2">
      <c r="A715">
        <v>714</v>
      </c>
      <c r="B715">
        <v>50</v>
      </c>
      <c r="C715" t="s">
        <v>713</v>
      </c>
      <c r="D715" s="13" t="s">
        <v>912</v>
      </c>
      <c r="E715" s="21">
        <v>172</v>
      </c>
      <c r="F715" s="1">
        <v>-0.564029955592115</v>
      </c>
      <c r="G715">
        <v>1.49976430043473E-2</v>
      </c>
      <c r="H715">
        <v>0.25530662973478502</v>
      </c>
      <c r="I715">
        <v>0.28347932163876699</v>
      </c>
      <c r="J715">
        <v>-1.69197745752711E-2</v>
      </c>
      <c r="K715">
        <v>-4.77654294194736E-2</v>
      </c>
    </row>
    <row r="716" spans="1:11" x14ac:dyDescent="0.2">
      <c r="A716">
        <v>715</v>
      </c>
      <c r="B716">
        <v>31</v>
      </c>
      <c r="C716" t="s">
        <v>714</v>
      </c>
      <c r="D716" s="13" t="s">
        <v>913</v>
      </c>
      <c r="E716" s="21">
        <v>199</v>
      </c>
      <c r="F716" s="1">
        <v>1.61555220230829</v>
      </c>
      <c r="G716">
        <v>-3.3833590264608603E-2</v>
      </c>
      <c r="H716">
        <v>-0.100463553404772</v>
      </c>
      <c r="I716">
        <v>-0.21598568143687699</v>
      </c>
      <c r="J716">
        <v>1.3423700603808399E-2</v>
      </c>
      <c r="K716">
        <v>3.37733128422502E-2</v>
      </c>
    </row>
    <row r="717" spans="1:11" x14ac:dyDescent="0.2">
      <c r="A717">
        <v>716</v>
      </c>
      <c r="B717">
        <v>50</v>
      </c>
      <c r="C717" t="s">
        <v>715</v>
      </c>
      <c r="D717" s="13" t="s">
        <v>912</v>
      </c>
      <c r="E717" s="21">
        <v>172</v>
      </c>
      <c r="F717" s="1">
        <v>6.8725379514086899</v>
      </c>
      <c r="G717">
        <v>-7.3934861289990106E-2</v>
      </c>
      <c r="H717">
        <v>-3.5223387118761599E-3</v>
      </c>
      <c r="I717">
        <v>-0.32537817047456502</v>
      </c>
      <c r="J717">
        <v>-6.5874521085061394E-2</v>
      </c>
      <c r="K717">
        <v>-0.13689082323724699</v>
      </c>
    </row>
    <row r="718" spans="1:11" x14ac:dyDescent="0.2">
      <c r="A718">
        <v>717</v>
      </c>
      <c r="B718">
        <v>49</v>
      </c>
      <c r="C718" t="s">
        <v>716</v>
      </c>
      <c r="D718" s="13" t="s">
        <v>912</v>
      </c>
      <c r="E718" s="21">
        <v>175</v>
      </c>
      <c r="F718" s="1">
        <v>3.39873620816679</v>
      </c>
      <c r="G718">
        <v>-3.08076732646222E-2</v>
      </c>
      <c r="H718">
        <v>-0.114919911791726</v>
      </c>
      <c r="I718">
        <v>-0.25928643883228097</v>
      </c>
      <c r="J718">
        <v>-6.1147454206501903E-2</v>
      </c>
      <c r="K718">
        <v>-0.15008377499133099</v>
      </c>
    </row>
    <row r="719" spans="1:11" x14ac:dyDescent="0.2">
      <c r="A719">
        <v>718</v>
      </c>
      <c r="B719">
        <v>50</v>
      </c>
      <c r="C719" t="s">
        <v>717</v>
      </c>
      <c r="D719" s="13" t="s">
        <v>912</v>
      </c>
      <c r="E719" s="21">
        <v>172</v>
      </c>
      <c r="F719" s="1">
        <v>2.32875144677763</v>
      </c>
      <c r="G719">
        <v>-2.6255655197631299E-2</v>
      </c>
      <c r="H719">
        <v>7.2410116943241204E-2</v>
      </c>
      <c r="I719">
        <v>-0.208142528344779</v>
      </c>
      <c r="J719">
        <v>-6.15328089742192E-2</v>
      </c>
      <c r="K719">
        <v>-0.14637651200840099</v>
      </c>
    </row>
    <row r="720" spans="1:11" x14ac:dyDescent="0.2">
      <c r="A720">
        <v>719</v>
      </c>
      <c r="B720">
        <v>50</v>
      </c>
      <c r="C720" t="s">
        <v>718</v>
      </c>
      <c r="D720" s="13" t="s">
        <v>912</v>
      </c>
      <c r="E720" s="21">
        <v>172</v>
      </c>
      <c r="F720" s="1">
        <v>3.29041282769583</v>
      </c>
      <c r="G720">
        <v>-5.3448909000841802E-2</v>
      </c>
      <c r="H720">
        <v>0.15351111261591699</v>
      </c>
      <c r="I720">
        <v>2.2553465669223002E-2</v>
      </c>
      <c r="J720">
        <v>-3.54823020156457E-2</v>
      </c>
      <c r="K720">
        <v>-6.5262966127697705E-2</v>
      </c>
    </row>
    <row r="721" spans="1:11" x14ac:dyDescent="0.2">
      <c r="A721">
        <v>720</v>
      </c>
      <c r="B721">
        <v>39</v>
      </c>
      <c r="C721" t="s">
        <v>719</v>
      </c>
      <c r="D721" s="13" t="s">
        <v>913</v>
      </c>
      <c r="E721" s="21">
        <v>206</v>
      </c>
      <c r="F721" s="1">
        <v>0.631928469442119</v>
      </c>
      <c r="G721">
        <v>-5.75417608204647E-2</v>
      </c>
      <c r="H721">
        <v>-0.102214230327067</v>
      </c>
      <c r="I721">
        <v>-0.185903989412528</v>
      </c>
      <c r="J721">
        <v>8.1298039218605303E-3</v>
      </c>
      <c r="K721">
        <v>1.8215968407968901E-2</v>
      </c>
    </row>
    <row r="722" spans="1:11" x14ac:dyDescent="0.2">
      <c r="A722">
        <v>721</v>
      </c>
      <c r="B722">
        <v>46</v>
      </c>
      <c r="C722" t="s">
        <v>720</v>
      </c>
      <c r="D722" s="13" t="s">
        <v>912</v>
      </c>
      <c r="E722" s="21">
        <v>160</v>
      </c>
      <c r="F722" s="1">
        <v>1.6957803468536901</v>
      </c>
      <c r="G722">
        <v>-1.25573196732618E-2</v>
      </c>
      <c r="H722">
        <v>-2.19313269743119E-2</v>
      </c>
      <c r="I722">
        <v>1.28699369006033E-2</v>
      </c>
      <c r="J722">
        <v>-5.1812014522933401E-2</v>
      </c>
      <c r="K722">
        <v>-0.114713234540081</v>
      </c>
    </row>
    <row r="723" spans="1:11" x14ac:dyDescent="0.2">
      <c r="A723">
        <v>722</v>
      </c>
      <c r="B723">
        <v>35</v>
      </c>
      <c r="C723" t="s">
        <v>721</v>
      </c>
      <c r="D723" s="13" t="s">
        <v>913</v>
      </c>
      <c r="E723" s="21">
        <v>189</v>
      </c>
      <c r="F723" s="1">
        <v>1.32038516251083</v>
      </c>
      <c r="G723">
        <v>-8.0137519994224096E-2</v>
      </c>
      <c r="H723">
        <v>-0.26093384478663101</v>
      </c>
      <c r="I723">
        <v>-0.58843141472886296</v>
      </c>
      <c r="J723">
        <v>2.26279169224054E-2</v>
      </c>
      <c r="K723">
        <v>5.2791125314153302E-2</v>
      </c>
    </row>
    <row r="724" spans="1:11" x14ac:dyDescent="0.2">
      <c r="A724">
        <v>723</v>
      </c>
      <c r="B724">
        <v>53</v>
      </c>
      <c r="C724" t="s">
        <v>722</v>
      </c>
      <c r="D724" s="13" t="s">
        <v>912</v>
      </c>
      <c r="E724" s="21">
        <v>161</v>
      </c>
      <c r="F724" s="1">
        <v>5.4975027689279603</v>
      </c>
      <c r="G724">
        <v>-5.8030417839113398E-2</v>
      </c>
      <c r="H724">
        <v>-6.3796976171118597E-2</v>
      </c>
      <c r="I724">
        <v>-0.240102022847308</v>
      </c>
      <c r="J724">
        <v>-5.2094749166335899E-2</v>
      </c>
      <c r="K724">
        <v>-0.115418871521742</v>
      </c>
    </row>
    <row r="725" spans="1:11" x14ac:dyDescent="0.2">
      <c r="A725">
        <v>724</v>
      </c>
      <c r="B725">
        <v>50</v>
      </c>
      <c r="C725" t="s">
        <v>723</v>
      </c>
      <c r="D725" s="13" t="s">
        <v>912</v>
      </c>
      <c r="E725" s="21">
        <v>172</v>
      </c>
      <c r="F725" s="1">
        <v>-2.57547298610866</v>
      </c>
      <c r="G725">
        <v>3.7267331134714997E-2</v>
      </c>
      <c r="H725">
        <v>0.26375991406777199</v>
      </c>
      <c r="I725">
        <v>0.36281465522717898</v>
      </c>
      <c r="J725">
        <v>-3.6905982919422799E-2</v>
      </c>
      <c r="K725">
        <v>-5.6255768188189899E-2</v>
      </c>
    </row>
    <row r="726" spans="1:11" x14ac:dyDescent="0.2">
      <c r="A726">
        <v>725</v>
      </c>
      <c r="B726">
        <v>50</v>
      </c>
      <c r="C726" t="s">
        <v>724</v>
      </c>
      <c r="D726" s="13" t="s">
        <v>912</v>
      </c>
      <c r="E726" s="21">
        <v>172</v>
      </c>
      <c r="F726" s="1">
        <v>2.8483492484160999</v>
      </c>
      <c r="G726">
        <v>-3.8923281890505902E-2</v>
      </c>
      <c r="H726">
        <v>7.3359411504970102E-3</v>
      </c>
      <c r="I726">
        <v>-0.26668125662412401</v>
      </c>
      <c r="J726">
        <v>-6.0262902204138699E-2</v>
      </c>
      <c r="K726">
        <v>-0.125831982641603</v>
      </c>
    </row>
    <row r="727" spans="1:11" x14ac:dyDescent="0.2">
      <c r="A727">
        <v>726</v>
      </c>
      <c r="B727">
        <v>26</v>
      </c>
      <c r="C727" t="s">
        <v>725</v>
      </c>
      <c r="D727" s="13" t="s">
        <v>913</v>
      </c>
      <c r="E727" s="21">
        <v>208</v>
      </c>
      <c r="F727" s="1">
        <v>6.6151261254476097</v>
      </c>
      <c r="G727">
        <v>-8.6453414748938001E-2</v>
      </c>
      <c r="H727">
        <v>-0.103381718457802</v>
      </c>
      <c r="I727">
        <v>-0.34797748235667803</v>
      </c>
      <c r="J727">
        <v>4.3401181698896701E-2</v>
      </c>
      <c r="K727">
        <v>0.128504315140306</v>
      </c>
    </row>
    <row r="728" spans="1:11" x14ac:dyDescent="0.2">
      <c r="A728">
        <v>727</v>
      </c>
      <c r="B728">
        <v>37</v>
      </c>
      <c r="C728" t="s">
        <v>726</v>
      </c>
      <c r="D728" s="13" t="s">
        <v>913</v>
      </c>
      <c r="E728" s="21">
        <v>200</v>
      </c>
      <c r="F728" s="1">
        <v>5.3770987623908004</v>
      </c>
      <c r="G728">
        <v>-7.0542878253927202E-2</v>
      </c>
      <c r="H728">
        <v>-0.20460405584785499</v>
      </c>
      <c r="I728">
        <v>-0.482076217211241</v>
      </c>
      <c r="J728">
        <v>-1.07046258350506E-2</v>
      </c>
      <c r="K728">
        <v>-3.4688501266446202E-2</v>
      </c>
    </row>
    <row r="729" spans="1:11" x14ac:dyDescent="0.2">
      <c r="A729">
        <v>728</v>
      </c>
      <c r="B729">
        <v>23</v>
      </c>
      <c r="C729" t="s">
        <v>727</v>
      </c>
      <c r="D729" s="13" t="s">
        <v>913</v>
      </c>
      <c r="E729" s="21">
        <v>189</v>
      </c>
      <c r="F729" s="1">
        <v>2.2855045400353302</v>
      </c>
      <c r="G729">
        <v>-3.1200828177805201E-2</v>
      </c>
      <c r="H729">
        <v>3.0183887251714999E-2</v>
      </c>
      <c r="I729">
        <v>4.7819466361555103E-2</v>
      </c>
      <c r="J729">
        <v>1.7219022537746799E-2</v>
      </c>
      <c r="K729">
        <v>3.4420946611670701E-2</v>
      </c>
    </row>
    <row r="730" spans="1:11" x14ac:dyDescent="0.2">
      <c r="A730">
        <v>729</v>
      </c>
      <c r="B730">
        <v>21</v>
      </c>
      <c r="C730" t="s">
        <v>728</v>
      </c>
      <c r="D730" s="13" t="s">
        <v>913</v>
      </c>
      <c r="E730" s="21">
        <v>218</v>
      </c>
      <c r="F730" s="1">
        <v>1.1123676111054199</v>
      </c>
      <c r="G730">
        <v>-2.82751032806908E-2</v>
      </c>
      <c r="H730">
        <v>-8.6068208607767996E-2</v>
      </c>
      <c r="I730">
        <v>-6.8309482100371202E-2</v>
      </c>
      <c r="J730">
        <v>1.60261815438915E-3</v>
      </c>
      <c r="K730">
        <v>-2.7242662881634301E-2</v>
      </c>
    </row>
    <row r="731" spans="1:11" x14ac:dyDescent="0.2">
      <c r="A731">
        <v>730</v>
      </c>
      <c r="B731">
        <v>25</v>
      </c>
      <c r="C731" t="s">
        <v>729</v>
      </c>
      <c r="D731" s="13" t="s">
        <v>913</v>
      </c>
      <c r="E731" s="21">
        <v>208</v>
      </c>
      <c r="F731" s="1">
        <v>2.6886187992112398</v>
      </c>
      <c r="G731">
        <v>-5.0529721400283598E-2</v>
      </c>
      <c r="H731">
        <v>-7.1627422875680996E-2</v>
      </c>
      <c r="I731">
        <v>-0.27271561221965401</v>
      </c>
      <c r="J731">
        <v>-7.0151198533714302E-3</v>
      </c>
      <c r="K731">
        <v>-1.4024176278921901E-2</v>
      </c>
    </row>
    <row r="732" spans="1:11" x14ac:dyDescent="0.2">
      <c r="A732">
        <v>731</v>
      </c>
      <c r="B732">
        <v>46</v>
      </c>
      <c r="C732" t="s">
        <v>730</v>
      </c>
      <c r="D732" s="13" t="s">
        <v>912</v>
      </c>
      <c r="E732" s="21">
        <v>160</v>
      </c>
      <c r="F732" s="1">
        <v>1.2066237357657901</v>
      </c>
      <c r="G732">
        <v>-1.1605999645907999E-2</v>
      </c>
      <c r="H732">
        <v>-1.6119515780223199E-2</v>
      </c>
      <c r="I732">
        <v>1.36027959184608E-2</v>
      </c>
      <c r="J732">
        <v>-4.26618741363829E-2</v>
      </c>
      <c r="K732">
        <v>-8.4197186085336703E-2</v>
      </c>
    </row>
    <row r="733" spans="1:11" x14ac:dyDescent="0.2">
      <c r="A733">
        <v>732</v>
      </c>
      <c r="B733">
        <v>30</v>
      </c>
      <c r="C733" t="s">
        <v>731</v>
      </c>
      <c r="D733" s="13" t="s">
        <v>913</v>
      </c>
      <c r="E733" s="21">
        <v>317</v>
      </c>
      <c r="F733" s="1">
        <v>2.1263926066963701</v>
      </c>
      <c r="G733">
        <v>-3.8299221069904799E-2</v>
      </c>
      <c r="H733">
        <v>-0.14156420268665201</v>
      </c>
      <c r="I733">
        <v>-0.427180071620685</v>
      </c>
      <c r="J733">
        <v>-1.56397973290201E-2</v>
      </c>
      <c r="K733">
        <v>-3.3095936744539901E-2</v>
      </c>
    </row>
    <row r="734" spans="1:11" x14ac:dyDescent="0.2">
      <c r="A734">
        <v>733</v>
      </c>
      <c r="B734">
        <v>39</v>
      </c>
      <c r="C734" t="s">
        <v>732</v>
      </c>
      <c r="D734" s="13" t="s">
        <v>913</v>
      </c>
      <c r="E734" s="21">
        <v>206</v>
      </c>
      <c r="F734" s="1">
        <v>5.7366738786606302</v>
      </c>
      <c r="G734">
        <v>-4.4081365492388197E-2</v>
      </c>
      <c r="H734">
        <v>-0.14074377160923901</v>
      </c>
      <c r="I734">
        <v>-0.22403243834957601</v>
      </c>
      <c r="J734">
        <v>1.1861132323415499E-2</v>
      </c>
      <c r="K734">
        <v>2.9904490899974202E-2</v>
      </c>
    </row>
    <row r="735" spans="1:11" x14ac:dyDescent="0.2">
      <c r="A735">
        <v>734</v>
      </c>
      <c r="B735">
        <v>24</v>
      </c>
      <c r="C735" t="s">
        <v>733</v>
      </c>
      <c r="D735" s="13" t="s">
        <v>913</v>
      </c>
      <c r="E735" s="21">
        <v>354</v>
      </c>
      <c r="F735" s="1">
        <v>2.06719566212981</v>
      </c>
      <c r="G735">
        <v>-6.8629917625589995E-2</v>
      </c>
      <c r="H735">
        <v>-3.8691919970800302E-3</v>
      </c>
      <c r="I735">
        <v>-0.23118218827418199</v>
      </c>
      <c r="J735">
        <v>-1.1483746576840001E-2</v>
      </c>
      <c r="K735">
        <v>-3.3624934829756502E-2</v>
      </c>
    </row>
    <row r="736" spans="1:11" x14ac:dyDescent="0.2">
      <c r="A736">
        <v>735</v>
      </c>
      <c r="B736">
        <v>32</v>
      </c>
      <c r="C736" t="s">
        <v>734</v>
      </c>
      <c r="D736" s="13" t="s">
        <v>913</v>
      </c>
      <c r="E736" s="21">
        <v>199</v>
      </c>
      <c r="F736" s="1">
        <v>-2.0617894892333801</v>
      </c>
      <c r="G736">
        <v>2.6356707041736899E-2</v>
      </c>
      <c r="H736">
        <v>-6.9621397313327504E-2</v>
      </c>
      <c r="I736">
        <v>-4.8537163032695799E-2</v>
      </c>
      <c r="J736">
        <v>7.9331174098380506E-3</v>
      </c>
      <c r="K736">
        <v>-9.2466086026765006E-3</v>
      </c>
    </row>
    <row r="737" spans="1:11" x14ac:dyDescent="0.2">
      <c r="A737">
        <v>736</v>
      </c>
      <c r="B737">
        <v>29</v>
      </c>
      <c r="C737" t="s">
        <v>735</v>
      </c>
      <c r="D737" s="13" t="s">
        <v>913</v>
      </c>
      <c r="E737" s="21">
        <v>317</v>
      </c>
      <c r="F737" s="1">
        <v>5.8576964331179404</v>
      </c>
      <c r="G737">
        <v>-0.110912995489631</v>
      </c>
      <c r="H737">
        <v>-0.12088420214359701</v>
      </c>
      <c r="I737">
        <v>-0.68158591567881799</v>
      </c>
      <c r="J737">
        <v>-7.5863925289497702E-3</v>
      </c>
      <c r="K737">
        <v>-1.93471560808176E-2</v>
      </c>
    </row>
    <row r="738" spans="1:11" x14ac:dyDescent="0.2">
      <c r="A738">
        <v>737</v>
      </c>
      <c r="B738">
        <v>52</v>
      </c>
      <c r="C738" t="s">
        <v>736</v>
      </c>
      <c r="D738" s="13" t="s">
        <v>912</v>
      </c>
      <c r="E738" s="21">
        <v>164</v>
      </c>
      <c r="F738" s="1">
        <v>-1.63925780867198</v>
      </c>
      <c r="G738">
        <v>-1.45739519368955E-2</v>
      </c>
      <c r="H738">
        <v>-0.15998679033889601</v>
      </c>
      <c r="I738">
        <v>-0.34861237392251399</v>
      </c>
      <c r="J738">
        <v>-3.4553157485624597E-2</v>
      </c>
      <c r="K738">
        <v>-7.4340076992451098E-2</v>
      </c>
    </row>
    <row r="739" spans="1:11" x14ac:dyDescent="0.2">
      <c r="A739">
        <v>738</v>
      </c>
      <c r="B739">
        <v>22</v>
      </c>
      <c r="C739" t="s">
        <v>737</v>
      </c>
      <c r="D739" s="13" t="s">
        <v>913</v>
      </c>
      <c r="E739" s="21">
        <v>288</v>
      </c>
      <c r="F739" s="1">
        <v>-0.73576542020938396</v>
      </c>
      <c r="G739">
        <v>5.0571974611707302E-2</v>
      </c>
      <c r="H739">
        <v>6.7677452519438699E-2</v>
      </c>
      <c r="I739">
        <v>0.252101222064471</v>
      </c>
      <c r="J739" s="18">
        <v>-8.3854521672563695E-5</v>
      </c>
      <c r="K739">
        <v>1.8483268274790299E-2</v>
      </c>
    </row>
    <row r="740" spans="1:11" x14ac:dyDescent="0.2">
      <c r="A740">
        <v>739</v>
      </c>
      <c r="B740">
        <v>49</v>
      </c>
      <c r="C740" t="s">
        <v>738</v>
      </c>
      <c r="D740" s="13" t="s">
        <v>912</v>
      </c>
      <c r="E740" s="21">
        <v>175</v>
      </c>
      <c r="F740" s="1">
        <v>-0.76237941981641</v>
      </c>
      <c r="G740" s="18">
        <v>-1.8810021073536499E-5</v>
      </c>
      <c r="H740">
        <v>1.4630809755437801E-2</v>
      </c>
      <c r="I740">
        <v>2.1834090357003102E-3</v>
      </c>
      <c r="J740">
        <v>-1.41826719880164E-3</v>
      </c>
      <c r="K740">
        <v>-7.1533537019604302E-3</v>
      </c>
    </row>
    <row r="741" spans="1:11" x14ac:dyDescent="0.2">
      <c r="A741">
        <v>740</v>
      </c>
      <c r="B741">
        <v>38</v>
      </c>
      <c r="C741" t="s">
        <v>739</v>
      </c>
      <c r="D741" s="13" t="s">
        <v>913</v>
      </c>
      <c r="E741" s="21">
        <v>315</v>
      </c>
      <c r="F741" s="1">
        <v>1.15971560580254</v>
      </c>
      <c r="G741">
        <v>-4.7300568565352898E-2</v>
      </c>
      <c r="H741">
        <v>-4.88639507631713E-2</v>
      </c>
      <c r="I741">
        <v>-0.3156787897742</v>
      </c>
      <c r="J741">
        <v>1.94829528330249E-2</v>
      </c>
      <c r="K741">
        <v>5.9254360244369197E-2</v>
      </c>
    </row>
    <row r="742" spans="1:11" x14ac:dyDescent="0.2">
      <c r="A742">
        <v>741</v>
      </c>
      <c r="B742">
        <v>33</v>
      </c>
      <c r="C742" t="s">
        <v>740</v>
      </c>
      <c r="D742" s="13" t="s">
        <v>913</v>
      </c>
      <c r="E742" s="21">
        <v>304</v>
      </c>
      <c r="F742" s="1">
        <v>3.4570717660713099</v>
      </c>
      <c r="G742">
        <v>-3.0920204637165601E-2</v>
      </c>
      <c r="H742">
        <v>0.157367968884638</v>
      </c>
      <c r="I742">
        <v>8.0337738520818006E-2</v>
      </c>
      <c r="J742">
        <v>-2.2898103087130799E-2</v>
      </c>
      <c r="K742">
        <v>-5.63522046397563E-2</v>
      </c>
    </row>
    <row r="743" spans="1:11" x14ac:dyDescent="0.2">
      <c r="A743">
        <v>742</v>
      </c>
      <c r="B743">
        <v>35</v>
      </c>
      <c r="C743" t="s">
        <v>741</v>
      </c>
      <c r="D743" s="13" t="s">
        <v>913</v>
      </c>
      <c r="E743" s="21">
        <v>304</v>
      </c>
      <c r="F743" s="1">
        <v>2.9441562088477902</v>
      </c>
      <c r="G743">
        <v>-3.3586873152492702E-2</v>
      </c>
      <c r="H743">
        <v>-0.161894360416074</v>
      </c>
      <c r="I743">
        <v>-0.26883767400455699</v>
      </c>
      <c r="J743">
        <v>5.3802038574337699E-3</v>
      </c>
      <c r="K743">
        <v>-6.5342389408026003E-3</v>
      </c>
    </row>
    <row r="744" spans="1:11" x14ac:dyDescent="0.2">
      <c r="A744">
        <v>743</v>
      </c>
      <c r="B744">
        <v>25</v>
      </c>
      <c r="C744" t="s">
        <v>742</v>
      </c>
      <c r="D744" s="13" t="s">
        <v>913</v>
      </c>
      <c r="E744" s="21">
        <v>323</v>
      </c>
      <c r="F744" s="1">
        <v>3.1435543748935699</v>
      </c>
      <c r="G744">
        <v>-4.98157084296472E-2</v>
      </c>
      <c r="H744">
        <v>-8.1880676352165796E-2</v>
      </c>
      <c r="I744">
        <v>-0.25378136603783602</v>
      </c>
      <c r="J744">
        <v>-3.61690171461111E-2</v>
      </c>
      <c r="K744">
        <v>-7.2662556041948406E-2</v>
      </c>
    </row>
    <row r="745" spans="1:11" x14ac:dyDescent="0.2">
      <c r="A745">
        <v>744</v>
      </c>
      <c r="B745">
        <v>24</v>
      </c>
      <c r="C745" t="s">
        <v>743</v>
      </c>
      <c r="D745" s="13" t="s">
        <v>913</v>
      </c>
      <c r="E745" s="21">
        <v>354</v>
      </c>
      <c r="F745" s="1">
        <v>-4.0218585575396197</v>
      </c>
      <c r="G745">
        <v>0.10331674222694499</v>
      </c>
      <c r="H745">
        <v>0.32886501351736402</v>
      </c>
      <c r="I745">
        <v>0.69870812499736101</v>
      </c>
      <c r="J745">
        <v>6.4378784529132895E-4</v>
      </c>
      <c r="K745">
        <v>1.80020821305725E-2</v>
      </c>
    </row>
    <row r="746" spans="1:11" x14ac:dyDescent="0.2">
      <c r="A746">
        <v>745</v>
      </c>
      <c r="B746">
        <v>23</v>
      </c>
      <c r="C746" t="s">
        <v>744</v>
      </c>
      <c r="D746" s="13" t="s">
        <v>913</v>
      </c>
      <c r="E746" s="21">
        <v>304</v>
      </c>
      <c r="F746" s="1">
        <v>4.4558632696179696</v>
      </c>
      <c r="G746">
        <v>-3.5544943387457902E-2</v>
      </c>
      <c r="H746">
        <v>-4.4718511626686802E-2</v>
      </c>
      <c r="I746">
        <v>-1.95851515705757E-2</v>
      </c>
      <c r="J746">
        <v>7.2244845658313501E-4</v>
      </c>
      <c r="K746">
        <v>5.3967533181231197E-3</v>
      </c>
    </row>
    <row r="747" spans="1:11" x14ac:dyDescent="0.2">
      <c r="A747">
        <v>746</v>
      </c>
      <c r="B747">
        <v>21</v>
      </c>
      <c r="C747" t="s">
        <v>745</v>
      </c>
      <c r="D747" s="13" t="s">
        <v>913</v>
      </c>
      <c r="E747" s="21">
        <v>333</v>
      </c>
      <c r="F747" s="1">
        <v>3.4318311797327699</v>
      </c>
      <c r="G747">
        <v>-6.2059050266622097E-2</v>
      </c>
      <c r="H747">
        <v>-7.8960691147420395E-2</v>
      </c>
      <c r="I747">
        <v>-0.49155367610009199</v>
      </c>
      <c r="J747">
        <v>-3.97767511300735E-2</v>
      </c>
      <c r="K747">
        <v>-8.8198467611599801E-2</v>
      </c>
    </row>
    <row r="748" spans="1:11" x14ac:dyDescent="0.2">
      <c r="A748">
        <v>747</v>
      </c>
      <c r="B748">
        <v>22</v>
      </c>
      <c r="C748" t="s">
        <v>746</v>
      </c>
      <c r="D748" s="13" t="s">
        <v>913</v>
      </c>
      <c r="E748" s="21">
        <v>288</v>
      </c>
      <c r="F748" s="1">
        <v>4.1988628347237897</v>
      </c>
      <c r="G748">
        <v>-9.0203778261822798E-2</v>
      </c>
      <c r="H748">
        <v>-0.12214249868584599</v>
      </c>
      <c r="I748">
        <v>-0.43516968634161002</v>
      </c>
      <c r="J748">
        <v>-2.4311786761756502E-3</v>
      </c>
      <c r="K748">
        <v>4.3546826154025496E-3</v>
      </c>
    </row>
    <row r="749" spans="1:11" x14ac:dyDescent="0.2">
      <c r="A749">
        <v>748</v>
      </c>
      <c r="B749">
        <v>33</v>
      </c>
      <c r="C749" t="s">
        <v>747</v>
      </c>
      <c r="D749" s="13" t="s">
        <v>913</v>
      </c>
      <c r="E749" s="21">
        <v>304</v>
      </c>
      <c r="F749" s="1">
        <v>8.7314327750031602</v>
      </c>
      <c r="G749">
        <v>-0.15162598408980499</v>
      </c>
      <c r="H749">
        <v>-0.39414448922810003</v>
      </c>
      <c r="I749">
        <v>-0.98080195944467796</v>
      </c>
      <c r="J749">
        <v>6.6618138969714701E-4</v>
      </c>
      <c r="K749">
        <v>6.4655687361358499E-3</v>
      </c>
    </row>
    <row r="750" spans="1:11" x14ac:dyDescent="0.2">
      <c r="A750">
        <v>749</v>
      </c>
      <c r="B750">
        <v>30</v>
      </c>
      <c r="C750" t="s">
        <v>748</v>
      </c>
      <c r="D750" s="13" t="s">
        <v>913</v>
      </c>
      <c r="E750" s="21">
        <v>317</v>
      </c>
      <c r="F750" s="1">
        <v>2.7169513602011599</v>
      </c>
      <c r="G750">
        <v>-7.0441228800130998E-2</v>
      </c>
      <c r="H750">
        <v>-7.2390507291046194E-2</v>
      </c>
      <c r="I750">
        <v>-0.29456974348626802</v>
      </c>
      <c r="J750">
        <v>-1.33040439339762E-2</v>
      </c>
      <c r="K750">
        <v>-4.73295004026646E-2</v>
      </c>
    </row>
    <row r="751" spans="1:11" x14ac:dyDescent="0.2">
      <c r="A751">
        <v>750</v>
      </c>
      <c r="B751">
        <v>22</v>
      </c>
      <c r="C751" t="s">
        <v>749</v>
      </c>
      <c r="D751" s="13" t="s">
        <v>913</v>
      </c>
      <c r="E751" s="21">
        <v>288</v>
      </c>
      <c r="F751" s="1">
        <v>5.4311498644157599</v>
      </c>
      <c r="G751">
        <v>-0.107411635706645</v>
      </c>
      <c r="H751">
        <v>-0.20439420067310701</v>
      </c>
      <c r="I751">
        <v>-0.44095773015454598</v>
      </c>
      <c r="J751">
        <v>-6.47008932979943E-3</v>
      </c>
      <c r="K751">
        <v>-4.8631676363764399E-2</v>
      </c>
    </row>
    <row r="752" spans="1:11" x14ac:dyDescent="0.2">
      <c r="A752">
        <v>751</v>
      </c>
      <c r="B752">
        <v>25</v>
      </c>
      <c r="C752" t="s">
        <v>750</v>
      </c>
      <c r="D752" s="13" t="s">
        <v>913</v>
      </c>
      <c r="E752" s="21">
        <v>323</v>
      </c>
      <c r="F752" s="1">
        <v>0.18359954810781001</v>
      </c>
      <c r="G752">
        <v>-2.5484903926685097E-4</v>
      </c>
      <c r="H752">
        <v>2.1247984099908201E-2</v>
      </c>
      <c r="I752">
        <v>0.166290605309626</v>
      </c>
      <c r="J752">
        <v>1.42385927353882E-2</v>
      </c>
      <c r="K752">
        <v>3.6172560333110601E-2</v>
      </c>
    </row>
    <row r="753" spans="1:11" x14ac:dyDescent="0.2">
      <c r="A753">
        <v>752</v>
      </c>
      <c r="B753">
        <v>32</v>
      </c>
      <c r="C753" t="s">
        <v>751</v>
      </c>
      <c r="D753" s="13" t="s">
        <v>913</v>
      </c>
      <c r="E753" s="21">
        <v>314</v>
      </c>
      <c r="F753" s="1">
        <v>0.94554839333212004</v>
      </c>
      <c r="G753">
        <v>-4.21075134318733E-2</v>
      </c>
      <c r="H753">
        <v>-0.14748209666700399</v>
      </c>
      <c r="I753">
        <v>-0.44522352924806002</v>
      </c>
      <c r="J753">
        <v>-8.8717046966662896E-2</v>
      </c>
      <c r="K753">
        <v>-0.20387958934157699</v>
      </c>
    </row>
    <row r="754" spans="1:11" x14ac:dyDescent="0.2">
      <c r="A754">
        <v>753</v>
      </c>
      <c r="B754">
        <v>30</v>
      </c>
      <c r="C754" t="s">
        <v>752</v>
      </c>
      <c r="D754" s="13" t="s">
        <v>913</v>
      </c>
      <c r="E754" s="21">
        <v>317</v>
      </c>
      <c r="F754" s="1">
        <v>1.89121480791519</v>
      </c>
      <c r="G754">
        <v>-2.83971335746258E-2</v>
      </c>
      <c r="H754">
        <v>-5.8811492313130501E-2</v>
      </c>
      <c r="I754">
        <v>-4.0066852517550898E-2</v>
      </c>
      <c r="J754">
        <v>2.6544749362402901E-3</v>
      </c>
      <c r="K754">
        <v>1.00391312660436E-2</v>
      </c>
    </row>
    <row r="755" spans="1:11" x14ac:dyDescent="0.2">
      <c r="A755">
        <v>754</v>
      </c>
      <c r="B755">
        <v>29</v>
      </c>
      <c r="C755" t="s">
        <v>753</v>
      </c>
      <c r="D755" s="13" t="s">
        <v>913</v>
      </c>
      <c r="E755" s="21">
        <v>317</v>
      </c>
      <c r="F755" s="1">
        <v>7.7766094230607701</v>
      </c>
      <c r="G755">
        <v>-0.14771283452567599</v>
      </c>
      <c r="H755">
        <v>-0.41214018715731299</v>
      </c>
      <c r="I755">
        <v>-1.0559657273662599</v>
      </c>
      <c r="J755">
        <v>1.26898650348541E-2</v>
      </c>
      <c r="K755">
        <v>5.0871784697143901E-2</v>
      </c>
    </row>
    <row r="756" spans="1:11" x14ac:dyDescent="0.2">
      <c r="A756">
        <v>755</v>
      </c>
      <c r="B756">
        <v>50</v>
      </c>
      <c r="C756" t="s">
        <v>754</v>
      </c>
      <c r="D756" s="13" t="s">
        <v>912</v>
      </c>
      <c r="E756" s="21">
        <v>172</v>
      </c>
      <c r="F756" s="1">
        <v>2.8257950516652999</v>
      </c>
      <c r="G756">
        <v>-2.7019115761296899E-3</v>
      </c>
      <c r="H756">
        <v>0.15878535652252901</v>
      </c>
      <c r="I756">
        <v>-2.6867486415470599E-3</v>
      </c>
      <c r="J756">
        <v>-1.8177305614285801E-2</v>
      </c>
      <c r="K756">
        <v>-2.1070325068694801E-2</v>
      </c>
    </row>
    <row r="757" spans="1:11" x14ac:dyDescent="0.2">
      <c r="A757">
        <v>756</v>
      </c>
      <c r="B757">
        <v>37</v>
      </c>
      <c r="C757" t="s">
        <v>755</v>
      </c>
      <c r="D757" s="13" t="s">
        <v>913</v>
      </c>
      <c r="E757" s="21">
        <v>200</v>
      </c>
      <c r="F757" s="1">
        <v>5.17559089143045</v>
      </c>
      <c r="G757">
        <v>-2.42812048714359E-2</v>
      </c>
      <c r="H757">
        <v>-0.111472366503916</v>
      </c>
      <c r="I757">
        <v>-0.23117114912609599</v>
      </c>
      <c r="J757">
        <v>3.4342297540514703E-2</v>
      </c>
      <c r="K757">
        <v>0.107705288480478</v>
      </c>
    </row>
    <row r="758" spans="1:11" x14ac:dyDescent="0.2">
      <c r="A758">
        <v>757</v>
      </c>
      <c r="B758">
        <v>35</v>
      </c>
      <c r="C758" t="s">
        <v>756</v>
      </c>
      <c r="D758" s="13" t="s">
        <v>913</v>
      </c>
      <c r="E758" s="21">
        <v>189</v>
      </c>
      <c r="F758" s="1">
        <v>5.9459116229045001</v>
      </c>
      <c r="G758">
        <v>-0.150371587640029</v>
      </c>
      <c r="H758">
        <v>-0.360893774703479</v>
      </c>
      <c r="I758">
        <v>-0.896003821278756</v>
      </c>
      <c r="J758">
        <v>-8.71482723104828E-4</v>
      </c>
      <c r="K758">
        <v>-2.0669695469199199E-2</v>
      </c>
    </row>
    <row r="759" spans="1:11" x14ac:dyDescent="0.2">
      <c r="A759">
        <v>758</v>
      </c>
      <c r="B759">
        <v>51</v>
      </c>
      <c r="C759" t="s">
        <v>757</v>
      </c>
      <c r="D759" s="13" t="s">
        <v>912</v>
      </c>
      <c r="E759" s="21">
        <v>159</v>
      </c>
      <c r="F759" s="1">
        <v>7.2653241393763901</v>
      </c>
      <c r="G759">
        <v>-0.10121233642866501</v>
      </c>
      <c r="H759">
        <v>-0.13987459805869501</v>
      </c>
      <c r="I759">
        <v>-0.58854300532047399</v>
      </c>
      <c r="J759">
        <v>6.2322459047674304E-4</v>
      </c>
      <c r="K759">
        <v>-1.3710663087933299E-2</v>
      </c>
    </row>
    <row r="760" spans="1:11" x14ac:dyDescent="0.2">
      <c r="A760">
        <v>759</v>
      </c>
      <c r="B760">
        <v>24</v>
      </c>
      <c r="C760" t="s">
        <v>758</v>
      </c>
      <c r="D760" s="13" t="s">
        <v>913</v>
      </c>
      <c r="E760" s="21">
        <v>239</v>
      </c>
      <c r="F760" s="1">
        <v>-4.8853107608525601</v>
      </c>
      <c r="G760">
        <v>6.5074900902854005E-2</v>
      </c>
      <c r="H760">
        <v>0.23661777420851199</v>
      </c>
      <c r="I760">
        <v>0.662028805663471</v>
      </c>
      <c r="J760">
        <v>2.71117591021939E-3</v>
      </c>
      <c r="K760">
        <v>-1.0081352159287399E-2</v>
      </c>
    </row>
    <row r="761" spans="1:11" x14ac:dyDescent="0.2">
      <c r="A761">
        <v>760</v>
      </c>
      <c r="B761">
        <v>22</v>
      </c>
      <c r="C761" t="s">
        <v>759</v>
      </c>
      <c r="D761" s="13" t="s">
        <v>913</v>
      </c>
      <c r="E761" s="21">
        <v>173</v>
      </c>
      <c r="F761" s="1">
        <v>-1.21807843487584</v>
      </c>
      <c r="G761">
        <v>5.89721411197991E-2</v>
      </c>
      <c r="H761">
        <v>1.8352365095828101E-2</v>
      </c>
      <c r="I761">
        <v>0.19527107330132301</v>
      </c>
      <c r="J761">
        <v>4.54910173625711E-2</v>
      </c>
      <c r="K761">
        <v>0.140035289026128</v>
      </c>
    </row>
    <row r="762" spans="1:11" x14ac:dyDescent="0.2">
      <c r="A762">
        <v>761</v>
      </c>
      <c r="B762">
        <v>30</v>
      </c>
      <c r="C762" t="s">
        <v>760</v>
      </c>
      <c r="D762" s="13" t="s">
        <v>913</v>
      </c>
      <c r="E762" s="21">
        <v>202</v>
      </c>
      <c r="F762" s="1">
        <v>-3.2497669542812901</v>
      </c>
      <c r="G762">
        <v>4.5881992671719302E-2</v>
      </c>
      <c r="H762">
        <v>5.9062585747345998E-2</v>
      </c>
      <c r="I762">
        <v>0.23531832712586301</v>
      </c>
      <c r="J762">
        <v>2.50459254910105E-2</v>
      </c>
      <c r="K762">
        <v>5.1042223723004002E-2</v>
      </c>
    </row>
    <row r="763" spans="1:11" x14ac:dyDescent="0.2">
      <c r="A763">
        <v>762</v>
      </c>
      <c r="B763">
        <v>44</v>
      </c>
      <c r="C763" t="s">
        <v>761</v>
      </c>
      <c r="D763" s="13" t="s">
        <v>912</v>
      </c>
      <c r="E763" s="21">
        <v>173</v>
      </c>
      <c r="F763" s="1">
        <v>3.4625274586285602</v>
      </c>
      <c r="G763">
        <v>-7.3423762779254997E-2</v>
      </c>
      <c r="H763">
        <v>-0.18436534945823699</v>
      </c>
      <c r="I763">
        <v>-0.38254864488182</v>
      </c>
      <c r="J763">
        <v>-1.6800410484058E-2</v>
      </c>
      <c r="K763">
        <v>-3.01706350770393E-2</v>
      </c>
    </row>
    <row r="764" spans="1:11" x14ac:dyDescent="0.2">
      <c r="A764">
        <v>763</v>
      </c>
      <c r="B764">
        <v>49</v>
      </c>
      <c r="C764" t="s">
        <v>762</v>
      </c>
      <c r="D764" s="13" t="s">
        <v>912</v>
      </c>
      <c r="E764" s="21">
        <v>175</v>
      </c>
      <c r="F764" s="1">
        <v>3.7889246400130898</v>
      </c>
      <c r="G764">
        <v>-5.4932581452619297E-2</v>
      </c>
      <c r="H764">
        <v>-3.39305288213511E-2</v>
      </c>
      <c r="I764">
        <v>-0.13880721806587901</v>
      </c>
      <c r="J764">
        <v>8.2975269806818599E-3</v>
      </c>
      <c r="K764">
        <v>1.27068861092418E-2</v>
      </c>
    </row>
    <row r="765" spans="1:11" x14ac:dyDescent="0.2">
      <c r="A765">
        <v>764</v>
      </c>
      <c r="B765">
        <v>40</v>
      </c>
      <c r="C765" t="s">
        <v>763</v>
      </c>
      <c r="D765" s="13" t="s">
        <v>913</v>
      </c>
      <c r="E765" s="21">
        <v>202</v>
      </c>
      <c r="F765" s="1">
        <v>-3.4445410161897798</v>
      </c>
      <c r="G765">
        <v>6.4606010192176599E-2</v>
      </c>
      <c r="H765">
        <v>0.21999523243312599</v>
      </c>
      <c r="I765">
        <v>0.68025502447522002</v>
      </c>
      <c r="J765">
        <v>-4.7223782628720602E-3</v>
      </c>
      <c r="K765">
        <v>-4.0640390590360301E-2</v>
      </c>
    </row>
    <row r="766" spans="1:11" x14ac:dyDescent="0.2">
      <c r="A766">
        <v>765</v>
      </c>
      <c r="B766">
        <v>26</v>
      </c>
      <c r="C766" t="s">
        <v>764</v>
      </c>
      <c r="D766" s="13" t="s">
        <v>913</v>
      </c>
      <c r="E766" s="21">
        <v>208</v>
      </c>
      <c r="F766" s="1">
        <v>3.5517481958058599</v>
      </c>
      <c r="G766">
        <v>-3.6566106624081399E-2</v>
      </c>
      <c r="H766">
        <v>-3.7315996126500002E-2</v>
      </c>
      <c r="I766">
        <v>-0.15531287162305701</v>
      </c>
      <c r="J766">
        <v>2.96764896270411E-2</v>
      </c>
      <c r="K766">
        <v>9.48037630833337E-2</v>
      </c>
    </row>
    <row r="767" spans="1:11" x14ac:dyDescent="0.2">
      <c r="A767">
        <v>766</v>
      </c>
      <c r="B767">
        <v>42</v>
      </c>
      <c r="C767" t="s">
        <v>765</v>
      </c>
      <c r="D767" s="13" t="s">
        <v>912</v>
      </c>
      <c r="E767" s="21">
        <v>185</v>
      </c>
      <c r="F767" s="1">
        <v>2.9954609101480401</v>
      </c>
      <c r="G767">
        <v>-2.1048474378174899E-2</v>
      </c>
      <c r="H767">
        <v>2.55487023825819E-2</v>
      </c>
      <c r="I767">
        <v>-0.36070412765064702</v>
      </c>
      <c r="J767">
        <v>-4.2601061831923803E-2</v>
      </c>
      <c r="K767">
        <v>-0.103827590826694</v>
      </c>
    </row>
    <row r="768" spans="1:11" x14ac:dyDescent="0.2">
      <c r="A768">
        <v>767</v>
      </c>
      <c r="B768">
        <v>33</v>
      </c>
      <c r="C768" t="s">
        <v>766</v>
      </c>
      <c r="D768" s="13" t="s">
        <v>913</v>
      </c>
      <c r="E768" s="21">
        <v>189</v>
      </c>
      <c r="F768" s="1">
        <v>-3.6183524717213502</v>
      </c>
      <c r="G768">
        <v>5.2569894706923102E-2</v>
      </c>
      <c r="H768">
        <v>0.180580950357632</v>
      </c>
      <c r="I768">
        <v>0.62353942006352403</v>
      </c>
      <c r="J768">
        <v>7.8198914134577999E-3</v>
      </c>
      <c r="K768">
        <v>-1.42892298754815E-2</v>
      </c>
    </row>
    <row r="769" spans="1:11" x14ac:dyDescent="0.2">
      <c r="A769">
        <v>768</v>
      </c>
      <c r="B769">
        <v>50</v>
      </c>
      <c r="C769" t="s">
        <v>767</v>
      </c>
      <c r="D769" s="13" t="s">
        <v>912</v>
      </c>
      <c r="E769" s="21">
        <v>172</v>
      </c>
      <c r="F769" s="1">
        <v>-0.74155926305342501</v>
      </c>
      <c r="G769">
        <v>1.7513461881321801E-2</v>
      </c>
      <c r="H769">
        <v>0.28306778503862501</v>
      </c>
      <c r="I769">
        <v>0.39170922084774701</v>
      </c>
      <c r="J769">
        <v>-4.3308807060079502E-2</v>
      </c>
      <c r="K769">
        <v>-7.9424191086823706E-2</v>
      </c>
    </row>
    <row r="770" spans="1:11" x14ac:dyDescent="0.2">
      <c r="A770">
        <v>769</v>
      </c>
      <c r="B770">
        <v>45</v>
      </c>
      <c r="C770" t="s">
        <v>768</v>
      </c>
      <c r="D770" s="13" t="s">
        <v>912</v>
      </c>
      <c r="E770" s="21">
        <v>182</v>
      </c>
      <c r="F770" s="1">
        <v>3.7306367146553199</v>
      </c>
      <c r="G770">
        <v>-9.8012669020772797E-2</v>
      </c>
      <c r="H770">
        <v>-8.5906482277188403E-2</v>
      </c>
      <c r="I770">
        <v>-0.68650845288666995</v>
      </c>
      <c r="J770">
        <v>-5.50511359117359E-3</v>
      </c>
      <c r="K770">
        <v>-8.6539324505306107E-3</v>
      </c>
    </row>
    <row r="771" spans="1:11" x14ac:dyDescent="0.2">
      <c r="A771">
        <v>770</v>
      </c>
      <c r="B771">
        <v>50</v>
      </c>
      <c r="C771" t="s">
        <v>769</v>
      </c>
      <c r="D771" s="13" t="s">
        <v>912</v>
      </c>
      <c r="E771" s="21">
        <v>172</v>
      </c>
      <c r="F771" s="1">
        <v>1.65506961471992</v>
      </c>
      <c r="G771">
        <v>-3.2102120358859301E-2</v>
      </c>
      <c r="H771">
        <v>-2.9214542291419801E-2</v>
      </c>
      <c r="I771">
        <v>-0.33040661730988802</v>
      </c>
      <c r="J771">
        <v>-6.6516790218239405E-2</v>
      </c>
      <c r="K771">
        <v>-0.15101766250638199</v>
      </c>
    </row>
    <row r="772" spans="1:11" x14ac:dyDescent="0.2">
      <c r="A772">
        <v>771</v>
      </c>
      <c r="B772">
        <v>21</v>
      </c>
      <c r="C772" t="s">
        <v>770</v>
      </c>
      <c r="D772" s="13" t="s">
        <v>913</v>
      </c>
      <c r="E772" s="21">
        <v>218</v>
      </c>
      <c r="F772" s="1">
        <v>0.712858032803519</v>
      </c>
      <c r="G772">
        <v>-1.56200055843743E-2</v>
      </c>
      <c r="H772">
        <v>-8.6245143594152196E-2</v>
      </c>
      <c r="I772">
        <v>-0.14491312874727599</v>
      </c>
      <c r="J772">
        <v>1.5506850640829699E-2</v>
      </c>
      <c r="K772">
        <v>3.12517080178926E-2</v>
      </c>
    </row>
    <row r="773" spans="1:11" x14ac:dyDescent="0.2">
      <c r="A773">
        <v>772</v>
      </c>
      <c r="B773">
        <v>29</v>
      </c>
      <c r="C773" t="s">
        <v>771</v>
      </c>
      <c r="D773" s="13" t="s">
        <v>913</v>
      </c>
      <c r="E773" s="21">
        <v>202</v>
      </c>
      <c r="F773" s="1">
        <v>-5.4471860536375596</v>
      </c>
      <c r="G773">
        <v>9.4414497330917904E-2</v>
      </c>
      <c r="H773">
        <v>0.13498707911941099</v>
      </c>
      <c r="I773">
        <v>0.46456409068285598</v>
      </c>
      <c r="J773">
        <v>5.9839683185951799E-3</v>
      </c>
      <c r="K773">
        <v>2.22204500736493E-3</v>
      </c>
    </row>
    <row r="774" spans="1:11" x14ac:dyDescent="0.2">
      <c r="A774">
        <v>773</v>
      </c>
      <c r="B774">
        <v>30</v>
      </c>
      <c r="C774" t="s">
        <v>772</v>
      </c>
      <c r="D774" s="13" t="s">
        <v>913</v>
      </c>
      <c r="E774" s="21">
        <v>202</v>
      </c>
      <c r="F774" s="1">
        <v>-6.7976793104608202</v>
      </c>
      <c r="G774">
        <v>0.102567343571158</v>
      </c>
      <c r="H774">
        <v>0.17154058140169201</v>
      </c>
      <c r="I774">
        <v>0.56996939193333096</v>
      </c>
      <c r="J774">
        <v>2.3351267815871601E-2</v>
      </c>
      <c r="K774">
        <v>7.0292408713791901E-2</v>
      </c>
    </row>
    <row r="775" spans="1:11" x14ac:dyDescent="0.2">
      <c r="A775">
        <v>774</v>
      </c>
      <c r="B775">
        <v>26</v>
      </c>
      <c r="C775" t="s">
        <v>773</v>
      </c>
      <c r="D775" s="13" t="s">
        <v>913</v>
      </c>
      <c r="E775" s="21">
        <v>208</v>
      </c>
      <c r="F775" s="1">
        <v>6.1212769634794197</v>
      </c>
      <c r="G775">
        <v>-6.8645749546187101E-2</v>
      </c>
      <c r="H775">
        <v>-0.13777978473115901</v>
      </c>
      <c r="I775">
        <v>-0.35845690197580798</v>
      </c>
      <c r="J775">
        <v>4.3786518864381202E-2</v>
      </c>
      <c r="K775">
        <v>0.146423527096819</v>
      </c>
    </row>
    <row r="776" spans="1:11" x14ac:dyDescent="0.2">
      <c r="A776">
        <v>775</v>
      </c>
      <c r="B776">
        <v>21</v>
      </c>
      <c r="C776" t="s">
        <v>774</v>
      </c>
      <c r="D776" s="13" t="s">
        <v>913</v>
      </c>
      <c r="E776" s="21">
        <v>218</v>
      </c>
      <c r="F776" s="1">
        <v>3.1314742263592801</v>
      </c>
      <c r="G776">
        <v>-4.0835779565998903E-2</v>
      </c>
      <c r="H776">
        <v>-8.9743872619981097E-2</v>
      </c>
      <c r="I776">
        <v>-0.173719284192169</v>
      </c>
      <c r="J776">
        <v>3.8738754936878E-3</v>
      </c>
      <c r="K776">
        <v>-3.0370345585822999E-3</v>
      </c>
    </row>
    <row r="777" spans="1:11" x14ac:dyDescent="0.2">
      <c r="A777">
        <v>776</v>
      </c>
      <c r="B777">
        <v>23</v>
      </c>
      <c r="C777" t="s">
        <v>775</v>
      </c>
      <c r="D777" s="13" t="s">
        <v>913</v>
      </c>
      <c r="E777" s="21">
        <v>189</v>
      </c>
      <c r="F777" s="1">
        <v>0.57574677934123797</v>
      </c>
      <c r="G777">
        <v>-3.4762083508287599E-2</v>
      </c>
      <c r="H777">
        <v>-1.1723091447100299E-2</v>
      </c>
      <c r="I777">
        <v>-3.4535831728152999E-2</v>
      </c>
      <c r="J777">
        <v>2.2510713043299099E-2</v>
      </c>
      <c r="K777">
        <v>7.8346953467779396E-2</v>
      </c>
    </row>
    <row r="778" spans="1:11" x14ac:dyDescent="0.2">
      <c r="A778">
        <v>777</v>
      </c>
      <c r="B778">
        <v>39</v>
      </c>
      <c r="C778" t="s">
        <v>776</v>
      </c>
      <c r="D778" s="13" t="s">
        <v>913</v>
      </c>
      <c r="E778" s="21">
        <v>206</v>
      </c>
      <c r="F778" s="1">
        <v>4.2491681670174</v>
      </c>
      <c r="G778">
        <v>-7.3543363293778197E-2</v>
      </c>
      <c r="H778">
        <v>-0.16338968603963899</v>
      </c>
      <c r="I778">
        <v>-0.31842774765174398</v>
      </c>
      <c r="J778">
        <v>-4.8190122634436602E-3</v>
      </c>
      <c r="K778">
        <v>-3.7060068887182503E-2</v>
      </c>
    </row>
    <row r="779" spans="1:11" x14ac:dyDescent="0.2">
      <c r="A779">
        <v>778</v>
      </c>
      <c r="B779">
        <v>39</v>
      </c>
      <c r="C779" t="s">
        <v>777</v>
      </c>
      <c r="D779" s="13" t="s">
        <v>913</v>
      </c>
      <c r="E779" s="21">
        <v>206</v>
      </c>
      <c r="F779" s="1">
        <v>4.5322309388345197</v>
      </c>
      <c r="G779">
        <v>-6.8695663319072398E-2</v>
      </c>
      <c r="H779">
        <v>-0.19358036376596499</v>
      </c>
      <c r="I779">
        <v>-0.37919005805401601</v>
      </c>
      <c r="J779">
        <v>-1.1377240963073799E-3</v>
      </c>
      <c r="K779">
        <v>-2.6751939628803199E-2</v>
      </c>
    </row>
    <row r="780" spans="1:11" x14ac:dyDescent="0.2">
      <c r="A780">
        <v>779</v>
      </c>
      <c r="B780">
        <v>28</v>
      </c>
      <c r="C780" t="s">
        <v>778</v>
      </c>
      <c r="D780" s="13" t="s">
        <v>913</v>
      </c>
      <c r="E780" s="21">
        <v>242</v>
      </c>
      <c r="F780" s="1">
        <v>-8.6865011706803603</v>
      </c>
      <c r="G780">
        <v>7.9954104553380603E-2</v>
      </c>
      <c r="H780">
        <v>0.32710659792320002</v>
      </c>
      <c r="I780">
        <v>0.99320191490057397</v>
      </c>
      <c r="J780">
        <v>-3.2482068727122303E-2</v>
      </c>
      <c r="K780">
        <v>-1.32818786756613E-2</v>
      </c>
    </row>
    <row r="781" spans="1:11" x14ac:dyDescent="0.2">
      <c r="A781">
        <v>780</v>
      </c>
      <c r="B781">
        <v>35</v>
      </c>
      <c r="C781" t="s">
        <v>779</v>
      </c>
      <c r="D781" s="13" t="s">
        <v>913</v>
      </c>
      <c r="E781" s="21">
        <v>304</v>
      </c>
      <c r="F781" s="1">
        <v>-2.5926047423745802</v>
      </c>
      <c r="G781">
        <v>2.4708757220301501E-2</v>
      </c>
      <c r="H781">
        <v>6.1571375805920099E-2</v>
      </c>
      <c r="I781">
        <v>0.18032185369578299</v>
      </c>
      <c r="J781">
        <v>-1.0334545132638999E-2</v>
      </c>
      <c r="K781">
        <v>-6.7967499810715995E-2</v>
      </c>
    </row>
    <row r="782" spans="1:11" x14ac:dyDescent="0.2">
      <c r="A782">
        <v>781</v>
      </c>
      <c r="B782">
        <v>44</v>
      </c>
      <c r="C782" t="s">
        <v>780</v>
      </c>
      <c r="D782" s="13" t="s">
        <v>912</v>
      </c>
      <c r="E782" s="21">
        <v>173</v>
      </c>
      <c r="F782" s="1">
        <v>-1.7771577656943101</v>
      </c>
      <c r="G782">
        <v>-6.88045477637306E-2</v>
      </c>
      <c r="H782">
        <v>-0.22035579844797401</v>
      </c>
      <c r="I782">
        <v>-0.52683084402112801</v>
      </c>
      <c r="J782">
        <v>-7.7471160902006899E-3</v>
      </c>
      <c r="K782">
        <v>-3.9770121712904401E-2</v>
      </c>
    </row>
    <row r="783" spans="1:11" x14ac:dyDescent="0.2">
      <c r="A783">
        <v>782</v>
      </c>
      <c r="B783">
        <v>24</v>
      </c>
      <c r="C783" t="s">
        <v>781</v>
      </c>
      <c r="D783" s="13" t="s">
        <v>913</v>
      </c>
      <c r="E783" s="21">
        <v>354</v>
      </c>
      <c r="F783" s="1">
        <v>1.11028074111247</v>
      </c>
      <c r="G783">
        <v>5.8310872606774797E-2</v>
      </c>
      <c r="H783">
        <v>3.2531942926664101E-2</v>
      </c>
      <c r="I783">
        <v>0.25732536150867402</v>
      </c>
      <c r="J783">
        <v>2.17405144827214E-2</v>
      </c>
      <c r="K783">
        <v>6.5563899156490801E-2</v>
      </c>
    </row>
    <row r="784" spans="1:11" x14ac:dyDescent="0.2">
      <c r="A784">
        <v>783</v>
      </c>
      <c r="B784">
        <v>46</v>
      </c>
      <c r="C784" t="s">
        <v>782</v>
      </c>
      <c r="D784" s="13" t="s">
        <v>912</v>
      </c>
      <c r="E784" s="21">
        <v>160</v>
      </c>
      <c r="F784" s="1">
        <v>2.3444887075207399</v>
      </c>
      <c r="G784">
        <v>-3.4772163443059403E-2</v>
      </c>
      <c r="H784">
        <v>-3.5821048694665097E-2</v>
      </c>
      <c r="I784">
        <v>-5.9566430484735998E-2</v>
      </c>
      <c r="J784">
        <v>-3.7879620600420098E-2</v>
      </c>
      <c r="K784">
        <v>-7.6110782266961899E-2</v>
      </c>
    </row>
    <row r="785" spans="1:11" x14ac:dyDescent="0.2">
      <c r="A785">
        <v>784</v>
      </c>
      <c r="B785">
        <v>37</v>
      </c>
      <c r="C785" t="s">
        <v>783</v>
      </c>
      <c r="D785" s="13" t="s">
        <v>913</v>
      </c>
      <c r="E785" s="21">
        <v>315</v>
      </c>
      <c r="F785" s="1">
        <v>0.519761976175387</v>
      </c>
      <c r="G785">
        <v>1.94775941704186E-2</v>
      </c>
      <c r="H785">
        <v>0.24726514440942901</v>
      </c>
      <c r="I785">
        <v>0.33727520847479397</v>
      </c>
      <c r="J785">
        <v>-7.7896275271790397E-2</v>
      </c>
      <c r="K785">
        <v>-0.19581666428091499</v>
      </c>
    </row>
    <row r="786" spans="1:11" x14ac:dyDescent="0.2">
      <c r="A786">
        <v>785</v>
      </c>
      <c r="B786">
        <v>54</v>
      </c>
      <c r="C786" t="s">
        <v>784</v>
      </c>
      <c r="D786" s="13" t="s">
        <v>912</v>
      </c>
      <c r="E786" s="21">
        <v>170</v>
      </c>
      <c r="F786" s="1">
        <v>-0.39255670726071501</v>
      </c>
      <c r="G786">
        <v>-4.2605457314262497E-2</v>
      </c>
      <c r="H786">
        <v>-0.134600759848574</v>
      </c>
      <c r="I786">
        <v>-0.43872709237445101</v>
      </c>
      <c r="J786">
        <v>-2.16604774112505E-2</v>
      </c>
      <c r="K786">
        <v>-5.4096566711600402E-2</v>
      </c>
    </row>
    <row r="787" spans="1:11" x14ac:dyDescent="0.2">
      <c r="A787">
        <v>786</v>
      </c>
      <c r="B787">
        <v>31</v>
      </c>
      <c r="C787" t="s">
        <v>785</v>
      </c>
      <c r="D787" s="13" t="s">
        <v>913</v>
      </c>
      <c r="E787" s="21">
        <v>314</v>
      </c>
      <c r="F787" s="1">
        <v>-0.46979562365272098</v>
      </c>
      <c r="G787">
        <v>3.6464894575763199E-2</v>
      </c>
      <c r="H787">
        <v>5.7161231614804103E-2</v>
      </c>
      <c r="I787">
        <v>0.22525706991907099</v>
      </c>
      <c r="J787">
        <v>-1.51779789913494E-2</v>
      </c>
      <c r="K787">
        <v>-5.8183068502580003E-2</v>
      </c>
    </row>
    <row r="788" spans="1:11" x14ac:dyDescent="0.2">
      <c r="A788">
        <v>787</v>
      </c>
      <c r="B788">
        <v>42</v>
      </c>
      <c r="C788" t="s">
        <v>786</v>
      </c>
      <c r="D788" s="13" t="s">
        <v>912</v>
      </c>
      <c r="E788" s="21">
        <v>185</v>
      </c>
      <c r="F788" s="1">
        <v>-0.11810885847080201</v>
      </c>
      <c r="G788">
        <v>6.7370047988819597E-4</v>
      </c>
      <c r="H788">
        <v>0.112196579387586</v>
      </c>
      <c r="I788">
        <v>-0.44740744869789401</v>
      </c>
      <c r="J788">
        <v>-4.4592640620732003E-2</v>
      </c>
      <c r="K788">
        <v>-0.102867398524147</v>
      </c>
    </row>
    <row r="789" spans="1:11" x14ac:dyDescent="0.2">
      <c r="A789">
        <v>788</v>
      </c>
      <c r="B789">
        <v>33</v>
      </c>
      <c r="C789" t="s">
        <v>787</v>
      </c>
      <c r="D789" s="13" t="s">
        <v>913</v>
      </c>
      <c r="E789" s="21">
        <v>304</v>
      </c>
      <c r="F789" s="1">
        <v>-0.23196694897793901</v>
      </c>
      <c r="G789">
        <v>-1.9646690027664102E-2</v>
      </c>
      <c r="H789">
        <v>-7.4374620483205006E-2</v>
      </c>
      <c r="I789">
        <v>-0.112414665618798</v>
      </c>
      <c r="J789">
        <v>-2.9834592212424599E-2</v>
      </c>
      <c r="K789">
        <v>-0.107487341953003</v>
      </c>
    </row>
    <row r="790" spans="1:11" x14ac:dyDescent="0.2">
      <c r="A790">
        <v>789</v>
      </c>
      <c r="B790">
        <v>37</v>
      </c>
      <c r="C790" t="s">
        <v>788</v>
      </c>
      <c r="D790" s="13" t="s">
        <v>913</v>
      </c>
      <c r="E790" s="21">
        <v>315</v>
      </c>
      <c r="F790" s="1">
        <v>4.5528200345288896</v>
      </c>
      <c r="G790">
        <v>-6.8523884146335506E-2</v>
      </c>
      <c r="H790">
        <v>-0.14695419882423699</v>
      </c>
      <c r="I790">
        <v>-0.43804858187861001</v>
      </c>
      <c r="J790">
        <v>-8.9671595097250006E-2</v>
      </c>
      <c r="K790">
        <v>-0.22964536397354299</v>
      </c>
    </row>
    <row r="791" spans="1:11" x14ac:dyDescent="0.2">
      <c r="A791">
        <v>790</v>
      </c>
      <c r="B791">
        <v>39</v>
      </c>
      <c r="C791" t="s">
        <v>789</v>
      </c>
      <c r="D791" s="13" t="s">
        <v>913</v>
      </c>
      <c r="E791" s="21">
        <v>321</v>
      </c>
      <c r="F791" s="1">
        <v>4.5053479107874601</v>
      </c>
      <c r="G791">
        <v>-5.9550013751220397E-2</v>
      </c>
      <c r="H791">
        <v>-8.1046048738218399E-2</v>
      </c>
      <c r="I791">
        <v>-0.28338409999779002</v>
      </c>
      <c r="J791">
        <v>-2.3634605898113E-2</v>
      </c>
      <c r="K791">
        <v>-5.9543454494611701E-2</v>
      </c>
    </row>
    <row r="792" spans="1:11" x14ac:dyDescent="0.2">
      <c r="A792">
        <v>791</v>
      </c>
      <c r="B792">
        <v>25</v>
      </c>
      <c r="C792" t="s">
        <v>790</v>
      </c>
      <c r="D792" s="13" t="s">
        <v>913</v>
      </c>
      <c r="E792" s="21">
        <v>323</v>
      </c>
      <c r="F792" s="1">
        <v>4.0300089923045599</v>
      </c>
      <c r="G792">
        <v>-5.0506799802590999E-2</v>
      </c>
      <c r="H792">
        <v>-0.102630886099463</v>
      </c>
      <c r="I792">
        <v>-0.19216211323440499</v>
      </c>
      <c r="J792">
        <v>1.73964464681114E-2</v>
      </c>
      <c r="K792">
        <v>2.79952464061042E-2</v>
      </c>
    </row>
    <row r="793" spans="1:11" x14ac:dyDescent="0.2">
      <c r="A793">
        <v>792</v>
      </c>
      <c r="B793">
        <v>34</v>
      </c>
      <c r="C793" t="s">
        <v>791</v>
      </c>
      <c r="D793" s="13" t="s">
        <v>913</v>
      </c>
      <c r="E793" s="21">
        <v>304</v>
      </c>
      <c r="F793" s="1">
        <v>1.7477612805540299</v>
      </c>
      <c r="G793">
        <v>-2.1010140709145E-2</v>
      </c>
      <c r="H793">
        <v>-0.11589972301627199</v>
      </c>
      <c r="I793">
        <v>-0.33325512099013099</v>
      </c>
      <c r="J793">
        <v>-1.8578407582627701E-2</v>
      </c>
      <c r="K793">
        <v>-5.0681036670262698E-2</v>
      </c>
    </row>
    <row r="794" spans="1:11" x14ac:dyDescent="0.2">
      <c r="A794">
        <v>793</v>
      </c>
      <c r="B794">
        <v>30</v>
      </c>
      <c r="C794" t="s">
        <v>792</v>
      </c>
      <c r="D794" s="13" t="s">
        <v>913</v>
      </c>
      <c r="E794" s="21">
        <v>317</v>
      </c>
      <c r="F794" s="1">
        <v>3.0969537796040298</v>
      </c>
      <c r="G794">
        <v>-8.8743075432270502E-2</v>
      </c>
      <c r="H794">
        <v>-0.200755386782832</v>
      </c>
      <c r="I794">
        <v>-0.62489738334043499</v>
      </c>
      <c r="J794">
        <v>-9.7493722423543702E-3</v>
      </c>
      <c r="K794">
        <v>-2.4787227866614799E-2</v>
      </c>
    </row>
    <row r="795" spans="1:11" x14ac:dyDescent="0.2">
      <c r="A795">
        <v>794</v>
      </c>
      <c r="B795">
        <v>35</v>
      </c>
      <c r="C795" t="s">
        <v>793</v>
      </c>
      <c r="D795" s="13" t="s">
        <v>913</v>
      </c>
      <c r="E795" s="21">
        <v>304</v>
      </c>
      <c r="F795" s="1">
        <v>2.1112299031080202</v>
      </c>
      <c r="G795">
        <v>-3.1355885423946003E-2</v>
      </c>
      <c r="H795">
        <v>5.7006985945253802E-2</v>
      </c>
      <c r="I795">
        <v>0.17652403060330099</v>
      </c>
      <c r="J795">
        <v>-1.3289285881749199E-2</v>
      </c>
      <c r="K795">
        <v>-7.5359179159155104E-2</v>
      </c>
    </row>
    <row r="796" spans="1:11" x14ac:dyDescent="0.2">
      <c r="A796">
        <v>795</v>
      </c>
      <c r="B796">
        <v>28</v>
      </c>
      <c r="C796" t="s">
        <v>794</v>
      </c>
      <c r="D796" s="13" t="s">
        <v>913</v>
      </c>
      <c r="E796" s="21">
        <v>357</v>
      </c>
      <c r="F796" s="1">
        <v>5.0122039476283602</v>
      </c>
      <c r="G796">
        <v>-6.4556841506116194E-2</v>
      </c>
      <c r="H796">
        <v>0.11913936944311899</v>
      </c>
      <c r="I796">
        <v>4.4784568676592203E-2</v>
      </c>
      <c r="J796">
        <v>-2.1375216523563698E-2</v>
      </c>
      <c r="K796">
        <v>-4.1528583666934897E-2</v>
      </c>
    </row>
    <row r="797" spans="1:11" x14ac:dyDescent="0.2">
      <c r="A797">
        <v>796</v>
      </c>
      <c r="B797">
        <v>31</v>
      </c>
      <c r="C797" t="s">
        <v>795</v>
      </c>
      <c r="D797" s="13" t="s">
        <v>913</v>
      </c>
      <c r="E797" s="21">
        <v>314</v>
      </c>
      <c r="F797" s="1">
        <v>0.87098188485841699</v>
      </c>
      <c r="G797">
        <v>-4.3895288892705801E-3</v>
      </c>
      <c r="H797">
        <v>4.6813806452557401E-2</v>
      </c>
      <c r="I797">
        <v>0.26469585245701999</v>
      </c>
      <c r="J797">
        <v>-8.3322705216467305E-4</v>
      </c>
      <c r="K797">
        <v>-2.1449061327283501E-2</v>
      </c>
    </row>
    <row r="798" spans="1:11" x14ac:dyDescent="0.2">
      <c r="A798">
        <v>797</v>
      </c>
      <c r="B798">
        <v>21</v>
      </c>
      <c r="C798" t="s">
        <v>796</v>
      </c>
      <c r="D798" s="13" t="s">
        <v>913</v>
      </c>
      <c r="E798" s="21">
        <v>333</v>
      </c>
      <c r="F798" s="1">
        <v>4.0362047543390602</v>
      </c>
      <c r="G798">
        <v>-7.7838301171424304E-2</v>
      </c>
      <c r="H798">
        <v>-0.10253450414508</v>
      </c>
      <c r="I798">
        <v>-0.38960576900516403</v>
      </c>
      <c r="J798">
        <v>-2.0065048221180999E-2</v>
      </c>
      <c r="K798">
        <v>-3.2336738908573498E-2</v>
      </c>
    </row>
    <row r="799" spans="1:11" x14ac:dyDescent="0.2">
      <c r="A799">
        <v>798</v>
      </c>
      <c r="B799">
        <v>40</v>
      </c>
      <c r="C799" t="s">
        <v>797</v>
      </c>
      <c r="D799" s="13" t="s">
        <v>913</v>
      </c>
      <c r="E799" s="21">
        <v>317</v>
      </c>
      <c r="F799" s="1">
        <v>0.37203492770009</v>
      </c>
      <c r="G799">
        <v>-2.04975840377335E-2</v>
      </c>
      <c r="H799">
        <v>4.1835824882942704E-3</v>
      </c>
      <c r="I799">
        <v>-0.44636817281440899</v>
      </c>
      <c r="J799">
        <v>-3.5981714558701902E-2</v>
      </c>
      <c r="K799">
        <v>-7.4871492384885205E-2</v>
      </c>
    </row>
    <row r="800" spans="1:11" x14ac:dyDescent="0.2">
      <c r="A800">
        <v>799</v>
      </c>
      <c r="B800">
        <v>32</v>
      </c>
      <c r="C800" t="s">
        <v>798</v>
      </c>
      <c r="D800" s="13" t="s">
        <v>913</v>
      </c>
      <c r="E800" s="21">
        <v>314</v>
      </c>
      <c r="F800" s="1">
        <v>3.90493000640395</v>
      </c>
      <c r="G800">
        <v>-9.6904685176690306E-2</v>
      </c>
      <c r="H800">
        <v>-0.29920828675460798</v>
      </c>
      <c r="I800">
        <v>-0.68694998066130297</v>
      </c>
      <c r="J800">
        <v>-6.2057412510040204E-3</v>
      </c>
      <c r="K800">
        <v>-3.6908440557195499E-2</v>
      </c>
    </row>
    <row r="801" spans="1:11" x14ac:dyDescent="0.2">
      <c r="A801">
        <v>800</v>
      </c>
      <c r="B801">
        <v>39</v>
      </c>
      <c r="C801" t="s">
        <v>799</v>
      </c>
      <c r="D801" s="13" t="s">
        <v>913</v>
      </c>
      <c r="E801" s="21">
        <v>321</v>
      </c>
      <c r="F801" s="1">
        <v>2.9543887127196098</v>
      </c>
      <c r="G801">
        <v>-4.6265031645869502E-2</v>
      </c>
      <c r="H801">
        <v>-6.3456036205557703E-2</v>
      </c>
      <c r="I801">
        <v>-0.19509763693993601</v>
      </c>
      <c r="J801">
        <v>1.18284488641392E-2</v>
      </c>
      <c r="K801">
        <v>3.17399228128643E-2</v>
      </c>
    </row>
    <row r="802" spans="1:11" x14ac:dyDescent="0.2">
      <c r="A802">
        <v>801</v>
      </c>
      <c r="B802">
        <v>24</v>
      </c>
      <c r="C802" t="s">
        <v>800</v>
      </c>
      <c r="D802" s="13" t="s">
        <v>913</v>
      </c>
      <c r="E802" s="21">
        <v>354</v>
      </c>
      <c r="F802" s="1">
        <v>-6.7080067871265197</v>
      </c>
      <c r="G802">
        <v>5.35806817032854E-2</v>
      </c>
      <c r="H802">
        <v>0.24785921194733199</v>
      </c>
      <c r="I802">
        <v>0.70229027646164399</v>
      </c>
      <c r="J802">
        <v>-9.7007042244192706E-3</v>
      </c>
      <c r="K802">
        <v>-1.5953931179850601E-2</v>
      </c>
    </row>
    <row r="803" spans="1:11" x14ac:dyDescent="0.2">
      <c r="A803">
        <v>802</v>
      </c>
      <c r="B803">
        <v>34</v>
      </c>
      <c r="C803" t="s">
        <v>801</v>
      </c>
      <c r="D803" s="13" t="s">
        <v>913</v>
      </c>
      <c r="E803" s="21">
        <v>189</v>
      </c>
      <c r="F803" s="1">
        <v>2.6301918873630399</v>
      </c>
      <c r="G803">
        <v>9.7491968108988306E-3</v>
      </c>
      <c r="H803">
        <v>0.121303491224086</v>
      </c>
      <c r="I803">
        <v>0.45401480723848597</v>
      </c>
      <c r="J803">
        <v>1.4123498284497099E-3</v>
      </c>
      <c r="K803">
        <v>-3.8717886611664698E-2</v>
      </c>
    </row>
    <row r="804" spans="1:11" x14ac:dyDescent="0.2">
      <c r="A804">
        <v>803</v>
      </c>
      <c r="B804">
        <v>48</v>
      </c>
      <c r="C804" t="s">
        <v>802</v>
      </c>
      <c r="D804" s="13" t="s">
        <v>912</v>
      </c>
      <c r="E804" s="21">
        <v>173</v>
      </c>
      <c r="F804" s="1">
        <v>3.7269135512755902</v>
      </c>
      <c r="G804">
        <v>-7.3558633320077504E-2</v>
      </c>
      <c r="H804">
        <v>-6.8291172091148503E-2</v>
      </c>
      <c r="I804">
        <v>-0.27122836991839799</v>
      </c>
      <c r="J804">
        <v>8.9736962455810101E-3</v>
      </c>
      <c r="K804">
        <v>6.5501865868223498E-3</v>
      </c>
    </row>
    <row r="805" spans="1:11" x14ac:dyDescent="0.2">
      <c r="A805">
        <v>804</v>
      </c>
      <c r="B805">
        <v>53</v>
      </c>
      <c r="C805" t="s">
        <v>803</v>
      </c>
      <c r="D805" s="13" t="s">
        <v>912</v>
      </c>
      <c r="E805" s="21">
        <v>161</v>
      </c>
      <c r="F805" s="1">
        <v>6.4797879104081701</v>
      </c>
      <c r="G805">
        <v>-0.117074656729103</v>
      </c>
      <c r="H805">
        <v>-0.131299089802727</v>
      </c>
      <c r="I805">
        <v>-0.47898810562340299</v>
      </c>
      <c r="J805">
        <v>-6.5417920825883005E-2</v>
      </c>
      <c r="K805">
        <v>-0.13814341195815399</v>
      </c>
    </row>
    <row r="806" spans="1:11" x14ac:dyDescent="0.2">
      <c r="A806">
        <v>805</v>
      </c>
      <c r="B806">
        <v>48</v>
      </c>
      <c r="C806" t="s">
        <v>804</v>
      </c>
      <c r="D806" s="13" t="s">
        <v>912</v>
      </c>
      <c r="E806" s="21">
        <v>173</v>
      </c>
      <c r="F806" s="1">
        <v>3.1447947685225</v>
      </c>
      <c r="G806">
        <v>-7.7995954097823603E-2</v>
      </c>
      <c r="H806">
        <v>-0.14561590067313501</v>
      </c>
      <c r="I806">
        <v>-0.43257762680210099</v>
      </c>
      <c r="J806">
        <v>1.0036960823166E-2</v>
      </c>
      <c r="K806">
        <v>1.43224263804606E-2</v>
      </c>
    </row>
    <row r="807" spans="1:11" x14ac:dyDescent="0.2">
      <c r="A807">
        <v>806</v>
      </c>
      <c r="B807">
        <v>27</v>
      </c>
      <c r="C807" t="s">
        <v>805</v>
      </c>
      <c r="D807" s="13" t="s">
        <v>913</v>
      </c>
      <c r="E807" s="21">
        <v>208</v>
      </c>
      <c r="F807" s="1">
        <v>2.4457335678431198</v>
      </c>
      <c r="G807">
        <v>-7.8805168347291996E-3</v>
      </c>
      <c r="H807">
        <v>-2.8107174996173601E-2</v>
      </c>
      <c r="I807">
        <v>-6.5324278470463501E-2</v>
      </c>
      <c r="J807">
        <v>1.6322637880526101E-2</v>
      </c>
      <c r="K807">
        <v>1.65360029203712E-2</v>
      </c>
    </row>
    <row r="808" spans="1:11" x14ac:dyDescent="0.2">
      <c r="A808">
        <v>807</v>
      </c>
      <c r="B808">
        <v>54</v>
      </c>
      <c r="C808" t="s">
        <v>806</v>
      </c>
      <c r="D808" s="13" t="s">
        <v>912</v>
      </c>
      <c r="E808" s="21">
        <v>170</v>
      </c>
      <c r="F808" s="1">
        <v>-2.60104283741068E-2</v>
      </c>
      <c r="G808">
        <v>-1.23065306405576E-2</v>
      </c>
      <c r="H808">
        <v>-0.14070800274885101</v>
      </c>
      <c r="I808">
        <v>-0.41337497442933702</v>
      </c>
      <c r="J808">
        <v>-1.8765498869219799E-2</v>
      </c>
      <c r="K808">
        <v>-3.8453735348892799E-2</v>
      </c>
    </row>
    <row r="809" spans="1:11" x14ac:dyDescent="0.2">
      <c r="A809">
        <v>808</v>
      </c>
      <c r="B809">
        <v>49</v>
      </c>
      <c r="C809" t="s">
        <v>807</v>
      </c>
      <c r="D809" s="13" t="s">
        <v>912</v>
      </c>
      <c r="E809" s="21">
        <v>175</v>
      </c>
      <c r="F809" s="1">
        <v>3.7988908838844702</v>
      </c>
      <c r="G809">
        <v>-5.31019289369207E-2</v>
      </c>
      <c r="H809">
        <v>-0.124238689454177</v>
      </c>
      <c r="I809">
        <v>-0.31919626286967301</v>
      </c>
      <c r="J809">
        <v>-2.3539851472729498E-2</v>
      </c>
      <c r="K809">
        <v>-5.9447539981398997E-2</v>
      </c>
    </row>
    <row r="810" spans="1:11" x14ac:dyDescent="0.2">
      <c r="A810">
        <v>809</v>
      </c>
      <c r="B810">
        <v>24</v>
      </c>
      <c r="C810" t="s">
        <v>808</v>
      </c>
      <c r="D810" s="13" t="s">
        <v>913</v>
      </c>
      <c r="E810" s="21">
        <v>239</v>
      </c>
      <c r="F810" s="1">
        <v>-4.0268783050465604</v>
      </c>
      <c r="G810">
        <v>4.5911177605683702E-2</v>
      </c>
      <c r="H810">
        <v>0.215107040290031</v>
      </c>
      <c r="I810">
        <v>0.49958415864716998</v>
      </c>
      <c r="J810">
        <v>1.27990000809006E-2</v>
      </c>
      <c r="K810">
        <v>8.8586944559996602E-3</v>
      </c>
    </row>
    <row r="811" spans="1:11" x14ac:dyDescent="0.2">
      <c r="A811">
        <v>810</v>
      </c>
      <c r="B811">
        <v>24</v>
      </c>
      <c r="C811" t="s">
        <v>809</v>
      </c>
      <c r="D811" s="13" t="s">
        <v>913</v>
      </c>
      <c r="E811" s="21">
        <v>239</v>
      </c>
      <c r="F811" s="1">
        <v>-3.0875857129276301</v>
      </c>
      <c r="G811">
        <v>-1.8467346403231399E-2</v>
      </c>
      <c r="H811">
        <v>0.10266915166150101</v>
      </c>
      <c r="I811">
        <v>0.22165441876144301</v>
      </c>
      <c r="J811">
        <v>-1.1866159382712399E-2</v>
      </c>
      <c r="K811">
        <v>-4.0104930952696599E-2</v>
      </c>
    </row>
    <row r="812" spans="1:11" x14ac:dyDescent="0.2">
      <c r="A812">
        <v>811</v>
      </c>
      <c r="B812">
        <v>41</v>
      </c>
      <c r="C812" t="s">
        <v>810</v>
      </c>
      <c r="D812" s="13" t="s">
        <v>912</v>
      </c>
      <c r="E812" s="21">
        <v>146</v>
      </c>
      <c r="F812" s="1">
        <v>-3.49904667909879</v>
      </c>
      <c r="G812">
        <v>1.24111612733886E-2</v>
      </c>
      <c r="H812">
        <v>6.9393975781378301E-3</v>
      </c>
      <c r="I812">
        <v>-8.3681460712350206E-2</v>
      </c>
      <c r="J812">
        <v>8.6377798367226102E-2</v>
      </c>
      <c r="K812">
        <v>0.237838282166346</v>
      </c>
    </row>
    <row r="813" spans="1:11" x14ac:dyDescent="0.2">
      <c r="A813">
        <v>812</v>
      </c>
      <c r="B813">
        <v>29</v>
      </c>
      <c r="C813" t="s">
        <v>811</v>
      </c>
      <c r="D813" s="13" t="s">
        <v>913</v>
      </c>
      <c r="E813" s="21">
        <v>202</v>
      </c>
      <c r="F813" s="1">
        <v>-3.2938172168016102</v>
      </c>
      <c r="G813">
        <v>4.5678401088258803E-2</v>
      </c>
      <c r="H813">
        <v>0.123965128940191</v>
      </c>
      <c r="I813">
        <v>0.31520977670547101</v>
      </c>
      <c r="J813">
        <v>-2.1005245096894599E-2</v>
      </c>
      <c r="K813">
        <v>-8.6248766703632795E-2</v>
      </c>
    </row>
    <row r="814" spans="1:11" x14ac:dyDescent="0.2">
      <c r="A814">
        <v>813</v>
      </c>
      <c r="B814">
        <v>23</v>
      </c>
      <c r="C814" t="s">
        <v>812</v>
      </c>
      <c r="D814" s="13" t="s">
        <v>913</v>
      </c>
      <c r="E814" s="21">
        <v>189</v>
      </c>
      <c r="F814" s="1">
        <v>3.9073680675667499</v>
      </c>
      <c r="G814">
        <v>-4.8168633389634903E-2</v>
      </c>
      <c r="H814">
        <v>-7.2517034128671498E-2</v>
      </c>
      <c r="I814">
        <v>-0.11888810472127399</v>
      </c>
      <c r="J814">
        <v>3.9836990449602899E-2</v>
      </c>
      <c r="K814">
        <v>0.13909676062140999</v>
      </c>
    </row>
    <row r="815" spans="1:11" x14ac:dyDescent="0.2">
      <c r="A815">
        <v>814</v>
      </c>
      <c r="B815">
        <v>50</v>
      </c>
      <c r="C815" t="s">
        <v>813</v>
      </c>
      <c r="D815" s="13" t="s">
        <v>912</v>
      </c>
      <c r="E815" s="21">
        <v>172</v>
      </c>
      <c r="F815" s="1">
        <v>4.1554979244961601</v>
      </c>
      <c r="G815">
        <v>-4.1907886583512702E-2</v>
      </c>
      <c r="H815">
        <v>0.14652546171779901</v>
      </c>
      <c r="I815">
        <v>-2.58826615356798E-2</v>
      </c>
      <c r="J815">
        <v>-1.3084746546140801E-2</v>
      </c>
      <c r="K815">
        <v>-7.9979363039539304E-3</v>
      </c>
    </row>
    <row r="816" spans="1:11" x14ac:dyDescent="0.2">
      <c r="A816">
        <v>815</v>
      </c>
      <c r="B816">
        <v>33</v>
      </c>
      <c r="C816" t="s">
        <v>814</v>
      </c>
      <c r="D816" s="13" t="s">
        <v>913</v>
      </c>
      <c r="E816" s="21">
        <v>189</v>
      </c>
      <c r="F816" s="1">
        <v>-4.3330896930102298</v>
      </c>
      <c r="G816">
        <v>5.6400253722319799E-2</v>
      </c>
      <c r="H816">
        <v>0.117463612831238</v>
      </c>
      <c r="I816">
        <v>0.54555537409992805</v>
      </c>
      <c r="J816">
        <v>-4.6133134397716901E-4</v>
      </c>
      <c r="K816">
        <v>-3.05126775655838E-2</v>
      </c>
    </row>
    <row r="817" spans="1:11" x14ac:dyDescent="0.2">
      <c r="A817">
        <v>816</v>
      </c>
      <c r="B817">
        <v>33</v>
      </c>
      <c r="C817" t="s">
        <v>815</v>
      </c>
      <c r="D817" s="13" t="s">
        <v>913</v>
      </c>
      <c r="E817" s="21">
        <v>189</v>
      </c>
      <c r="F817" s="1">
        <v>3.14430708665699</v>
      </c>
      <c r="G817">
        <v>7.2845015106737399E-3</v>
      </c>
      <c r="H817">
        <v>7.5199353077100503E-2</v>
      </c>
      <c r="I817">
        <v>0.320534538167767</v>
      </c>
      <c r="J817">
        <v>1.09181667702233E-2</v>
      </c>
      <c r="K817">
        <v>1.88718172846861E-3</v>
      </c>
    </row>
    <row r="818" spans="1:11" x14ac:dyDescent="0.2">
      <c r="A818">
        <v>817</v>
      </c>
      <c r="B818">
        <v>40</v>
      </c>
      <c r="C818" t="s">
        <v>816</v>
      </c>
      <c r="D818" s="13" t="s">
        <v>913</v>
      </c>
      <c r="E818" s="21">
        <v>202</v>
      </c>
      <c r="F818" s="1">
        <v>-1.07619743463452</v>
      </c>
      <c r="G818">
        <v>5.5950442927478701E-2</v>
      </c>
      <c r="H818">
        <v>0.19257049389855899</v>
      </c>
      <c r="I818">
        <v>0.58320489230794603</v>
      </c>
      <c r="J818">
        <v>9.7374288398153607E-3</v>
      </c>
      <c r="K818">
        <v>-8.2514405011368998E-4</v>
      </c>
    </row>
    <row r="819" spans="1:11" x14ac:dyDescent="0.2">
      <c r="A819">
        <v>818</v>
      </c>
      <c r="B819">
        <v>48</v>
      </c>
      <c r="C819" t="s">
        <v>817</v>
      </c>
      <c r="D819" s="13" t="s">
        <v>912</v>
      </c>
      <c r="E819" s="21">
        <v>173</v>
      </c>
      <c r="F819" s="1">
        <v>3.0130186691182201</v>
      </c>
      <c r="G819">
        <v>-0.101882100414826</v>
      </c>
      <c r="H819">
        <v>-0.201549147316364</v>
      </c>
      <c r="I819">
        <v>-0.57576033822061401</v>
      </c>
      <c r="J819">
        <v>-2.9274491684718199E-2</v>
      </c>
      <c r="K819">
        <v>-6.4299451484262998E-2</v>
      </c>
    </row>
    <row r="820" spans="1:11" x14ac:dyDescent="0.2">
      <c r="A820">
        <v>819</v>
      </c>
      <c r="B820">
        <v>42</v>
      </c>
      <c r="C820" t="s">
        <v>818</v>
      </c>
      <c r="D820" s="13" t="s">
        <v>912</v>
      </c>
      <c r="E820" s="21">
        <v>185</v>
      </c>
      <c r="F820" s="1">
        <v>1.48844544047342</v>
      </c>
      <c r="G820">
        <v>3.2563632333890598E-2</v>
      </c>
      <c r="H820">
        <v>9.3492823120724197E-2</v>
      </c>
      <c r="I820">
        <v>3.7659213653875402E-2</v>
      </c>
      <c r="J820">
        <v>-8.1489995835740993E-3</v>
      </c>
      <c r="K820">
        <v>-2.0090743872184302E-2</v>
      </c>
    </row>
    <row r="821" spans="1:11" x14ac:dyDescent="0.2">
      <c r="A821">
        <v>820</v>
      </c>
      <c r="B821">
        <v>49</v>
      </c>
      <c r="C821" t="s">
        <v>819</v>
      </c>
      <c r="D821" s="13" t="s">
        <v>912</v>
      </c>
      <c r="E821" s="21">
        <v>175</v>
      </c>
      <c r="F821" s="1">
        <v>2.7803209684116701</v>
      </c>
      <c r="G821">
        <v>-4.70199561505866E-2</v>
      </c>
      <c r="H821">
        <v>-0.11942397575385801</v>
      </c>
      <c r="I821">
        <v>-0.248593293388197</v>
      </c>
      <c r="J821">
        <v>-3.9666167757579501E-2</v>
      </c>
      <c r="K821">
        <v>-8.4197781723003601E-2</v>
      </c>
    </row>
    <row r="822" spans="1:11" x14ac:dyDescent="0.2">
      <c r="A822">
        <v>821</v>
      </c>
      <c r="B822">
        <v>46</v>
      </c>
      <c r="C822" t="s">
        <v>820</v>
      </c>
      <c r="D822" s="13" t="s">
        <v>912</v>
      </c>
      <c r="E822" s="21">
        <v>160</v>
      </c>
      <c r="F822" s="1">
        <v>1.7922319421661099</v>
      </c>
      <c r="G822">
        <v>-2.28604902045162E-2</v>
      </c>
      <c r="H822">
        <v>-5.2642191367997603E-2</v>
      </c>
      <c r="I822">
        <v>-7.18949405204478E-2</v>
      </c>
      <c r="J822">
        <v>-3.7651662014450603E-2</v>
      </c>
      <c r="K822">
        <v>-7.8680631881936997E-2</v>
      </c>
    </row>
    <row r="823" spans="1:11" x14ac:dyDescent="0.2">
      <c r="A823">
        <v>822</v>
      </c>
      <c r="B823">
        <v>50</v>
      </c>
      <c r="C823" t="s">
        <v>821</v>
      </c>
      <c r="D823" s="13" t="s">
        <v>912</v>
      </c>
      <c r="E823" s="21">
        <v>172</v>
      </c>
      <c r="F823" s="1">
        <v>0.63531466579318197</v>
      </c>
      <c r="G823">
        <v>-1.29896488255153E-2</v>
      </c>
      <c r="H823">
        <v>0.21896008512406501</v>
      </c>
      <c r="I823">
        <v>0.11386716017514301</v>
      </c>
      <c r="J823">
        <v>-3.9977085666241197E-2</v>
      </c>
      <c r="K823">
        <v>-8.7724647897559502E-2</v>
      </c>
    </row>
    <row r="824" spans="1:11" x14ac:dyDescent="0.2">
      <c r="A824">
        <v>823</v>
      </c>
      <c r="B824">
        <v>29</v>
      </c>
      <c r="C824" t="s">
        <v>822</v>
      </c>
      <c r="D824" s="13" t="s">
        <v>913</v>
      </c>
      <c r="E824" s="21">
        <v>202</v>
      </c>
      <c r="F824" s="1">
        <v>-3.8698625994893199</v>
      </c>
      <c r="G824">
        <v>4.1134853900393703E-2</v>
      </c>
      <c r="H824">
        <v>8.5095053716145605E-2</v>
      </c>
      <c r="I824">
        <v>0.21268958413487599</v>
      </c>
      <c r="J824">
        <v>1.31634651448903E-2</v>
      </c>
      <c r="K824">
        <v>2.79181346622457E-2</v>
      </c>
    </row>
    <row r="825" spans="1:11" x14ac:dyDescent="0.2">
      <c r="A825">
        <v>824</v>
      </c>
      <c r="B825">
        <v>49</v>
      </c>
      <c r="C825" t="s">
        <v>823</v>
      </c>
      <c r="D825" s="13" t="s">
        <v>912</v>
      </c>
      <c r="E825" s="21">
        <v>175</v>
      </c>
      <c r="F825" s="1">
        <v>2.59774818472737</v>
      </c>
      <c r="G825">
        <v>-4.1455168678519803E-2</v>
      </c>
      <c r="H825">
        <v>-4.1676223080975801E-2</v>
      </c>
      <c r="I825">
        <v>-0.17566592670958001</v>
      </c>
      <c r="J825">
        <v>-4.3821584553622997E-3</v>
      </c>
      <c r="K825">
        <v>-1.1362031428280401E-2</v>
      </c>
    </row>
    <row r="826" spans="1:11" x14ac:dyDescent="0.2">
      <c r="A826">
        <v>825</v>
      </c>
      <c r="B826">
        <v>35</v>
      </c>
      <c r="C826" t="s">
        <v>824</v>
      </c>
      <c r="D826" s="13" t="s">
        <v>913</v>
      </c>
      <c r="E826" s="21">
        <v>189</v>
      </c>
      <c r="F826" s="1">
        <v>0.76983496546413799</v>
      </c>
      <c r="G826">
        <v>-8.9685678265651395E-2</v>
      </c>
      <c r="H826">
        <v>-0.22743784353440799</v>
      </c>
      <c r="I826">
        <v>-0.52077535803341601</v>
      </c>
      <c r="J826">
        <v>1.42157338136106E-2</v>
      </c>
      <c r="K826">
        <v>1.7935452136958401E-2</v>
      </c>
    </row>
    <row r="827" spans="1:11" x14ac:dyDescent="0.2">
      <c r="A827">
        <v>826</v>
      </c>
      <c r="B827">
        <v>49</v>
      </c>
      <c r="C827" t="s">
        <v>825</v>
      </c>
      <c r="D827" s="13" t="s">
        <v>912</v>
      </c>
      <c r="E827" s="21">
        <v>175</v>
      </c>
      <c r="F827" s="1">
        <v>5.8606530529788703</v>
      </c>
      <c r="G827">
        <v>-7.6856959695343605E-2</v>
      </c>
      <c r="H827">
        <v>-0.13261502337873299</v>
      </c>
      <c r="I827">
        <v>-0.32458513980523501</v>
      </c>
      <c r="J827">
        <v>-5.4834950039273099E-2</v>
      </c>
      <c r="K827">
        <v>-0.126478624936535</v>
      </c>
    </row>
    <row r="828" spans="1:11" x14ac:dyDescent="0.2">
      <c r="A828">
        <v>827</v>
      </c>
      <c r="B828">
        <v>28</v>
      </c>
      <c r="C828" t="s">
        <v>826</v>
      </c>
      <c r="D828" s="13" t="s">
        <v>913</v>
      </c>
      <c r="E828" s="21">
        <v>357</v>
      </c>
      <c r="F828" s="1">
        <v>2.3270272064359698</v>
      </c>
      <c r="G828">
        <v>-1.9779165730160898E-2</v>
      </c>
      <c r="H828">
        <v>0.186805048188384</v>
      </c>
      <c r="I828">
        <v>0.13318067384063401</v>
      </c>
      <c r="J828">
        <v>-4.00687436184037E-2</v>
      </c>
      <c r="K828">
        <v>-6.1297135826094397E-2</v>
      </c>
    </row>
    <row r="829" spans="1:11" x14ac:dyDescent="0.2">
      <c r="A829">
        <v>828</v>
      </c>
      <c r="B829">
        <v>42</v>
      </c>
      <c r="C829" t="s">
        <v>827</v>
      </c>
      <c r="D829" s="13" t="s">
        <v>912</v>
      </c>
      <c r="E829" s="21">
        <v>185</v>
      </c>
      <c r="F829" s="1">
        <v>3.2885040370496901</v>
      </c>
      <c r="G829">
        <v>-2.85442898223052E-3</v>
      </c>
      <c r="H829">
        <v>5.4197969905760701E-2</v>
      </c>
      <c r="I829">
        <v>-0.16472253248322399</v>
      </c>
      <c r="J829">
        <v>-7.0611874510096095E-2</v>
      </c>
      <c r="K829">
        <v>-0.131806713401176</v>
      </c>
    </row>
    <row r="830" spans="1:11" x14ac:dyDescent="0.2">
      <c r="A830">
        <v>829</v>
      </c>
      <c r="B830">
        <v>31</v>
      </c>
      <c r="C830" t="s">
        <v>828</v>
      </c>
      <c r="D830" s="13" t="s">
        <v>913</v>
      </c>
      <c r="E830" s="21">
        <v>314</v>
      </c>
      <c r="F830" s="1">
        <v>-0.77754031476880103</v>
      </c>
      <c r="G830">
        <v>4.5906508899006701E-2</v>
      </c>
      <c r="H830">
        <v>0.235185463029154</v>
      </c>
      <c r="I830">
        <v>0.431747400778976</v>
      </c>
      <c r="J830">
        <v>-5.2243620508669901E-3</v>
      </c>
      <c r="K830">
        <v>-1.2583318760489201E-2</v>
      </c>
    </row>
    <row r="831" spans="1:11" x14ac:dyDescent="0.2">
      <c r="A831">
        <v>830</v>
      </c>
      <c r="B831">
        <v>35</v>
      </c>
      <c r="C831" t="s">
        <v>829</v>
      </c>
      <c r="D831" s="13" t="s">
        <v>913</v>
      </c>
      <c r="E831" s="21">
        <v>189</v>
      </c>
      <c r="F831" s="1">
        <v>3.0575220127240201</v>
      </c>
      <c r="G831">
        <v>-0.20615132986201801</v>
      </c>
      <c r="H831">
        <v>-0.307861802782119</v>
      </c>
      <c r="I831">
        <v>-0.80009408925691405</v>
      </c>
      <c r="J831">
        <v>-4.4363011681685504E-3</v>
      </c>
      <c r="K831">
        <v>-3.4724258190971899E-2</v>
      </c>
    </row>
    <row r="832" spans="1:11" x14ac:dyDescent="0.2">
      <c r="A832">
        <v>831</v>
      </c>
      <c r="B832">
        <v>40</v>
      </c>
      <c r="C832" t="s">
        <v>830</v>
      </c>
      <c r="D832" s="13" t="s">
        <v>913</v>
      </c>
      <c r="E832" s="21">
        <v>317</v>
      </c>
      <c r="F832" s="1">
        <v>1.43123602509583</v>
      </c>
      <c r="G832">
        <v>5.2916171155143203E-4</v>
      </c>
      <c r="H832">
        <v>6.6373108689359903E-2</v>
      </c>
      <c r="I832">
        <v>-8.8263764803667003E-2</v>
      </c>
      <c r="J832">
        <v>-4.0448680433316196E-3</v>
      </c>
      <c r="K832">
        <v>-4.0595713522811501E-3</v>
      </c>
    </row>
    <row r="833" spans="1:11" x14ac:dyDescent="0.2">
      <c r="A833">
        <v>832</v>
      </c>
      <c r="B833">
        <v>53</v>
      </c>
      <c r="C833" t="s">
        <v>831</v>
      </c>
      <c r="D833" s="13" t="s">
        <v>912</v>
      </c>
      <c r="E833" s="21">
        <v>161</v>
      </c>
      <c r="F833" s="1">
        <v>5.0075175717962797</v>
      </c>
      <c r="G833">
        <v>-5.5216291459133003E-2</v>
      </c>
      <c r="H833">
        <v>-8.6031465782563196E-2</v>
      </c>
      <c r="I833">
        <v>-0.19173052415098099</v>
      </c>
      <c r="J833">
        <v>-4.89205165887183E-2</v>
      </c>
      <c r="K833">
        <v>-9.6449351312812098E-2</v>
      </c>
    </row>
    <row r="834" spans="1:11" x14ac:dyDescent="0.2">
      <c r="A834">
        <v>833</v>
      </c>
      <c r="B834">
        <v>25</v>
      </c>
      <c r="C834" t="s">
        <v>832</v>
      </c>
      <c r="D834" s="13" t="s">
        <v>913</v>
      </c>
      <c r="E834" s="21">
        <v>323</v>
      </c>
      <c r="F834" s="1">
        <v>0.63737329064150905</v>
      </c>
      <c r="G834">
        <v>2.2889760609776798E-3</v>
      </c>
      <c r="H834">
        <v>-3.6254902340657501E-2</v>
      </c>
      <c r="I834">
        <v>-7.3805348721680902E-2</v>
      </c>
      <c r="J834">
        <v>-1.2958474991432699E-2</v>
      </c>
      <c r="K834">
        <v>-6.23919629045709E-2</v>
      </c>
    </row>
    <row r="835" spans="1:11" x14ac:dyDescent="0.2">
      <c r="A835">
        <v>834</v>
      </c>
      <c r="B835">
        <v>42</v>
      </c>
      <c r="C835" t="s">
        <v>833</v>
      </c>
      <c r="D835" s="13" t="s">
        <v>912</v>
      </c>
      <c r="E835" s="21">
        <v>185</v>
      </c>
      <c r="F835" s="1">
        <v>-1.25444885642811</v>
      </c>
      <c r="G835">
        <v>4.9508463774793503E-2</v>
      </c>
      <c r="H835">
        <v>0.13258532174274701</v>
      </c>
      <c r="I835">
        <v>4.9143336707312302E-2</v>
      </c>
      <c r="J835">
        <v>-7.1843559473759597E-3</v>
      </c>
      <c r="K835">
        <v>-9.1714909572622409E-3</v>
      </c>
    </row>
    <row r="836" spans="1:11" x14ac:dyDescent="0.2">
      <c r="A836">
        <v>835</v>
      </c>
      <c r="B836">
        <v>27</v>
      </c>
      <c r="C836" t="s">
        <v>834</v>
      </c>
      <c r="D836" s="13" t="s">
        <v>913</v>
      </c>
      <c r="E836" s="21">
        <v>323</v>
      </c>
      <c r="F836" s="1">
        <v>-13.4071161422061</v>
      </c>
      <c r="G836">
        <v>0.13737451972030101</v>
      </c>
      <c r="H836">
        <v>0.43937614543410702</v>
      </c>
      <c r="I836">
        <v>1.32186818021849</v>
      </c>
      <c r="J836">
        <v>-2.2044030627402299E-2</v>
      </c>
      <c r="K836">
        <v>-6.4397857322187002E-2</v>
      </c>
    </row>
    <row r="837" spans="1:11" x14ac:dyDescent="0.2">
      <c r="A837">
        <v>836</v>
      </c>
      <c r="B837">
        <v>29</v>
      </c>
      <c r="C837" t="s">
        <v>835</v>
      </c>
      <c r="D837" s="13" t="s">
        <v>913</v>
      </c>
      <c r="E837" s="21">
        <v>317</v>
      </c>
      <c r="F837" s="1">
        <v>-0.47424205317662399</v>
      </c>
      <c r="G837">
        <v>-1.89970616438613E-2</v>
      </c>
      <c r="H837">
        <v>-5.1337260223650497E-2</v>
      </c>
      <c r="I837">
        <v>-3.8915142310671502E-2</v>
      </c>
      <c r="J837">
        <v>1.45623044917084E-2</v>
      </c>
      <c r="K837">
        <v>3.4960643222551997E-2</v>
      </c>
    </row>
    <row r="838" spans="1:11" x14ac:dyDescent="0.2">
      <c r="A838">
        <v>837</v>
      </c>
      <c r="B838">
        <v>28</v>
      </c>
      <c r="C838" t="s">
        <v>836</v>
      </c>
      <c r="D838" s="13" t="s">
        <v>913</v>
      </c>
      <c r="E838" s="21">
        <v>357</v>
      </c>
      <c r="F838" s="1">
        <v>1.0909658610669299</v>
      </c>
      <c r="G838">
        <v>-6.0310739581393696E-3</v>
      </c>
      <c r="H838">
        <v>-8.00533294232912E-2</v>
      </c>
      <c r="I838">
        <v>-0.12829338371518201</v>
      </c>
      <c r="J838">
        <v>2.054110302503E-2</v>
      </c>
      <c r="K838">
        <v>8.4195125427306103E-2</v>
      </c>
    </row>
    <row r="839" spans="1:11" x14ac:dyDescent="0.2">
      <c r="A839">
        <v>838</v>
      </c>
      <c r="B839">
        <v>33</v>
      </c>
      <c r="C839" t="s">
        <v>837</v>
      </c>
      <c r="D839" s="13" t="s">
        <v>913</v>
      </c>
      <c r="E839" s="21">
        <v>304</v>
      </c>
      <c r="F839" s="1">
        <v>1.25594300322648</v>
      </c>
      <c r="G839">
        <v>-5.5193409727752302E-2</v>
      </c>
      <c r="H839">
        <v>3.8373133686902802E-2</v>
      </c>
      <c r="I839">
        <v>-0.34231970017577201</v>
      </c>
      <c r="J839">
        <v>-5.5951286752433799E-2</v>
      </c>
      <c r="K839">
        <v>-0.145806502278954</v>
      </c>
    </row>
    <row r="840" spans="1:11" x14ac:dyDescent="0.2">
      <c r="A840">
        <v>839</v>
      </c>
      <c r="B840">
        <v>37</v>
      </c>
      <c r="C840" t="s">
        <v>838</v>
      </c>
      <c r="D840" s="13" t="s">
        <v>913</v>
      </c>
      <c r="E840" s="21">
        <v>315</v>
      </c>
      <c r="F840" s="1">
        <v>4.3579975165664999</v>
      </c>
      <c r="G840">
        <v>-4.6800896840092601E-2</v>
      </c>
      <c r="H840">
        <v>-9.18589661206725E-2</v>
      </c>
      <c r="I840">
        <v>-0.11399055843865501</v>
      </c>
      <c r="J840">
        <v>-1.0972755501544E-2</v>
      </c>
      <c r="K840">
        <v>-1.2274959628617899E-2</v>
      </c>
    </row>
    <row r="841" spans="1:11" x14ac:dyDescent="0.2">
      <c r="A841">
        <v>840</v>
      </c>
      <c r="B841">
        <v>39</v>
      </c>
      <c r="C841" t="s">
        <v>839</v>
      </c>
      <c r="D841" s="13" t="s">
        <v>913</v>
      </c>
      <c r="E841" s="21">
        <v>321</v>
      </c>
      <c r="F841" s="1">
        <v>-2.2929491223534</v>
      </c>
      <c r="G841">
        <v>-2.4273684561559599E-3</v>
      </c>
      <c r="H841">
        <v>-1.6012077720778801E-2</v>
      </c>
      <c r="I841">
        <v>4.81643847348876E-2</v>
      </c>
      <c r="J841">
        <v>-1.7679883588822499E-4</v>
      </c>
      <c r="K841">
        <v>-3.3663523452127399E-2</v>
      </c>
    </row>
    <row r="842" spans="1:11" x14ac:dyDescent="0.2">
      <c r="A842">
        <v>841</v>
      </c>
      <c r="B842">
        <v>34</v>
      </c>
      <c r="C842" t="s">
        <v>840</v>
      </c>
      <c r="D842" s="13" t="s">
        <v>913</v>
      </c>
      <c r="E842" s="21">
        <v>304</v>
      </c>
      <c r="F842" s="1">
        <v>2.6013797778282299</v>
      </c>
      <c r="G842">
        <v>-4.2553749291846903E-2</v>
      </c>
      <c r="H842">
        <v>-0.12529062701876501</v>
      </c>
      <c r="I842">
        <v>-0.31169852669887099</v>
      </c>
      <c r="J842">
        <v>-5.5129471581996499E-2</v>
      </c>
      <c r="K842">
        <v>-0.16011427379148899</v>
      </c>
    </row>
    <row r="843" spans="1:11" x14ac:dyDescent="0.2">
      <c r="A843">
        <v>842</v>
      </c>
      <c r="B843">
        <v>37</v>
      </c>
      <c r="C843" t="s">
        <v>841</v>
      </c>
      <c r="D843" s="13" t="s">
        <v>913</v>
      </c>
      <c r="E843" s="21">
        <v>315</v>
      </c>
      <c r="F843" s="1">
        <v>5.9491441355691501</v>
      </c>
      <c r="G843">
        <v>-4.3724402218337503E-2</v>
      </c>
      <c r="H843">
        <v>-5.67729696251855E-2</v>
      </c>
      <c r="I843">
        <v>-0.12680711260515801</v>
      </c>
      <c r="J843">
        <v>1.5639504289546399E-2</v>
      </c>
      <c r="K843">
        <v>5.4294858660263998E-2</v>
      </c>
    </row>
    <row r="844" spans="1:11" x14ac:dyDescent="0.2">
      <c r="A844">
        <v>843</v>
      </c>
      <c r="B844">
        <v>35</v>
      </c>
      <c r="C844" t="s">
        <v>842</v>
      </c>
      <c r="D844" s="13" t="s">
        <v>913</v>
      </c>
      <c r="E844" s="21">
        <v>304</v>
      </c>
      <c r="F844" s="1">
        <v>-3.68872523171924E-2</v>
      </c>
      <c r="G844">
        <v>1.48187454315027E-3</v>
      </c>
      <c r="H844">
        <v>2.9523571759269399E-2</v>
      </c>
      <c r="I844">
        <v>8.4193635075995393E-2</v>
      </c>
      <c r="J844">
        <v>-3.2316378121159901E-2</v>
      </c>
      <c r="K844">
        <v>-0.107051008527953</v>
      </c>
    </row>
    <row r="845" spans="1:11" x14ac:dyDescent="0.2">
      <c r="A845">
        <v>844</v>
      </c>
      <c r="B845">
        <v>27</v>
      </c>
      <c r="C845" t="s">
        <v>843</v>
      </c>
      <c r="D845" s="13" t="s">
        <v>913</v>
      </c>
      <c r="E845" s="21">
        <v>323</v>
      </c>
      <c r="F845" s="1">
        <v>0.20138932489098099</v>
      </c>
      <c r="G845">
        <v>6.3430654740132097E-2</v>
      </c>
      <c r="H845">
        <v>6.9712739024309106E-2</v>
      </c>
      <c r="I845">
        <v>0.40145367122540299</v>
      </c>
      <c r="J845">
        <v>4.9864327619757703E-2</v>
      </c>
      <c r="K845">
        <v>0.15189920612055499</v>
      </c>
    </row>
    <row r="846" spans="1:11" x14ac:dyDescent="0.2">
      <c r="A846">
        <v>845</v>
      </c>
      <c r="B846">
        <v>29</v>
      </c>
      <c r="C846" t="s">
        <v>844</v>
      </c>
      <c r="D846" s="13" t="s">
        <v>913</v>
      </c>
      <c r="E846" s="21">
        <v>317</v>
      </c>
      <c r="F846" s="1">
        <v>-0.65952956006667596</v>
      </c>
      <c r="G846">
        <v>4.2962507331131099E-2</v>
      </c>
      <c r="H846">
        <v>3.5235774953926699E-2</v>
      </c>
      <c r="I846">
        <v>0.22134620527877599</v>
      </c>
      <c r="J846">
        <v>-1.94547112259516E-3</v>
      </c>
      <c r="K846">
        <v>-3.6466134882739101E-2</v>
      </c>
    </row>
    <row r="847" spans="1:11" x14ac:dyDescent="0.2">
      <c r="A847">
        <v>846</v>
      </c>
      <c r="B847">
        <v>33</v>
      </c>
      <c r="C847" t="s">
        <v>845</v>
      </c>
      <c r="D847" s="13" t="s">
        <v>913</v>
      </c>
      <c r="E847" s="21">
        <v>304</v>
      </c>
      <c r="F847" s="1">
        <v>7.0549917838479699</v>
      </c>
      <c r="G847">
        <v>-8.7258790635621294E-2</v>
      </c>
      <c r="H847">
        <v>-0.15564539963770699</v>
      </c>
      <c r="I847">
        <v>-0.363736596960057</v>
      </c>
      <c r="J847">
        <v>-3.1257857530262299E-2</v>
      </c>
      <c r="K847">
        <v>-9.3005197837410597E-2</v>
      </c>
    </row>
    <row r="848" spans="1:11" x14ac:dyDescent="0.2">
      <c r="A848">
        <v>847</v>
      </c>
      <c r="B848">
        <v>40</v>
      </c>
      <c r="C848" t="s">
        <v>846</v>
      </c>
      <c r="D848" s="13" t="s">
        <v>913</v>
      </c>
      <c r="E848" s="21">
        <v>317</v>
      </c>
      <c r="F848" s="1">
        <v>0.33720382913629598</v>
      </c>
      <c r="G848">
        <v>-1.2454278232645799E-2</v>
      </c>
      <c r="H848">
        <v>1.8890254560654698E-2</v>
      </c>
      <c r="I848">
        <v>2.0132939370584098E-3</v>
      </c>
      <c r="J848">
        <v>-9.9815610713229197E-3</v>
      </c>
      <c r="K848">
        <v>-4.4387002564642002E-2</v>
      </c>
    </row>
    <row r="849" spans="1:11" x14ac:dyDescent="0.2">
      <c r="A849">
        <v>848</v>
      </c>
      <c r="B849">
        <v>22</v>
      </c>
      <c r="C849" t="s">
        <v>847</v>
      </c>
      <c r="D849" s="13" t="s">
        <v>913</v>
      </c>
      <c r="E849" s="21">
        <v>288</v>
      </c>
      <c r="F849" s="1">
        <v>1.9983038471224699</v>
      </c>
      <c r="G849">
        <v>-3.3693708170392897E-2</v>
      </c>
      <c r="H849">
        <v>-2.8617460446102701E-2</v>
      </c>
      <c r="I849">
        <v>-0.13612425307450399</v>
      </c>
      <c r="J849">
        <v>-1.19205260569345E-2</v>
      </c>
      <c r="K849">
        <v>-3.3721808401301803E-2</v>
      </c>
    </row>
    <row r="850" spans="1:11" x14ac:dyDescent="0.2">
      <c r="A850">
        <v>849</v>
      </c>
      <c r="B850">
        <v>35</v>
      </c>
      <c r="C850" t="s">
        <v>848</v>
      </c>
      <c r="D850" s="13" t="s">
        <v>913</v>
      </c>
      <c r="E850" s="21">
        <v>304</v>
      </c>
      <c r="F850" s="1">
        <v>3.1817599136999002</v>
      </c>
      <c r="G850">
        <v>-0.10432059256708601</v>
      </c>
      <c r="H850">
        <v>-0.210910228005807</v>
      </c>
      <c r="I850">
        <v>-0.60688906539912002</v>
      </c>
      <c r="J850">
        <v>-1.7555724277935E-2</v>
      </c>
      <c r="K850">
        <v>-4.17741063982075E-2</v>
      </c>
    </row>
    <row r="851" spans="1:11" x14ac:dyDescent="0.2">
      <c r="A851">
        <v>850</v>
      </c>
      <c r="B851">
        <v>22</v>
      </c>
      <c r="C851" t="s">
        <v>849</v>
      </c>
      <c r="D851" s="13" t="s">
        <v>913</v>
      </c>
      <c r="E851" s="21">
        <v>173</v>
      </c>
      <c r="F851" s="1">
        <v>2.6888128140984402</v>
      </c>
      <c r="G851">
        <v>2.5580450775998598E-3</v>
      </c>
      <c r="H851">
        <v>-1.2963590377668E-2</v>
      </c>
      <c r="I851">
        <v>0.104097270697074</v>
      </c>
      <c r="J851">
        <v>3.7962337740659699E-2</v>
      </c>
      <c r="K851">
        <v>9.4716969257037695E-2</v>
      </c>
    </row>
    <row r="852" spans="1:11" x14ac:dyDescent="0.2">
      <c r="A852">
        <v>851</v>
      </c>
      <c r="B852">
        <v>52</v>
      </c>
      <c r="C852" t="s">
        <v>850</v>
      </c>
      <c r="D852" s="13" t="s">
        <v>912</v>
      </c>
      <c r="E852" s="21">
        <v>164</v>
      </c>
      <c r="F852" s="1">
        <v>2.6032919325356398</v>
      </c>
      <c r="G852">
        <v>-6.3263104170978093E-2</v>
      </c>
      <c r="H852">
        <v>-0.19038560861922099</v>
      </c>
      <c r="I852">
        <v>-0.46429839991188299</v>
      </c>
      <c r="J852">
        <v>-3.1135743494432901E-2</v>
      </c>
      <c r="K852">
        <v>-6.9957372438165105E-2</v>
      </c>
    </row>
    <row r="853" spans="1:11" x14ac:dyDescent="0.2">
      <c r="A853">
        <v>852</v>
      </c>
      <c r="B853">
        <v>49</v>
      </c>
      <c r="C853" t="s">
        <v>851</v>
      </c>
      <c r="D853" s="13" t="s">
        <v>912</v>
      </c>
      <c r="E853" s="21">
        <v>175</v>
      </c>
      <c r="F853" s="1">
        <v>-0.53764311365020101</v>
      </c>
      <c r="G853">
        <v>1.13631014922508E-2</v>
      </c>
      <c r="H853">
        <v>6.6632416880210196E-2</v>
      </c>
      <c r="I853">
        <v>0.18595339658471299</v>
      </c>
      <c r="J853">
        <v>-1.01147792892901E-2</v>
      </c>
      <c r="K853">
        <v>-1.51752564570681E-2</v>
      </c>
    </row>
    <row r="854" spans="1:11" x14ac:dyDescent="0.2">
      <c r="A854">
        <v>853</v>
      </c>
      <c r="B854">
        <v>30</v>
      </c>
      <c r="C854" t="s">
        <v>852</v>
      </c>
      <c r="D854" s="13" t="s">
        <v>913</v>
      </c>
      <c r="E854" s="21">
        <v>202</v>
      </c>
      <c r="F854" s="1">
        <v>0.18523372741942001</v>
      </c>
      <c r="G854">
        <v>4.4678269558853898E-4</v>
      </c>
      <c r="H854">
        <v>-9.5196328155627893E-3</v>
      </c>
      <c r="I854">
        <v>9.2721941554073303E-3</v>
      </c>
      <c r="J854">
        <v>1.3377942288343599E-2</v>
      </c>
      <c r="K854">
        <v>1.3075303626531001E-2</v>
      </c>
    </row>
    <row r="855" spans="1:11" x14ac:dyDescent="0.2">
      <c r="A855">
        <v>854</v>
      </c>
      <c r="B855">
        <v>35</v>
      </c>
      <c r="C855" t="s">
        <v>853</v>
      </c>
      <c r="D855" s="13" t="s">
        <v>913</v>
      </c>
      <c r="E855" s="21">
        <v>189</v>
      </c>
      <c r="F855" s="1">
        <v>3.3558123132753699</v>
      </c>
      <c r="G855">
        <v>-8.6290112997364804E-2</v>
      </c>
      <c r="H855">
        <v>-0.16365659209199199</v>
      </c>
      <c r="I855">
        <v>-0.33193126051144001</v>
      </c>
      <c r="J855">
        <v>4.7210842503104498E-3</v>
      </c>
      <c r="K855">
        <v>-1.6958277712003499E-2</v>
      </c>
    </row>
    <row r="856" spans="1:11" x14ac:dyDescent="0.2">
      <c r="A856">
        <v>855</v>
      </c>
      <c r="B856">
        <v>46</v>
      </c>
      <c r="C856" t="s">
        <v>854</v>
      </c>
      <c r="D856" s="13" t="s">
        <v>912</v>
      </c>
      <c r="E856" s="21">
        <v>160</v>
      </c>
      <c r="F856" s="1">
        <v>2.5629234970507202</v>
      </c>
      <c r="G856">
        <v>-2.5512383746861499E-2</v>
      </c>
      <c r="H856">
        <v>-6.2756845754884702E-2</v>
      </c>
      <c r="I856">
        <v>-8.90085204123479E-2</v>
      </c>
      <c r="J856">
        <v>-3.91404781340716E-2</v>
      </c>
      <c r="K856">
        <v>-7.3812180403060507E-2</v>
      </c>
    </row>
    <row r="857" spans="1:11" x14ac:dyDescent="0.2">
      <c r="A857">
        <v>856</v>
      </c>
      <c r="B857">
        <v>38</v>
      </c>
      <c r="C857" t="s">
        <v>855</v>
      </c>
      <c r="D857" s="13" t="s">
        <v>913</v>
      </c>
      <c r="E857" s="21">
        <v>200</v>
      </c>
      <c r="F857" s="1">
        <v>8.9315335012721508</v>
      </c>
      <c r="G857">
        <v>-0.16358087041991401</v>
      </c>
      <c r="H857">
        <v>-0.457456507146147</v>
      </c>
      <c r="I857">
        <v>-1.1901844665414001</v>
      </c>
      <c r="J857">
        <v>2.8107934611482099E-2</v>
      </c>
      <c r="K857">
        <v>8.3960750914684995E-2</v>
      </c>
    </row>
    <row r="858" spans="1:11" x14ac:dyDescent="0.2">
      <c r="A858">
        <v>857</v>
      </c>
      <c r="B858">
        <v>35</v>
      </c>
      <c r="C858" t="s">
        <v>856</v>
      </c>
      <c r="D858" s="13" t="s">
        <v>913</v>
      </c>
      <c r="E858" s="21">
        <v>189</v>
      </c>
      <c r="F858" s="1">
        <v>1.5542678858160699</v>
      </c>
      <c r="G858">
        <v>1.8899065266744602E-2</v>
      </c>
      <c r="H858">
        <v>-0.219465244677431</v>
      </c>
      <c r="I858">
        <v>-0.37417544421594801</v>
      </c>
      <c r="J858">
        <v>2.2105236125521802E-2</v>
      </c>
      <c r="K858">
        <v>4.67123029470837E-2</v>
      </c>
    </row>
    <row r="859" spans="1:11" x14ac:dyDescent="0.2">
      <c r="A859">
        <v>858</v>
      </c>
      <c r="B859">
        <v>32</v>
      </c>
      <c r="C859" t="s">
        <v>857</v>
      </c>
      <c r="D859" s="13" t="s">
        <v>913</v>
      </c>
      <c r="E859" s="21">
        <v>199</v>
      </c>
      <c r="F859" s="1">
        <v>0.98233546718481901</v>
      </c>
      <c r="G859">
        <v>1.9740373797284601E-2</v>
      </c>
      <c r="H859">
        <v>-1.7985197355439599E-2</v>
      </c>
      <c r="I859">
        <v>3.5945428999848601E-2</v>
      </c>
      <c r="J859">
        <v>1.6436477771650099E-2</v>
      </c>
      <c r="K859">
        <v>2.32352126298568E-2</v>
      </c>
    </row>
    <row r="860" spans="1:11" x14ac:dyDescent="0.2">
      <c r="A860">
        <v>859</v>
      </c>
      <c r="B860">
        <v>54</v>
      </c>
      <c r="C860" t="s">
        <v>858</v>
      </c>
      <c r="D860" s="13" t="s">
        <v>912</v>
      </c>
      <c r="E860" s="21">
        <v>170</v>
      </c>
      <c r="F860" s="1">
        <v>0.32042670848147797</v>
      </c>
      <c r="G860">
        <v>-2.1129159654185801E-2</v>
      </c>
      <c r="H860">
        <v>-5.9282485826368497E-2</v>
      </c>
      <c r="I860">
        <v>-0.30446577109381201</v>
      </c>
      <c r="J860">
        <v>-1.4534537863876099E-2</v>
      </c>
      <c r="K860">
        <v>-4.2988318195317198E-2</v>
      </c>
    </row>
    <row r="861" spans="1:11" x14ac:dyDescent="0.2">
      <c r="A861">
        <v>860</v>
      </c>
      <c r="B861">
        <v>36</v>
      </c>
      <c r="C861" t="s">
        <v>859</v>
      </c>
      <c r="D861" s="13" t="s">
        <v>913</v>
      </c>
      <c r="E861" s="21">
        <v>192</v>
      </c>
      <c r="F861" s="1">
        <v>2.4100769067224999</v>
      </c>
      <c r="G861">
        <v>-9.2006998394787297E-4</v>
      </c>
      <c r="H861">
        <v>-8.4441565717534403E-2</v>
      </c>
      <c r="I861">
        <v>-8.4701003949026799E-2</v>
      </c>
      <c r="J861">
        <v>3.1405055804274502E-2</v>
      </c>
      <c r="K861">
        <v>9.8592360734919907E-2</v>
      </c>
    </row>
    <row r="862" spans="1:11" x14ac:dyDescent="0.2">
      <c r="A862">
        <v>861</v>
      </c>
      <c r="B862">
        <v>51</v>
      </c>
      <c r="C862" t="s">
        <v>860</v>
      </c>
      <c r="D862" s="13" t="s">
        <v>912</v>
      </c>
      <c r="E862" s="21">
        <v>159</v>
      </c>
      <c r="F862" s="1">
        <v>4.3817965408132196</v>
      </c>
      <c r="G862">
        <v>-6.5656141219607306E-2</v>
      </c>
      <c r="H862">
        <v>-0.105160828111844</v>
      </c>
      <c r="I862">
        <v>-0.40114976535046898</v>
      </c>
      <c r="J862">
        <v>-4.7500200308492196E-3</v>
      </c>
      <c r="K862">
        <v>-2.36651194318017E-2</v>
      </c>
    </row>
    <row r="863" spans="1:11" x14ac:dyDescent="0.2">
      <c r="A863">
        <v>862</v>
      </c>
      <c r="B863">
        <v>40</v>
      </c>
      <c r="C863" t="s">
        <v>861</v>
      </c>
      <c r="D863" s="13" t="s">
        <v>913</v>
      </c>
      <c r="E863" s="21">
        <v>202</v>
      </c>
      <c r="F863" s="1">
        <v>-1.7615918367722301</v>
      </c>
      <c r="G863">
        <v>3.8806915763512598E-2</v>
      </c>
      <c r="H863">
        <v>0.140054222038343</v>
      </c>
      <c r="I863">
        <v>0.446317206300894</v>
      </c>
      <c r="J863">
        <v>2.33889954612061E-2</v>
      </c>
      <c r="K863">
        <v>3.0373381048729799E-2</v>
      </c>
    </row>
    <row r="864" spans="1:11" x14ac:dyDescent="0.2">
      <c r="A864">
        <v>863</v>
      </c>
      <c r="B864">
        <v>31</v>
      </c>
      <c r="C864" t="s">
        <v>862</v>
      </c>
      <c r="D864" s="13" t="s">
        <v>913</v>
      </c>
      <c r="E864" s="21">
        <v>199</v>
      </c>
      <c r="F864" s="1">
        <v>1.78622838353715</v>
      </c>
      <c r="G864">
        <v>1.8946310669668599E-2</v>
      </c>
      <c r="H864">
        <v>2.01312039620671E-2</v>
      </c>
      <c r="I864">
        <v>0.19674829518029299</v>
      </c>
      <c r="J864">
        <v>-1.1380717227424701E-3</v>
      </c>
      <c r="K864">
        <v>-1.1654310152688901E-2</v>
      </c>
    </row>
    <row r="865" spans="1:11" x14ac:dyDescent="0.2">
      <c r="A865">
        <v>864</v>
      </c>
      <c r="B865">
        <v>50</v>
      </c>
      <c r="C865" t="s">
        <v>863</v>
      </c>
      <c r="D865" s="13" t="s">
        <v>912</v>
      </c>
      <c r="E865" s="21">
        <v>172</v>
      </c>
      <c r="F865" s="1">
        <v>4.4812851665632403</v>
      </c>
      <c r="G865">
        <v>-7.8564041090025002E-2</v>
      </c>
      <c r="H865">
        <v>-9.3213541063244906E-2</v>
      </c>
      <c r="I865">
        <v>-0.59150253573923195</v>
      </c>
      <c r="J865">
        <v>-5.8585756664096003E-2</v>
      </c>
      <c r="K865">
        <v>-0.13042680738109</v>
      </c>
    </row>
    <row r="866" spans="1:11" x14ac:dyDescent="0.2">
      <c r="A866">
        <v>865</v>
      </c>
      <c r="B866">
        <v>32</v>
      </c>
      <c r="C866" t="s">
        <v>864</v>
      </c>
      <c r="D866" s="13" t="s">
        <v>913</v>
      </c>
      <c r="E866" s="21">
        <v>199</v>
      </c>
      <c r="F866" s="1">
        <v>2.67318991836426</v>
      </c>
      <c r="G866">
        <v>4.3044136375573402E-3</v>
      </c>
      <c r="H866">
        <v>-4.3242099508967999E-2</v>
      </c>
      <c r="I866">
        <v>1.1365450358980201E-3</v>
      </c>
      <c r="J866">
        <v>2.9253692599204201E-2</v>
      </c>
      <c r="K866">
        <v>7.1775070726941795E-2</v>
      </c>
    </row>
    <row r="867" spans="1:11" x14ac:dyDescent="0.2">
      <c r="A867">
        <v>866</v>
      </c>
      <c r="B867">
        <v>42</v>
      </c>
      <c r="C867" t="s">
        <v>865</v>
      </c>
      <c r="D867" s="13" t="s">
        <v>912</v>
      </c>
      <c r="E867" s="21">
        <v>185</v>
      </c>
      <c r="F867" s="1">
        <v>-5.23302537120552E-2</v>
      </c>
      <c r="G867">
        <v>-1.01118321954541E-2</v>
      </c>
      <c r="H867">
        <v>4.6761376199765101E-2</v>
      </c>
      <c r="I867">
        <v>-0.44594414833742602</v>
      </c>
      <c r="J867">
        <v>-6.0944174974447797E-2</v>
      </c>
      <c r="K867">
        <v>-0.165570278866147</v>
      </c>
    </row>
    <row r="868" spans="1:11" x14ac:dyDescent="0.2">
      <c r="A868">
        <v>867</v>
      </c>
      <c r="B868">
        <v>50</v>
      </c>
      <c r="C868" t="s">
        <v>866</v>
      </c>
      <c r="D868" s="13" t="s">
        <v>912</v>
      </c>
      <c r="E868" s="21">
        <v>172</v>
      </c>
      <c r="F868" s="1">
        <v>3.3635669757520601</v>
      </c>
      <c r="G868">
        <v>-6.33265867784671E-2</v>
      </c>
      <c r="H868">
        <v>3.1118409993386099E-2</v>
      </c>
      <c r="I868">
        <v>-0.32075804738033398</v>
      </c>
      <c r="J868">
        <v>-5.7331356493365002E-2</v>
      </c>
      <c r="K868">
        <v>-0.109773930901806</v>
      </c>
    </row>
    <row r="869" spans="1:11" x14ac:dyDescent="0.2">
      <c r="A869">
        <v>868</v>
      </c>
      <c r="B869">
        <v>38</v>
      </c>
      <c r="C869" t="s">
        <v>867</v>
      </c>
      <c r="D869" s="13" t="s">
        <v>913</v>
      </c>
      <c r="E869" s="21">
        <v>200</v>
      </c>
      <c r="F869" s="1">
        <v>4.49247507646953</v>
      </c>
      <c r="G869">
        <v>-7.1038337201175195E-2</v>
      </c>
      <c r="H869">
        <v>-0.30911603376241398</v>
      </c>
      <c r="I869">
        <v>-0.72912629945936203</v>
      </c>
      <c r="J869">
        <v>3.8646895588533903E-2</v>
      </c>
      <c r="K869">
        <v>9.5429668555993094E-2</v>
      </c>
    </row>
    <row r="870" spans="1:11" x14ac:dyDescent="0.2">
      <c r="A870">
        <v>869</v>
      </c>
      <c r="B870">
        <v>52</v>
      </c>
      <c r="C870" t="s">
        <v>868</v>
      </c>
      <c r="D870" s="13" t="s">
        <v>912</v>
      </c>
      <c r="E870" s="21">
        <v>164</v>
      </c>
      <c r="F870" s="1">
        <v>3.85767957765021</v>
      </c>
      <c r="G870">
        <v>-4.7656226116109299E-2</v>
      </c>
      <c r="H870">
        <v>-0.12837763333531599</v>
      </c>
      <c r="I870">
        <v>-0.36076127999962998</v>
      </c>
      <c r="J870">
        <v>-4.20349750680225E-2</v>
      </c>
      <c r="K870">
        <v>-9.2336398798542094E-2</v>
      </c>
    </row>
    <row r="871" spans="1:11" x14ac:dyDescent="0.2">
      <c r="A871">
        <v>870</v>
      </c>
      <c r="B871">
        <v>48</v>
      </c>
      <c r="C871" t="s">
        <v>869</v>
      </c>
      <c r="D871" s="13" t="s">
        <v>912</v>
      </c>
      <c r="E871" s="21">
        <v>173</v>
      </c>
      <c r="F871" s="1">
        <v>5.3610438184343598</v>
      </c>
      <c r="G871">
        <v>-7.1285276789898502E-2</v>
      </c>
      <c r="H871">
        <v>-0.15999220934411501</v>
      </c>
      <c r="I871">
        <v>-0.459118064009223</v>
      </c>
      <c r="J871">
        <v>-1.11967838100834E-2</v>
      </c>
      <c r="K871">
        <v>-2.26316188308587E-2</v>
      </c>
    </row>
    <row r="872" spans="1:11" x14ac:dyDescent="0.2">
      <c r="A872">
        <v>871</v>
      </c>
      <c r="B872">
        <v>21</v>
      </c>
      <c r="C872" t="s">
        <v>870</v>
      </c>
      <c r="D872" s="13" t="s">
        <v>913</v>
      </c>
      <c r="E872" s="21">
        <v>218</v>
      </c>
      <c r="F872" s="1">
        <v>1.5266405928268401</v>
      </c>
      <c r="G872">
        <v>-2.11093069608023E-2</v>
      </c>
      <c r="H872">
        <v>-0.10258361686291401</v>
      </c>
      <c r="I872">
        <v>-0.201609555185956</v>
      </c>
      <c r="J872">
        <v>1.7898601039341999E-2</v>
      </c>
      <c r="K872">
        <v>3.5854957668709303E-2</v>
      </c>
    </row>
    <row r="873" spans="1:11" x14ac:dyDescent="0.2">
      <c r="A873">
        <v>872</v>
      </c>
      <c r="B873">
        <v>21</v>
      </c>
      <c r="C873" t="s">
        <v>871</v>
      </c>
      <c r="D873" s="13" t="s">
        <v>913</v>
      </c>
      <c r="E873" s="21">
        <v>218</v>
      </c>
      <c r="F873" s="1">
        <v>0.47804611641368799</v>
      </c>
      <c r="G873">
        <v>-3.8630450140454201E-2</v>
      </c>
      <c r="H873">
        <v>-9.4431367661574103E-2</v>
      </c>
      <c r="I873">
        <v>-0.20513119374279401</v>
      </c>
      <c r="J873">
        <v>2.5286705734108902E-3</v>
      </c>
      <c r="K873">
        <v>-2.59957497454937E-2</v>
      </c>
    </row>
    <row r="874" spans="1:11" x14ac:dyDescent="0.2">
      <c r="A874">
        <v>873</v>
      </c>
      <c r="B874">
        <v>31</v>
      </c>
      <c r="C874" t="s">
        <v>872</v>
      </c>
      <c r="D874" s="13" t="s">
        <v>913</v>
      </c>
      <c r="E874" s="21">
        <v>199</v>
      </c>
      <c r="F874" s="1">
        <v>4.0372885263542404</v>
      </c>
      <c r="G874">
        <v>-2.4392364467262E-2</v>
      </c>
      <c r="H874">
        <v>-7.1362955592203695E-2</v>
      </c>
      <c r="I874">
        <v>-8.5815816300133602E-2</v>
      </c>
      <c r="J874">
        <v>9.3211046792038704E-3</v>
      </c>
      <c r="K874">
        <v>-4.5647187899764104E-3</v>
      </c>
    </row>
    <row r="875" spans="1:11" x14ac:dyDescent="0.2">
      <c r="A875">
        <v>874</v>
      </c>
      <c r="B875">
        <v>50</v>
      </c>
      <c r="C875" t="s">
        <v>873</v>
      </c>
      <c r="D875" s="13" t="s">
        <v>912</v>
      </c>
      <c r="E875" s="21">
        <v>172</v>
      </c>
      <c r="F875" s="1">
        <v>3.5815874084609098</v>
      </c>
      <c r="G875">
        <v>-6.7251275946360295E-2</v>
      </c>
      <c r="H875">
        <v>-5.8239086816197702E-2</v>
      </c>
      <c r="I875">
        <v>-0.43281100470891298</v>
      </c>
      <c r="J875">
        <v>-6.5824405443643597E-2</v>
      </c>
      <c r="K875">
        <v>-0.13707503752661601</v>
      </c>
    </row>
    <row r="876" spans="1:11" x14ac:dyDescent="0.2">
      <c r="A876">
        <v>875</v>
      </c>
      <c r="B876">
        <v>35</v>
      </c>
      <c r="C876" t="s">
        <v>874</v>
      </c>
      <c r="D876" s="13" t="s">
        <v>913</v>
      </c>
      <c r="E876" s="21">
        <v>304</v>
      </c>
      <c r="F876" s="1">
        <v>7.02396423158803</v>
      </c>
      <c r="G876">
        <v>-0.10475073814592099</v>
      </c>
      <c r="H876">
        <v>-0.152463935578905</v>
      </c>
      <c r="I876">
        <v>-0.40999865132790703</v>
      </c>
      <c r="J876">
        <v>-6.7440686084826304E-3</v>
      </c>
      <c r="K876">
        <v>-2.37225234757087E-2</v>
      </c>
    </row>
    <row r="877" spans="1:11" x14ac:dyDescent="0.2">
      <c r="A877">
        <v>876</v>
      </c>
      <c r="B877">
        <v>38</v>
      </c>
      <c r="C877" t="s">
        <v>875</v>
      </c>
      <c r="D877" s="13" t="s">
        <v>913</v>
      </c>
      <c r="E877" s="21">
        <v>200</v>
      </c>
      <c r="F877" s="1">
        <v>2.1226508982607202</v>
      </c>
      <c r="G877">
        <v>-9.6418604638943296E-3</v>
      </c>
      <c r="H877">
        <v>-0.163791442850548</v>
      </c>
      <c r="I877">
        <v>-0.30832500713411698</v>
      </c>
      <c r="J877">
        <v>2.5698346033103499E-2</v>
      </c>
      <c r="K877">
        <v>7.7179471554475604E-2</v>
      </c>
    </row>
    <row r="878" spans="1:11" x14ac:dyDescent="0.2">
      <c r="A878">
        <v>877</v>
      </c>
      <c r="B878">
        <v>37</v>
      </c>
      <c r="C878" t="s">
        <v>876</v>
      </c>
      <c r="D878" s="13" t="s">
        <v>913</v>
      </c>
      <c r="E878" s="21">
        <v>315</v>
      </c>
      <c r="F878" s="1">
        <v>0.95320154298723203</v>
      </c>
      <c r="G878">
        <v>-2.47148556253283E-2</v>
      </c>
      <c r="H878">
        <v>-4.2260583557292002E-2</v>
      </c>
      <c r="I878">
        <v>-0.13715659678182199</v>
      </c>
      <c r="J878">
        <v>2.4769408804460699E-2</v>
      </c>
      <c r="K878">
        <v>7.42592394760372E-2</v>
      </c>
    </row>
    <row r="879" spans="1:11" x14ac:dyDescent="0.2">
      <c r="A879">
        <v>878</v>
      </c>
      <c r="B879">
        <v>44</v>
      </c>
      <c r="C879" t="s">
        <v>877</v>
      </c>
      <c r="D879" s="13" t="s">
        <v>912</v>
      </c>
      <c r="E879" s="21">
        <v>173</v>
      </c>
      <c r="F879" s="1">
        <v>0.32656637399069499</v>
      </c>
      <c r="G879">
        <v>-6.2083688253459002E-2</v>
      </c>
      <c r="H879">
        <v>-0.19112022376584101</v>
      </c>
      <c r="I879">
        <v>-0.35990304611544</v>
      </c>
      <c r="J879">
        <v>2.3925810218584101E-2</v>
      </c>
      <c r="K879">
        <v>5.5378209444952101E-2</v>
      </c>
    </row>
    <row r="880" spans="1:11" x14ac:dyDescent="0.2">
      <c r="A880">
        <v>879</v>
      </c>
      <c r="B880">
        <v>35</v>
      </c>
      <c r="C880" t="s">
        <v>878</v>
      </c>
      <c r="D880" s="13" t="s">
        <v>913</v>
      </c>
      <c r="E880" s="21">
        <v>304</v>
      </c>
      <c r="F880" s="1">
        <v>0.32985806084226099</v>
      </c>
      <c r="G880">
        <v>1.58330352598408E-3</v>
      </c>
      <c r="H880">
        <v>-2.6188147371155698E-2</v>
      </c>
      <c r="I880">
        <v>4.1306974341685301E-2</v>
      </c>
      <c r="J880">
        <v>-4.1814401661907301E-2</v>
      </c>
      <c r="K880">
        <v>-0.115755675753408</v>
      </c>
    </row>
    <row r="881" spans="1:11" x14ac:dyDescent="0.2">
      <c r="A881">
        <v>880</v>
      </c>
      <c r="B881">
        <v>23</v>
      </c>
      <c r="C881" t="s">
        <v>879</v>
      </c>
      <c r="D881" s="13" t="s">
        <v>913</v>
      </c>
      <c r="E881" s="21">
        <v>189</v>
      </c>
      <c r="F881" s="1">
        <v>-1.1352758763059601</v>
      </c>
      <c r="G881">
        <v>2.7571035928286601E-2</v>
      </c>
      <c r="H881">
        <v>-2.0979327640894101E-2</v>
      </c>
      <c r="I881">
        <v>5.6590482159590498E-2</v>
      </c>
      <c r="J881">
        <v>1.1764521235519699E-2</v>
      </c>
      <c r="K881">
        <v>4.57736772079698E-2</v>
      </c>
    </row>
    <row r="882" spans="1:11" x14ac:dyDescent="0.2">
      <c r="A882">
        <v>881</v>
      </c>
      <c r="B882">
        <v>31</v>
      </c>
      <c r="C882" t="s">
        <v>880</v>
      </c>
      <c r="D882" s="13" t="s">
        <v>913</v>
      </c>
      <c r="E882" s="21">
        <v>314</v>
      </c>
      <c r="F882" s="1">
        <v>-0.256794980235453</v>
      </c>
      <c r="G882">
        <v>1.70747041198137E-2</v>
      </c>
      <c r="H882">
        <v>-2.50859671103104E-2</v>
      </c>
      <c r="I882">
        <v>8.6405125733786295E-2</v>
      </c>
      <c r="J882">
        <v>-2.4095954226816601E-3</v>
      </c>
      <c r="K882">
        <v>-3.2793681975945302E-2</v>
      </c>
    </row>
    <row r="883" spans="1:11" x14ac:dyDescent="0.2">
      <c r="A883">
        <v>882</v>
      </c>
      <c r="B883">
        <v>54</v>
      </c>
      <c r="C883" t="s">
        <v>881</v>
      </c>
      <c r="D883" s="13" t="s">
        <v>912</v>
      </c>
      <c r="E883" s="21">
        <v>170</v>
      </c>
      <c r="F883" s="1">
        <v>2.5973896771918201</v>
      </c>
      <c r="G883">
        <v>-5.2159952816756602E-2</v>
      </c>
      <c r="H883">
        <v>-0.18940130807239999</v>
      </c>
      <c r="I883">
        <v>-0.51469236159788501</v>
      </c>
      <c r="J883">
        <v>-4.6344882861849498E-2</v>
      </c>
      <c r="K883">
        <v>-9.5233241529712506E-2</v>
      </c>
    </row>
    <row r="884" spans="1:11" x14ac:dyDescent="0.2">
      <c r="A884">
        <v>883</v>
      </c>
      <c r="B884">
        <v>22</v>
      </c>
      <c r="C884" t="s">
        <v>882</v>
      </c>
      <c r="D884" s="13" t="s">
        <v>913</v>
      </c>
      <c r="E884" s="21">
        <v>288</v>
      </c>
      <c r="F884" s="1">
        <v>0.92316351415480802</v>
      </c>
      <c r="G884">
        <v>-2.8193637255025002E-2</v>
      </c>
      <c r="H884">
        <v>-0.13107932313714199</v>
      </c>
      <c r="I884">
        <v>-0.34719513552631998</v>
      </c>
      <c r="J884">
        <v>-2.1296588153786499E-4</v>
      </c>
      <c r="K884">
        <v>1.47957325658958E-2</v>
      </c>
    </row>
    <row r="885" spans="1:11" x14ac:dyDescent="0.2">
      <c r="A885">
        <v>884</v>
      </c>
      <c r="B885">
        <v>31</v>
      </c>
      <c r="C885" t="s">
        <v>883</v>
      </c>
      <c r="D885" s="13" t="s">
        <v>913</v>
      </c>
      <c r="E885" s="21">
        <v>314</v>
      </c>
      <c r="F885" s="1">
        <v>1.4862981020582799</v>
      </c>
      <c r="G885">
        <v>-1.5277171286085699E-2</v>
      </c>
      <c r="H885">
        <v>6.1910780613994597E-2</v>
      </c>
      <c r="I885">
        <v>-7.3358790229068702E-2</v>
      </c>
      <c r="J885">
        <v>-6.7147129096309294E-2</v>
      </c>
      <c r="K885">
        <v>-0.148165978123669</v>
      </c>
    </row>
    <row r="886" spans="1:11" x14ac:dyDescent="0.2">
      <c r="A886">
        <v>885</v>
      </c>
      <c r="B886">
        <v>22</v>
      </c>
      <c r="C886" t="s">
        <v>884</v>
      </c>
      <c r="D886" s="13" t="s">
        <v>913</v>
      </c>
      <c r="E886" s="21">
        <v>288</v>
      </c>
      <c r="F886" s="1">
        <v>6.1340644723576796</v>
      </c>
      <c r="G886">
        <v>-7.0829186426075802E-2</v>
      </c>
      <c r="H886">
        <v>-0.17135796617315699</v>
      </c>
      <c r="I886">
        <v>-0.40812045678995901</v>
      </c>
      <c r="J886">
        <v>-2.3839700915197801E-2</v>
      </c>
      <c r="K886">
        <v>-2.8033875051154001E-2</v>
      </c>
    </row>
    <row r="887" spans="1:11" x14ac:dyDescent="0.2">
      <c r="A887">
        <v>886</v>
      </c>
      <c r="B887">
        <v>36</v>
      </c>
      <c r="C887" t="s">
        <v>885</v>
      </c>
      <c r="D887" s="13" t="s">
        <v>913</v>
      </c>
      <c r="E887" s="21">
        <v>307</v>
      </c>
      <c r="F887" s="1">
        <v>1.8528988156100299</v>
      </c>
      <c r="G887">
        <v>-5.8940790226317603E-2</v>
      </c>
      <c r="H887">
        <v>-8.7924316093952098E-2</v>
      </c>
      <c r="I887">
        <v>-0.28209741894622198</v>
      </c>
      <c r="J887">
        <v>-9.0441741014709708E-3</v>
      </c>
      <c r="K887">
        <v>3.91470115694602E-3</v>
      </c>
    </row>
    <row r="888" spans="1:11" x14ac:dyDescent="0.2">
      <c r="A888">
        <v>887</v>
      </c>
      <c r="B888">
        <v>24</v>
      </c>
      <c r="C888" t="s">
        <v>886</v>
      </c>
      <c r="D888" s="13" t="s">
        <v>913</v>
      </c>
      <c r="E888" s="21">
        <v>354</v>
      </c>
      <c r="F888" s="1">
        <v>-0.43503150137977797</v>
      </c>
      <c r="G888">
        <v>3.0683839374438799E-3</v>
      </c>
      <c r="H888">
        <v>7.7185628556085198E-2</v>
      </c>
      <c r="I888">
        <v>0.271732333187922</v>
      </c>
      <c r="J888">
        <v>1.3933753733151999E-2</v>
      </c>
      <c r="K888">
        <v>3.7736250397977102E-2</v>
      </c>
    </row>
    <row r="889" spans="1:11" x14ac:dyDescent="0.2">
      <c r="A889">
        <v>888</v>
      </c>
      <c r="B889">
        <v>29</v>
      </c>
      <c r="C889" t="s">
        <v>887</v>
      </c>
      <c r="D889" s="13" t="s">
        <v>913</v>
      </c>
      <c r="E889" s="21">
        <v>317</v>
      </c>
      <c r="F889" s="1">
        <v>-2.2503001029695899</v>
      </c>
      <c r="G889">
        <v>4.4040222797963699E-2</v>
      </c>
      <c r="H889">
        <v>6.3099686648672895E-2</v>
      </c>
      <c r="I889">
        <v>0.24308885094362001</v>
      </c>
      <c r="J889">
        <v>1.24980104289795E-2</v>
      </c>
      <c r="K889">
        <v>5.5460513850289501E-2</v>
      </c>
    </row>
    <row r="890" spans="1:11" x14ac:dyDescent="0.2">
      <c r="A890">
        <v>889</v>
      </c>
      <c r="B890">
        <v>24</v>
      </c>
      <c r="C890" t="s">
        <v>888</v>
      </c>
      <c r="D890" s="13" t="s">
        <v>913</v>
      </c>
      <c r="E890" s="21">
        <v>354</v>
      </c>
      <c r="F890" s="1">
        <v>4.2092591831531703</v>
      </c>
      <c r="G890">
        <v>-7.5677042545796006E-2</v>
      </c>
      <c r="H890">
        <v>-0.17317848507073999</v>
      </c>
      <c r="I890">
        <v>-0.41427848610635998</v>
      </c>
      <c r="J890">
        <v>-7.9074795586979198E-3</v>
      </c>
      <c r="K890">
        <v>-1.29520975372245E-2</v>
      </c>
    </row>
    <row r="891" spans="1:11" x14ac:dyDescent="0.2">
      <c r="A891">
        <v>890</v>
      </c>
      <c r="B891">
        <v>38</v>
      </c>
      <c r="C891" t="s">
        <v>889</v>
      </c>
      <c r="D891" s="13" t="s">
        <v>913</v>
      </c>
      <c r="E891" s="21">
        <v>315</v>
      </c>
      <c r="F891" s="1">
        <v>2.1152079304425699</v>
      </c>
      <c r="G891">
        <v>-3.4752392194183301E-2</v>
      </c>
      <c r="H891">
        <v>0.169759592357178</v>
      </c>
      <c r="I891">
        <v>2.37162386452365E-2</v>
      </c>
      <c r="J891">
        <v>-2.3521214738988602E-2</v>
      </c>
      <c r="K891">
        <v>-2.17597422417589E-2</v>
      </c>
    </row>
    <row r="892" spans="1:11" x14ac:dyDescent="0.2">
      <c r="A892">
        <v>891</v>
      </c>
      <c r="B892">
        <v>27</v>
      </c>
      <c r="C892" t="s">
        <v>890</v>
      </c>
      <c r="D892" s="13" t="s">
        <v>913</v>
      </c>
      <c r="E892" s="21">
        <v>323</v>
      </c>
      <c r="F892" s="1">
        <v>2.8760896585317899</v>
      </c>
      <c r="G892">
        <v>-6.9528726836325896E-2</v>
      </c>
      <c r="H892">
        <v>-0.111836168167113</v>
      </c>
      <c r="I892">
        <v>-0.45876172538548898</v>
      </c>
      <c r="J892">
        <v>-1.7210469261740802E-2</v>
      </c>
      <c r="K892">
        <v>-6.406281203045E-2</v>
      </c>
    </row>
    <row r="893" spans="1:11" x14ac:dyDescent="0.2">
      <c r="A893">
        <v>892</v>
      </c>
      <c r="B893">
        <v>28</v>
      </c>
      <c r="C893" t="s">
        <v>891</v>
      </c>
      <c r="D893" s="13" t="s">
        <v>913</v>
      </c>
      <c r="E893" s="21">
        <v>357</v>
      </c>
      <c r="F893" s="1">
        <v>1.2923100430641099</v>
      </c>
      <c r="G893">
        <v>-3.16921338894468E-3</v>
      </c>
      <c r="H893">
        <v>-3.1089075169799901E-2</v>
      </c>
      <c r="I893">
        <v>-5.9549886792143198E-3</v>
      </c>
      <c r="J893">
        <v>-3.93320646413228E-2</v>
      </c>
      <c r="K893">
        <v>-6.9410980736710301E-2</v>
      </c>
    </row>
    <row r="894" spans="1:11" x14ac:dyDescent="0.2">
      <c r="A894">
        <v>893</v>
      </c>
      <c r="B894">
        <v>38</v>
      </c>
      <c r="C894" t="s">
        <v>892</v>
      </c>
      <c r="D894" s="13" t="s">
        <v>913</v>
      </c>
      <c r="E894" s="21">
        <v>315</v>
      </c>
      <c r="F894" s="1">
        <v>5.6561355662124599</v>
      </c>
      <c r="G894">
        <v>-9.0256196610407194E-2</v>
      </c>
      <c r="H894">
        <v>-0.187775437448573</v>
      </c>
      <c r="I894">
        <v>-0.52853176919782396</v>
      </c>
      <c r="J894">
        <v>-1.6663694729114002E-2</v>
      </c>
      <c r="K894">
        <v>-2.34113296805698E-2</v>
      </c>
    </row>
    <row r="895" spans="1:11" x14ac:dyDescent="0.2">
      <c r="A895">
        <v>894</v>
      </c>
      <c r="B895">
        <v>33</v>
      </c>
      <c r="C895" t="s">
        <v>893</v>
      </c>
      <c r="D895" s="13" t="s">
        <v>913</v>
      </c>
      <c r="E895" s="21">
        <v>304</v>
      </c>
      <c r="F895" s="1">
        <v>-6.5633772376321797</v>
      </c>
      <c r="G895">
        <v>4.6926103909048902E-2</v>
      </c>
      <c r="H895">
        <v>0.29242369297350901</v>
      </c>
      <c r="I895">
        <v>0.82791190934102099</v>
      </c>
      <c r="J895">
        <v>-1.5279752603629E-2</v>
      </c>
      <c r="K895">
        <v>-5.34630910192734E-2</v>
      </c>
    </row>
    <row r="896" spans="1:11" x14ac:dyDescent="0.2">
      <c r="A896">
        <v>895</v>
      </c>
      <c r="B896">
        <v>31</v>
      </c>
      <c r="C896" t="s">
        <v>894</v>
      </c>
      <c r="D896" s="13" t="s">
        <v>913</v>
      </c>
      <c r="E896" s="21">
        <v>314</v>
      </c>
      <c r="F896" s="1">
        <v>-2.45732E-2</v>
      </c>
      <c r="G896">
        <v>-2.5870386643126801E-2</v>
      </c>
      <c r="H896">
        <v>0.18673426983222999</v>
      </c>
      <c r="I896">
        <v>0.113627023344471</v>
      </c>
      <c r="J896">
        <v>-2.8750884671707399E-2</v>
      </c>
      <c r="K896">
        <v>-6.6541868337201701E-2</v>
      </c>
    </row>
  </sheetData>
  <sortState xmlns:xlrd2="http://schemas.microsoft.com/office/spreadsheetml/2017/richdata2" ref="A2:K896">
    <sortCondition ref="A2:A8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9834-E7EC-C74D-A0CD-20230B99156D}">
  <dimension ref="A1:I896"/>
  <sheetViews>
    <sheetView workbookViewId="0">
      <selection activeCell="A2" sqref="A2"/>
    </sheetView>
  </sheetViews>
  <sheetFormatPr baseColWidth="10" defaultColWidth="11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4" max="4" width="4" style="12" bestFit="1" customWidth="1"/>
    <col min="5" max="6" width="18.33203125" bestFit="1" customWidth="1"/>
    <col min="7" max="7" width="20.1640625" bestFit="1" customWidth="1"/>
    <col min="8" max="8" width="15.33203125" bestFit="1" customWidth="1"/>
    <col min="9" max="9" width="12.6640625" bestFit="1" customWidth="1"/>
  </cols>
  <sheetData>
    <row r="1" spans="1:9" s="10" customFormat="1" x14ac:dyDescent="0.2">
      <c r="A1" s="10" t="s">
        <v>897</v>
      </c>
      <c r="B1" s="10" t="s">
        <v>914</v>
      </c>
      <c r="C1" s="10" t="s">
        <v>895</v>
      </c>
      <c r="D1" s="11" t="s">
        <v>911</v>
      </c>
      <c r="E1" s="10" t="s">
        <v>915</v>
      </c>
      <c r="F1" s="10" t="s">
        <v>917</v>
      </c>
      <c r="G1" s="10" t="s">
        <v>916</v>
      </c>
      <c r="H1" s="10" t="s">
        <v>918</v>
      </c>
      <c r="I1" s="10" t="s">
        <v>898</v>
      </c>
    </row>
    <row r="2" spans="1:9" x14ac:dyDescent="0.2">
      <c r="A2">
        <v>1</v>
      </c>
      <c r="B2">
        <v>13</v>
      </c>
      <c r="C2" t="s">
        <v>0</v>
      </c>
      <c r="D2" s="12" t="s">
        <v>912</v>
      </c>
      <c r="E2" s="1">
        <v>-7.5150399999999999</v>
      </c>
      <c r="F2" s="1">
        <v>-7.3254200000000003</v>
      </c>
      <c r="G2" s="1">
        <v>-7.4691425745525599</v>
      </c>
      <c r="H2" s="1">
        <v>-7.2808866625886104</v>
      </c>
      <c r="I2">
        <f>VLOOKUP(C2,'[1]phenotypes-895'!$A$2:$G$896,7,FALSE)</f>
        <v>56</v>
      </c>
    </row>
    <row r="3" spans="1:9" x14ac:dyDescent="0.2">
      <c r="A3">
        <v>2</v>
      </c>
      <c r="B3">
        <v>8</v>
      </c>
      <c r="C3" t="s">
        <v>1</v>
      </c>
      <c r="D3" s="12" t="s">
        <v>913</v>
      </c>
      <c r="E3" s="1">
        <v>3.9258099999999998</v>
      </c>
      <c r="F3" s="1">
        <v>2.40394</v>
      </c>
      <c r="G3" s="1">
        <v>4.0185399423174601</v>
      </c>
      <c r="H3" s="1">
        <v>2.5085230224527102</v>
      </c>
      <c r="I3">
        <f>VLOOKUP(C3,'[1]phenotypes-895'!$A$2:$G$896,7,FALSE)</f>
        <v>98</v>
      </c>
    </row>
    <row r="4" spans="1:9" x14ac:dyDescent="0.2">
      <c r="A4">
        <v>3</v>
      </c>
      <c r="B4">
        <v>8</v>
      </c>
      <c r="C4" t="s">
        <v>2</v>
      </c>
      <c r="D4" s="12" t="s">
        <v>913</v>
      </c>
      <c r="E4" s="1">
        <v>3.5940300000000001</v>
      </c>
      <c r="F4" s="1">
        <v>1.57359</v>
      </c>
      <c r="G4" s="1">
        <v>3.55930469516194</v>
      </c>
      <c r="H4" s="1">
        <v>1.5252055550029799</v>
      </c>
      <c r="I4">
        <f>VLOOKUP(C4,'[1]phenotypes-895'!$A$2:$G$896,7,FALSE)</f>
        <v>76</v>
      </c>
    </row>
    <row r="5" spans="1:9" x14ac:dyDescent="0.2">
      <c r="A5">
        <v>4</v>
      </c>
      <c r="B5">
        <v>15</v>
      </c>
      <c r="C5" t="s">
        <v>3</v>
      </c>
      <c r="D5" s="12" t="s">
        <v>912</v>
      </c>
      <c r="E5" s="1">
        <v>-11.038600000000001</v>
      </c>
      <c r="F5" s="1">
        <v>-12.0427</v>
      </c>
      <c r="G5" s="1">
        <v>-10.8304973045135</v>
      </c>
      <c r="H5" s="1">
        <v>-11.817503256592801</v>
      </c>
      <c r="I5">
        <f>VLOOKUP(C5,'[1]phenotypes-895'!$A$2:$G$896,7,FALSE)</f>
        <v>63</v>
      </c>
    </row>
    <row r="6" spans="1:9" x14ac:dyDescent="0.2">
      <c r="A6">
        <v>5</v>
      </c>
      <c r="B6">
        <v>13</v>
      </c>
      <c r="C6" t="s">
        <v>4</v>
      </c>
      <c r="D6" s="12" t="s">
        <v>912</v>
      </c>
      <c r="E6" s="1">
        <v>-5.7189199999999998</v>
      </c>
      <c r="F6" s="1">
        <v>-5.41188</v>
      </c>
      <c r="G6" s="1">
        <v>-5.7425925862139904</v>
      </c>
      <c r="H6" s="1">
        <v>-5.4339637937580001</v>
      </c>
      <c r="I6">
        <f>VLOOKUP(C6,'[1]phenotypes-895'!$A$2:$G$896,7,FALSE)</f>
        <v>62</v>
      </c>
    </row>
    <row r="7" spans="1:9" x14ac:dyDescent="0.2">
      <c r="A7">
        <v>6</v>
      </c>
      <c r="B7">
        <v>3</v>
      </c>
      <c r="C7" t="s">
        <v>5</v>
      </c>
      <c r="D7" s="12" t="s">
        <v>913</v>
      </c>
      <c r="E7" s="1">
        <v>-4.5139800000000001</v>
      </c>
      <c r="F7" s="1">
        <v>-6.9796800000000001</v>
      </c>
      <c r="G7" s="1">
        <v>-4.4106253651324003</v>
      </c>
      <c r="H7" s="1">
        <v>-6.8681574845300801</v>
      </c>
      <c r="I7">
        <f>VLOOKUP(C7,'[1]phenotypes-895'!$A$2:$G$896,7,FALSE)</f>
        <v>64</v>
      </c>
    </row>
    <row r="8" spans="1:9" x14ac:dyDescent="0.2">
      <c r="A8">
        <v>7</v>
      </c>
      <c r="B8">
        <v>16</v>
      </c>
      <c r="C8" t="s">
        <v>6</v>
      </c>
      <c r="D8" s="12" t="s">
        <v>912</v>
      </c>
      <c r="E8" s="1">
        <v>-10.11</v>
      </c>
      <c r="F8" s="1">
        <v>-10.369199999999999</v>
      </c>
      <c r="G8" s="1">
        <v>-10.1998445319604</v>
      </c>
      <c r="H8" s="1">
        <v>-10.461524947411901</v>
      </c>
      <c r="I8">
        <f>VLOOKUP(C8,'[1]phenotypes-895'!$A$2:$G$896,7,FALSE)</f>
        <v>53</v>
      </c>
    </row>
    <row r="9" spans="1:9" x14ac:dyDescent="0.2">
      <c r="A9">
        <v>8</v>
      </c>
      <c r="B9">
        <v>6</v>
      </c>
      <c r="C9" t="s">
        <v>7</v>
      </c>
      <c r="D9" s="12" t="s">
        <v>913</v>
      </c>
      <c r="E9" s="1">
        <v>0.758884</v>
      </c>
      <c r="F9" s="1">
        <v>-0.592588</v>
      </c>
      <c r="G9" s="1">
        <v>0.87949578142470397</v>
      </c>
      <c r="H9" s="1">
        <v>-0.452748383920271</v>
      </c>
      <c r="I9">
        <f>VLOOKUP(C9,'[1]phenotypes-895'!$A$2:$G$896,7,FALSE)</f>
        <v>98</v>
      </c>
    </row>
    <row r="10" spans="1:9" x14ac:dyDescent="0.2">
      <c r="A10">
        <v>9</v>
      </c>
      <c r="B10">
        <v>12</v>
      </c>
      <c r="C10" t="s">
        <v>8</v>
      </c>
      <c r="D10" s="12" t="s">
        <v>912</v>
      </c>
      <c r="E10" s="1">
        <v>-2.29155</v>
      </c>
      <c r="F10" s="1">
        <v>-1.3635699999999999</v>
      </c>
      <c r="G10" s="1">
        <v>-2.2606279867287302</v>
      </c>
      <c r="H10" s="1">
        <v>-1.3225028984109499</v>
      </c>
      <c r="I10">
        <f>VLOOKUP(C10,'[1]phenotypes-895'!$A$2:$G$896,7,FALSE)</f>
        <v>98</v>
      </c>
    </row>
    <row r="11" spans="1:9" x14ac:dyDescent="0.2">
      <c r="A11">
        <v>10</v>
      </c>
      <c r="B11">
        <v>12</v>
      </c>
      <c r="C11" t="s">
        <v>9</v>
      </c>
      <c r="D11" s="12" t="s">
        <v>912</v>
      </c>
      <c r="E11" s="1">
        <v>-0.89598299999999997</v>
      </c>
      <c r="F11" s="1">
        <v>6.1764699999999999E-2</v>
      </c>
      <c r="G11" s="1">
        <v>-0.89999703469389603</v>
      </c>
      <c r="H11" s="1">
        <v>5.8106509351567297E-2</v>
      </c>
      <c r="I11">
        <f>VLOOKUP(C11,'[1]phenotypes-895'!$A$2:$G$896,7,FALSE)</f>
        <v>62</v>
      </c>
    </row>
    <row r="12" spans="1:9" x14ac:dyDescent="0.2">
      <c r="A12">
        <v>11</v>
      </c>
      <c r="B12">
        <v>1</v>
      </c>
      <c r="C12" t="s">
        <v>10</v>
      </c>
      <c r="D12" s="12" t="s">
        <v>913</v>
      </c>
      <c r="E12" s="1">
        <v>-3.7671700000000001</v>
      </c>
      <c r="F12" s="1">
        <v>-5.5553800000000004</v>
      </c>
      <c r="G12" s="1">
        <v>-3.7444373288908102</v>
      </c>
      <c r="H12" s="1">
        <v>-5.5303321966281</v>
      </c>
      <c r="I12">
        <f>VLOOKUP(C12,'[1]phenotypes-895'!$A$2:$G$896,7,FALSE)</f>
        <v>50</v>
      </c>
    </row>
    <row r="13" spans="1:9" x14ac:dyDescent="0.2">
      <c r="A13">
        <v>12</v>
      </c>
      <c r="B13">
        <v>5</v>
      </c>
      <c r="C13" t="s">
        <v>11</v>
      </c>
      <c r="D13" s="12" t="s">
        <v>913</v>
      </c>
      <c r="E13" s="1">
        <v>-4.5255200000000002</v>
      </c>
      <c r="F13" s="1">
        <v>-7.3361200000000002</v>
      </c>
      <c r="G13" s="1">
        <v>-4.4528542202766399</v>
      </c>
      <c r="H13" s="1">
        <v>-7.2515961778776896</v>
      </c>
      <c r="I13">
        <f>VLOOKUP(C13,'[1]phenotypes-895'!$A$2:$G$896,7,FALSE)</f>
        <v>60</v>
      </c>
    </row>
    <row r="14" spans="1:9" x14ac:dyDescent="0.2">
      <c r="A14">
        <v>13</v>
      </c>
      <c r="B14">
        <v>5</v>
      </c>
      <c r="C14" t="s">
        <v>12</v>
      </c>
      <c r="D14" s="12" t="s">
        <v>913</v>
      </c>
      <c r="E14" s="1">
        <v>-4.8234199999999996</v>
      </c>
      <c r="F14" s="1">
        <v>-7.0749000000000004</v>
      </c>
      <c r="G14" s="1">
        <v>-4.8596753080778798</v>
      </c>
      <c r="H14" s="1">
        <v>-7.127405695567</v>
      </c>
      <c r="I14">
        <f>VLOOKUP(C14,'[1]phenotypes-895'!$A$2:$G$896,7,FALSE)</f>
        <v>98</v>
      </c>
    </row>
    <row r="15" spans="1:9" x14ac:dyDescent="0.2">
      <c r="A15">
        <v>14</v>
      </c>
      <c r="B15">
        <v>8</v>
      </c>
      <c r="C15" t="s">
        <v>13</v>
      </c>
      <c r="D15" s="12" t="s">
        <v>913</v>
      </c>
      <c r="E15" s="1">
        <v>4.4703400000000002</v>
      </c>
      <c r="F15" s="1">
        <v>3.1025399999999999</v>
      </c>
      <c r="G15" s="1">
        <v>4.4496792629058799</v>
      </c>
      <c r="H15" s="1">
        <v>3.06513670417388</v>
      </c>
      <c r="I15">
        <f>VLOOKUP(C15,'[1]phenotypes-895'!$A$2:$G$896,7,FALSE)</f>
        <v>72</v>
      </c>
    </row>
    <row r="16" spans="1:9" x14ac:dyDescent="0.2">
      <c r="A16">
        <v>15</v>
      </c>
      <c r="B16">
        <v>9</v>
      </c>
      <c r="C16" t="s">
        <v>14</v>
      </c>
      <c r="D16" s="12" t="s">
        <v>912</v>
      </c>
      <c r="E16" s="1">
        <v>-3.8318099999999999</v>
      </c>
      <c r="F16" s="1">
        <v>-4.2425499999999996</v>
      </c>
      <c r="G16" s="1">
        <v>-3.7569217402513502</v>
      </c>
      <c r="H16" s="1">
        <v>-4.1722462339659598</v>
      </c>
      <c r="I16">
        <f>VLOOKUP(C16,'[1]phenotypes-895'!$A$2:$G$896,7,FALSE)</f>
        <v>53</v>
      </c>
    </row>
    <row r="17" spans="1:9" x14ac:dyDescent="0.2">
      <c r="A17">
        <v>16</v>
      </c>
      <c r="B17">
        <v>3</v>
      </c>
      <c r="C17" t="s">
        <v>15</v>
      </c>
      <c r="D17" s="12" t="s">
        <v>913</v>
      </c>
      <c r="E17" s="1">
        <v>-8.1903400000000001E-2</v>
      </c>
      <c r="F17" s="1">
        <v>-2.3692600000000001</v>
      </c>
      <c r="G17" s="1">
        <v>-9.6051725952221001E-2</v>
      </c>
      <c r="H17" s="1">
        <v>-2.3904293538682899</v>
      </c>
      <c r="I17">
        <f>VLOOKUP(C17,'[1]phenotypes-895'!$A$2:$G$896,7,FALSE)</f>
        <v>98</v>
      </c>
    </row>
    <row r="18" spans="1:9" x14ac:dyDescent="0.2">
      <c r="A18">
        <v>17</v>
      </c>
      <c r="B18">
        <v>6</v>
      </c>
      <c r="C18" t="s">
        <v>16</v>
      </c>
      <c r="D18" s="12" t="s">
        <v>913</v>
      </c>
      <c r="E18" s="1">
        <v>2.3468</v>
      </c>
      <c r="F18" s="1">
        <v>1.1629700000000001</v>
      </c>
      <c r="G18" s="1">
        <v>2.4097563447867798</v>
      </c>
      <c r="H18" s="1">
        <v>1.2354146154802901</v>
      </c>
      <c r="I18">
        <f>VLOOKUP(C18,'[1]phenotypes-895'!$A$2:$G$896,7,FALSE)</f>
        <v>91</v>
      </c>
    </row>
    <row r="19" spans="1:9" x14ac:dyDescent="0.2">
      <c r="A19">
        <v>18</v>
      </c>
      <c r="B19">
        <v>9</v>
      </c>
      <c r="C19" t="s">
        <v>17</v>
      </c>
      <c r="D19" s="12" t="s">
        <v>912</v>
      </c>
      <c r="E19" s="1">
        <v>-0.91527999999999998</v>
      </c>
      <c r="F19" s="1">
        <v>-1.07152</v>
      </c>
      <c r="G19" s="1">
        <v>-1.01868399210545</v>
      </c>
      <c r="H19" s="1">
        <v>-1.16657181381845</v>
      </c>
      <c r="I19">
        <f>VLOOKUP(C19,'[1]phenotypes-895'!$A$2:$G$896,7,FALSE)</f>
        <v>46</v>
      </c>
    </row>
    <row r="20" spans="1:9" x14ac:dyDescent="0.2">
      <c r="A20">
        <v>19</v>
      </c>
      <c r="B20">
        <v>19</v>
      </c>
      <c r="C20" t="s">
        <v>18</v>
      </c>
      <c r="D20" s="12" t="s">
        <v>912</v>
      </c>
      <c r="E20" s="1">
        <v>-12.003</v>
      </c>
      <c r="F20" s="1">
        <v>-11.8232</v>
      </c>
      <c r="G20" s="1">
        <v>-11.986935130675</v>
      </c>
      <c r="H20" s="1">
        <v>-11.8138724022985</v>
      </c>
      <c r="I20">
        <f>VLOOKUP(C20,'[1]phenotypes-895'!$A$2:$G$896,7,FALSE)</f>
        <v>61</v>
      </c>
    </row>
    <row r="21" spans="1:9" x14ac:dyDescent="0.2">
      <c r="A21">
        <v>20</v>
      </c>
      <c r="B21">
        <v>15</v>
      </c>
      <c r="C21" t="s">
        <v>19</v>
      </c>
      <c r="D21" s="12" t="s">
        <v>912</v>
      </c>
      <c r="E21" s="1">
        <v>-8.2582699999999996</v>
      </c>
      <c r="F21" s="1">
        <v>-9.1833200000000001</v>
      </c>
      <c r="G21" s="1">
        <v>-8.2882056966382507</v>
      </c>
      <c r="H21" s="1">
        <v>-9.2118049977541805</v>
      </c>
      <c r="I21">
        <f>VLOOKUP(C21,'[1]phenotypes-895'!$A$2:$G$896,7,FALSE)</f>
        <v>61</v>
      </c>
    </row>
    <row r="22" spans="1:9" x14ac:dyDescent="0.2">
      <c r="A22">
        <v>21</v>
      </c>
      <c r="B22">
        <v>9</v>
      </c>
      <c r="C22" t="s">
        <v>20</v>
      </c>
      <c r="D22" s="12" t="s">
        <v>912</v>
      </c>
      <c r="E22" s="1">
        <v>8.3317199999999994E-2</v>
      </c>
      <c r="F22" s="1">
        <v>1.11694</v>
      </c>
      <c r="G22" s="1">
        <v>0.11557621119323599</v>
      </c>
      <c r="H22" s="1">
        <v>1.1629788597152699</v>
      </c>
      <c r="I22">
        <f>VLOOKUP(C22,'[1]phenotypes-895'!$A$2:$G$896,7,FALSE)</f>
        <v>98</v>
      </c>
    </row>
    <row r="23" spans="1:9" x14ac:dyDescent="0.2">
      <c r="A23">
        <v>22</v>
      </c>
      <c r="B23">
        <v>4</v>
      </c>
      <c r="C23" t="s">
        <v>21</v>
      </c>
      <c r="D23" s="12" t="s">
        <v>913</v>
      </c>
      <c r="E23" s="1">
        <v>0.96125000000000005</v>
      </c>
      <c r="F23" s="1">
        <v>-1.0131699999999999</v>
      </c>
      <c r="G23" s="1">
        <v>0.91783320748853403</v>
      </c>
      <c r="H23" s="1">
        <v>-1.0612976836907899</v>
      </c>
      <c r="I23">
        <f>VLOOKUP(C23,'[1]phenotypes-895'!$A$2:$G$896,7,FALSE)</f>
        <v>74</v>
      </c>
    </row>
    <row r="24" spans="1:9" x14ac:dyDescent="0.2">
      <c r="A24">
        <v>23</v>
      </c>
      <c r="B24">
        <v>19</v>
      </c>
      <c r="C24" t="s">
        <v>22</v>
      </c>
      <c r="D24" s="12" t="s">
        <v>912</v>
      </c>
      <c r="E24" s="1">
        <v>-11.839700000000001</v>
      </c>
      <c r="F24" s="1">
        <v>-13.103999999999999</v>
      </c>
      <c r="G24" s="1">
        <v>-11.570048655413199</v>
      </c>
      <c r="H24" s="1">
        <v>-12.825642314401501</v>
      </c>
      <c r="I24">
        <f>VLOOKUP(C24,'[1]phenotypes-895'!$A$2:$G$896,7,FALSE)</f>
        <v>51</v>
      </c>
    </row>
    <row r="25" spans="1:9" x14ac:dyDescent="0.2">
      <c r="A25">
        <v>24</v>
      </c>
      <c r="B25">
        <v>1</v>
      </c>
      <c r="C25" t="s">
        <v>23</v>
      </c>
      <c r="D25" s="12" t="s">
        <v>913</v>
      </c>
      <c r="E25" s="1">
        <v>-6.7971000000000004</v>
      </c>
      <c r="F25" s="1">
        <v>-8.9435000000000002</v>
      </c>
      <c r="G25" s="1">
        <v>-6.7635042995881198</v>
      </c>
      <c r="H25" s="1">
        <v>-8.9127847945386094</v>
      </c>
      <c r="I25">
        <f>VLOOKUP(C25,'[1]phenotypes-895'!$A$2:$G$896,7,FALSE)</f>
        <v>50</v>
      </c>
    </row>
    <row r="26" spans="1:9" x14ac:dyDescent="0.2">
      <c r="A26">
        <v>25</v>
      </c>
      <c r="B26">
        <v>10</v>
      </c>
      <c r="C26" t="s">
        <v>24</v>
      </c>
      <c r="D26" s="12" t="s">
        <v>912</v>
      </c>
      <c r="E26" s="1">
        <v>-2.5293299999999999</v>
      </c>
      <c r="F26" s="1">
        <v>-1.27834</v>
      </c>
      <c r="G26" s="1">
        <v>-2.54009825280006</v>
      </c>
      <c r="H26" s="1">
        <v>-1.28635635643275</v>
      </c>
      <c r="I26">
        <f>VLOOKUP(C26,'[1]phenotypes-895'!$A$2:$G$896,7,FALSE)</f>
        <v>81</v>
      </c>
    </row>
    <row r="27" spans="1:9" x14ac:dyDescent="0.2">
      <c r="A27">
        <v>26</v>
      </c>
      <c r="B27">
        <v>6</v>
      </c>
      <c r="C27" t="s">
        <v>25</v>
      </c>
      <c r="D27" s="12" t="s">
        <v>913</v>
      </c>
      <c r="E27" s="1">
        <v>-5.8604599999999998</v>
      </c>
      <c r="F27" s="1">
        <v>-8.1102699999999999</v>
      </c>
      <c r="G27" s="1">
        <v>-5.7277995231110497</v>
      </c>
      <c r="H27" s="1">
        <v>-7.9714464236918099</v>
      </c>
      <c r="I27">
        <f>VLOOKUP(C27,'[1]phenotypes-895'!$A$2:$G$896,7,FALSE)</f>
        <v>58</v>
      </c>
    </row>
    <row r="28" spans="1:9" x14ac:dyDescent="0.2">
      <c r="A28">
        <v>27</v>
      </c>
      <c r="B28">
        <v>12</v>
      </c>
      <c r="C28" t="s">
        <v>26</v>
      </c>
      <c r="D28" s="12" t="s">
        <v>912</v>
      </c>
      <c r="E28" s="1">
        <v>1.7275700000000001</v>
      </c>
      <c r="F28" s="1">
        <v>3.5613000000000001</v>
      </c>
      <c r="G28" s="1">
        <v>1.7400191270799199</v>
      </c>
      <c r="H28" s="1">
        <v>3.5843891451609902</v>
      </c>
      <c r="I28">
        <f>VLOOKUP(C28,'[1]phenotypes-895'!$A$2:$G$896,7,FALSE)</f>
        <v>98</v>
      </c>
    </row>
    <row r="29" spans="1:9" x14ac:dyDescent="0.2">
      <c r="A29">
        <v>28</v>
      </c>
      <c r="B29">
        <v>30</v>
      </c>
      <c r="C29" t="s">
        <v>27</v>
      </c>
      <c r="D29" s="13" t="s">
        <v>913</v>
      </c>
      <c r="E29" s="1">
        <v>0.76057200000000003</v>
      </c>
      <c r="F29" s="1">
        <v>-0.89126099999999997</v>
      </c>
      <c r="G29" s="1">
        <v>0.86126521652792398</v>
      </c>
      <c r="H29" s="1">
        <v>-0.76749293266382301</v>
      </c>
      <c r="I29">
        <f>VLOOKUP(C29,'[1]phenotypes-895'!$A$2:$G$896,7,FALSE)</f>
        <v>98</v>
      </c>
    </row>
    <row r="30" spans="1:9" x14ac:dyDescent="0.2">
      <c r="A30">
        <v>29</v>
      </c>
      <c r="B30">
        <v>4</v>
      </c>
      <c r="C30" t="s">
        <v>28</v>
      </c>
      <c r="D30" s="12" t="s">
        <v>913</v>
      </c>
      <c r="E30" s="1">
        <v>-4.4045300000000003</v>
      </c>
      <c r="F30" s="1">
        <v>-6.5895000000000001</v>
      </c>
      <c r="G30" s="1">
        <v>-4.4585721432533703</v>
      </c>
      <c r="H30" s="1">
        <v>-6.6615678093573703</v>
      </c>
      <c r="I30">
        <f>VLOOKUP(C30,'[1]phenotypes-895'!$A$2:$G$896,7,FALSE)</f>
        <v>49</v>
      </c>
    </row>
    <row r="31" spans="1:9" x14ac:dyDescent="0.2">
      <c r="A31">
        <v>30</v>
      </c>
      <c r="B31">
        <v>24</v>
      </c>
      <c r="C31" t="s">
        <v>29</v>
      </c>
      <c r="D31" s="13" t="s">
        <v>913</v>
      </c>
      <c r="E31" s="1">
        <v>-1.0606199999999999</v>
      </c>
      <c r="F31" s="1">
        <v>-2.9179499999999998</v>
      </c>
      <c r="G31" s="1">
        <v>-1.04975465270158</v>
      </c>
      <c r="H31" s="1">
        <v>-2.9114954666219202</v>
      </c>
      <c r="I31">
        <f>VLOOKUP(C31,'[1]phenotypes-895'!$A$2:$G$896,7,FALSE)</f>
        <v>76</v>
      </c>
    </row>
    <row r="32" spans="1:9" x14ac:dyDescent="0.2">
      <c r="A32">
        <v>31</v>
      </c>
      <c r="B32">
        <v>17</v>
      </c>
      <c r="C32" t="s">
        <v>30</v>
      </c>
      <c r="D32" s="12" t="s">
        <v>912</v>
      </c>
      <c r="E32" s="1">
        <v>-8.7904599999999995</v>
      </c>
      <c r="F32" s="1">
        <v>-8.5313700000000008</v>
      </c>
      <c r="G32" s="1">
        <v>-8.6051417375638906</v>
      </c>
      <c r="H32" s="1">
        <v>-8.3554538257917503</v>
      </c>
      <c r="I32">
        <f>VLOOKUP(C32,'[1]phenotypes-895'!$A$2:$G$896,7,FALSE)</f>
        <v>52</v>
      </c>
    </row>
    <row r="33" spans="1:9" x14ac:dyDescent="0.2">
      <c r="A33">
        <v>32</v>
      </c>
      <c r="B33">
        <v>21</v>
      </c>
      <c r="C33" t="s">
        <v>31</v>
      </c>
      <c r="D33" s="13" t="s">
        <v>913</v>
      </c>
      <c r="E33" s="1">
        <v>0.182115</v>
      </c>
      <c r="F33" s="1">
        <v>-0.92599200000000004</v>
      </c>
      <c r="G33" s="1">
        <v>0.18640551688437099</v>
      </c>
      <c r="H33" s="1">
        <v>-0.91644761732591795</v>
      </c>
      <c r="I33">
        <f>VLOOKUP(C33,'[1]phenotypes-895'!$A$2:$G$896,7,FALSE)</f>
        <v>70</v>
      </c>
    </row>
    <row r="34" spans="1:9" x14ac:dyDescent="0.2">
      <c r="A34">
        <v>33</v>
      </c>
      <c r="B34">
        <v>15</v>
      </c>
      <c r="C34" t="s">
        <v>32</v>
      </c>
      <c r="D34" s="12" t="s">
        <v>912</v>
      </c>
      <c r="E34" s="1">
        <v>-11.879</v>
      </c>
      <c r="F34" s="1">
        <v>-12.990399999999999</v>
      </c>
      <c r="G34" s="1">
        <v>-11.9851634704952</v>
      </c>
      <c r="H34" s="1">
        <v>-13.099553023043001</v>
      </c>
      <c r="I34">
        <f>VLOOKUP(C34,'[1]phenotypes-895'!$A$2:$G$896,7,FALSE)</f>
        <v>46</v>
      </c>
    </row>
    <row r="35" spans="1:9" x14ac:dyDescent="0.2">
      <c r="A35">
        <v>34</v>
      </c>
      <c r="B35">
        <v>50</v>
      </c>
      <c r="C35" t="s">
        <v>33</v>
      </c>
      <c r="D35" s="13" t="s">
        <v>912</v>
      </c>
      <c r="E35" s="1">
        <v>-3.60053</v>
      </c>
      <c r="F35" s="1">
        <v>-1.2105399999999999</v>
      </c>
      <c r="G35" s="1">
        <v>-3.49354221621169</v>
      </c>
      <c r="H35" s="1">
        <v>-1.1074686985400499</v>
      </c>
      <c r="I35">
        <f>VLOOKUP(C35,'[1]phenotypes-895'!$A$2:$G$896,7,FALSE)</f>
        <v>62</v>
      </c>
    </row>
    <row r="36" spans="1:9" x14ac:dyDescent="0.2">
      <c r="A36">
        <v>35</v>
      </c>
      <c r="B36">
        <v>14</v>
      </c>
      <c r="C36" t="s">
        <v>34</v>
      </c>
      <c r="D36" s="12" t="s">
        <v>912</v>
      </c>
      <c r="E36" s="1">
        <v>-4.8011499999999998</v>
      </c>
      <c r="F36" s="1">
        <v>-3.7567300000000001</v>
      </c>
      <c r="G36" s="1">
        <v>-4.8835317633984996</v>
      </c>
      <c r="H36" s="1">
        <v>-3.8423057074316298</v>
      </c>
      <c r="I36">
        <f>VLOOKUP(C36,'[1]phenotypes-895'!$A$2:$G$896,7,FALSE)</f>
        <v>65</v>
      </c>
    </row>
    <row r="37" spans="1:9" x14ac:dyDescent="0.2">
      <c r="A37">
        <v>36</v>
      </c>
      <c r="B37">
        <v>44</v>
      </c>
      <c r="C37" t="s">
        <v>35</v>
      </c>
      <c r="D37" s="13" t="s">
        <v>912</v>
      </c>
      <c r="E37" s="1">
        <v>2.7135500000000001</v>
      </c>
      <c r="F37" s="1">
        <v>5.4764900000000001</v>
      </c>
      <c r="G37" s="1">
        <v>2.80382593624328</v>
      </c>
      <c r="H37" s="1">
        <v>5.5601854995383997</v>
      </c>
      <c r="I37">
        <f>VLOOKUP(C37,'[1]phenotypes-895'!$A$2:$G$896,7,FALSE)</f>
        <v>98</v>
      </c>
    </row>
    <row r="38" spans="1:9" x14ac:dyDescent="0.2">
      <c r="A38">
        <v>37</v>
      </c>
      <c r="B38">
        <v>11</v>
      </c>
      <c r="C38" t="s">
        <v>36</v>
      </c>
      <c r="D38" s="12" t="s">
        <v>912</v>
      </c>
      <c r="E38" s="1">
        <v>-6.9795699999999998</v>
      </c>
      <c r="F38" s="1">
        <v>-6.6970700000000001</v>
      </c>
      <c r="G38" s="1">
        <v>-6.9633225195934498</v>
      </c>
      <c r="H38" s="1">
        <v>-6.6820191520542203</v>
      </c>
      <c r="I38">
        <f>VLOOKUP(C38,'[1]phenotypes-895'!$A$2:$G$896,7,FALSE)</f>
        <v>63</v>
      </c>
    </row>
    <row r="39" spans="1:9" x14ac:dyDescent="0.2">
      <c r="A39">
        <v>38</v>
      </c>
      <c r="B39">
        <v>43</v>
      </c>
      <c r="C39" t="s">
        <v>37</v>
      </c>
      <c r="D39" s="13" t="s">
        <v>912</v>
      </c>
      <c r="E39" s="1">
        <v>-3.7326600000000001</v>
      </c>
      <c r="F39" s="1">
        <v>-2.56291</v>
      </c>
      <c r="G39" s="1">
        <v>-3.57041745365499</v>
      </c>
      <c r="H39" s="1">
        <v>-2.39820695675111</v>
      </c>
      <c r="I39">
        <f>VLOOKUP(C39,'[1]phenotypes-895'!$A$2:$G$896,7,FALSE)</f>
        <v>70</v>
      </c>
    </row>
    <row r="40" spans="1:9" x14ac:dyDescent="0.2">
      <c r="A40">
        <v>39</v>
      </c>
      <c r="B40">
        <v>17</v>
      </c>
      <c r="C40" t="s">
        <v>38</v>
      </c>
      <c r="D40" s="12" t="s">
        <v>912</v>
      </c>
      <c r="E40" s="1">
        <v>-4.23421</v>
      </c>
      <c r="F40" s="1">
        <v>-3.7282500000000001</v>
      </c>
      <c r="G40" s="1">
        <v>-4.21292885659392</v>
      </c>
      <c r="H40" s="1">
        <v>-3.7071537666737902</v>
      </c>
      <c r="I40">
        <f>VLOOKUP(C40,'[1]phenotypes-895'!$A$2:$G$896,7,FALSE)</f>
        <v>76</v>
      </c>
    </row>
    <row r="41" spans="1:9" x14ac:dyDescent="0.2">
      <c r="A41">
        <v>40</v>
      </c>
      <c r="B41">
        <v>37</v>
      </c>
      <c r="C41" t="s">
        <v>39</v>
      </c>
      <c r="D41" s="13" t="s">
        <v>913</v>
      </c>
      <c r="E41" s="1">
        <v>-2.2936299999999998</v>
      </c>
      <c r="F41" s="1">
        <v>-2.4687000000000001</v>
      </c>
      <c r="G41" s="1">
        <v>-2.2069120290214199</v>
      </c>
      <c r="H41" s="1">
        <v>-2.3885133976938402</v>
      </c>
      <c r="I41">
        <f>VLOOKUP(C41,'[1]phenotypes-895'!$A$2:$G$896,7,FALSE)</f>
        <v>49</v>
      </c>
    </row>
    <row r="42" spans="1:9" x14ac:dyDescent="0.2">
      <c r="A42">
        <v>41</v>
      </c>
      <c r="B42">
        <v>6</v>
      </c>
      <c r="C42" t="s">
        <v>40</v>
      </c>
      <c r="D42" s="12" t="s">
        <v>913</v>
      </c>
      <c r="E42" s="1">
        <v>-0.88200299999999998</v>
      </c>
      <c r="F42" s="1">
        <v>-3.145</v>
      </c>
      <c r="G42" s="1">
        <v>-0.920669611496577</v>
      </c>
      <c r="H42" s="1">
        <v>-3.1900364896286901</v>
      </c>
      <c r="I42">
        <f>VLOOKUP(C42,'[1]phenotypes-895'!$A$2:$G$896,7,FALSE)</f>
        <v>60</v>
      </c>
    </row>
    <row r="43" spans="1:9" x14ac:dyDescent="0.2">
      <c r="A43">
        <v>42</v>
      </c>
      <c r="B43">
        <v>23</v>
      </c>
      <c r="C43" t="s">
        <v>41</v>
      </c>
      <c r="D43" s="13" t="s">
        <v>913</v>
      </c>
      <c r="E43" s="1">
        <v>1.1819500000000001</v>
      </c>
      <c r="F43" s="1">
        <v>0.489929</v>
      </c>
      <c r="G43" s="1">
        <v>1.1748889000129701</v>
      </c>
      <c r="H43" s="1">
        <v>0.49256847786123098</v>
      </c>
      <c r="I43">
        <f>VLOOKUP(C43,'[1]phenotypes-895'!$A$2:$G$896,7,FALSE)</f>
        <v>56</v>
      </c>
    </row>
    <row r="44" spans="1:9" x14ac:dyDescent="0.2">
      <c r="A44">
        <v>43</v>
      </c>
      <c r="B44">
        <v>15</v>
      </c>
      <c r="C44" t="s">
        <v>42</v>
      </c>
      <c r="D44" s="12" t="s">
        <v>912</v>
      </c>
      <c r="E44" s="1">
        <v>-3.5411800000000002</v>
      </c>
      <c r="F44" s="1">
        <v>-3.5698300000000001</v>
      </c>
      <c r="G44" s="1">
        <v>-3.4535236846327799</v>
      </c>
      <c r="H44" s="1">
        <v>-3.4800547362574701</v>
      </c>
      <c r="I44">
        <f>VLOOKUP(C44,'[1]phenotypes-895'!$A$2:$G$896,7,FALSE)</f>
        <v>78</v>
      </c>
    </row>
    <row r="45" spans="1:9" x14ac:dyDescent="0.2">
      <c r="A45">
        <v>44</v>
      </c>
      <c r="B45">
        <v>32</v>
      </c>
      <c r="C45" t="s">
        <v>43</v>
      </c>
      <c r="D45" s="13" t="s">
        <v>913</v>
      </c>
      <c r="E45" s="1">
        <v>-0.10712099999999999</v>
      </c>
      <c r="F45" s="1">
        <v>-0.55017300000000002</v>
      </c>
      <c r="G45" s="1">
        <v>-7.6424689200160795E-2</v>
      </c>
      <c r="H45" s="1">
        <v>-0.53339333183000004</v>
      </c>
      <c r="I45">
        <f>VLOOKUP(C45,'[1]phenotypes-895'!$A$2:$G$896,7,FALSE)</f>
        <v>67</v>
      </c>
    </row>
    <row r="46" spans="1:9" x14ac:dyDescent="0.2">
      <c r="A46">
        <v>45</v>
      </c>
      <c r="B46">
        <v>20</v>
      </c>
      <c r="C46" t="s">
        <v>44</v>
      </c>
      <c r="D46" s="12" t="s">
        <v>912</v>
      </c>
      <c r="E46" s="1">
        <v>3.0034900000000002</v>
      </c>
      <c r="F46" s="1">
        <v>4.0183099999999996</v>
      </c>
      <c r="G46" s="1">
        <v>3.0303065068277499</v>
      </c>
      <c r="H46" s="1">
        <v>4.0574794056141004</v>
      </c>
      <c r="I46">
        <f>VLOOKUP(C46,'[1]phenotypes-895'!$A$2:$G$896,7,FALSE)</f>
        <v>98</v>
      </c>
    </row>
    <row r="47" spans="1:9" x14ac:dyDescent="0.2">
      <c r="A47">
        <v>46</v>
      </c>
      <c r="B47">
        <v>48</v>
      </c>
      <c r="C47" t="s">
        <v>45</v>
      </c>
      <c r="D47" s="13" t="s">
        <v>912</v>
      </c>
      <c r="E47" s="1">
        <v>1.6675199999999999</v>
      </c>
      <c r="F47" s="1">
        <v>3.3890899999999999</v>
      </c>
      <c r="G47" s="1">
        <v>1.60810187688995</v>
      </c>
      <c r="H47" s="1">
        <v>3.33769675021178</v>
      </c>
      <c r="I47">
        <f>VLOOKUP(C47,'[1]phenotypes-895'!$A$2:$G$896,7,FALSE)</f>
        <v>67</v>
      </c>
    </row>
    <row r="48" spans="1:9" x14ac:dyDescent="0.2">
      <c r="A48">
        <v>47</v>
      </c>
      <c r="B48">
        <v>6</v>
      </c>
      <c r="C48" t="s">
        <v>46</v>
      </c>
      <c r="D48" s="12" t="s">
        <v>913</v>
      </c>
      <c r="E48" s="1">
        <v>0.20433699999999999</v>
      </c>
      <c r="F48" s="1">
        <v>-1.92005</v>
      </c>
      <c r="G48" s="1">
        <v>0.28342238097971301</v>
      </c>
      <c r="H48" s="1">
        <v>-1.8130239631837901</v>
      </c>
      <c r="I48">
        <f>VLOOKUP(C48,'[1]phenotypes-895'!$A$2:$G$896,7,FALSE)</f>
        <v>56</v>
      </c>
    </row>
    <row r="49" spans="1:9" x14ac:dyDescent="0.2">
      <c r="A49">
        <v>48</v>
      </c>
      <c r="B49">
        <v>16</v>
      </c>
      <c r="C49" t="s">
        <v>47</v>
      </c>
      <c r="D49" s="12" t="s">
        <v>912</v>
      </c>
      <c r="E49" s="1">
        <v>-5.7138799999999996</v>
      </c>
      <c r="F49" s="1">
        <v>-5.3949400000000001</v>
      </c>
      <c r="G49" s="1">
        <v>-5.7956682241730002</v>
      </c>
      <c r="H49" s="1">
        <v>-5.4741160269088702</v>
      </c>
      <c r="I49">
        <f>VLOOKUP(C49,'[1]phenotypes-895'!$A$2:$G$896,7,FALSE)</f>
        <v>61</v>
      </c>
    </row>
    <row r="50" spans="1:9" x14ac:dyDescent="0.2">
      <c r="A50">
        <v>49</v>
      </c>
      <c r="B50">
        <v>17</v>
      </c>
      <c r="C50" t="s">
        <v>48</v>
      </c>
      <c r="D50" s="12" t="s">
        <v>912</v>
      </c>
      <c r="E50" s="1">
        <v>-9.0040300000000002</v>
      </c>
      <c r="F50" s="1">
        <v>-8.9433000000000007</v>
      </c>
      <c r="G50" s="1">
        <v>-8.8591471689410195</v>
      </c>
      <c r="H50" s="1">
        <v>-8.8014426148947305</v>
      </c>
      <c r="I50">
        <f>VLOOKUP(C50,'[1]phenotypes-895'!$A$2:$G$896,7,FALSE)</f>
        <v>64</v>
      </c>
    </row>
    <row r="51" spans="1:9" x14ac:dyDescent="0.2">
      <c r="A51">
        <v>50</v>
      </c>
      <c r="B51">
        <v>6</v>
      </c>
      <c r="C51" t="s">
        <v>49</v>
      </c>
      <c r="D51" s="12" t="s">
        <v>913</v>
      </c>
      <c r="E51" s="1">
        <v>0.18390899999999999</v>
      </c>
      <c r="F51" s="1">
        <v>-1.8070299999999999</v>
      </c>
      <c r="G51" s="1">
        <v>0.14826566251960699</v>
      </c>
      <c r="H51" s="1">
        <v>-1.8521143261353501</v>
      </c>
      <c r="I51">
        <f>VLOOKUP(C51,'[1]phenotypes-895'!$A$2:$G$896,7,FALSE)</f>
        <v>98</v>
      </c>
    </row>
    <row r="52" spans="1:9" x14ac:dyDescent="0.2">
      <c r="A52">
        <v>51</v>
      </c>
      <c r="B52">
        <v>11</v>
      </c>
      <c r="C52" t="s">
        <v>50</v>
      </c>
      <c r="D52" s="12" t="s">
        <v>912</v>
      </c>
      <c r="E52" s="1">
        <v>-1.69523</v>
      </c>
      <c r="F52" s="1">
        <v>-0.83791800000000005</v>
      </c>
      <c r="G52" s="1">
        <v>-1.57338772942952</v>
      </c>
      <c r="H52" s="1">
        <v>-0.71494569191741897</v>
      </c>
      <c r="I52">
        <f>VLOOKUP(C52,'[1]phenotypes-895'!$A$2:$G$896,7,FALSE)</f>
        <v>98</v>
      </c>
    </row>
    <row r="53" spans="1:9" x14ac:dyDescent="0.2">
      <c r="A53">
        <v>52</v>
      </c>
      <c r="B53">
        <v>14</v>
      </c>
      <c r="C53" t="s">
        <v>51</v>
      </c>
      <c r="D53" s="12" t="s">
        <v>912</v>
      </c>
      <c r="E53" s="1">
        <v>-5.3044700000000002</v>
      </c>
      <c r="F53" s="1">
        <v>-4.1228199999999999</v>
      </c>
      <c r="G53" s="1">
        <v>-5.3167153675305903</v>
      </c>
      <c r="H53" s="1">
        <v>-4.14177955814157</v>
      </c>
      <c r="I53">
        <f>VLOOKUP(C53,'[1]phenotypes-895'!$A$2:$G$896,7,FALSE)</f>
        <v>53</v>
      </c>
    </row>
    <row r="54" spans="1:9" x14ac:dyDescent="0.2">
      <c r="A54">
        <v>53</v>
      </c>
      <c r="B54">
        <v>10</v>
      </c>
      <c r="C54" t="s">
        <v>52</v>
      </c>
      <c r="D54" s="12" t="s">
        <v>912</v>
      </c>
      <c r="E54" s="1">
        <v>2.3173300000000001</v>
      </c>
      <c r="F54" s="1">
        <v>2.6180300000000001</v>
      </c>
      <c r="G54" s="1">
        <v>2.4597416650721202</v>
      </c>
      <c r="H54" s="1">
        <v>2.7617983815607299</v>
      </c>
      <c r="I54">
        <f>VLOOKUP(C54,'[1]phenotypes-895'!$A$2:$G$896,7,FALSE)</f>
        <v>98</v>
      </c>
    </row>
    <row r="55" spans="1:9" x14ac:dyDescent="0.2">
      <c r="A55">
        <v>54</v>
      </c>
      <c r="B55">
        <v>7</v>
      </c>
      <c r="C55" t="s">
        <v>53</v>
      </c>
      <c r="D55" s="12" t="s">
        <v>913</v>
      </c>
      <c r="E55" s="1">
        <v>-3.60914</v>
      </c>
      <c r="F55" s="1">
        <v>-4.0158899999999997</v>
      </c>
      <c r="G55" s="1">
        <v>-3.61747148541395</v>
      </c>
      <c r="H55" s="1">
        <v>-4.0321804372616796</v>
      </c>
      <c r="I55">
        <f>VLOOKUP(C55,'[1]phenotypes-895'!$A$2:$G$896,7,FALSE)</f>
        <v>61</v>
      </c>
    </row>
    <row r="56" spans="1:9" x14ac:dyDescent="0.2">
      <c r="A56">
        <v>55</v>
      </c>
      <c r="B56">
        <v>3</v>
      </c>
      <c r="C56" t="s">
        <v>54</v>
      </c>
      <c r="D56" s="12" t="s">
        <v>913</v>
      </c>
      <c r="E56" s="1">
        <v>-4.2069000000000001</v>
      </c>
      <c r="F56" s="1">
        <v>-7.1764799999999997</v>
      </c>
      <c r="G56" s="1">
        <v>-4.1384733788730399</v>
      </c>
      <c r="H56" s="1">
        <v>-7.1030167634175196</v>
      </c>
      <c r="I56">
        <f>VLOOKUP(C56,'[1]phenotypes-895'!$A$2:$G$896,7,FALSE)</f>
        <v>55</v>
      </c>
    </row>
    <row r="57" spans="1:9" x14ac:dyDescent="0.2">
      <c r="A57">
        <v>56</v>
      </c>
      <c r="B57">
        <v>12</v>
      </c>
      <c r="C57" t="s">
        <v>55</v>
      </c>
      <c r="D57" s="12" t="s">
        <v>912</v>
      </c>
      <c r="E57" s="1">
        <v>-4.5351600000000003</v>
      </c>
      <c r="F57" s="1">
        <v>-3.93912</v>
      </c>
      <c r="G57" s="1">
        <v>-4.3441251504150298</v>
      </c>
      <c r="H57" s="1">
        <v>-3.7591304500541902</v>
      </c>
      <c r="I57">
        <f>VLOOKUP(C57,'[1]phenotypes-895'!$A$2:$G$896,7,FALSE)</f>
        <v>48</v>
      </c>
    </row>
    <row r="58" spans="1:9" x14ac:dyDescent="0.2">
      <c r="A58">
        <v>57</v>
      </c>
      <c r="B58">
        <v>15</v>
      </c>
      <c r="C58" t="s">
        <v>56</v>
      </c>
      <c r="D58" s="12" t="s">
        <v>912</v>
      </c>
      <c r="E58" s="1">
        <v>-9.4636499999999995</v>
      </c>
      <c r="F58" s="1">
        <v>-10.8185</v>
      </c>
      <c r="G58" s="1">
        <v>-9.5429588321056507</v>
      </c>
      <c r="H58" s="1">
        <v>-10.906655660471699</v>
      </c>
      <c r="I58">
        <f>VLOOKUP(C58,'[1]phenotypes-895'!$A$2:$G$896,7,FALSE)</f>
        <v>45</v>
      </c>
    </row>
    <row r="59" spans="1:9" x14ac:dyDescent="0.2">
      <c r="A59">
        <v>58</v>
      </c>
      <c r="B59">
        <v>4</v>
      </c>
      <c r="C59" t="s">
        <v>57</v>
      </c>
      <c r="D59" s="12" t="s">
        <v>913</v>
      </c>
      <c r="E59" s="1">
        <v>-0.64035299999999995</v>
      </c>
      <c r="F59" s="1">
        <v>-3.2387000000000001</v>
      </c>
      <c r="G59" s="1">
        <v>-0.68003370569853705</v>
      </c>
      <c r="H59" s="1">
        <v>-3.2887615381181998</v>
      </c>
      <c r="I59">
        <f>VLOOKUP(C59,'[1]phenotypes-895'!$A$2:$G$896,7,FALSE)</f>
        <v>56</v>
      </c>
    </row>
    <row r="60" spans="1:9" x14ac:dyDescent="0.2">
      <c r="A60">
        <v>59</v>
      </c>
      <c r="B60">
        <v>17</v>
      </c>
      <c r="C60" t="s">
        <v>58</v>
      </c>
      <c r="D60" s="12" t="s">
        <v>912</v>
      </c>
      <c r="E60" s="1">
        <v>-9.3988600000000009</v>
      </c>
      <c r="F60" s="1">
        <v>-9.42225</v>
      </c>
      <c r="G60" s="1">
        <v>-9.1767259561584407</v>
      </c>
      <c r="H60" s="1">
        <v>-9.1978720123195199</v>
      </c>
      <c r="I60">
        <f>VLOOKUP(C60,'[1]phenotypes-895'!$A$2:$G$896,7,FALSE)</f>
        <v>51</v>
      </c>
    </row>
    <row r="61" spans="1:9" x14ac:dyDescent="0.2">
      <c r="A61">
        <v>60</v>
      </c>
      <c r="B61">
        <v>18</v>
      </c>
      <c r="C61" t="s">
        <v>59</v>
      </c>
      <c r="D61" s="12" t="s">
        <v>912</v>
      </c>
      <c r="E61" s="1">
        <v>-0.68264400000000003</v>
      </c>
      <c r="F61" s="1">
        <v>0.48166900000000001</v>
      </c>
      <c r="G61" s="1">
        <v>-0.52604636779986302</v>
      </c>
      <c r="H61" s="1">
        <v>0.66490176334198303</v>
      </c>
      <c r="I61">
        <f>VLOOKUP(C61,'[1]phenotypes-895'!$A$2:$G$896,7,FALSE)</f>
        <v>88</v>
      </c>
    </row>
    <row r="62" spans="1:9" x14ac:dyDescent="0.2">
      <c r="A62">
        <v>61</v>
      </c>
      <c r="B62">
        <v>19</v>
      </c>
      <c r="C62" t="s">
        <v>60</v>
      </c>
      <c r="D62" s="12" t="s">
        <v>912</v>
      </c>
      <c r="E62" s="1">
        <v>-10.832100000000001</v>
      </c>
      <c r="F62" s="1">
        <v>-10.6045</v>
      </c>
      <c r="G62" s="1">
        <v>-10.674335989126099</v>
      </c>
      <c r="H62" s="1">
        <v>-10.456807951901901</v>
      </c>
      <c r="I62">
        <f>VLOOKUP(C62,'[1]phenotypes-895'!$A$2:$G$896,7,FALSE)</f>
        <v>74</v>
      </c>
    </row>
    <row r="63" spans="1:9" x14ac:dyDescent="0.2">
      <c r="A63">
        <v>62</v>
      </c>
      <c r="B63">
        <v>14</v>
      </c>
      <c r="C63" t="s">
        <v>61</v>
      </c>
      <c r="D63" s="12" t="s">
        <v>912</v>
      </c>
      <c r="E63" s="1">
        <v>-8.3632399999999993</v>
      </c>
      <c r="F63" s="1">
        <v>-7.3253000000000004</v>
      </c>
      <c r="G63" s="1">
        <v>-8.3564485030610207</v>
      </c>
      <c r="H63" s="1">
        <v>-7.3169403523848304</v>
      </c>
      <c r="I63">
        <f>VLOOKUP(C63,'[1]phenotypes-895'!$A$2:$G$896,7,FALSE)</f>
        <v>68</v>
      </c>
    </row>
    <row r="64" spans="1:9" x14ac:dyDescent="0.2">
      <c r="A64">
        <v>63</v>
      </c>
      <c r="B64">
        <v>11</v>
      </c>
      <c r="C64" t="s">
        <v>62</v>
      </c>
      <c r="D64" s="12" t="s">
        <v>912</v>
      </c>
      <c r="E64" s="1">
        <v>-5.1657299999999999</v>
      </c>
      <c r="F64" s="1">
        <v>-4.6176500000000003</v>
      </c>
      <c r="G64" s="1">
        <v>-5.0692217565235103</v>
      </c>
      <c r="H64" s="1">
        <v>-4.5330986099237096</v>
      </c>
      <c r="I64">
        <f>VLOOKUP(C64,'[1]phenotypes-895'!$A$2:$G$896,7,FALSE)</f>
        <v>53</v>
      </c>
    </row>
    <row r="65" spans="1:9" x14ac:dyDescent="0.2">
      <c r="A65">
        <v>64</v>
      </c>
      <c r="B65">
        <v>5</v>
      </c>
      <c r="C65" t="s">
        <v>63</v>
      </c>
      <c r="D65" s="12" t="s">
        <v>913</v>
      </c>
      <c r="E65" s="1">
        <v>-7.1768000000000001</v>
      </c>
      <c r="F65" s="1">
        <v>-10.0379</v>
      </c>
      <c r="G65" s="1">
        <v>-7.1788810147934399</v>
      </c>
      <c r="H65" s="1">
        <v>-10.055572658599299</v>
      </c>
      <c r="I65">
        <f>VLOOKUP(C65,'[1]phenotypes-895'!$A$2:$G$896,7,FALSE)</f>
        <v>98</v>
      </c>
    </row>
    <row r="66" spans="1:9" x14ac:dyDescent="0.2">
      <c r="A66">
        <v>65</v>
      </c>
      <c r="B66">
        <v>12</v>
      </c>
      <c r="C66" t="s">
        <v>64</v>
      </c>
      <c r="D66" s="12" t="s">
        <v>912</v>
      </c>
      <c r="E66" s="1">
        <v>-0.67649099999999995</v>
      </c>
      <c r="F66" s="1">
        <v>0.14496899999999999</v>
      </c>
      <c r="G66" s="1">
        <v>-0.62613949811608605</v>
      </c>
      <c r="H66" s="1">
        <v>0.184151384603885</v>
      </c>
      <c r="I66">
        <f>VLOOKUP(C66,'[1]phenotypes-895'!$A$2:$G$896,7,FALSE)</f>
        <v>98</v>
      </c>
    </row>
    <row r="67" spans="1:9" x14ac:dyDescent="0.2">
      <c r="A67">
        <v>66</v>
      </c>
      <c r="B67">
        <v>19</v>
      </c>
      <c r="C67" t="s">
        <v>65</v>
      </c>
      <c r="D67" s="12" t="s">
        <v>912</v>
      </c>
      <c r="E67" s="1">
        <v>-10.5624</v>
      </c>
      <c r="F67" s="1">
        <v>-10.433</v>
      </c>
      <c r="G67" s="1">
        <v>-10.518092507916901</v>
      </c>
      <c r="H67" s="1">
        <v>-10.394763858082801</v>
      </c>
      <c r="I67">
        <f>VLOOKUP(C67,'[1]phenotypes-895'!$A$2:$G$896,7,FALSE)</f>
        <v>72</v>
      </c>
    </row>
    <row r="68" spans="1:9" x14ac:dyDescent="0.2">
      <c r="A68">
        <v>67</v>
      </c>
      <c r="B68">
        <v>13</v>
      </c>
      <c r="C68" t="s">
        <v>66</v>
      </c>
      <c r="D68" s="12" t="s">
        <v>912</v>
      </c>
      <c r="E68" s="1">
        <v>-7.3173500000000002</v>
      </c>
      <c r="F68" s="1">
        <v>-7.0285299999999999</v>
      </c>
      <c r="G68" s="1">
        <v>-7.2561588596947804</v>
      </c>
      <c r="H68" s="1">
        <v>-6.973435685109</v>
      </c>
      <c r="I68">
        <f>VLOOKUP(C68,'[1]phenotypes-895'!$A$2:$G$896,7,FALSE)</f>
        <v>46</v>
      </c>
    </row>
    <row r="69" spans="1:9" x14ac:dyDescent="0.2">
      <c r="A69">
        <v>68</v>
      </c>
      <c r="B69">
        <v>2</v>
      </c>
      <c r="C69" t="s">
        <v>67</v>
      </c>
      <c r="D69" s="12" t="s">
        <v>913</v>
      </c>
      <c r="E69" s="1">
        <v>-3.8444699999999998</v>
      </c>
      <c r="F69" s="1">
        <v>-6.2959699999999996</v>
      </c>
      <c r="G69" s="1">
        <v>-3.8639127633027899</v>
      </c>
      <c r="H69" s="1">
        <v>-6.3340409593153204</v>
      </c>
      <c r="I69">
        <f>VLOOKUP(C69,'[1]phenotypes-895'!$A$2:$G$896,7,FALSE)</f>
        <v>74</v>
      </c>
    </row>
    <row r="70" spans="1:9" x14ac:dyDescent="0.2">
      <c r="A70">
        <v>69</v>
      </c>
      <c r="B70">
        <v>19</v>
      </c>
      <c r="C70" t="s">
        <v>68</v>
      </c>
      <c r="D70" s="12" t="s">
        <v>912</v>
      </c>
      <c r="E70" s="1">
        <v>-12.637700000000001</v>
      </c>
      <c r="F70" s="1">
        <v>-12.751200000000001</v>
      </c>
      <c r="G70" s="1">
        <v>-12.4609389289728</v>
      </c>
      <c r="H70" s="1">
        <v>-12.573469912594501</v>
      </c>
      <c r="I70">
        <f>VLOOKUP(C70,'[1]phenotypes-895'!$A$2:$G$896,7,FALSE)</f>
        <v>48</v>
      </c>
    </row>
    <row r="71" spans="1:9" x14ac:dyDescent="0.2">
      <c r="A71">
        <v>70</v>
      </c>
      <c r="B71">
        <v>13</v>
      </c>
      <c r="C71" t="s">
        <v>69</v>
      </c>
      <c r="D71" s="12" t="s">
        <v>912</v>
      </c>
      <c r="E71" s="1">
        <v>-4.4447999999999999</v>
      </c>
      <c r="F71" s="1">
        <v>-4.1955</v>
      </c>
      <c r="G71" s="1">
        <v>-4.4643142166333396</v>
      </c>
      <c r="H71" s="1">
        <v>-4.2135398042652099</v>
      </c>
      <c r="I71">
        <f>VLOOKUP(C71,'[1]phenotypes-895'!$A$2:$G$896,7,FALSE)</f>
        <v>54</v>
      </c>
    </row>
    <row r="72" spans="1:9" x14ac:dyDescent="0.2">
      <c r="A72">
        <v>71</v>
      </c>
      <c r="B72">
        <v>16</v>
      </c>
      <c r="C72" t="s">
        <v>70</v>
      </c>
      <c r="D72" s="12" t="s">
        <v>912</v>
      </c>
      <c r="E72" s="1">
        <v>-4.5806399999999998</v>
      </c>
      <c r="F72" s="1">
        <v>-4.48719</v>
      </c>
      <c r="G72" s="1">
        <v>-4.5231874647300696</v>
      </c>
      <c r="H72" s="1">
        <v>-4.4289432766297603</v>
      </c>
      <c r="I72">
        <f>VLOOKUP(C72,'[1]phenotypes-895'!$A$2:$G$896,7,FALSE)</f>
        <v>98</v>
      </c>
    </row>
    <row r="73" spans="1:9" x14ac:dyDescent="0.2">
      <c r="A73">
        <v>72</v>
      </c>
      <c r="B73">
        <v>33</v>
      </c>
      <c r="C73" t="s">
        <v>71</v>
      </c>
      <c r="D73" s="13" t="s">
        <v>913</v>
      </c>
      <c r="E73" s="1">
        <v>1.17778</v>
      </c>
      <c r="F73" s="1">
        <v>1.5385800000000001</v>
      </c>
      <c r="G73" s="1">
        <v>1.16798754634839</v>
      </c>
      <c r="H73" s="1">
        <v>1.5379828438913601</v>
      </c>
      <c r="I73">
        <f>VLOOKUP(C73,'[1]phenotypes-895'!$A$2:$G$896,7,FALSE)</f>
        <v>86</v>
      </c>
    </row>
    <row r="74" spans="1:9" x14ac:dyDescent="0.2">
      <c r="A74">
        <v>73</v>
      </c>
      <c r="B74">
        <v>19</v>
      </c>
      <c r="C74" t="s">
        <v>72</v>
      </c>
      <c r="D74" s="12" t="s">
        <v>912</v>
      </c>
      <c r="E74" s="1">
        <v>-11.298400000000001</v>
      </c>
      <c r="F74" s="1">
        <v>-11.475</v>
      </c>
      <c r="G74" s="1">
        <v>-11.110775031547499</v>
      </c>
      <c r="H74" s="1">
        <v>-11.2927466363251</v>
      </c>
      <c r="I74">
        <f>VLOOKUP(C74,'[1]phenotypes-895'!$A$2:$G$896,7,FALSE)</f>
        <v>48</v>
      </c>
    </row>
    <row r="75" spans="1:9" x14ac:dyDescent="0.2">
      <c r="A75">
        <v>74</v>
      </c>
      <c r="B75">
        <v>21</v>
      </c>
      <c r="C75" t="s">
        <v>73</v>
      </c>
      <c r="D75" s="13" t="s">
        <v>913</v>
      </c>
      <c r="E75" s="1">
        <v>-0.12221700000000001</v>
      </c>
      <c r="F75" s="1">
        <v>-1.2684800000000001</v>
      </c>
      <c r="G75" s="1">
        <v>-0.16331109031007801</v>
      </c>
      <c r="H75" s="1">
        <v>-1.32460230834724</v>
      </c>
      <c r="I75">
        <f>VLOOKUP(C75,'[1]phenotypes-895'!$A$2:$G$896,7,FALSE)</f>
        <v>59</v>
      </c>
    </row>
    <row r="76" spans="1:9" x14ac:dyDescent="0.2">
      <c r="A76">
        <v>75</v>
      </c>
      <c r="B76">
        <v>3</v>
      </c>
      <c r="C76" t="s">
        <v>74</v>
      </c>
      <c r="D76" s="12" t="s">
        <v>913</v>
      </c>
      <c r="E76" s="1">
        <v>-2.24578E-2</v>
      </c>
      <c r="F76" s="1">
        <v>-2.3340900000000002</v>
      </c>
      <c r="G76" s="1">
        <v>-9.0126443004150906E-3</v>
      </c>
      <c r="H76" s="1">
        <v>-2.3221313165007</v>
      </c>
      <c r="I76">
        <f>VLOOKUP(C76,'[1]phenotypes-895'!$A$2:$G$896,7,FALSE)</f>
        <v>63</v>
      </c>
    </row>
    <row r="77" spans="1:9" x14ac:dyDescent="0.2">
      <c r="A77">
        <v>76</v>
      </c>
      <c r="B77">
        <v>25</v>
      </c>
      <c r="C77" t="s">
        <v>75</v>
      </c>
      <c r="D77" s="13" t="s">
        <v>913</v>
      </c>
      <c r="E77" s="1">
        <v>2.8125599999999999</v>
      </c>
      <c r="F77" s="1">
        <v>1.8668899999999999</v>
      </c>
      <c r="G77" s="1">
        <v>2.9042457635343202</v>
      </c>
      <c r="H77" s="1">
        <v>1.9712078141659399</v>
      </c>
      <c r="I77">
        <f>VLOOKUP(C77,'[1]phenotypes-895'!$A$2:$G$896,7,FALSE)</f>
        <v>80</v>
      </c>
    </row>
    <row r="78" spans="1:9" x14ac:dyDescent="0.2">
      <c r="A78">
        <v>77</v>
      </c>
      <c r="B78">
        <v>9</v>
      </c>
      <c r="C78" t="s">
        <v>76</v>
      </c>
      <c r="D78" s="12" t="s">
        <v>912</v>
      </c>
      <c r="E78" s="1">
        <v>1.3834</v>
      </c>
      <c r="F78" s="1">
        <v>2.2054</v>
      </c>
      <c r="G78" s="1">
        <v>1.4010577662217401</v>
      </c>
      <c r="H78" s="1">
        <v>2.2408820271434702</v>
      </c>
      <c r="I78">
        <f>VLOOKUP(C78,'[1]phenotypes-895'!$A$2:$G$896,7,FALSE)</f>
        <v>98</v>
      </c>
    </row>
    <row r="79" spans="1:9" x14ac:dyDescent="0.2">
      <c r="A79">
        <v>78</v>
      </c>
      <c r="B79">
        <v>28</v>
      </c>
      <c r="C79" t="s">
        <v>77</v>
      </c>
      <c r="D79" s="13" t="s">
        <v>913</v>
      </c>
      <c r="E79" s="1">
        <v>-7.5554300000000003</v>
      </c>
      <c r="F79" s="1">
        <v>-10.390599999999999</v>
      </c>
      <c r="G79" s="1">
        <v>-7.3789525762155801</v>
      </c>
      <c r="H79" s="1">
        <v>-10.184509414623401</v>
      </c>
      <c r="I79">
        <f>VLOOKUP(C79,'[1]phenotypes-895'!$A$2:$G$896,7,FALSE)</f>
        <v>67</v>
      </c>
    </row>
    <row r="80" spans="1:9" x14ac:dyDescent="0.2">
      <c r="A80">
        <v>79</v>
      </c>
      <c r="B80">
        <v>18</v>
      </c>
      <c r="C80" t="s">
        <v>78</v>
      </c>
      <c r="D80" s="12" t="s">
        <v>912</v>
      </c>
      <c r="E80" s="1">
        <v>0.29174499999999998</v>
      </c>
      <c r="F80" s="1">
        <v>1.60103</v>
      </c>
      <c r="G80" s="1">
        <v>0.45968942662487999</v>
      </c>
      <c r="H80" s="1">
        <v>1.79418186198013</v>
      </c>
      <c r="I80">
        <f>VLOOKUP(C80,'[1]phenotypes-895'!$A$2:$G$896,7,FALSE)</f>
        <v>81</v>
      </c>
    </row>
    <row r="81" spans="1:9" x14ac:dyDescent="0.2">
      <c r="A81">
        <v>80</v>
      </c>
      <c r="B81">
        <v>44</v>
      </c>
      <c r="C81" t="s">
        <v>79</v>
      </c>
      <c r="D81" s="13" t="s">
        <v>912</v>
      </c>
      <c r="E81" s="1">
        <v>-5.0012100000000004</v>
      </c>
      <c r="F81" s="1">
        <v>-3.7669199999999998</v>
      </c>
      <c r="G81" s="1">
        <v>-5.0673430801100601</v>
      </c>
      <c r="H81" s="1">
        <v>-3.8283574340144799</v>
      </c>
      <c r="I81">
        <f>VLOOKUP(C81,'[1]phenotypes-895'!$A$2:$G$896,7,FALSE)</f>
        <v>58</v>
      </c>
    </row>
    <row r="82" spans="1:9" x14ac:dyDescent="0.2">
      <c r="A82">
        <v>81</v>
      </c>
      <c r="B82">
        <v>12</v>
      </c>
      <c r="C82" t="s">
        <v>80</v>
      </c>
      <c r="D82" s="12" t="s">
        <v>912</v>
      </c>
      <c r="E82" s="1">
        <v>-0.60033800000000004</v>
      </c>
      <c r="F82" s="1">
        <v>0.25291000000000002</v>
      </c>
      <c r="G82" s="1">
        <v>-0.49070349239036798</v>
      </c>
      <c r="H82" s="1">
        <v>0.36842156782443197</v>
      </c>
      <c r="I82">
        <f>VLOOKUP(C82,'[1]phenotypes-895'!$A$2:$G$896,7,FALSE)</f>
        <v>72</v>
      </c>
    </row>
    <row r="83" spans="1:9" x14ac:dyDescent="0.2">
      <c r="A83">
        <v>82</v>
      </c>
      <c r="B83">
        <v>33</v>
      </c>
      <c r="C83" t="s">
        <v>81</v>
      </c>
      <c r="D83" s="13" t="s">
        <v>913</v>
      </c>
      <c r="E83" s="1">
        <v>-1.53162</v>
      </c>
      <c r="F83" s="1">
        <v>-1.48708</v>
      </c>
      <c r="G83" s="1">
        <v>-1.5219242167357401</v>
      </c>
      <c r="H83" s="1">
        <v>-1.4797308588028599</v>
      </c>
      <c r="I83">
        <f>VLOOKUP(C83,'[1]phenotypes-895'!$A$2:$G$896,7,FALSE)</f>
        <v>76</v>
      </c>
    </row>
    <row r="84" spans="1:9" x14ac:dyDescent="0.2">
      <c r="A84">
        <v>83</v>
      </c>
      <c r="B84">
        <v>10</v>
      </c>
      <c r="C84" t="s">
        <v>82</v>
      </c>
      <c r="D84" s="12" t="s">
        <v>912</v>
      </c>
      <c r="E84" s="1">
        <v>-4.6215299999999999</v>
      </c>
      <c r="F84" s="1">
        <v>-4.2322600000000001</v>
      </c>
      <c r="G84" s="1">
        <v>-4.5951309144919597</v>
      </c>
      <c r="H84" s="1">
        <v>-4.2156058327931998</v>
      </c>
      <c r="I84">
        <f>VLOOKUP(C84,'[1]phenotypes-895'!$A$2:$G$896,7,FALSE)</f>
        <v>54</v>
      </c>
    </row>
    <row r="85" spans="1:9" x14ac:dyDescent="0.2">
      <c r="A85">
        <v>84</v>
      </c>
      <c r="B85">
        <v>39</v>
      </c>
      <c r="C85" t="s">
        <v>83</v>
      </c>
      <c r="D85" s="13" t="s">
        <v>913</v>
      </c>
      <c r="E85" s="1">
        <v>3.7354599999999998</v>
      </c>
      <c r="F85" s="1">
        <v>3.2576499999999999</v>
      </c>
      <c r="G85" s="1">
        <v>3.7226478263747498</v>
      </c>
      <c r="H85" s="1">
        <v>3.2418134448523901</v>
      </c>
      <c r="I85">
        <f>VLOOKUP(C85,'[1]phenotypes-895'!$A$2:$G$896,7,FALSE)</f>
        <v>63</v>
      </c>
    </row>
    <row r="86" spans="1:9" x14ac:dyDescent="0.2">
      <c r="A86">
        <v>85</v>
      </c>
      <c r="B86">
        <v>8</v>
      </c>
      <c r="C86" t="s">
        <v>84</v>
      </c>
      <c r="D86" s="12" t="s">
        <v>913</v>
      </c>
      <c r="E86" s="1">
        <v>5.2943300000000004</v>
      </c>
      <c r="F86" s="1">
        <v>3.9579399999999998</v>
      </c>
      <c r="G86" s="1">
        <v>5.3699863539380397</v>
      </c>
      <c r="H86" s="1">
        <v>4.0545620221990903</v>
      </c>
      <c r="I86">
        <f>VLOOKUP(C86,'[1]phenotypes-895'!$A$2:$G$896,7,FALSE)</f>
        <v>98</v>
      </c>
    </row>
    <row r="87" spans="1:9" x14ac:dyDescent="0.2">
      <c r="A87">
        <v>86</v>
      </c>
      <c r="B87">
        <v>36</v>
      </c>
      <c r="C87" t="s">
        <v>85</v>
      </c>
      <c r="D87" s="13" t="s">
        <v>913</v>
      </c>
      <c r="E87" s="1">
        <v>5.85928</v>
      </c>
      <c r="F87" s="1">
        <v>6.9040499999999998</v>
      </c>
      <c r="G87" s="1">
        <v>5.8579260886536302</v>
      </c>
      <c r="H87" s="1">
        <v>6.8937681377266102</v>
      </c>
      <c r="I87">
        <f>VLOOKUP(C87,'[1]phenotypes-895'!$A$2:$G$896,7,FALSE)</f>
        <v>73</v>
      </c>
    </row>
    <row r="88" spans="1:9" x14ac:dyDescent="0.2">
      <c r="A88">
        <v>87</v>
      </c>
      <c r="B88">
        <v>7</v>
      </c>
      <c r="C88" t="s">
        <v>86</v>
      </c>
      <c r="D88" s="12" t="s">
        <v>913</v>
      </c>
      <c r="E88" s="1">
        <v>1.5081599999999999</v>
      </c>
      <c r="F88" s="1">
        <v>0.29053899999999999</v>
      </c>
      <c r="G88" s="1">
        <v>1.53805076772053</v>
      </c>
      <c r="H88" s="1">
        <v>0.32835773725915701</v>
      </c>
      <c r="I88">
        <f>VLOOKUP(C88,'[1]phenotypes-895'!$A$2:$G$896,7,FALSE)</f>
        <v>53</v>
      </c>
    </row>
    <row r="89" spans="1:9" x14ac:dyDescent="0.2">
      <c r="A89">
        <v>88</v>
      </c>
      <c r="B89">
        <v>27</v>
      </c>
      <c r="C89" t="s">
        <v>87</v>
      </c>
      <c r="D89" s="13" t="s">
        <v>913</v>
      </c>
      <c r="E89" s="1">
        <v>5.1937699999999998</v>
      </c>
      <c r="F89" s="1">
        <v>4.4172000000000002</v>
      </c>
      <c r="G89" s="1">
        <v>5.25625422429788</v>
      </c>
      <c r="H89" s="1">
        <v>4.4915469946902604</v>
      </c>
      <c r="I89">
        <f>VLOOKUP(C89,'[1]phenotypes-895'!$A$2:$G$896,7,FALSE)</f>
        <v>89</v>
      </c>
    </row>
    <row r="90" spans="1:9" x14ac:dyDescent="0.2">
      <c r="A90">
        <v>89</v>
      </c>
      <c r="B90">
        <v>9</v>
      </c>
      <c r="C90" t="s">
        <v>88</v>
      </c>
      <c r="D90" s="12" t="s">
        <v>912</v>
      </c>
      <c r="E90" s="1">
        <v>0.63651100000000005</v>
      </c>
      <c r="F90" s="1">
        <v>1.4949699999999999</v>
      </c>
      <c r="G90" s="1">
        <v>0.65531281597472701</v>
      </c>
      <c r="H90" s="1">
        <v>1.5179874474486299</v>
      </c>
      <c r="I90">
        <f>VLOOKUP(C90,'[1]phenotypes-895'!$A$2:$G$896,7,FALSE)</f>
        <v>98</v>
      </c>
    </row>
    <row r="91" spans="1:9" x14ac:dyDescent="0.2">
      <c r="A91">
        <v>90</v>
      </c>
      <c r="B91">
        <v>48</v>
      </c>
      <c r="C91" t="s">
        <v>89</v>
      </c>
      <c r="D91" s="13" t="s">
        <v>912</v>
      </c>
      <c r="E91" s="1">
        <v>1.0815600000000001</v>
      </c>
      <c r="F91" s="1">
        <v>2.9386199999999998</v>
      </c>
      <c r="G91" s="1">
        <v>1.01903137146818</v>
      </c>
      <c r="H91" s="1">
        <v>2.8886146414928602</v>
      </c>
      <c r="I91">
        <f>VLOOKUP(C91,'[1]phenotypes-895'!$A$2:$G$896,7,FALSE)</f>
        <v>98</v>
      </c>
    </row>
    <row r="92" spans="1:9" x14ac:dyDescent="0.2">
      <c r="A92">
        <v>91</v>
      </c>
      <c r="B92">
        <v>2</v>
      </c>
      <c r="C92" t="s">
        <v>90</v>
      </c>
      <c r="D92" s="12" t="s">
        <v>913</v>
      </c>
      <c r="E92" s="1">
        <v>-4.67558E-2</v>
      </c>
      <c r="F92" s="1">
        <v>-0.70685799999999999</v>
      </c>
      <c r="G92" s="1">
        <v>6.2387832683299699E-2</v>
      </c>
      <c r="H92" s="1">
        <v>-0.58428857151535196</v>
      </c>
      <c r="I92">
        <f>VLOOKUP(C92,'[1]phenotypes-895'!$A$2:$G$896,7,FALSE)</f>
        <v>98</v>
      </c>
    </row>
    <row r="93" spans="1:9" x14ac:dyDescent="0.2">
      <c r="A93">
        <v>92</v>
      </c>
      <c r="B93">
        <v>6</v>
      </c>
      <c r="C93" t="s">
        <v>91</v>
      </c>
      <c r="D93" s="12" t="s">
        <v>913</v>
      </c>
      <c r="E93" s="1">
        <v>-1.1927099999999999</v>
      </c>
      <c r="F93" s="1">
        <v>-3.3560300000000001</v>
      </c>
      <c r="G93" s="1">
        <v>-1.2597349904556601</v>
      </c>
      <c r="H93" s="1">
        <v>-3.4393186893905998</v>
      </c>
      <c r="I93">
        <f>VLOOKUP(C93,'[1]phenotypes-895'!$A$2:$G$896,7,FALSE)</f>
        <v>81</v>
      </c>
    </row>
    <row r="94" spans="1:9" x14ac:dyDescent="0.2">
      <c r="A94">
        <v>93</v>
      </c>
      <c r="B94">
        <v>6</v>
      </c>
      <c r="C94" t="s">
        <v>92</v>
      </c>
      <c r="D94" s="12" t="s">
        <v>913</v>
      </c>
      <c r="E94" s="1">
        <v>0.208703</v>
      </c>
      <c r="F94" s="1">
        <v>-2.2076699999999998</v>
      </c>
      <c r="G94" s="1">
        <v>0.28219055394137599</v>
      </c>
      <c r="H94" s="1">
        <v>-2.1203428400918698</v>
      </c>
      <c r="I94">
        <f>VLOOKUP(C94,'[1]phenotypes-895'!$A$2:$G$896,7,FALSE)</f>
        <v>82</v>
      </c>
    </row>
    <row r="95" spans="1:9" x14ac:dyDescent="0.2">
      <c r="A95">
        <v>94</v>
      </c>
      <c r="B95">
        <v>9</v>
      </c>
      <c r="C95" t="s">
        <v>93</v>
      </c>
      <c r="D95" s="12" t="s">
        <v>912</v>
      </c>
      <c r="E95" s="1">
        <v>-3.8518300000000001</v>
      </c>
      <c r="F95" s="1">
        <v>-3.5291800000000002</v>
      </c>
      <c r="G95" s="1">
        <v>-3.8841078724449201</v>
      </c>
      <c r="H95" s="1">
        <v>-3.5676870806943999</v>
      </c>
      <c r="I95">
        <f>VLOOKUP(C95,'[1]phenotypes-895'!$A$2:$G$896,7,FALSE)</f>
        <v>56</v>
      </c>
    </row>
    <row r="96" spans="1:9" x14ac:dyDescent="0.2">
      <c r="A96">
        <v>95</v>
      </c>
      <c r="B96">
        <v>4</v>
      </c>
      <c r="C96" t="s">
        <v>94</v>
      </c>
      <c r="D96" s="12" t="s">
        <v>913</v>
      </c>
      <c r="E96" s="1">
        <v>-3.5687199999999999</v>
      </c>
      <c r="F96" s="1">
        <v>-5.5714600000000001</v>
      </c>
      <c r="G96" s="1">
        <v>-3.4677736218798398</v>
      </c>
      <c r="H96" s="1">
        <v>-5.4680368022490704</v>
      </c>
      <c r="I96">
        <f>VLOOKUP(C96,'[1]phenotypes-895'!$A$2:$G$896,7,FALSE)</f>
        <v>71</v>
      </c>
    </row>
    <row r="97" spans="1:9" x14ac:dyDescent="0.2">
      <c r="A97">
        <v>96</v>
      </c>
      <c r="B97">
        <v>2</v>
      </c>
      <c r="C97" t="s">
        <v>95</v>
      </c>
      <c r="D97" s="12" t="s">
        <v>913</v>
      </c>
      <c r="E97" s="1">
        <v>7.3998200000000001</v>
      </c>
      <c r="F97" s="1">
        <v>8.3336600000000001</v>
      </c>
      <c r="G97" s="1">
        <v>7.3708829776904601</v>
      </c>
      <c r="H97" s="1">
        <v>8.3220116465154401</v>
      </c>
      <c r="I97">
        <f>VLOOKUP(C97,'[1]phenotypes-895'!$A$2:$G$896,7,FALSE)</f>
        <v>98</v>
      </c>
    </row>
    <row r="98" spans="1:9" x14ac:dyDescent="0.2">
      <c r="A98">
        <v>97</v>
      </c>
      <c r="B98">
        <v>14</v>
      </c>
      <c r="C98" t="s">
        <v>96</v>
      </c>
      <c r="D98" s="12" t="s">
        <v>912</v>
      </c>
      <c r="E98" s="1">
        <v>-4.4194300000000002</v>
      </c>
      <c r="F98" s="1">
        <v>-4.9630299999999998</v>
      </c>
      <c r="G98" s="1">
        <v>-4.3106490015685699</v>
      </c>
      <c r="H98" s="1">
        <v>-4.8486827688199696</v>
      </c>
      <c r="I98">
        <f>VLOOKUP(C98,'[1]phenotypes-895'!$A$2:$G$896,7,FALSE)</f>
        <v>56</v>
      </c>
    </row>
    <row r="99" spans="1:9" x14ac:dyDescent="0.2">
      <c r="A99">
        <v>98</v>
      </c>
      <c r="B99">
        <v>9</v>
      </c>
      <c r="C99" t="s">
        <v>97</v>
      </c>
      <c r="D99" s="12" t="s">
        <v>912</v>
      </c>
      <c r="E99" s="1">
        <v>-1.75841</v>
      </c>
      <c r="F99" s="1">
        <v>-2.00732</v>
      </c>
      <c r="G99" s="1">
        <v>-1.6038597070514899</v>
      </c>
      <c r="H99" s="1">
        <v>-1.8299348485951099</v>
      </c>
      <c r="I99">
        <f>VLOOKUP(C99,'[1]phenotypes-895'!$A$2:$G$896,7,FALSE)</f>
        <v>84</v>
      </c>
    </row>
    <row r="100" spans="1:9" x14ac:dyDescent="0.2">
      <c r="A100">
        <v>99</v>
      </c>
      <c r="B100">
        <v>9</v>
      </c>
      <c r="C100" t="s">
        <v>98</v>
      </c>
      <c r="D100" s="12" t="s">
        <v>912</v>
      </c>
      <c r="E100" s="1">
        <v>-2.7163499999999998</v>
      </c>
      <c r="F100" s="1">
        <v>-1.8129599999999999</v>
      </c>
      <c r="G100" s="1">
        <v>-2.7536861312710501</v>
      </c>
      <c r="H100" s="1">
        <v>-1.85069601417685</v>
      </c>
      <c r="I100">
        <f>VLOOKUP(C100,'[1]phenotypes-895'!$A$2:$G$896,7,FALSE)</f>
        <v>72</v>
      </c>
    </row>
    <row r="101" spans="1:9" x14ac:dyDescent="0.2">
      <c r="A101">
        <v>100</v>
      </c>
      <c r="B101">
        <v>13</v>
      </c>
      <c r="C101" t="s">
        <v>99</v>
      </c>
      <c r="D101" s="12" t="s">
        <v>912</v>
      </c>
      <c r="E101" s="1">
        <v>-6.8506799999999997</v>
      </c>
      <c r="F101" s="1">
        <v>-7.0951300000000002</v>
      </c>
      <c r="G101" s="1">
        <v>-6.8663408016603702</v>
      </c>
      <c r="H101" s="1">
        <v>-7.1192777450070297</v>
      </c>
      <c r="I101">
        <f>VLOOKUP(C101,'[1]phenotypes-895'!$A$2:$G$896,7,FALSE)</f>
        <v>46</v>
      </c>
    </row>
    <row r="102" spans="1:9" x14ac:dyDescent="0.2">
      <c r="A102">
        <v>101</v>
      </c>
      <c r="B102">
        <v>12</v>
      </c>
      <c r="C102" t="s">
        <v>100</v>
      </c>
      <c r="D102" s="12" t="s">
        <v>912</v>
      </c>
      <c r="E102" s="1">
        <v>1.1219399999999999</v>
      </c>
      <c r="F102" s="1">
        <v>1.91862</v>
      </c>
      <c r="G102" s="1">
        <v>1.17886887552064</v>
      </c>
      <c r="H102" s="1">
        <v>1.9810489073590201</v>
      </c>
      <c r="I102">
        <f>VLOOKUP(C102,'[1]phenotypes-895'!$A$2:$G$896,7,FALSE)</f>
        <v>98</v>
      </c>
    </row>
    <row r="103" spans="1:9" x14ac:dyDescent="0.2">
      <c r="A103">
        <v>102</v>
      </c>
      <c r="B103">
        <v>14</v>
      </c>
      <c r="C103" t="s">
        <v>101</v>
      </c>
      <c r="D103" s="12" t="s">
        <v>912</v>
      </c>
      <c r="E103" s="1">
        <v>-3.3106399999999998</v>
      </c>
      <c r="F103" s="1">
        <v>-2.0031699999999999</v>
      </c>
      <c r="G103" s="1">
        <v>-3.3107393810447201</v>
      </c>
      <c r="H103" s="1">
        <v>-2.00743937543302</v>
      </c>
      <c r="I103">
        <f>VLOOKUP(C103,'[1]phenotypes-895'!$A$2:$G$896,7,FALSE)</f>
        <v>53</v>
      </c>
    </row>
    <row r="104" spans="1:9" x14ac:dyDescent="0.2">
      <c r="A104">
        <v>103</v>
      </c>
      <c r="B104">
        <v>11</v>
      </c>
      <c r="C104" t="s">
        <v>102</v>
      </c>
      <c r="D104" s="12" t="s">
        <v>912</v>
      </c>
      <c r="E104" s="1">
        <v>-6.62005</v>
      </c>
      <c r="F104" s="1">
        <v>-6.4854900000000004</v>
      </c>
      <c r="G104" s="1">
        <v>-6.5270908244383099</v>
      </c>
      <c r="H104" s="1">
        <v>-6.3938251759734301</v>
      </c>
      <c r="I104">
        <f>VLOOKUP(C104,'[1]phenotypes-895'!$A$2:$G$896,7,FALSE)</f>
        <v>58</v>
      </c>
    </row>
    <row r="105" spans="1:9" x14ac:dyDescent="0.2">
      <c r="A105">
        <v>104</v>
      </c>
      <c r="B105">
        <v>7</v>
      </c>
      <c r="C105" t="s">
        <v>103</v>
      </c>
      <c r="D105" s="12" t="s">
        <v>913</v>
      </c>
      <c r="E105" s="1">
        <v>2.0568499999999998</v>
      </c>
      <c r="F105" s="1">
        <v>0.72451100000000002</v>
      </c>
      <c r="G105" s="1">
        <v>1.8283629443579299</v>
      </c>
      <c r="H105" s="1">
        <v>0.54390845755656803</v>
      </c>
      <c r="I105">
        <f>VLOOKUP(C105,'[1]phenotypes-895'!$A$2:$G$896,7,FALSE)</f>
        <v>56</v>
      </c>
    </row>
    <row r="106" spans="1:9" x14ac:dyDescent="0.2">
      <c r="A106">
        <v>105</v>
      </c>
      <c r="B106">
        <v>19</v>
      </c>
      <c r="C106" t="s">
        <v>104</v>
      </c>
      <c r="D106" s="12" t="s">
        <v>912</v>
      </c>
      <c r="E106" s="1">
        <v>-11.183999999999999</v>
      </c>
      <c r="F106" s="1">
        <v>-11.2921</v>
      </c>
      <c r="G106" s="1">
        <v>-11.075767630651701</v>
      </c>
      <c r="H106" s="1">
        <v>-11.1901053506227</v>
      </c>
      <c r="I106">
        <f>VLOOKUP(C106,'[1]phenotypes-895'!$A$2:$G$896,7,FALSE)</f>
        <v>56</v>
      </c>
    </row>
    <row r="107" spans="1:9" x14ac:dyDescent="0.2">
      <c r="A107">
        <v>106</v>
      </c>
      <c r="B107">
        <v>9</v>
      </c>
      <c r="C107" t="s">
        <v>105</v>
      </c>
      <c r="D107" s="12" t="s">
        <v>912</v>
      </c>
      <c r="E107" s="1">
        <v>-1.28148</v>
      </c>
      <c r="F107" s="1">
        <v>-2.0389499999999998</v>
      </c>
      <c r="G107" s="1">
        <v>-1.2962739984818901</v>
      </c>
      <c r="H107" s="1">
        <v>-2.05666426293228</v>
      </c>
      <c r="I107">
        <f>VLOOKUP(C107,'[1]phenotypes-895'!$A$2:$G$896,7,FALSE)</f>
        <v>79</v>
      </c>
    </row>
    <row r="108" spans="1:9" x14ac:dyDescent="0.2">
      <c r="A108">
        <v>107</v>
      </c>
      <c r="B108">
        <v>17</v>
      </c>
      <c r="C108" t="s">
        <v>106</v>
      </c>
      <c r="D108" s="12" t="s">
        <v>912</v>
      </c>
      <c r="E108" s="1">
        <v>-7.78186</v>
      </c>
      <c r="F108" s="1">
        <v>-7.4692100000000003</v>
      </c>
      <c r="G108" s="1">
        <v>-7.7359396920399197</v>
      </c>
      <c r="H108" s="1">
        <v>-7.4281461475909802</v>
      </c>
      <c r="I108">
        <f>VLOOKUP(C108,'[1]phenotypes-895'!$A$2:$G$896,7,FALSE)</f>
        <v>44</v>
      </c>
    </row>
    <row r="109" spans="1:9" x14ac:dyDescent="0.2">
      <c r="A109">
        <v>108</v>
      </c>
      <c r="B109">
        <v>1</v>
      </c>
      <c r="C109" t="s">
        <v>107</v>
      </c>
      <c r="D109" s="12" t="s">
        <v>913</v>
      </c>
      <c r="E109" s="1">
        <v>2.5409099999999998</v>
      </c>
      <c r="F109" s="1">
        <v>1.35019</v>
      </c>
      <c r="G109" s="1">
        <v>2.48098275621743</v>
      </c>
      <c r="H109" s="1">
        <v>1.29614992957348</v>
      </c>
      <c r="I109">
        <f>VLOOKUP(C109,'[1]phenotypes-895'!$A$2:$G$896,7,FALSE)</f>
        <v>98</v>
      </c>
    </row>
    <row r="110" spans="1:9" x14ac:dyDescent="0.2">
      <c r="A110">
        <v>109</v>
      </c>
      <c r="B110">
        <v>16</v>
      </c>
      <c r="C110" t="s">
        <v>108</v>
      </c>
      <c r="D110" s="12" t="s">
        <v>912</v>
      </c>
      <c r="E110" s="1">
        <v>-10.0252</v>
      </c>
      <c r="F110" s="1">
        <v>-10.0892</v>
      </c>
      <c r="G110" s="1">
        <v>-9.9829837942069002</v>
      </c>
      <c r="H110" s="1">
        <v>-10.0447670935527</v>
      </c>
      <c r="I110">
        <f>VLOOKUP(C110,'[1]phenotypes-895'!$A$2:$G$896,7,FALSE)</f>
        <v>73</v>
      </c>
    </row>
    <row r="111" spans="1:9" x14ac:dyDescent="0.2">
      <c r="A111">
        <v>110</v>
      </c>
      <c r="B111">
        <v>1</v>
      </c>
      <c r="C111" t="s">
        <v>109</v>
      </c>
      <c r="D111" s="12" t="s">
        <v>913</v>
      </c>
      <c r="E111" s="1">
        <v>-2.7791100000000002</v>
      </c>
      <c r="F111" s="1">
        <v>-4.4382000000000001</v>
      </c>
      <c r="G111" s="1">
        <v>-2.68533906058371</v>
      </c>
      <c r="H111" s="1">
        <v>-4.3331157425559796</v>
      </c>
      <c r="I111">
        <f>VLOOKUP(C111,'[1]phenotypes-895'!$A$2:$G$896,7,FALSE)</f>
        <v>76</v>
      </c>
    </row>
    <row r="112" spans="1:9" x14ac:dyDescent="0.2">
      <c r="A112">
        <v>111</v>
      </c>
      <c r="B112">
        <v>1</v>
      </c>
      <c r="C112" t="s">
        <v>110</v>
      </c>
      <c r="D112" s="12" t="s">
        <v>913</v>
      </c>
      <c r="E112" s="1">
        <v>1.23732</v>
      </c>
      <c r="F112" s="1">
        <v>-5.8136699999999999E-2</v>
      </c>
      <c r="G112" s="1">
        <v>1.17600718114458</v>
      </c>
      <c r="H112" s="1">
        <v>-0.12156393404563599</v>
      </c>
      <c r="I112">
        <f>VLOOKUP(C112,'[1]phenotypes-895'!$A$2:$G$896,7,FALSE)</f>
        <v>98</v>
      </c>
    </row>
    <row r="113" spans="1:9" x14ac:dyDescent="0.2">
      <c r="A113">
        <v>112</v>
      </c>
      <c r="B113">
        <v>19</v>
      </c>
      <c r="C113" t="s">
        <v>111</v>
      </c>
      <c r="D113" s="12" t="s">
        <v>912</v>
      </c>
      <c r="E113" s="1">
        <v>-9.6591699999999996</v>
      </c>
      <c r="F113" s="1">
        <v>-9.6578700000000008</v>
      </c>
      <c r="G113" s="1">
        <v>-9.7282557802196692</v>
      </c>
      <c r="H113" s="1">
        <v>-9.7393119599659901</v>
      </c>
      <c r="I113">
        <f>VLOOKUP(C113,'[1]phenotypes-895'!$A$2:$G$896,7,FALSE)</f>
        <v>61</v>
      </c>
    </row>
    <row r="114" spans="1:9" x14ac:dyDescent="0.2">
      <c r="A114">
        <v>113</v>
      </c>
      <c r="B114">
        <v>4</v>
      </c>
      <c r="C114" t="s">
        <v>112</v>
      </c>
      <c r="D114" s="12" t="s">
        <v>913</v>
      </c>
      <c r="E114" s="1">
        <v>0.18393599999999999</v>
      </c>
      <c r="F114" s="1">
        <v>-1.43984</v>
      </c>
      <c r="G114" s="1">
        <v>0.23887220951447899</v>
      </c>
      <c r="H114" s="1">
        <v>-1.3753334339427301</v>
      </c>
      <c r="I114">
        <f>VLOOKUP(C114,'[1]phenotypes-895'!$A$2:$G$896,7,FALSE)</f>
        <v>98</v>
      </c>
    </row>
    <row r="115" spans="1:9" x14ac:dyDescent="0.2">
      <c r="A115">
        <v>114</v>
      </c>
      <c r="B115">
        <v>5</v>
      </c>
      <c r="C115" t="s">
        <v>113</v>
      </c>
      <c r="D115" s="12" t="s">
        <v>913</v>
      </c>
      <c r="E115" s="1">
        <v>-9.7911599999999996</v>
      </c>
      <c r="F115" s="1">
        <v>-12.785</v>
      </c>
      <c r="G115" s="1">
        <v>-9.8630701986425002</v>
      </c>
      <c r="H115" s="1">
        <v>-12.880627949125801</v>
      </c>
      <c r="I115">
        <f>VLOOKUP(C115,'[1]phenotypes-895'!$A$2:$G$896,7,FALSE)</f>
        <v>56</v>
      </c>
    </row>
    <row r="116" spans="1:9" x14ac:dyDescent="0.2">
      <c r="A116">
        <v>115</v>
      </c>
      <c r="B116">
        <v>1</v>
      </c>
      <c r="C116" t="s">
        <v>114</v>
      </c>
      <c r="D116" s="12" t="s">
        <v>913</v>
      </c>
      <c r="E116" s="1">
        <v>-3.1410499999999999</v>
      </c>
      <c r="F116" s="1">
        <v>-4.8880800000000004</v>
      </c>
      <c r="G116" s="1">
        <v>-3.0959830422949901</v>
      </c>
      <c r="H116" s="1">
        <v>-4.8379113913415104</v>
      </c>
      <c r="I116">
        <f>VLOOKUP(C116,'[1]phenotypes-895'!$A$2:$G$896,7,FALSE)</f>
        <v>98</v>
      </c>
    </row>
    <row r="117" spans="1:9" x14ac:dyDescent="0.2">
      <c r="A117">
        <v>116</v>
      </c>
      <c r="B117">
        <v>8</v>
      </c>
      <c r="C117" t="s">
        <v>115</v>
      </c>
      <c r="D117" s="12" t="s">
        <v>913</v>
      </c>
      <c r="E117" s="1">
        <v>5.0576800000000004</v>
      </c>
      <c r="F117" s="1">
        <v>3.4563199999999998</v>
      </c>
      <c r="G117" s="1">
        <v>5.1232308990945601</v>
      </c>
      <c r="H117" s="1">
        <v>3.5350613811559799</v>
      </c>
      <c r="I117">
        <f>VLOOKUP(C117,'[1]phenotypes-895'!$A$2:$G$896,7,FALSE)</f>
        <v>98</v>
      </c>
    </row>
    <row r="118" spans="1:9" x14ac:dyDescent="0.2">
      <c r="A118">
        <v>117</v>
      </c>
      <c r="B118">
        <v>36</v>
      </c>
      <c r="C118" t="s">
        <v>116</v>
      </c>
      <c r="D118" s="13" t="s">
        <v>913</v>
      </c>
      <c r="E118" s="1">
        <v>4.3585900000000004</v>
      </c>
      <c r="F118" s="1">
        <v>5.4929300000000003</v>
      </c>
      <c r="G118" s="1">
        <v>4.3541399634978202</v>
      </c>
      <c r="H118" s="1">
        <v>5.4849175042705403</v>
      </c>
      <c r="I118">
        <f>VLOOKUP(C118,'[1]phenotypes-895'!$A$2:$G$896,7,FALSE)</f>
        <v>70</v>
      </c>
    </row>
    <row r="119" spans="1:9" x14ac:dyDescent="0.2">
      <c r="A119">
        <v>118</v>
      </c>
      <c r="B119">
        <v>12</v>
      </c>
      <c r="C119" t="s">
        <v>117</v>
      </c>
      <c r="D119" s="12" t="s">
        <v>912</v>
      </c>
      <c r="E119" s="1">
        <v>1.7517100000000001</v>
      </c>
      <c r="F119" s="1">
        <v>3.4963799999999998</v>
      </c>
      <c r="G119" s="1">
        <v>1.8976006241851</v>
      </c>
      <c r="H119" s="1">
        <v>3.64284665094904</v>
      </c>
      <c r="I119">
        <f>VLOOKUP(C119,'[1]phenotypes-895'!$A$2:$G$896,7,FALSE)</f>
        <v>98</v>
      </c>
    </row>
    <row r="120" spans="1:9" x14ac:dyDescent="0.2">
      <c r="A120">
        <v>119</v>
      </c>
      <c r="B120">
        <v>52</v>
      </c>
      <c r="C120" t="s">
        <v>118</v>
      </c>
      <c r="D120" s="13" t="s">
        <v>912</v>
      </c>
      <c r="E120" s="1">
        <v>0.220029</v>
      </c>
      <c r="F120" s="1">
        <v>2.8785599999999998</v>
      </c>
      <c r="G120" s="1">
        <v>0.210937269612612</v>
      </c>
      <c r="H120" s="1">
        <v>2.8783807238519099</v>
      </c>
      <c r="I120">
        <f>VLOOKUP(C120,'[1]phenotypes-895'!$A$2:$G$896,7,FALSE)</f>
        <v>98</v>
      </c>
    </row>
    <row r="121" spans="1:9" x14ac:dyDescent="0.2">
      <c r="A121">
        <v>120</v>
      </c>
      <c r="B121">
        <v>12</v>
      </c>
      <c r="C121" t="s">
        <v>119</v>
      </c>
      <c r="D121" s="12" t="s">
        <v>912</v>
      </c>
      <c r="E121" s="1">
        <v>-1.1432</v>
      </c>
      <c r="F121" s="1">
        <v>-0.62383299999999997</v>
      </c>
      <c r="G121" s="1">
        <v>-1.1396791447677701</v>
      </c>
      <c r="H121" s="1">
        <v>-0.62462885735954199</v>
      </c>
      <c r="I121">
        <f>VLOOKUP(C121,'[1]phenotypes-895'!$A$2:$G$896,7,FALSE)</f>
        <v>78</v>
      </c>
    </row>
    <row r="122" spans="1:9" x14ac:dyDescent="0.2">
      <c r="A122">
        <v>121</v>
      </c>
      <c r="B122">
        <v>37</v>
      </c>
      <c r="C122" t="s">
        <v>120</v>
      </c>
      <c r="D122" s="13" t="s">
        <v>913</v>
      </c>
      <c r="E122" s="1">
        <v>7.1330799999999996</v>
      </c>
      <c r="F122" s="1">
        <v>7.8799299999999999</v>
      </c>
      <c r="G122" s="1">
        <v>7.1916326099204104</v>
      </c>
      <c r="H122" s="1">
        <v>7.9369044420002801</v>
      </c>
      <c r="I122">
        <f>VLOOKUP(C122,'[1]phenotypes-895'!$A$2:$G$896,7,FALSE)</f>
        <v>98</v>
      </c>
    </row>
    <row r="123" spans="1:9" x14ac:dyDescent="0.2">
      <c r="A123">
        <v>122</v>
      </c>
      <c r="B123">
        <v>12</v>
      </c>
      <c r="C123" t="s">
        <v>121</v>
      </c>
      <c r="D123" s="12" t="s">
        <v>912</v>
      </c>
      <c r="E123" s="1">
        <v>-4.1787900000000002</v>
      </c>
      <c r="F123" s="1">
        <v>-3.6107399999999998</v>
      </c>
      <c r="G123" s="1">
        <v>-4.0615633237498399</v>
      </c>
      <c r="H123" s="1">
        <v>-3.4982518575512902</v>
      </c>
      <c r="I123">
        <f>VLOOKUP(C123,'[1]phenotypes-895'!$A$2:$G$896,7,FALSE)</f>
        <v>58</v>
      </c>
    </row>
    <row r="124" spans="1:9" x14ac:dyDescent="0.2">
      <c r="A124">
        <v>123</v>
      </c>
      <c r="B124">
        <v>32</v>
      </c>
      <c r="C124" t="s">
        <v>122</v>
      </c>
      <c r="D124" s="13" t="s">
        <v>913</v>
      </c>
      <c r="E124" s="1">
        <v>1.2023999999999999</v>
      </c>
      <c r="F124" s="1">
        <v>9.7576800000000005E-2</v>
      </c>
      <c r="G124" s="1">
        <v>1.24496238140132</v>
      </c>
      <c r="H124" s="1">
        <v>0.143700117082316</v>
      </c>
      <c r="I124">
        <f>VLOOKUP(C124,'[1]phenotypes-895'!$A$2:$G$896,7,FALSE)</f>
        <v>56</v>
      </c>
    </row>
    <row r="125" spans="1:9" x14ac:dyDescent="0.2">
      <c r="A125">
        <v>124</v>
      </c>
      <c r="B125">
        <v>16</v>
      </c>
      <c r="C125" t="s">
        <v>123</v>
      </c>
      <c r="D125" s="12" t="s">
        <v>912</v>
      </c>
      <c r="E125" s="1">
        <v>-10.860099999999999</v>
      </c>
      <c r="F125" s="1">
        <v>-11.1121</v>
      </c>
      <c r="G125" s="1">
        <v>-10.776253486963</v>
      </c>
      <c r="H125" s="1">
        <v>-11.032130779917001</v>
      </c>
      <c r="I125">
        <f>VLOOKUP(C125,'[1]phenotypes-895'!$A$2:$G$896,7,FALSE)</f>
        <v>53</v>
      </c>
    </row>
    <row r="126" spans="1:9" x14ac:dyDescent="0.2">
      <c r="A126">
        <v>125</v>
      </c>
      <c r="B126">
        <v>29</v>
      </c>
      <c r="C126" t="s">
        <v>124</v>
      </c>
      <c r="D126" s="13" t="s">
        <v>913</v>
      </c>
      <c r="E126" s="1">
        <v>-2.5988699999999998</v>
      </c>
      <c r="F126" s="1">
        <v>-4.2480599999999997</v>
      </c>
      <c r="G126" s="1">
        <v>-2.6500416921833798</v>
      </c>
      <c r="H126" s="1">
        <v>-4.30980803747675</v>
      </c>
      <c r="I126">
        <f>VLOOKUP(C126,'[1]phenotypes-895'!$A$2:$G$896,7,FALSE)</f>
        <v>66</v>
      </c>
    </row>
    <row r="127" spans="1:9" x14ac:dyDescent="0.2">
      <c r="A127">
        <v>126</v>
      </c>
      <c r="B127">
        <v>13</v>
      </c>
      <c r="C127" t="s">
        <v>125</v>
      </c>
      <c r="D127" s="12" t="s">
        <v>912</v>
      </c>
      <c r="E127" s="1">
        <v>-6.35379</v>
      </c>
      <c r="F127" s="1">
        <v>-6.0132700000000003</v>
      </c>
      <c r="G127" s="1">
        <v>-6.2599765352470902</v>
      </c>
      <c r="H127" s="1">
        <v>-5.9250859155483298</v>
      </c>
      <c r="I127">
        <f>VLOOKUP(C127,'[1]phenotypes-895'!$A$2:$G$896,7,FALSE)</f>
        <v>51</v>
      </c>
    </row>
    <row r="128" spans="1:9" x14ac:dyDescent="0.2">
      <c r="A128">
        <v>127</v>
      </c>
      <c r="B128">
        <v>49</v>
      </c>
      <c r="C128" t="s">
        <v>126</v>
      </c>
      <c r="D128" s="13" t="s">
        <v>912</v>
      </c>
      <c r="E128" s="1">
        <v>-2.1506099999999999</v>
      </c>
      <c r="F128" s="1">
        <v>-0.82296999999999998</v>
      </c>
      <c r="G128" s="1">
        <v>-2.0086070434458501</v>
      </c>
      <c r="H128" s="1">
        <v>-0.68441843314509199</v>
      </c>
      <c r="I128">
        <f>VLOOKUP(C128,'[1]phenotypes-895'!$A$2:$G$896,7,FALSE)</f>
        <v>59</v>
      </c>
    </row>
    <row r="129" spans="1:9" x14ac:dyDescent="0.2">
      <c r="A129">
        <v>128</v>
      </c>
      <c r="B129">
        <v>50</v>
      </c>
      <c r="C129" t="s">
        <v>127</v>
      </c>
      <c r="D129" s="13" t="s">
        <v>912</v>
      </c>
      <c r="E129" s="1">
        <v>2.1859799999999998</v>
      </c>
      <c r="F129" s="1">
        <v>4.5816800000000004</v>
      </c>
      <c r="G129" s="1">
        <v>2.2111111909053101</v>
      </c>
      <c r="H129" s="1">
        <v>4.6171986609358404</v>
      </c>
      <c r="I129">
        <f>VLOOKUP(C129,'[1]phenotypes-895'!$A$2:$G$896,7,FALSE)</f>
        <v>98</v>
      </c>
    </row>
    <row r="130" spans="1:9" x14ac:dyDescent="0.2">
      <c r="A130">
        <v>129</v>
      </c>
      <c r="B130">
        <v>16</v>
      </c>
      <c r="C130" t="s">
        <v>128</v>
      </c>
      <c r="D130" s="12" t="s">
        <v>912</v>
      </c>
      <c r="E130" s="1">
        <v>-7.8985900000000004</v>
      </c>
      <c r="F130" s="1">
        <v>-7.8365799999999997</v>
      </c>
      <c r="G130" s="1">
        <v>-7.7434953687654202</v>
      </c>
      <c r="H130" s="1">
        <v>-7.6744201070561697</v>
      </c>
      <c r="I130">
        <f>VLOOKUP(C130,'[1]phenotypes-895'!$A$2:$G$896,7,FALSE)</f>
        <v>98</v>
      </c>
    </row>
    <row r="131" spans="1:9" x14ac:dyDescent="0.2">
      <c r="A131">
        <v>130</v>
      </c>
      <c r="B131">
        <v>43</v>
      </c>
      <c r="C131" t="s">
        <v>129</v>
      </c>
      <c r="D131" s="13" t="s">
        <v>912</v>
      </c>
      <c r="E131" s="1">
        <v>-1.9379500000000001</v>
      </c>
      <c r="F131" s="1">
        <v>-0.138351</v>
      </c>
      <c r="G131" s="1">
        <v>-1.96488729297653</v>
      </c>
      <c r="H131" s="1">
        <v>-0.15770374216885</v>
      </c>
      <c r="I131">
        <f>VLOOKUP(C131,'[1]phenotypes-895'!$A$2:$G$896,7,FALSE)</f>
        <v>62</v>
      </c>
    </row>
    <row r="132" spans="1:9" x14ac:dyDescent="0.2">
      <c r="A132">
        <v>131</v>
      </c>
      <c r="B132">
        <v>11</v>
      </c>
      <c r="C132" t="s">
        <v>130</v>
      </c>
      <c r="D132" s="12" t="s">
        <v>912</v>
      </c>
      <c r="E132" s="1">
        <v>-7.5704000000000002</v>
      </c>
      <c r="F132" s="1">
        <v>-7.2904099999999996</v>
      </c>
      <c r="G132" s="1">
        <v>-7.5098245402179504</v>
      </c>
      <c r="H132" s="1">
        <v>-7.2334927963014897</v>
      </c>
      <c r="I132">
        <f>VLOOKUP(C132,'[1]phenotypes-895'!$A$2:$G$896,7,FALSE)</f>
        <v>64</v>
      </c>
    </row>
    <row r="133" spans="1:9" x14ac:dyDescent="0.2">
      <c r="A133">
        <v>132</v>
      </c>
      <c r="B133">
        <v>34</v>
      </c>
      <c r="C133" t="s">
        <v>131</v>
      </c>
      <c r="D133" s="13" t="s">
        <v>913</v>
      </c>
      <c r="E133" s="1">
        <v>-3.0274399999999999</v>
      </c>
      <c r="F133" s="1">
        <v>-2.86049</v>
      </c>
      <c r="G133" s="1">
        <v>-2.9754545497269</v>
      </c>
      <c r="H133" s="1">
        <v>-2.8063480346948899</v>
      </c>
      <c r="I133">
        <f>VLOOKUP(C133,'[1]phenotypes-895'!$A$2:$G$896,7,FALSE)</f>
        <v>70</v>
      </c>
    </row>
    <row r="134" spans="1:9" x14ac:dyDescent="0.2">
      <c r="A134">
        <v>133</v>
      </c>
      <c r="B134">
        <v>10</v>
      </c>
      <c r="C134" t="s">
        <v>132</v>
      </c>
      <c r="D134" s="12" t="s">
        <v>912</v>
      </c>
      <c r="E134" s="1">
        <v>-3.0107900000000001</v>
      </c>
      <c r="F134" s="1">
        <v>-3.6400700000000001</v>
      </c>
      <c r="G134" s="1">
        <v>-2.8551687075945802</v>
      </c>
      <c r="H134" s="1">
        <v>-3.4637318011414102</v>
      </c>
      <c r="I134">
        <f>VLOOKUP(C134,'[1]phenotypes-895'!$A$2:$G$896,7,FALSE)</f>
        <v>71</v>
      </c>
    </row>
    <row r="135" spans="1:9" x14ac:dyDescent="0.2">
      <c r="A135">
        <v>134</v>
      </c>
      <c r="B135">
        <v>28</v>
      </c>
      <c r="C135" t="s">
        <v>133</v>
      </c>
      <c r="D135" s="13" t="s">
        <v>913</v>
      </c>
      <c r="E135" s="1">
        <v>5.18424</v>
      </c>
      <c r="F135" s="1">
        <v>3.3675199999999998</v>
      </c>
      <c r="G135" s="1">
        <v>5.1558813289167302</v>
      </c>
      <c r="H135" s="1">
        <v>3.3368158844753699</v>
      </c>
      <c r="I135">
        <f>VLOOKUP(C135,'[1]phenotypes-895'!$A$2:$G$896,7,FALSE)</f>
        <v>98</v>
      </c>
    </row>
    <row r="136" spans="1:9" x14ac:dyDescent="0.2">
      <c r="A136">
        <v>135</v>
      </c>
      <c r="B136">
        <v>16</v>
      </c>
      <c r="C136" t="s">
        <v>134</v>
      </c>
      <c r="D136" s="12" t="s">
        <v>912</v>
      </c>
      <c r="E136" s="1">
        <v>-9.9685299999999994</v>
      </c>
      <c r="F136" s="1">
        <v>-9.7402599999999993</v>
      </c>
      <c r="G136" s="1">
        <v>-10.100020015284301</v>
      </c>
      <c r="H136" s="1">
        <v>-9.8777346975271403</v>
      </c>
      <c r="I136">
        <f>VLOOKUP(C136,'[1]phenotypes-895'!$A$2:$G$896,7,FALSE)</f>
        <v>46</v>
      </c>
    </row>
    <row r="137" spans="1:9" x14ac:dyDescent="0.2">
      <c r="A137">
        <v>136</v>
      </c>
      <c r="B137">
        <v>3</v>
      </c>
      <c r="C137" t="s">
        <v>135</v>
      </c>
      <c r="D137" s="12" t="s">
        <v>913</v>
      </c>
      <c r="E137" s="1">
        <v>-0.79266700000000001</v>
      </c>
      <c r="F137" s="1">
        <v>-3.2911100000000002</v>
      </c>
      <c r="G137" s="1">
        <v>-0.60033561594832596</v>
      </c>
      <c r="H137" s="1">
        <v>-3.04839773471355</v>
      </c>
      <c r="I137">
        <f>VLOOKUP(C137,'[1]phenotypes-895'!$A$2:$G$896,7,FALSE)</f>
        <v>98</v>
      </c>
    </row>
    <row r="138" spans="1:9" x14ac:dyDescent="0.2">
      <c r="A138">
        <v>137</v>
      </c>
      <c r="B138">
        <v>13</v>
      </c>
      <c r="C138" t="s">
        <v>136</v>
      </c>
      <c r="D138" s="12" t="s">
        <v>912</v>
      </c>
      <c r="E138" s="1">
        <v>-3.5252400000000002</v>
      </c>
      <c r="F138" s="1">
        <v>-2.85717</v>
      </c>
      <c r="G138" s="1">
        <v>-3.5451219725166601</v>
      </c>
      <c r="H138" s="1">
        <v>-2.88022898351648</v>
      </c>
      <c r="I138">
        <f>VLOOKUP(C138,'[1]phenotypes-895'!$A$2:$G$896,7,FALSE)</f>
        <v>60</v>
      </c>
    </row>
    <row r="139" spans="1:9" x14ac:dyDescent="0.2">
      <c r="A139">
        <v>138</v>
      </c>
      <c r="B139">
        <v>4</v>
      </c>
      <c r="C139" t="s">
        <v>137</v>
      </c>
      <c r="D139" s="12" t="s">
        <v>913</v>
      </c>
      <c r="E139" s="1">
        <v>-1.8545799999999999</v>
      </c>
      <c r="F139" s="1">
        <v>-3.56046</v>
      </c>
      <c r="G139" s="1">
        <v>-1.87528316607116</v>
      </c>
      <c r="H139" s="1">
        <v>-3.59474083047912</v>
      </c>
      <c r="I139">
        <f>VLOOKUP(C139,'[1]phenotypes-895'!$A$2:$G$896,7,FALSE)</f>
        <v>56</v>
      </c>
    </row>
    <row r="140" spans="1:9" x14ac:dyDescent="0.2">
      <c r="A140">
        <v>139</v>
      </c>
      <c r="B140">
        <v>2</v>
      </c>
      <c r="C140" t="s">
        <v>138</v>
      </c>
      <c r="D140" s="12" t="s">
        <v>913</v>
      </c>
      <c r="E140" s="1">
        <v>6.5104100000000003</v>
      </c>
      <c r="F140" s="1">
        <v>7.4430699999999996</v>
      </c>
      <c r="G140" s="1">
        <v>6.5777678703804003</v>
      </c>
      <c r="H140" s="1">
        <v>7.5148511683546699</v>
      </c>
      <c r="I140">
        <f>VLOOKUP(C140,'[1]phenotypes-895'!$A$2:$G$896,7,FALSE)</f>
        <v>98</v>
      </c>
    </row>
    <row r="141" spans="1:9" x14ac:dyDescent="0.2">
      <c r="A141">
        <v>140</v>
      </c>
      <c r="B141">
        <v>16</v>
      </c>
      <c r="C141" t="s">
        <v>139</v>
      </c>
      <c r="D141" s="12" t="s">
        <v>912</v>
      </c>
      <c r="E141" s="1">
        <v>-2.9148399999999999</v>
      </c>
      <c r="F141" s="1">
        <v>-2.8715000000000002</v>
      </c>
      <c r="G141" s="1">
        <v>-2.9211985578497801</v>
      </c>
      <c r="H141" s="1">
        <v>-2.87792182618937</v>
      </c>
      <c r="I141">
        <f>VLOOKUP(C141,'[1]phenotypes-895'!$A$2:$G$896,7,FALSE)</f>
        <v>49</v>
      </c>
    </row>
    <row r="142" spans="1:9" x14ac:dyDescent="0.2">
      <c r="A142">
        <v>141</v>
      </c>
      <c r="B142">
        <v>5</v>
      </c>
      <c r="C142" t="s">
        <v>140</v>
      </c>
      <c r="D142" s="12" t="s">
        <v>913</v>
      </c>
      <c r="E142" s="1">
        <v>-7.4258899999999999</v>
      </c>
      <c r="F142" s="1">
        <v>-10.5907</v>
      </c>
      <c r="G142" s="1">
        <v>-7.2281155794034202</v>
      </c>
      <c r="H142" s="1">
        <v>-10.364855629618001</v>
      </c>
      <c r="I142">
        <f>VLOOKUP(C142,'[1]phenotypes-895'!$A$2:$G$896,7,FALSE)</f>
        <v>51</v>
      </c>
    </row>
    <row r="143" spans="1:9" x14ac:dyDescent="0.2">
      <c r="A143">
        <v>142</v>
      </c>
      <c r="B143">
        <v>8</v>
      </c>
      <c r="C143" t="s">
        <v>141</v>
      </c>
      <c r="D143" s="12" t="s">
        <v>913</v>
      </c>
      <c r="E143" s="1">
        <v>5.2904499999999999</v>
      </c>
      <c r="F143" s="1">
        <v>3.5443600000000002</v>
      </c>
      <c r="G143" s="1">
        <v>5.2674588680485499</v>
      </c>
      <c r="H143" s="1">
        <v>3.5118596114352898</v>
      </c>
      <c r="I143">
        <f>VLOOKUP(C143,'[1]phenotypes-895'!$A$2:$G$896,7,FALSE)</f>
        <v>98</v>
      </c>
    </row>
    <row r="144" spans="1:9" x14ac:dyDescent="0.2">
      <c r="A144">
        <v>143</v>
      </c>
      <c r="B144">
        <v>14</v>
      </c>
      <c r="C144" t="s">
        <v>142</v>
      </c>
      <c r="D144" s="12" t="s">
        <v>912</v>
      </c>
      <c r="E144" s="1">
        <v>-6.8915499999999996</v>
      </c>
      <c r="F144" s="1">
        <v>-7.4610799999999999</v>
      </c>
      <c r="G144" s="1">
        <v>-6.7170139976778804</v>
      </c>
      <c r="H144" s="1">
        <v>-7.2774475088331503</v>
      </c>
      <c r="I144">
        <f>VLOOKUP(C144,'[1]phenotypes-895'!$A$2:$G$896,7,FALSE)</f>
        <v>56</v>
      </c>
    </row>
    <row r="145" spans="1:9" x14ac:dyDescent="0.2">
      <c r="A145">
        <v>144</v>
      </c>
      <c r="B145">
        <v>9</v>
      </c>
      <c r="C145" t="s">
        <v>143</v>
      </c>
      <c r="D145" s="12" t="s">
        <v>912</v>
      </c>
      <c r="E145" s="1">
        <v>-3.4927899999999998</v>
      </c>
      <c r="F145" s="1">
        <v>-3.5472100000000002</v>
      </c>
      <c r="G145" s="1">
        <v>-3.5223570956005501</v>
      </c>
      <c r="H145" s="1">
        <v>-3.5872803465293002</v>
      </c>
      <c r="I145">
        <f>VLOOKUP(C145,'[1]phenotypes-895'!$A$2:$G$896,7,FALSE)</f>
        <v>49</v>
      </c>
    </row>
    <row r="146" spans="1:9" x14ac:dyDescent="0.2">
      <c r="A146">
        <v>145</v>
      </c>
      <c r="B146">
        <v>15</v>
      </c>
      <c r="C146" t="s">
        <v>144</v>
      </c>
      <c r="D146" s="12" t="s">
        <v>912</v>
      </c>
      <c r="E146" s="1">
        <v>-10.527799999999999</v>
      </c>
      <c r="F146" s="1">
        <v>-11.913500000000001</v>
      </c>
      <c r="G146" s="1">
        <v>-10.5708410141805</v>
      </c>
      <c r="H146" s="1">
        <v>-11.959428113945</v>
      </c>
      <c r="I146">
        <f>VLOOKUP(C146,'[1]phenotypes-895'!$A$2:$G$896,7,FALSE)</f>
        <v>61</v>
      </c>
    </row>
    <row r="147" spans="1:9" x14ac:dyDescent="0.2">
      <c r="A147">
        <v>146</v>
      </c>
      <c r="B147">
        <v>9</v>
      </c>
      <c r="C147" t="s">
        <v>145</v>
      </c>
      <c r="D147" s="12" t="s">
        <v>912</v>
      </c>
      <c r="E147" s="1">
        <v>-3.0538400000000001</v>
      </c>
      <c r="F147" s="1">
        <v>-2.5156100000000001</v>
      </c>
      <c r="G147" s="1">
        <v>-2.9452871143074701</v>
      </c>
      <c r="H147" s="1">
        <v>-2.4046755963986501</v>
      </c>
      <c r="I147">
        <f>VLOOKUP(C147,'[1]phenotypes-895'!$A$2:$G$896,7,FALSE)</f>
        <v>54</v>
      </c>
    </row>
    <row r="148" spans="1:9" x14ac:dyDescent="0.2">
      <c r="A148">
        <v>147</v>
      </c>
      <c r="B148">
        <v>10</v>
      </c>
      <c r="C148" t="s">
        <v>146</v>
      </c>
      <c r="D148" s="12" t="s">
        <v>912</v>
      </c>
      <c r="E148" s="1">
        <v>-5.0714899999999998</v>
      </c>
      <c r="F148" s="1">
        <v>-4.5919299999999996</v>
      </c>
      <c r="G148" s="1">
        <v>-4.9534618046925898</v>
      </c>
      <c r="H148" s="1">
        <v>-4.4732814610616298</v>
      </c>
      <c r="I148">
        <f>VLOOKUP(C148,'[1]phenotypes-895'!$A$2:$G$896,7,FALSE)</f>
        <v>61</v>
      </c>
    </row>
    <row r="149" spans="1:9" x14ac:dyDescent="0.2">
      <c r="A149">
        <v>148</v>
      </c>
      <c r="B149">
        <v>4</v>
      </c>
      <c r="C149" t="s">
        <v>147</v>
      </c>
      <c r="D149" s="12" t="s">
        <v>913</v>
      </c>
      <c r="E149" s="1">
        <v>9.4489900000000002E-2</v>
      </c>
      <c r="F149" s="1">
        <v>-2.1325400000000001</v>
      </c>
      <c r="G149" s="1">
        <v>6.4176322992954699E-2</v>
      </c>
      <c r="H149" s="1">
        <v>-2.1796010435040101</v>
      </c>
      <c r="I149">
        <f>VLOOKUP(C149,'[1]phenotypes-895'!$A$2:$G$896,7,FALSE)</f>
        <v>98</v>
      </c>
    </row>
    <row r="150" spans="1:9" x14ac:dyDescent="0.2">
      <c r="A150">
        <v>149</v>
      </c>
      <c r="B150">
        <v>9</v>
      </c>
      <c r="C150" t="s">
        <v>148</v>
      </c>
      <c r="D150" s="12" t="s">
        <v>912</v>
      </c>
      <c r="E150" s="1">
        <v>-3.8496199999999998</v>
      </c>
      <c r="F150" s="1">
        <v>-4.2092200000000002</v>
      </c>
      <c r="G150" s="1">
        <v>-3.8969849381498198</v>
      </c>
      <c r="H150" s="1">
        <v>-4.2624175858320896</v>
      </c>
      <c r="I150">
        <f>VLOOKUP(C150,'[1]phenotypes-895'!$A$2:$G$896,7,FALSE)</f>
        <v>62</v>
      </c>
    </row>
    <row r="151" spans="1:9" x14ac:dyDescent="0.2">
      <c r="A151">
        <v>150</v>
      </c>
      <c r="B151">
        <v>15</v>
      </c>
      <c r="C151" t="s">
        <v>149</v>
      </c>
      <c r="D151" s="12" t="s">
        <v>912</v>
      </c>
      <c r="E151" s="1">
        <v>-8.4464199999999998</v>
      </c>
      <c r="F151" s="1">
        <v>-9.2631999999999994</v>
      </c>
      <c r="G151" s="1">
        <v>-8.3088883047821795</v>
      </c>
      <c r="H151" s="1">
        <v>-9.1120235342014606</v>
      </c>
      <c r="I151">
        <f>VLOOKUP(C151,'[1]phenotypes-895'!$A$2:$G$896,7,FALSE)</f>
        <v>56</v>
      </c>
    </row>
    <row r="152" spans="1:9" x14ac:dyDescent="0.2">
      <c r="A152">
        <v>151</v>
      </c>
      <c r="B152">
        <v>12</v>
      </c>
      <c r="C152" t="s">
        <v>150</v>
      </c>
      <c r="D152" s="12" t="s">
        <v>912</v>
      </c>
      <c r="E152" s="1">
        <v>2.5895600000000001</v>
      </c>
      <c r="F152" s="1">
        <v>3.71624</v>
      </c>
      <c r="G152" s="1">
        <v>2.5406246411297499</v>
      </c>
      <c r="H152" s="1">
        <v>3.6713012739709501</v>
      </c>
      <c r="I152">
        <f>VLOOKUP(C152,'[1]phenotypes-895'!$A$2:$G$896,7,FALSE)</f>
        <v>98</v>
      </c>
    </row>
    <row r="153" spans="1:9" x14ac:dyDescent="0.2">
      <c r="A153">
        <v>152</v>
      </c>
      <c r="B153">
        <v>5</v>
      </c>
      <c r="C153" t="s">
        <v>151</v>
      </c>
      <c r="D153" s="12" t="s">
        <v>913</v>
      </c>
      <c r="E153" s="1">
        <v>-7.3191499999999996</v>
      </c>
      <c r="F153" s="1">
        <v>-9.9034099999999992</v>
      </c>
      <c r="G153" s="1">
        <v>-7.1434419327022098</v>
      </c>
      <c r="H153" s="1">
        <v>-9.7047726355697197</v>
      </c>
      <c r="I153">
        <f>VLOOKUP(C153,'[1]phenotypes-895'!$A$2:$G$896,7,FALSE)</f>
        <v>72</v>
      </c>
    </row>
    <row r="154" spans="1:9" x14ac:dyDescent="0.2">
      <c r="A154">
        <v>153</v>
      </c>
      <c r="B154">
        <v>15</v>
      </c>
      <c r="C154" t="s">
        <v>152</v>
      </c>
      <c r="D154" s="12" t="s">
        <v>912</v>
      </c>
      <c r="E154" s="1">
        <v>-5.1420599999999999</v>
      </c>
      <c r="F154" s="1">
        <v>-5.6299799999999998</v>
      </c>
      <c r="G154" s="1">
        <v>-5.1980857947300496</v>
      </c>
      <c r="H154" s="1">
        <v>-5.6823414072163398</v>
      </c>
      <c r="I154">
        <f>VLOOKUP(C154,'[1]phenotypes-895'!$A$2:$G$896,7,FALSE)</f>
        <v>98</v>
      </c>
    </row>
    <row r="155" spans="1:9" x14ac:dyDescent="0.2">
      <c r="A155">
        <v>154</v>
      </c>
      <c r="B155">
        <v>1</v>
      </c>
      <c r="C155" t="s">
        <v>153</v>
      </c>
      <c r="D155" s="12" t="s">
        <v>913</v>
      </c>
      <c r="E155" s="1">
        <v>-5.2011000000000003</v>
      </c>
      <c r="F155" s="1">
        <v>-7.1036000000000001</v>
      </c>
      <c r="G155" s="1">
        <v>-4.99594818317241</v>
      </c>
      <c r="H155" s="1">
        <v>-6.8829021532618899</v>
      </c>
      <c r="I155">
        <f>VLOOKUP(C155,'[1]phenotypes-895'!$A$2:$G$896,7,FALSE)</f>
        <v>57</v>
      </c>
    </row>
    <row r="156" spans="1:9" x14ac:dyDescent="0.2">
      <c r="A156">
        <v>155</v>
      </c>
      <c r="B156">
        <v>5</v>
      </c>
      <c r="C156" t="s">
        <v>154</v>
      </c>
      <c r="D156" s="12" t="s">
        <v>913</v>
      </c>
      <c r="E156" s="1">
        <v>-7.5380099999999999</v>
      </c>
      <c r="F156" s="1">
        <v>-10.3218</v>
      </c>
      <c r="G156" s="1">
        <v>-7.5041335212462998</v>
      </c>
      <c r="H156" s="1">
        <v>-10.2896113768553</v>
      </c>
      <c r="I156">
        <f>VLOOKUP(C156,'[1]phenotypes-895'!$A$2:$G$896,7,FALSE)</f>
        <v>56</v>
      </c>
    </row>
    <row r="157" spans="1:9" x14ac:dyDescent="0.2">
      <c r="A157">
        <v>156</v>
      </c>
      <c r="B157">
        <v>6</v>
      </c>
      <c r="C157" t="s">
        <v>155</v>
      </c>
      <c r="D157" s="12" t="s">
        <v>913</v>
      </c>
      <c r="E157" s="1">
        <v>0.11708</v>
      </c>
      <c r="F157" s="1">
        <v>-1.85541</v>
      </c>
      <c r="G157" s="1">
        <v>5.4177441854911801E-2</v>
      </c>
      <c r="H157" s="1">
        <v>-1.9302367347520799</v>
      </c>
      <c r="I157">
        <f>VLOOKUP(C157,'[1]phenotypes-895'!$A$2:$G$896,7,FALSE)</f>
        <v>75</v>
      </c>
    </row>
    <row r="158" spans="1:9" x14ac:dyDescent="0.2">
      <c r="A158">
        <v>157</v>
      </c>
      <c r="B158">
        <v>10</v>
      </c>
      <c r="C158" t="s">
        <v>156</v>
      </c>
      <c r="D158" s="12" t="s">
        <v>912</v>
      </c>
      <c r="E158" s="1">
        <v>-1.9124000000000001</v>
      </c>
      <c r="F158" s="1">
        <v>-1.1487700000000001</v>
      </c>
      <c r="G158" s="1">
        <v>-1.8876318013660101</v>
      </c>
      <c r="H158" s="1">
        <v>-1.124100814602</v>
      </c>
      <c r="I158">
        <f>VLOOKUP(C158,'[1]phenotypes-895'!$A$2:$G$896,7,FALSE)</f>
        <v>98</v>
      </c>
    </row>
    <row r="159" spans="1:9" x14ac:dyDescent="0.2">
      <c r="A159">
        <v>158</v>
      </c>
      <c r="B159">
        <v>6</v>
      </c>
      <c r="C159" t="s">
        <v>157</v>
      </c>
      <c r="D159" s="12" t="s">
        <v>913</v>
      </c>
      <c r="E159" s="1">
        <v>-1.66178</v>
      </c>
      <c r="F159" s="1">
        <v>-3.6110799999999998</v>
      </c>
      <c r="G159" s="1">
        <v>-1.61129682227208</v>
      </c>
      <c r="H159" s="1">
        <v>-3.5551114123992198</v>
      </c>
      <c r="I159">
        <f>VLOOKUP(C159,'[1]phenotypes-895'!$A$2:$G$896,7,FALSE)</f>
        <v>53</v>
      </c>
    </row>
    <row r="160" spans="1:9" x14ac:dyDescent="0.2">
      <c r="A160">
        <v>159</v>
      </c>
      <c r="B160">
        <v>12</v>
      </c>
      <c r="C160" t="s">
        <v>158</v>
      </c>
      <c r="D160" s="12" t="s">
        <v>912</v>
      </c>
      <c r="E160" s="1">
        <v>-0.448266</v>
      </c>
      <c r="F160" s="1">
        <v>0.26043500000000003</v>
      </c>
      <c r="G160" s="1">
        <v>-0.54990823199224903</v>
      </c>
      <c r="H160" s="1">
        <v>0.165606163646003</v>
      </c>
      <c r="I160">
        <f>VLOOKUP(C160,'[1]phenotypes-895'!$A$2:$G$896,7,FALSE)</f>
        <v>62</v>
      </c>
    </row>
    <row r="161" spans="1:9" x14ac:dyDescent="0.2">
      <c r="A161">
        <v>160</v>
      </c>
      <c r="B161">
        <v>1</v>
      </c>
      <c r="C161" t="s">
        <v>159</v>
      </c>
      <c r="D161" s="12" t="s">
        <v>913</v>
      </c>
      <c r="E161" s="1">
        <v>-0.55109600000000003</v>
      </c>
      <c r="F161" s="1">
        <v>-1.7349000000000001</v>
      </c>
      <c r="G161" s="1">
        <v>-0.42152304682359698</v>
      </c>
      <c r="H161" s="1">
        <v>-1.5931183061290499</v>
      </c>
      <c r="I161">
        <f>VLOOKUP(C161,'[1]phenotypes-895'!$A$2:$G$896,7,FALSE)</f>
        <v>98</v>
      </c>
    </row>
    <row r="162" spans="1:9" x14ac:dyDescent="0.2">
      <c r="A162">
        <v>161</v>
      </c>
      <c r="B162">
        <v>27</v>
      </c>
      <c r="C162" t="s">
        <v>160</v>
      </c>
      <c r="D162" s="13" t="s">
        <v>913</v>
      </c>
      <c r="E162" s="1">
        <v>6.5180699999999998</v>
      </c>
      <c r="F162" s="1">
        <v>5.8191100000000002</v>
      </c>
      <c r="G162" s="1">
        <v>6.5438548155164202</v>
      </c>
      <c r="H162" s="1">
        <v>5.8434013550124497</v>
      </c>
      <c r="I162">
        <f>VLOOKUP(C162,'[1]phenotypes-895'!$A$2:$G$896,7,FALSE)</f>
        <v>70</v>
      </c>
    </row>
    <row r="163" spans="1:9" x14ac:dyDescent="0.2">
      <c r="A163">
        <v>162</v>
      </c>
      <c r="B163">
        <v>3</v>
      </c>
      <c r="C163" t="s">
        <v>161</v>
      </c>
      <c r="D163" s="12" t="s">
        <v>913</v>
      </c>
      <c r="E163" s="1">
        <v>-2.7968700000000002</v>
      </c>
      <c r="F163" s="1">
        <v>-5.1141800000000002</v>
      </c>
      <c r="G163" s="1">
        <v>-2.7009348955097998</v>
      </c>
      <c r="H163" s="1">
        <v>-5.0101168616556198</v>
      </c>
      <c r="I163">
        <f>VLOOKUP(C163,'[1]phenotypes-895'!$A$2:$G$896,7,FALSE)</f>
        <v>76</v>
      </c>
    </row>
    <row r="164" spans="1:9" x14ac:dyDescent="0.2">
      <c r="A164">
        <v>163</v>
      </c>
      <c r="B164">
        <v>50</v>
      </c>
      <c r="C164" t="s">
        <v>162</v>
      </c>
      <c r="D164" s="13" t="s">
        <v>912</v>
      </c>
      <c r="E164" s="1">
        <v>-0.90244000000000002</v>
      </c>
      <c r="F164" s="1">
        <v>0.178063</v>
      </c>
      <c r="G164" s="1">
        <v>-0.94796649588192305</v>
      </c>
      <c r="H164" s="1">
        <v>0.137888065673996</v>
      </c>
      <c r="I164">
        <f>VLOOKUP(C164,'[1]phenotypes-895'!$A$2:$G$896,7,FALSE)</f>
        <v>60</v>
      </c>
    </row>
    <row r="165" spans="1:9" x14ac:dyDescent="0.2">
      <c r="A165">
        <v>164</v>
      </c>
      <c r="B165">
        <v>6</v>
      </c>
      <c r="C165" t="s">
        <v>163</v>
      </c>
      <c r="D165" s="12" t="s">
        <v>913</v>
      </c>
      <c r="E165" s="1">
        <v>-1.1692499999999999</v>
      </c>
      <c r="F165" s="1">
        <v>-2.8878699999999999</v>
      </c>
      <c r="G165" s="1">
        <v>-1.0717396353150701</v>
      </c>
      <c r="H165" s="1">
        <v>-2.7768677916866902</v>
      </c>
      <c r="I165">
        <f>VLOOKUP(C165,'[1]phenotypes-895'!$A$2:$G$896,7,FALSE)</f>
        <v>58</v>
      </c>
    </row>
    <row r="166" spans="1:9" x14ac:dyDescent="0.2">
      <c r="A166">
        <v>165</v>
      </c>
      <c r="B166">
        <v>50</v>
      </c>
      <c r="C166" t="s">
        <v>164</v>
      </c>
      <c r="D166" s="13" t="s">
        <v>912</v>
      </c>
      <c r="E166" s="1">
        <v>2.3583099999999999</v>
      </c>
      <c r="F166" s="1">
        <v>3.75447</v>
      </c>
      <c r="G166" s="1">
        <v>2.3864837078192802</v>
      </c>
      <c r="H166" s="1">
        <v>3.7918752451814202</v>
      </c>
      <c r="I166">
        <f>VLOOKUP(C166,'[1]phenotypes-895'!$A$2:$G$896,7,FALSE)</f>
        <v>98</v>
      </c>
    </row>
    <row r="167" spans="1:9" x14ac:dyDescent="0.2">
      <c r="A167">
        <v>166</v>
      </c>
      <c r="B167">
        <v>6</v>
      </c>
      <c r="C167" t="s">
        <v>165</v>
      </c>
      <c r="D167" s="12" t="s">
        <v>913</v>
      </c>
      <c r="E167" s="1">
        <v>2.3121999999999998</v>
      </c>
      <c r="F167" s="1">
        <v>1.9885900000000001E-2</v>
      </c>
      <c r="G167" s="1">
        <v>2.2296510301808499</v>
      </c>
      <c r="H167" s="1">
        <v>-8.4392837984636801E-2</v>
      </c>
      <c r="I167">
        <f>VLOOKUP(C167,'[1]phenotypes-895'!$A$2:$G$896,7,FALSE)</f>
        <v>57</v>
      </c>
    </row>
    <row r="168" spans="1:9" x14ac:dyDescent="0.2">
      <c r="A168">
        <v>167</v>
      </c>
      <c r="B168">
        <v>38</v>
      </c>
      <c r="C168" t="s">
        <v>166</v>
      </c>
      <c r="D168" s="13" t="s">
        <v>913</v>
      </c>
      <c r="E168" s="1">
        <v>1.04538</v>
      </c>
      <c r="F168" s="1">
        <v>1.1784300000000001</v>
      </c>
      <c r="G168" s="1">
        <v>1.00324633586797</v>
      </c>
      <c r="H168" s="1">
        <v>1.1340533770133301</v>
      </c>
      <c r="I168">
        <f>VLOOKUP(C168,'[1]phenotypes-895'!$A$2:$G$896,7,FALSE)</f>
        <v>86</v>
      </c>
    </row>
    <row r="169" spans="1:9" x14ac:dyDescent="0.2">
      <c r="A169">
        <v>168</v>
      </c>
      <c r="B169">
        <v>12</v>
      </c>
      <c r="C169" t="s">
        <v>167</v>
      </c>
      <c r="D169" s="12" t="s">
        <v>912</v>
      </c>
      <c r="E169" s="1">
        <v>-0.92818100000000003</v>
      </c>
      <c r="F169" s="1">
        <v>-0.108371</v>
      </c>
      <c r="G169" s="1">
        <v>-1.0066395635821199</v>
      </c>
      <c r="H169" s="1">
        <v>-0.18275532468123601</v>
      </c>
      <c r="I169">
        <f>VLOOKUP(C169,'[1]phenotypes-895'!$A$2:$G$896,7,FALSE)</f>
        <v>51</v>
      </c>
    </row>
    <row r="170" spans="1:9" x14ac:dyDescent="0.2">
      <c r="A170">
        <v>169</v>
      </c>
      <c r="B170">
        <v>24</v>
      </c>
      <c r="C170" t="s">
        <v>168</v>
      </c>
      <c r="D170" s="13" t="s">
        <v>913</v>
      </c>
      <c r="E170" s="1">
        <v>-3.0109699999999999</v>
      </c>
      <c r="F170" s="1">
        <v>-4.8113599999999996</v>
      </c>
      <c r="G170" s="1">
        <v>-2.85725471424055</v>
      </c>
      <c r="H170" s="1">
        <v>-4.6325059984937296</v>
      </c>
      <c r="I170">
        <f>VLOOKUP(C170,'[1]phenotypes-895'!$A$2:$G$896,7,FALSE)</f>
        <v>63</v>
      </c>
    </row>
    <row r="171" spans="1:9" x14ac:dyDescent="0.2">
      <c r="A171">
        <v>170</v>
      </c>
      <c r="B171">
        <v>8</v>
      </c>
      <c r="C171" t="s">
        <v>169</v>
      </c>
      <c r="D171" s="12" t="s">
        <v>913</v>
      </c>
      <c r="E171" s="1">
        <v>5.5197099999999999</v>
      </c>
      <c r="F171" s="1">
        <v>3.84666</v>
      </c>
      <c r="G171" s="1">
        <v>5.5144966926882697</v>
      </c>
      <c r="H171" s="1">
        <v>3.8267863785895302</v>
      </c>
      <c r="I171">
        <f>VLOOKUP(C171,'[1]phenotypes-895'!$A$2:$G$896,7,FALSE)</f>
        <v>98</v>
      </c>
    </row>
    <row r="172" spans="1:9" x14ac:dyDescent="0.2">
      <c r="A172">
        <v>171</v>
      </c>
      <c r="B172">
        <v>53</v>
      </c>
      <c r="C172" t="s">
        <v>170</v>
      </c>
      <c r="D172" s="13" t="s">
        <v>912</v>
      </c>
      <c r="E172" s="1">
        <v>1.1300699999999999</v>
      </c>
      <c r="F172" s="1">
        <v>2.9341499999999998</v>
      </c>
      <c r="G172" s="1">
        <v>1.1457132465589901</v>
      </c>
      <c r="H172" s="1">
        <v>2.9624984989956</v>
      </c>
      <c r="I172">
        <f>VLOOKUP(C172,'[1]phenotypes-895'!$A$2:$G$896,7,FALSE)</f>
        <v>84</v>
      </c>
    </row>
    <row r="173" spans="1:9" x14ac:dyDescent="0.2">
      <c r="A173">
        <v>172</v>
      </c>
      <c r="B173">
        <v>11</v>
      </c>
      <c r="C173" t="s">
        <v>171</v>
      </c>
      <c r="D173" s="12" t="s">
        <v>912</v>
      </c>
      <c r="E173" s="1">
        <v>2.4343300000000001</v>
      </c>
      <c r="F173" s="1">
        <v>3.4959899999999999</v>
      </c>
      <c r="G173" s="1">
        <v>2.4872315355081702</v>
      </c>
      <c r="H173" s="1">
        <v>3.57230498017748</v>
      </c>
      <c r="I173">
        <f>VLOOKUP(C173,'[1]phenotypes-895'!$A$2:$G$896,7,FALSE)</f>
        <v>98</v>
      </c>
    </row>
    <row r="174" spans="1:9" x14ac:dyDescent="0.2">
      <c r="A174">
        <v>173</v>
      </c>
      <c r="B174">
        <v>29</v>
      </c>
      <c r="C174" t="s">
        <v>172</v>
      </c>
      <c r="D174" s="13" t="s">
        <v>913</v>
      </c>
      <c r="E174" s="1">
        <v>2.6612</v>
      </c>
      <c r="F174" s="1">
        <v>1.2878700000000001</v>
      </c>
      <c r="G174" s="1">
        <v>2.6669546472469201</v>
      </c>
      <c r="H174" s="1">
        <v>1.2921786896551199</v>
      </c>
      <c r="I174">
        <f>VLOOKUP(C174,'[1]phenotypes-895'!$A$2:$G$896,7,FALSE)</f>
        <v>98</v>
      </c>
    </row>
    <row r="175" spans="1:9" x14ac:dyDescent="0.2">
      <c r="A175">
        <v>174</v>
      </c>
      <c r="B175">
        <v>9</v>
      </c>
      <c r="C175" t="s">
        <v>173</v>
      </c>
      <c r="D175" s="12" t="s">
        <v>912</v>
      </c>
      <c r="E175" s="1">
        <v>-1.40507</v>
      </c>
      <c r="F175" s="1">
        <v>-1.54216</v>
      </c>
      <c r="G175" s="1">
        <v>-1.3238888087663401</v>
      </c>
      <c r="H175" s="1">
        <v>-1.45188733507243</v>
      </c>
      <c r="I175">
        <f>VLOOKUP(C175,'[1]phenotypes-895'!$A$2:$G$896,7,FALSE)</f>
        <v>72</v>
      </c>
    </row>
    <row r="176" spans="1:9" x14ac:dyDescent="0.2">
      <c r="A176">
        <v>175</v>
      </c>
      <c r="B176">
        <v>30</v>
      </c>
      <c r="C176" t="s">
        <v>174</v>
      </c>
      <c r="D176" s="13" t="s">
        <v>913</v>
      </c>
      <c r="E176" s="1">
        <v>-1.1325700000000001</v>
      </c>
      <c r="F176" s="1">
        <v>-2.25813</v>
      </c>
      <c r="G176" s="1">
        <v>-1.2276866196271701</v>
      </c>
      <c r="H176" s="1">
        <v>-2.3670877423496499</v>
      </c>
      <c r="I176">
        <f>VLOOKUP(C176,'[1]phenotypes-895'!$A$2:$G$896,7,FALSE)</f>
        <v>75</v>
      </c>
    </row>
    <row r="177" spans="1:9" x14ac:dyDescent="0.2">
      <c r="A177">
        <v>176</v>
      </c>
      <c r="B177">
        <v>4</v>
      </c>
      <c r="C177" t="s">
        <v>175</v>
      </c>
      <c r="D177" s="12" t="s">
        <v>913</v>
      </c>
      <c r="E177" s="1">
        <v>-0.96455299999999999</v>
      </c>
      <c r="F177" s="1">
        <v>-3.7584300000000002</v>
      </c>
      <c r="G177" s="1">
        <v>-0.86910896108024205</v>
      </c>
      <c r="H177" s="1">
        <v>-3.6443071632163599</v>
      </c>
      <c r="I177">
        <f>VLOOKUP(C177,'[1]phenotypes-895'!$A$2:$G$896,7,FALSE)</f>
        <v>98</v>
      </c>
    </row>
    <row r="178" spans="1:9" x14ac:dyDescent="0.2">
      <c r="A178">
        <v>177</v>
      </c>
      <c r="B178">
        <v>49</v>
      </c>
      <c r="C178" t="s">
        <v>176</v>
      </c>
      <c r="D178" s="13" t="s">
        <v>912</v>
      </c>
      <c r="E178" s="1">
        <v>0.90381299999999998</v>
      </c>
      <c r="F178" s="1">
        <v>2.5099800000000001</v>
      </c>
      <c r="G178" s="1">
        <v>0.91202893122931294</v>
      </c>
      <c r="H178" s="1">
        <v>2.5225582844330998</v>
      </c>
      <c r="I178">
        <f>VLOOKUP(C178,'[1]phenotypes-895'!$A$2:$G$896,7,FALSE)</f>
        <v>98</v>
      </c>
    </row>
    <row r="179" spans="1:9" x14ac:dyDescent="0.2">
      <c r="A179">
        <v>178</v>
      </c>
      <c r="B179">
        <v>18</v>
      </c>
      <c r="C179" t="s">
        <v>177</v>
      </c>
      <c r="D179" s="12" t="s">
        <v>912</v>
      </c>
      <c r="E179" s="1">
        <v>0.67810999999999999</v>
      </c>
      <c r="F179" s="1">
        <v>1.42652</v>
      </c>
      <c r="G179" s="1">
        <v>0.662974687279553</v>
      </c>
      <c r="H179" s="1">
        <v>1.44990664276059</v>
      </c>
      <c r="I179">
        <f>VLOOKUP(C179,'[1]phenotypes-895'!$A$2:$G$896,7,FALSE)</f>
        <v>63</v>
      </c>
    </row>
    <row r="180" spans="1:9" x14ac:dyDescent="0.2">
      <c r="A180">
        <v>179</v>
      </c>
      <c r="B180">
        <v>28</v>
      </c>
      <c r="C180" t="s">
        <v>178</v>
      </c>
      <c r="D180" s="13" t="s">
        <v>913</v>
      </c>
      <c r="E180" s="1">
        <v>-5.0795399999999997</v>
      </c>
      <c r="F180" s="1">
        <v>-7.3341599999999998</v>
      </c>
      <c r="G180" s="1">
        <v>-4.9937224676829697</v>
      </c>
      <c r="H180" s="1">
        <v>-7.2436372865992702</v>
      </c>
      <c r="I180">
        <f>VLOOKUP(C180,'[1]phenotypes-895'!$A$2:$G$896,7,FALSE)</f>
        <v>98</v>
      </c>
    </row>
    <row r="181" spans="1:9" x14ac:dyDescent="0.2">
      <c r="A181">
        <v>180</v>
      </c>
      <c r="B181">
        <v>11</v>
      </c>
      <c r="C181" t="s">
        <v>179</v>
      </c>
      <c r="D181" s="12" t="s">
        <v>912</v>
      </c>
      <c r="E181" s="1">
        <v>-4.1696799999999996</v>
      </c>
      <c r="F181" s="1">
        <v>-3.4152</v>
      </c>
      <c r="G181" s="1">
        <v>-4.1573061762636101</v>
      </c>
      <c r="H181" s="1">
        <v>-3.3960409217170402</v>
      </c>
      <c r="I181">
        <f>VLOOKUP(C181,'[1]phenotypes-895'!$A$2:$G$896,7,FALSE)</f>
        <v>66</v>
      </c>
    </row>
    <row r="182" spans="1:9" x14ac:dyDescent="0.2">
      <c r="A182">
        <v>181</v>
      </c>
      <c r="B182">
        <v>3</v>
      </c>
      <c r="C182" t="s">
        <v>180</v>
      </c>
      <c r="D182" s="12" t="s">
        <v>913</v>
      </c>
      <c r="E182" s="1">
        <v>-3.3639999999999999</v>
      </c>
      <c r="F182" s="1">
        <v>-5.8007200000000001</v>
      </c>
      <c r="G182" s="1">
        <v>-3.2957257702345499</v>
      </c>
      <c r="H182" s="1">
        <v>-5.7237931489069798</v>
      </c>
      <c r="I182">
        <f>VLOOKUP(C182,'[1]phenotypes-895'!$A$2:$G$896,7,FALSE)</f>
        <v>66</v>
      </c>
    </row>
    <row r="183" spans="1:9" x14ac:dyDescent="0.2">
      <c r="A183">
        <v>182</v>
      </c>
      <c r="B183">
        <v>10</v>
      </c>
      <c r="C183" t="s">
        <v>181</v>
      </c>
      <c r="D183" s="12" t="s">
        <v>912</v>
      </c>
      <c r="E183" s="1">
        <v>-2.8387199999999999</v>
      </c>
      <c r="F183" s="1">
        <v>-3.1932499999999999</v>
      </c>
      <c r="G183" s="1">
        <v>-2.9051674263562601</v>
      </c>
      <c r="H183" s="1">
        <v>-3.2699277350207101</v>
      </c>
      <c r="I183">
        <f>VLOOKUP(C183,'[1]phenotypes-895'!$A$2:$G$896,7,FALSE)</f>
        <v>54</v>
      </c>
    </row>
    <row r="184" spans="1:9" x14ac:dyDescent="0.2">
      <c r="A184">
        <v>183</v>
      </c>
      <c r="B184">
        <v>3</v>
      </c>
      <c r="C184" t="s">
        <v>182</v>
      </c>
      <c r="D184" s="12" t="s">
        <v>913</v>
      </c>
      <c r="E184" s="1">
        <v>-2.99031</v>
      </c>
      <c r="F184" s="1">
        <v>-6.0247200000000003</v>
      </c>
      <c r="G184" s="1">
        <v>-2.9262794902818898</v>
      </c>
      <c r="H184" s="1">
        <v>-5.9562006603098601</v>
      </c>
      <c r="I184">
        <f>VLOOKUP(C184,'[1]phenotypes-895'!$A$2:$G$896,7,FALSE)</f>
        <v>53</v>
      </c>
    </row>
    <row r="185" spans="1:9" x14ac:dyDescent="0.2">
      <c r="A185">
        <v>184</v>
      </c>
      <c r="B185">
        <v>6</v>
      </c>
      <c r="C185" t="s">
        <v>183</v>
      </c>
      <c r="D185" s="12" t="s">
        <v>913</v>
      </c>
      <c r="E185" s="1">
        <v>-2.07972</v>
      </c>
      <c r="F185" s="1">
        <v>-4.5597000000000003</v>
      </c>
      <c r="G185" s="1">
        <v>-2.1353180312781599</v>
      </c>
      <c r="H185" s="1">
        <v>-4.6323074090826104</v>
      </c>
      <c r="I185">
        <f>VLOOKUP(C185,'[1]phenotypes-895'!$A$2:$G$896,7,FALSE)</f>
        <v>62</v>
      </c>
    </row>
    <row r="186" spans="1:9" x14ac:dyDescent="0.2">
      <c r="A186">
        <v>185</v>
      </c>
      <c r="B186">
        <v>11</v>
      </c>
      <c r="C186" t="s">
        <v>184</v>
      </c>
      <c r="D186" s="12" t="s">
        <v>912</v>
      </c>
      <c r="E186" s="1">
        <v>-7.2357100000000001</v>
      </c>
      <c r="F186" s="1">
        <v>-7.3610600000000002</v>
      </c>
      <c r="G186" s="1">
        <v>-7.1333966927816403</v>
      </c>
      <c r="H186" s="1">
        <v>-7.2568778469574902</v>
      </c>
      <c r="I186">
        <f>VLOOKUP(C186,'[1]phenotypes-895'!$A$2:$G$896,7,FALSE)</f>
        <v>66</v>
      </c>
    </row>
    <row r="187" spans="1:9" x14ac:dyDescent="0.2">
      <c r="A187">
        <v>186</v>
      </c>
      <c r="B187">
        <v>5</v>
      </c>
      <c r="C187" t="s">
        <v>185</v>
      </c>
      <c r="D187" s="12" t="s">
        <v>913</v>
      </c>
      <c r="E187" s="1">
        <v>-6.4153900000000004</v>
      </c>
      <c r="F187" s="1">
        <v>-9.2906300000000002</v>
      </c>
      <c r="G187" s="1">
        <v>-6.4462316325381304</v>
      </c>
      <c r="H187" s="1">
        <v>-9.3369103770697706</v>
      </c>
      <c r="I187">
        <f>VLOOKUP(C187,'[1]phenotypes-895'!$A$2:$G$896,7,FALSE)</f>
        <v>55</v>
      </c>
    </row>
    <row r="188" spans="1:9" x14ac:dyDescent="0.2">
      <c r="A188">
        <v>187</v>
      </c>
      <c r="B188">
        <v>13</v>
      </c>
      <c r="C188" t="s">
        <v>186</v>
      </c>
      <c r="D188" s="12" t="s">
        <v>912</v>
      </c>
      <c r="E188" s="1">
        <v>-3.59755</v>
      </c>
      <c r="F188" s="1">
        <v>-3.5092500000000002</v>
      </c>
      <c r="G188" s="1">
        <v>-3.5489909104883899</v>
      </c>
      <c r="H188" s="1">
        <v>-3.4633959162306498</v>
      </c>
      <c r="I188">
        <f>VLOOKUP(C188,'[1]phenotypes-895'!$A$2:$G$896,7,FALSE)</f>
        <v>64</v>
      </c>
    </row>
    <row r="189" spans="1:9" x14ac:dyDescent="0.2">
      <c r="A189">
        <v>188</v>
      </c>
      <c r="B189">
        <v>14</v>
      </c>
      <c r="C189" t="s">
        <v>187</v>
      </c>
      <c r="D189" s="12" t="s">
        <v>912</v>
      </c>
      <c r="E189" s="1">
        <v>0.47311500000000001</v>
      </c>
      <c r="F189" s="1">
        <v>0.50424199999999997</v>
      </c>
      <c r="G189" s="1">
        <v>0.50107034370156001</v>
      </c>
      <c r="H189" s="1">
        <v>0.53705034316550204</v>
      </c>
      <c r="I189">
        <f>VLOOKUP(C189,'[1]phenotypes-895'!$A$2:$G$896,7,FALSE)</f>
        <v>69</v>
      </c>
    </row>
    <row r="190" spans="1:9" x14ac:dyDescent="0.2">
      <c r="A190">
        <v>189</v>
      </c>
      <c r="B190">
        <v>16</v>
      </c>
      <c r="C190" t="s">
        <v>188</v>
      </c>
      <c r="D190" s="12" t="s">
        <v>912</v>
      </c>
      <c r="E190" s="1">
        <v>-11.9991</v>
      </c>
      <c r="F190" s="1">
        <v>-12.127599999999999</v>
      </c>
      <c r="G190" s="1">
        <v>-11.909958140818301</v>
      </c>
      <c r="H190" s="1">
        <v>-12.0442913914397</v>
      </c>
      <c r="I190">
        <f>VLOOKUP(C190,'[1]phenotypes-895'!$A$2:$G$896,7,FALSE)</f>
        <v>49</v>
      </c>
    </row>
    <row r="191" spans="1:9" x14ac:dyDescent="0.2">
      <c r="A191">
        <v>190</v>
      </c>
      <c r="B191">
        <v>3</v>
      </c>
      <c r="C191" t="s">
        <v>189</v>
      </c>
      <c r="D191" s="12" t="s">
        <v>913</v>
      </c>
      <c r="E191" s="1">
        <v>-4.6829999999999998</v>
      </c>
      <c r="F191" s="1">
        <v>-7.1991300000000003</v>
      </c>
      <c r="G191" s="1">
        <v>-4.5817984211304603</v>
      </c>
      <c r="H191" s="1">
        <v>-7.08313182598053</v>
      </c>
      <c r="I191">
        <f>VLOOKUP(C191,'[1]phenotypes-895'!$A$2:$G$896,7,FALSE)</f>
        <v>62</v>
      </c>
    </row>
    <row r="192" spans="1:9" x14ac:dyDescent="0.2">
      <c r="A192">
        <v>191</v>
      </c>
      <c r="B192">
        <v>6</v>
      </c>
      <c r="C192" t="s">
        <v>190</v>
      </c>
      <c r="D192" s="12" t="s">
        <v>913</v>
      </c>
      <c r="E192" s="1">
        <v>-4.0573199999999998</v>
      </c>
      <c r="F192" s="1">
        <v>-6.1722599999999996</v>
      </c>
      <c r="G192" s="1">
        <v>-3.9988202485955999</v>
      </c>
      <c r="H192" s="1">
        <v>-6.1139181417801103</v>
      </c>
      <c r="I192">
        <f>VLOOKUP(C192,'[1]phenotypes-895'!$A$2:$G$896,7,FALSE)</f>
        <v>56</v>
      </c>
    </row>
    <row r="193" spans="1:9" x14ac:dyDescent="0.2">
      <c r="A193">
        <v>192</v>
      </c>
      <c r="B193">
        <v>8</v>
      </c>
      <c r="C193" t="s">
        <v>191</v>
      </c>
      <c r="D193" s="12" t="s">
        <v>913</v>
      </c>
      <c r="E193" s="1">
        <v>5.3704999999999998</v>
      </c>
      <c r="F193" s="1">
        <v>3.79203</v>
      </c>
      <c r="G193" s="1">
        <v>5.3654454431926899</v>
      </c>
      <c r="H193" s="1">
        <v>3.7841538999398701</v>
      </c>
      <c r="I193">
        <f>VLOOKUP(C193,'[1]phenotypes-895'!$A$2:$G$896,7,FALSE)</f>
        <v>98</v>
      </c>
    </row>
    <row r="194" spans="1:9" x14ac:dyDescent="0.2">
      <c r="A194">
        <v>193</v>
      </c>
      <c r="B194">
        <v>6</v>
      </c>
      <c r="C194" t="s">
        <v>192</v>
      </c>
      <c r="D194" s="12" t="s">
        <v>913</v>
      </c>
      <c r="E194" s="1">
        <v>0.73292900000000005</v>
      </c>
      <c r="F194" s="1">
        <v>-1.2504</v>
      </c>
      <c r="G194" s="1">
        <v>0.83327672196148095</v>
      </c>
      <c r="H194" s="1">
        <v>-1.1295198007021401</v>
      </c>
      <c r="I194">
        <f>VLOOKUP(C194,'[1]phenotypes-895'!$A$2:$G$896,7,FALSE)</f>
        <v>98</v>
      </c>
    </row>
    <row r="195" spans="1:9" x14ac:dyDescent="0.2">
      <c r="A195">
        <v>194</v>
      </c>
      <c r="B195">
        <v>4</v>
      </c>
      <c r="C195" t="s">
        <v>193</v>
      </c>
      <c r="D195" s="12" t="s">
        <v>913</v>
      </c>
      <c r="E195" s="1">
        <v>-2.5028800000000002</v>
      </c>
      <c r="F195" s="1">
        <v>-5.1796499999999996</v>
      </c>
      <c r="G195" s="1">
        <v>-2.5878310804501901</v>
      </c>
      <c r="H195" s="1">
        <v>-5.2788545536049503</v>
      </c>
      <c r="I195">
        <f>VLOOKUP(C195,'[1]phenotypes-895'!$A$2:$G$896,7,FALSE)</f>
        <v>61</v>
      </c>
    </row>
    <row r="196" spans="1:9" x14ac:dyDescent="0.2">
      <c r="A196">
        <v>195</v>
      </c>
      <c r="B196">
        <v>16</v>
      </c>
      <c r="C196" t="s">
        <v>194</v>
      </c>
      <c r="D196" s="12" t="s">
        <v>912</v>
      </c>
      <c r="E196" s="1">
        <v>-5.9783900000000001</v>
      </c>
      <c r="F196" s="1">
        <v>-6.5919400000000001</v>
      </c>
      <c r="G196" s="1">
        <v>-5.9806084868468803</v>
      </c>
      <c r="H196" s="1">
        <v>-6.5848074261404896</v>
      </c>
      <c r="I196">
        <f>VLOOKUP(C196,'[1]phenotypes-895'!$A$2:$G$896,7,FALSE)</f>
        <v>76</v>
      </c>
    </row>
    <row r="197" spans="1:9" x14ac:dyDescent="0.2">
      <c r="A197">
        <v>196</v>
      </c>
      <c r="B197">
        <v>5</v>
      </c>
      <c r="C197" t="s">
        <v>195</v>
      </c>
      <c r="D197" s="12" t="s">
        <v>913</v>
      </c>
      <c r="E197" s="1">
        <v>-9.5664599999999993</v>
      </c>
      <c r="F197" s="1">
        <v>-12.830299999999999</v>
      </c>
      <c r="G197" s="1">
        <v>-9.6379303317110594</v>
      </c>
      <c r="H197" s="1">
        <v>-12.932592100325399</v>
      </c>
      <c r="I197">
        <f>VLOOKUP(C197,'[1]phenotypes-895'!$A$2:$G$896,7,FALSE)</f>
        <v>55</v>
      </c>
    </row>
    <row r="198" spans="1:9" x14ac:dyDescent="0.2">
      <c r="A198">
        <v>197</v>
      </c>
      <c r="B198">
        <v>6</v>
      </c>
      <c r="C198" t="s">
        <v>196</v>
      </c>
      <c r="D198" s="12" t="s">
        <v>913</v>
      </c>
      <c r="E198" s="1">
        <v>-0.16858400000000001</v>
      </c>
      <c r="F198" s="1">
        <v>-2.3386300000000002</v>
      </c>
      <c r="G198" s="1">
        <v>-0.14850148196802501</v>
      </c>
      <c r="H198" s="1">
        <v>-2.2933775707008599</v>
      </c>
      <c r="I198">
        <f>VLOOKUP(C198,'[1]phenotypes-895'!$A$2:$G$896,7,FALSE)</f>
        <v>98</v>
      </c>
    </row>
    <row r="199" spans="1:9" x14ac:dyDescent="0.2">
      <c r="A199">
        <v>198</v>
      </c>
      <c r="B199">
        <v>19</v>
      </c>
      <c r="C199" t="s">
        <v>197</v>
      </c>
      <c r="D199" s="12" t="s">
        <v>912</v>
      </c>
      <c r="E199" s="1">
        <v>-10.409599999999999</v>
      </c>
      <c r="F199" s="1">
        <v>-10.5075</v>
      </c>
      <c r="G199" s="1">
        <v>-10.4581553848332</v>
      </c>
      <c r="H199" s="1">
        <v>-10.565097944035299</v>
      </c>
      <c r="I199">
        <f>VLOOKUP(C199,'[1]phenotypes-895'!$A$2:$G$896,7,FALSE)</f>
        <v>51</v>
      </c>
    </row>
    <row r="200" spans="1:9" x14ac:dyDescent="0.2">
      <c r="A200">
        <v>199</v>
      </c>
      <c r="B200">
        <v>3</v>
      </c>
      <c r="C200" t="s">
        <v>198</v>
      </c>
      <c r="D200" s="12" t="s">
        <v>913</v>
      </c>
      <c r="E200" s="1">
        <v>-0.28478799999999999</v>
      </c>
      <c r="F200" s="1">
        <v>-2.40801</v>
      </c>
      <c r="G200" s="1">
        <v>-0.258335863109731</v>
      </c>
      <c r="H200" s="1">
        <v>-2.3766914415186999</v>
      </c>
      <c r="I200">
        <f>VLOOKUP(C200,'[1]phenotypes-895'!$A$2:$G$896,7,FALSE)</f>
        <v>98</v>
      </c>
    </row>
    <row r="201" spans="1:9" x14ac:dyDescent="0.2">
      <c r="A201">
        <v>200</v>
      </c>
      <c r="B201">
        <v>13</v>
      </c>
      <c r="C201" t="s">
        <v>199</v>
      </c>
      <c r="D201" s="12" t="s">
        <v>912</v>
      </c>
      <c r="E201" s="1">
        <v>-6.80227</v>
      </c>
      <c r="F201" s="1">
        <v>-6.8887400000000003</v>
      </c>
      <c r="G201" s="1">
        <v>-6.8532648190852399</v>
      </c>
      <c r="H201" s="1">
        <v>-6.9407866102229896</v>
      </c>
      <c r="I201">
        <f>VLOOKUP(C201,'[1]phenotypes-895'!$A$2:$G$896,7,FALSE)</f>
        <v>50</v>
      </c>
    </row>
    <row r="202" spans="1:9" x14ac:dyDescent="0.2">
      <c r="A202">
        <v>201</v>
      </c>
      <c r="B202">
        <v>18</v>
      </c>
      <c r="C202" t="s">
        <v>200</v>
      </c>
      <c r="D202" s="12" t="s">
        <v>912</v>
      </c>
      <c r="E202" s="1">
        <v>-2.5514600000000001</v>
      </c>
      <c r="F202" s="1">
        <v>-1.34758</v>
      </c>
      <c r="G202" s="1">
        <v>-2.5202138135149998</v>
      </c>
      <c r="H202" s="1">
        <v>-1.32087072062179</v>
      </c>
      <c r="I202">
        <f>VLOOKUP(C202,'[1]phenotypes-895'!$A$2:$G$896,7,FALSE)</f>
        <v>65</v>
      </c>
    </row>
    <row r="203" spans="1:9" x14ac:dyDescent="0.2">
      <c r="A203">
        <v>202</v>
      </c>
      <c r="B203">
        <v>11</v>
      </c>
      <c r="C203" t="s">
        <v>201</v>
      </c>
      <c r="D203" s="12" t="s">
        <v>912</v>
      </c>
      <c r="E203" s="1">
        <v>-0.89275199999999999</v>
      </c>
      <c r="F203" s="1">
        <v>-1.0970899999999999</v>
      </c>
      <c r="G203" s="1">
        <v>-0.91937699416309304</v>
      </c>
      <c r="H203" s="1">
        <v>-1.12981271605974</v>
      </c>
      <c r="I203">
        <f>VLOOKUP(C203,'[1]phenotypes-895'!$A$2:$G$896,7,FALSE)</f>
        <v>65</v>
      </c>
    </row>
    <row r="204" spans="1:9" x14ac:dyDescent="0.2">
      <c r="A204">
        <v>203</v>
      </c>
      <c r="B204">
        <v>8</v>
      </c>
      <c r="C204" t="s">
        <v>202</v>
      </c>
      <c r="D204" s="12" t="s">
        <v>913</v>
      </c>
      <c r="E204" s="1">
        <v>3.9597000000000002</v>
      </c>
      <c r="F204" s="1">
        <v>2.7799200000000002</v>
      </c>
      <c r="G204" s="1">
        <v>3.94711222504489</v>
      </c>
      <c r="H204" s="1">
        <v>2.7598553190367401</v>
      </c>
      <c r="I204">
        <f>VLOOKUP(C204,'[1]phenotypes-895'!$A$2:$G$896,7,FALSE)</f>
        <v>76</v>
      </c>
    </row>
    <row r="205" spans="1:9" x14ac:dyDescent="0.2">
      <c r="A205">
        <v>204</v>
      </c>
      <c r="B205">
        <v>17</v>
      </c>
      <c r="C205" t="s">
        <v>203</v>
      </c>
      <c r="D205" s="12" t="s">
        <v>912</v>
      </c>
      <c r="E205" s="1">
        <v>-7.5691199999999998</v>
      </c>
      <c r="F205" s="1">
        <v>-7.6081500000000002</v>
      </c>
      <c r="G205" s="1">
        <v>-7.5126636403011604</v>
      </c>
      <c r="H205" s="1">
        <v>-7.5679348336816599</v>
      </c>
      <c r="I205">
        <f>VLOOKUP(C205,'[1]phenotypes-895'!$A$2:$G$896,7,FALSE)</f>
        <v>43</v>
      </c>
    </row>
    <row r="206" spans="1:9" x14ac:dyDescent="0.2">
      <c r="A206">
        <v>205</v>
      </c>
      <c r="B206">
        <v>11</v>
      </c>
      <c r="C206" t="s">
        <v>204</v>
      </c>
      <c r="D206" s="12" t="s">
        <v>912</v>
      </c>
      <c r="E206" s="1">
        <v>-2.8294700000000002</v>
      </c>
      <c r="F206" s="1">
        <v>-1.9786900000000001</v>
      </c>
      <c r="G206" s="1">
        <v>-2.8534588689351801</v>
      </c>
      <c r="H206" s="1">
        <v>-2.00437659281741</v>
      </c>
      <c r="I206">
        <f>VLOOKUP(C206,'[1]phenotypes-895'!$A$2:$G$896,7,FALSE)</f>
        <v>65</v>
      </c>
    </row>
    <row r="207" spans="1:9" x14ac:dyDescent="0.2">
      <c r="A207">
        <v>206</v>
      </c>
      <c r="B207">
        <v>36</v>
      </c>
      <c r="C207" t="s">
        <v>205</v>
      </c>
      <c r="D207" s="13" t="s">
        <v>913</v>
      </c>
      <c r="E207" s="1">
        <v>2.34782</v>
      </c>
      <c r="F207" s="1">
        <v>2.20933</v>
      </c>
      <c r="G207" s="1">
        <v>2.4219476680703198</v>
      </c>
      <c r="H207" s="1">
        <v>2.2871438462702001</v>
      </c>
      <c r="I207">
        <f>VLOOKUP(C207,'[1]phenotypes-895'!$A$2:$G$896,7,FALSE)</f>
        <v>58</v>
      </c>
    </row>
    <row r="208" spans="1:9" x14ac:dyDescent="0.2">
      <c r="A208">
        <v>207</v>
      </c>
      <c r="B208">
        <v>3</v>
      </c>
      <c r="C208" t="s">
        <v>206</v>
      </c>
      <c r="D208" s="12" t="s">
        <v>913</v>
      </c>
      <c r="E208" s="1">
        <v>-2.4140799999999998</v>
      </c>
      <c r="F208" s="1">
        <v>-4.7689399999999997</v>
      </c>
      <c r="G208" s="1">
        <v>-2.4771073766674001</v>
      </c>
      <c r="H208" s="1">
        <v>-4.8439167564618</v>
      </c>
      <c r="I208">
        <f>VLOOKUP(C208,'[1]phenotypes-895'!$A$2:$G$896,7,FALSE)</f>
        <v>65</v>
      </c>
    </row>
    <row r="209" spans="1:9" x14ac:dyDescent="0.2">
      <c r="A209">
        <v>208</v>
      </c>
      <c r="B209">
        <v>52</v>
      </c>
      <c r="C209" t="s">
        <v>207</v>
      </c>
      <c r="D209" s="13" t="s">
        <v>912</v>
      </c>
      <c r="E209" s="1">
        <v>-2.34951</v>
      </c>
      <c r="F209" s="1">
        <v>-0.25581999999999999</v>
      </c>
      <c r="G209" s="1">
        <v>-2.1736551864828999</v>
      </c>
      <c r="H209" s="1">
        <v>-0.104800660606141</v>
      </c>
      <c r="I209">
        <f>VLOOKUP(C209,'[1]phenotypes-895'!$A$2:$G$896,7,FALSE)</f>
        <v>57</v>
      </c>
    </row>
    <row r="210" spans="1:9" x14ac:dyDescent="0.2">
      <c r="A210">
        <v>209</v>
      </c>
      <c r="B210">
        <v>2</v>
      </c>
      <c r="C210" t="s">
        <v>208</v>
      </c>
      <c r="D210" s="12" t="s">
        <v>913</v>
      </c>
      <c r="E210" s="1">
        <v>9.8401599999999991</v>
      </c>
      <c r="F210" s="1">
        <v>10.6835</v>
      </c>
      <c r="G210" s="1">
        <v>9.8155225209163603</v>
      </c>
      <c r="H210" s="1">
        <v>10.6693736208267</v>
      </c>
      <c r="I210">
        <f>VLOOKUP(C210,'[1]phenotypes-895'!$A$2:$G$896,7,FALSE)</f>
        <v>98</v>
      </c>
    </row>
    <row r="211" spans="1:9" x14ac:dyDescent="0.2">
      <c r="A211">
        <v>210</v>
      </c>
      <c r="B211">
        <v>50</v>
      </c>
      <c r="C211" t="s">
        <v>209</v>
      </c>
      <c r="D211" s="13" t="s">
        <v>912</v>
      </c>
      <c r="E211" s="1">
        <v>2.1797599999999999</v>
      </c>
      <c r="F211" s="1">
        <v>4.8202499999999997</v>
      </c>
      <c r="G211" s="1">
        <v>2.2805770274966801</v>
      </c>
      <c r="H211" s="1">
        <v>4.9127488212208901</v>
      </c>
      <c r="I211">
        <f>VLOOKUP(C211,'[1]phenotypes-895'!$A$2:$G$896,7,FALSE)</f>
        <v>74</v>
      </c>
    </row>
    <row r="212" spans="1:9" x14ac:dyDescent="0.2">
      <c r="A212">
        <v>211</v>
      </c>
      <c r="B212">
        <v>9</v>
      </c>
      <c r="C212" t="s">
        <v>210</v>
      </c>
      <c r="D212" s="12" t="s">
        <v>912</v>
      </c>
      <c r="E212" s="1">
        <v>-6.8882500000000002</v>
      </c>
      <c r="F212" s="1">
        <v>-7.9416000000000002</v>
      </c>
      <c r="G212" s="1">
        <v>-6.7487626982017597</v>
      </c>
      <c r="H212" s="1">
        <v>-7.7965027821703101</v>
      </c>
      <c r="I212">
        <f>VLOOKUP(C212,'[1]phenotypes-895'!$A$2:$G$896,7,FALSE)</f>
        <v>56</v>
      </c>
    </row>
    <row r="213" spans="1:9" x14ac:dyDescent="0.2">
      <c r="A213">
        <v>212</v>
      </c>
      <c r="B213">
        <v>50</v>
      </c>
      <c r="C213" t="s">
        <v>211</v>
      </c>
      <c r="D213" s="13" t="s">
        <v>912</v>
      </c>
      <c r="E213" s="1">
        <v>-0.153749</v>
      </c>
      <c r="F213" s="1">
        <v>2.24491</v>
      </c>
      <c r="G213" s="1">
        <v>-6.4654620874288596E-2</v>
      </c>
      <c r="H213" s="1">
        <v>2.3399755720358502</v>
      </c>
      <c r="I213">
        <f>VLOOKUP(C213,'[1]phenotypes-895'!$A$2:$G$896,7,FALSE)</f>
        <v>59</v>
      </c>
    </row>
    <row r="214" spans="1:9" x14ac:dyDescent="0.2">
      <c r="A214">
        <v>213</v>
      </c>
      <c r="B214">
        <v>5</v>
      </c>
      <c r="C214" t="s">
        <v>212</v>
      </c>
      <c r="D214" s="12" t="s">
        <v>913</v>
      </c>
      <c r="E214" s="1">
        <v>-7.1970999999999998</v>
      </c>
      <c r="F214" s="1">
        <v>-9.8712599999999995</v>
      </c>
      <c r="G214" s="1">
        <v>-7.2657962800628599</v>
      </c>
      <c r="H214" s="1">
        <v>-9.9603945426447602</v>
      </c>
      <c r="I214">
        <f>VLOOKUP(C214,'[1]phenotypes-895'!$A$2:$G$896,7,FALSE)</f>
        <v>65</v>
      </c>
    </row>
    <row r="215" spans="1:9" x14ac:dyDescent="0.2">
      <c r="A215">
        <v>214</v>
      </c>
      <c r="B215">
        <v>54</v>
      </c>
      <c r="C215" t="s">
        <v>213</v>
      </c>
      <c r="D215" s="13" t="s">
        <v>912</v>
      </c>
      <c r="E215" s="1">
        <v>-2.12568</v>
      </c>
      <c r="F215" s="1">
        <v>-0.37823400000000001</v>
      </c>
      <c r="G215" s="1">
        <v>-1.95925819392556</v>
      </c>
      <c r="H215" s="1">
        <v>-0.21254033914017101</v>
      </c>
      <c r="I215">
        <f>VLOOKUP(C215,'[1]phenotypes-895'!$A$2:$G$896,7,FALSE)</f>
        <v>70</v>
      </c>
    </row>
    <row r="216" spans="1:9" x14ac:dyDescent="0.2">
      <c r="A216">
        <v>215</v>
      </c>
      <c r="B216">
        <v>7</v>
      </c>
      <c r="C216" t="s">
        <v>214</v>
      </c>
      <c r="D216" s="12" t="s">
        <v>913</v>
      </c>
      <c r="E216" s="1">
        <v>2.2986499999999999</v>
      </c>
      <c r="F216" s="1">
        <v>0.64664699999999997</v>
      </c>
      <c r="G216" s="1">
        <v>2.3411176263536801</v>
      </c>
      <c r="H216" s="1">
        <v>0.68853101170255304</v>
      </c>
      <c r="I216">
        <f>VLOOKUP(C216,'[1]phenotypes-895'!$A$2:$G$896,7,FALSE)</f>
        <v>98</v>
      </c>
    </row>
    <row r="217" spans="1:9" x14ac:dyDescent="0.2">
      <c r="A217">
        <v>216</v>
      </c>
      <c r="B217">
        <v>44</v>
      </c>
      <c r="C217" t="s">
        <v>215</v>
      </c>
      <c r="D217" s="13" t="s">
        <v>912</v>
      </c>
      <c r="E217" s="1">
        <v>2.2294700000000001</v>
      </c>
      <c r="F217" s="1">
        <v>4.1753</v>
      </c>
      <c r="G217" s="1">
        <v>2.2468457349944502</v>
      </c>
      <c r="H217" s="1">
        <v>4.1905079532218803</v>
      </c>
      <c r="I217">
        <f>VLOOKUP(C217,'[1]phenotypes-895'!$A$2:$G$896,7,FALSE)</f>
        <v>62</v>
      </c>
    </row>
    <row r="218" spans="1:9" x14ac:dyDescent="0.2">
      <c r="A218">
        <v>217</v>
      </c>
      <c r="B218">
        <v>12</v>
      </c>
      <c r="C218" t="s">
        <v>216</v>
      </c>
      <c r="D218" s="12" t="s">
        <v>912</v>
      </c>
      <c r="E218" s="1">
        <v>-1.8183800000000001</v>
      </c>
      <c r="F218" s="1">
        <v>-0.52427100000000004</v>
      </c>
      <c r="G218" s="1">
        <v>-1.8434689878928801</v>
      </c>
      <c r="H218" s="1">
        <v>-0.54847317316451105</v>
      </c>
      <c r="I218">
        <f>VLOOKUP(C218,'[1]phenotypes-895'!$A$2:$G$896,7,FALSE)</f>
        <v>63</v>
      </c>
    </row>
    <row r="219" spans="1:9" x14ac:dyDescent="0.2">
      <c r="A219">
        <v>218</v>
      </c>
      <c r="B219">
        <v>49</v>
      </c>
      <c r="C219" t="s">
        <v>217</v>
      </c>
      <c r="D219" s="13" t="s">
        <v>912</v>
      </c>
      <c r="E219" s="1">
        <v>-2.3334700000000002</v>
      </c>
      <c r="F219" s="1">
        <v>-0.11284</v>
      </c>
      <c r="G219" s="1">
        <v>-2.20315421064603</v>
      </c>
      <c r="H219" s="1">
        <v>2.3437575272053299E-3</v>
      </c>
      <c r="I219">
        <f>VLOOKUP(C219,'[1]phenotypes-895'!$A$2:$G$896,7,FALSE)</f>
        <v>54</v>
      </c>
    </row>
    <row r="220" spans="1:9" x14ac:dyDescent="0.2">
      <c r="A220">
        <v>219</v>
      </c>
      <c r="B220">
        <v>1</v>
      </c>
      <c r="C220" t="s">
        <v>218</v>
      </c>
      <c r="D220" s="12" t="s">
        <v>913</v>
      </c>
      <c r="E220" s="1">
        <v>-1.50759</v>
      </c>
      <c r="F220" s="1">
        <v>-2.7044899999999998</v>
      </c>
      <c r="G220" s="1">
        <v>-1.5384256887422201</v>
      </c>
      <c r="H220" s="1">
        <v>-2.7376342025459302</v>
      </c>
      <c r="I220">
        <f>VLOOKUP(C220,'[1]phenotypes-895'!$A$2:$G$896,7,FALSE)</f>
        <v>98</v>
      </c>
    </row>
    <row r="221" spans="1:9" x14ac:dyDescent="0.2">
      <c r="A221">
        <v>220</v>
      </c>
      <c r="B221">
        <v>50</v>
      </c>
      <c r="C221" t="s">
        <v>219</v>
      </c>
      <c r="D221" s="13" t="s">
        <v>912</v>
      </c>
      <c r="E221" s="1">
        <v>-0.741645</v>
      </c>
      <c r="F221" s="1">
        <v>1.71407</v>
      </c>
      <c r="G221" s="1">
        <v>-0.61157883581012795</v>
      </c>
      <c r="H221" s="1">
        <v>1.8391569843487601</v>
      </c>
      <c r="I221">
        <f>VLOOKUP(C221,'[1]phenotypes-895'!$A$2:$G$896,7,FALSE)</f>
        <v>98</v>
      </c>
    </row>
    <row r="222" spans="1:9" x14ac:dyDescent="0.2">
      <c r="A222">
        <v>221</v>
      </c>
      <c r="B222">
        <v>11</v>
      </c>
      <c r="C222" t="s">
        <v>220</v>
      </c>
      <c r="D222" s="12" t="s">
        <v>912</v>
      </c>
      <c r="E222" s="1">
        <v>1.9975499999999999</v>
      </c>
      <c r="F222" s="1">
        <v>3.4127999999999998</v>
      </c>
      <c r="G222" s="1">
        <v>1.9391916597639101</v>
      </c>
      <c r="H222" s="1">
        <v>3.3694862663384599</v>
      </c>
      <c r="I222">
        <f>VLOOKUP(C222,'[1]phenotypes-895'!$A$2:$G$896,7,FALSE)</f>
        <v>98</v>
      </c>
    </row>
    <row r="223" spans="1:9" x14ac:dyDescent="0.2">
      <c r="A223">
        <v>222</v>
      </c>
      <c r="B223">
        <v>46</v>
      </c>
      <c r="C223" t="s">
        <v>221</v>
      </c>
      <c r="D223" s="13" t="s">
        <v>912</v>
      </c>
      <c r="E223" s="1">
        <v>-0.93571899999999997</v>
      </c>
      <c r="F223" s="1">
        <v>1.19747</v>
      </c>
      <c r="G223" s="1">
        <v>-0.87485163797086996</v>
      </c>
      <c r="H223" s="1">
        <v>1.2658189926137799</v>
      </c>
      <c r="I223">
        <f>VLOOKUP(C223,'[1]phenotypes-895'!$A$2:$G$896,7,FALSE)</f>
        <v>70</v>
      </c>
    </row>
    <row r="224" spans="1:9" x14ac:dyDescent="0.2">
      <c r="A224">
        <v>223</v>
      </c>
      <c r="B224">
        <v>1</v>
      </c>
      <c r="C224" t="s">
        <v>222</v>
      </c>
      <c r="D224" s="12" t="s">
        <v>913</v>
      </c>
      <c r="E224" s="1">
        <v>0.50379399999999996</v>
      </c>
      <c r="F224" s="1">
        <v>-0.55175200000000002</v>
      </c>
      <c r="G224" s="1">
        <v>0.65435518704986995</v>
      </c>
      <c r="H224" s="1">
        <v>-0.38514438888157398</v>
      </c>
      <c r="I224">
        <f>VLOOKUP(C224,'[1]phenotypes-895'!$A$2:$G$896,7,FALSE)</f>
        <v>98</v>
      </c>
    </row>
    <row r="225" spans="1:9" x14ac:dyDescent="0.2">
      <c r="A225">
        <v>224</v>
      </c>
      <c r="B225">
        <v>31</v>
      </c>
      <c r="C225" t="s">
        <v>223</v>
      </c>
      <c r="D225" s="13" t="s">
        <v>913</v>
      </c>
      <c r="E225" s="1">
        <v>5.10501</v>
      </c>
      <c r="F225" s="1">
        <v>4.8303099999999999</v>
      </c>
      <c r="G225" s="1">
        <v>5.1519190853438603</v>
      </c>
      <c r="H225" s="1">
        <v>4.8789162491468501</v>
      </c>
      <c r="I225">
        <f>VLOOKUP(C225,'[1]phenotypes-895'!$A$2:$G$896,7,FALSE)</f>
        <v>98</v>
      </c>
    </row>
    <row r="226" spans="1:9" x14ac:dyDescent="0.2">
      <c r="A226">
        <v>225</v>
      </c>
      <c r="B226">
        <v>6</v>
      </c>
      <c r="C226" t="s">
        <v>224</v>
      </c>
      <c r="D226" s="12" t="s">
        <v>913</v>
      </c>
      <c r="E226" s="1">
        <v>1.8228899999999999</v>
      </c>
      <c r="F226" s="1">
        <v>-0.54844700000000002</v>
      </c>
      <c r="G226" s="1">
        <v>1.7592126804055299</v>
      </c>
      <c r="H226" s="1">
        <v>-0.62850650035663902</v>
      </c>
      <c r="I226">
        <f>VLOOKUP(C226,'[1]phenotypes-895'!$A$2:$G$896,7,FALSE)</f>
        <v>64</v>
      </c>
    </row>
    <row r="227" spans="1:9" x14ac:dyDescent="0.2">
      <c r="A227">
        <v>226</v>
      </c>
      <c r="B227">
        <v>25</v>
      </c>
      <c r="C227" t="s">
        <v>225</v>
      </c>
      <c r="D227" s="13" t="s">
        <v>913</v>
      </c>
      <c r="E227" s="1">
        <v>5.3461400000000001</v>
      </c>
      <c r="F227" s="1">
        <v>4.2169100000000004</v>
      </c>
      <c r="G227" s="1">
        <v>5.37518509359204</v>
      </c>
      <c r="H227" s="1">
        <v>4.2486771222740698</v>
      </c>
      <c r="I227">
        <f>VLOOKUP(C227,'[1]phenotypes-895'!$A$2:$G$896,7,FALSE)</f>
        <v>98</v>
      </c>
    </row>
    <row r="228" spans="1:9" x14ac:dyDescent="0.2">
      <c r="A228">
        <v>227</v>
      </c>
      <c r="B228">
        <v>8</v>
      </c>
      <c r="C228" t="s">
        <v>226</v>
      </c>
      <c r="D228" s="12" t="s">
        <v>913</v>
      </c>
      <c r="E228" s="1">
        <v>-0.34129500000000002</v>
      </c>
      <c r="F228" s="1">
        <v>-1.5236000000000001</v>
      </c>
      <c r="G228" s="1">
        <v>-0.20632843639131401</v>
      </c>
      <c r="H228" s="1">
        <v>-1.3821497952675601</v>
      </c>
      <c r="I228">
        <f>VLOOKUP(C228,'[1]phenotypes-895'!$A$2:$G$896,7,FALSE)</f>
        <v>98</v>
      </c>
    </row>
    <row r="229" spans="1:9" x14ac:dyDescent="0.2">
      <c r="A229">
        <v>228</v>
      </c>
      <c r="B229">
        <v>4</v>
      </c>
      <c r="C229" t="s">
        <v>227</v>
      </c>
      <c r="D229" s="12" t="s">
        <v>913</v>
      </c>
      <c r="E229" s="1">
        <v>-1.17988</v>
      </c>
      <c r="F229" s="1">
        <v>-2.15524</v>
      </c>
      <c r="G229" s="1">
        <v>-1.20802482379972</v>
      </c>
      <c r="H229" s="1">
        <v>-2.1914717774996699</v>
      </c>
      <c r="I229">
        <f>VLOOKUP(C229,'[1]phenotypes-895'!$A$2:$G$896,7,FALSE)</f>
        <v>80</v>
      </c>
    </row>
    <row r="230" spans="1:9" x14ac:dyDescent="0.2">
      <c r="A230">
        <v>229</v>
      </c>
      <c r="B230">
        <v>15</v>
      </c>
      <c r="C230" t="s">
        <v>228</v>
      </c>
      <c r="D230" s="12" t="s">
        <v>912</v>
      </c>
      <c r="E230" s="1">
        <v>-10.5762</v>
      </c>
      <c r="F230" s="1">
        <v>-11.6564</v>
      </c>
      <c r="G230" s="1">
        <v>-10.441750307938999</v>
      </c>
      <c r="H230" s="1">
        <v>-11.5111141998443</v>
      </c>
      <c r="I230">
        <f>VLOOKUP(C230,'[1]phenotypes-895'!$A$2:$G$896,7,FALSE)</f>
        <v>58</v>
      </c>
    </row>
    <row r="231" spans="1:9" x14ac:dyDescent="0.2">
      <c r="A231">
        <v>230</v>
      </c>
      <c r="B231">
        <v>13</v>
      </c>
      <c r="C231" t="s">
        <v>229</v>
      </c>
      <c r="D231" s="12" t="s">
        <v>912</v>
      </c>
      <c r="E231" s="1">
        <v>-4.6962900000000003</v>
      </c>
      <c r="F231" s="1">
        <v>-4.3797600000000001</v>
      </c>
      <c r="G231" s="1">
        <v>-4.7126477792256098</v>
      </c>
      <c r="H231" s="1">
        <v>-4.3921277615260204</v>
      </c>
      <c r="I231">
        <f>VLOOKUP(C231,'[1]phenotypes-895'!$A$2:$G$896,7,FALSE)</f>
        <v>98</v>
      </c>
    </row>
    <row r="232" spans="1:9" x14ac:dyDescent="0.2">
      <c r="A232">
        <v>231</v>
      </c>
      <c r="B232">
        <v>11</v>
      </c>
      <c r="C232" t="s">
        <v>230</v>
      </c>
      <c r="D232" s="12" t="s">
        <v>912</v>
      </c>
      <c r="E232" s="1">
        <v>-0.80622400000000005</v>
      </c>
      <c r="F232" s="1">
        <v>-2.33434E-2</v>
      </c>
      <c r="G232" s="1">
        <v>-0.680363135223926</v>
      </c>
      <c r="H232" s="1">
        <v>0.109001392936477</v>
      </c>
      <c r="I232">
        <f>VLOOKUP(C232,'[1]phenotypes-895'!$A$2:$G$896,7,FALSE)</f>
        <v>98</v>
      </c>
    </row>
    <row r="233" spans="1:9" x14ac:dyDescent="0.2">
      <c r="A233">
        <v>232</v>
      </c>
      <c r="B233">
        <v>2</v>
      </c>
      <c r="C233" t="s">
        <v>231</v>
      </c>
      <c r="D233" s="12" t="s">
        <v>913</v>
      </c>
      <c r="E233" s="1">
        <v>-2.8176399999999999</v>
      </c>
      <c r="F233" s="1">
        <v>-4.9084899999999996</v>
      </c>
      <c r="G233" s="1">
        <v>-2.8632834176173998</v>
      </c>
      <c r="H233" s="1">
        <v>-4.9735927674770304</v>
      </c>
      <c r="I233">
        <f>VLOOKUP(C233,'[1]phenotypes-895'!$A$2:$G$896,7,FALSE)</f>
        <v>63</v>
      </c>
    </row>
    <row r="234" spans="1:9" x14ac:dyDescent="0.2">
      <c r="A234">
        <v>233</v>
      </c>
      <c r="B234">
        <v>14</v>
      </c>
      <c r="C234" t="s">
        <v>232</v>
      </c>
      <c r="D234" s="12" t="s">
        <v>912</v>
      </c>
      <c r="E234" s="1">
        <v>-2.45939</v>
      </c>
      <c r="F234" s="1">
        <v>-3.2586200000000001</v>
      </c>
      <c r="G234" s="1">
        <v>-2.44847862457679</v>
      </c>
      <c r="H234" s="1">
        <v>-3.2463719355360499</v>
      </c>
      <c r="I234">
        <f>VLOOKUP(C234,'[1]phenotypes-895'!$A$2:$G$896,7,FALSE)</f>
        <v>84</v>
      </c>
    </row>
    <row r="235" spans="1:9" x14ac:dyDescent="0.2">
      <c r="A235">
        <v>234</v>
      </c>
      <c r="B235">
        <v>17</v>
      </c>
      <c r="C235" t="s">
        <v>233</v>
      </c>
      <c r="D235" s="12" t="s">
        <v>912</v>
      </c>
      <c r="E235" s="1">
        <v>-4.5262700000000002</v>
      </c>
      <c r="F235" s="1">
        <v>-3.9883899999999999</v>
      </c>
      <c r="G235" s="1">
        <v>-4.44319261887654</v>
      </c>
      <c r="H235" s="1">
        <v>-3.9117490902908001</v>
      </c>
      <c r="I235">
        <f>VLOOKUP(C235,'[1]phenotypes-895'!$A$2:$G$896,7,FALSE)</f>
        <v>98</v>
      </c>
    </row>
    <row r="236" spans="1:9" x14ac:dyDescent="0.2">
      <c r="A236">
        <v>235</v>
      </c>
      <c r="B236">
        <v>19</v>
      </c>
      <c r="C236" t="s">
        <v>234</v>
      </c>
      <c r="D236" s="12" t="s">
        <v>912</v>
      </c>
      <c r="E236" s="1">
        <v>-10.503399999999999</v>
      </c>
      <c r="F236" s="1">
        <v>-10.431900000000001</v>
      </c>
      <c r="G236" s="1">
        <v>-9.9703562698708996</v>
      </c>
      <c r="H236" s="1">
        <v>-9.9011937187595507</v>
      </c>
      <c r="I236">
        <f>VLOOKUP(C236,'[1]phenotypes-895'!$A$2:$G$896,7,FALSE)</f>
        <v>61</v>
      </c>
    </row>
    <row r="237" spans="1:9" x14ac:dyDescent="0.2">
      <c r="A237">
        <v>236</v>
      </c>
      <c r="B237">
        <v>14</v>
      </c>
      <c r="C237" t="s">
        <v>235</v>
      </c>
      <c r="D237" s="12" t="s">
        <v>912</v>
      </c>
      <c r="E237" s="1">
        <v>-3.2318899999999999</v>
      </c>
      <c r="F237" s="1">
        <v>-4.0976100000000004</v>
      </c>
      <c r="G237" s="1">
        <v>-3.2604054808129801</v>
      </c>
      <c r="H237" s="1">
        <v>-4.1395715571668896</v>
      </c>
      <c r="I237">
        <f>VLOOKUP(C237,'[1]phenotypes-895'!$A$2:$G$896,7,FALSE)</f>
        <v>72</v>
      </c>
    </row>
    <row r="238" spans="1:9" x14ac:dyDescent="0.2">
      <c r="A238">
        <v>237</v>
      </c>
      <c r="B238">
        <v>10</v>
      </c>
      <c r="C238" t="s">
        <v>236</v>
      </c>
      <c r="D238" s="12" t="s">
        <v>912</v>
      </c>
      <c r="E238" s="1">
        <v>-2.39371</v>
      </c>
      <c r="F238" s="1">
        <v>-1.92631</v>
      </c>
      <c r="G238" s="1">
        <v>-2.4085457271976498</v>
      </c>
      <c r="H238" s="1">
        <v>-1.94489336452854</v>
      </c>
      <c r="I238">
        <f>VLOOKUP(C238,'[1]phenotypes-895'!$A$2:$G$896,7,FALSE)</f>
        <v>79</v>
      </c>
    </row>
    <row r="239" spans="1:9" x14ac:dyDescent="0.2">
      <c r="A239">
        <v>238</v>
      </c>
      <c r="B239">
        <v>17</v>
      </c>
      <c r="C239" t="s">
        <v>237</v>
      </c>
      <c r="D239" s="12" t="s">
        <v>912</v>
      </c>
      <c r="E239" s="1">
        <v>-4.5538299999999996</v>
      </c>
      <c r="F239" s="1">
        <v>-4.3661300000000001</v>
      </c>
      <c r="G239" s="1">
        <v>-4.5952363778929799</v>
      </c>
      <c r="H239" s="1">
        <v>-4.4130511556292999</v>
      </c>
      <c r="I239">
        <f>VLOOKUP(C239,'[1]phenotypes-895'!$A$2:$G$896,7,FALSE)</f>
        <v>63</v>
      </c>
    </row>
    <row r="240" spans="1:9" x14ac:dyDescent="0.2">
      <c r="A240">
        <v>239</v>
      </c>
      <c r="B240">
        <v>2</v>
      </c>
      <c r="C240" t="s">
        <v>238</v>
      </c>
      <c r="D240" s="12" t="s">
        <v>913</v>
      </c>
      <c r="E240" s="1">
        <v>-2.4733800000000001</v>
      </c>
      <c r="F240" s="1">
        <v>-4.03613</v>
      </c>
      <c r="G240" s="1">
        <v>-2.4015107815121302</v>
      </c>
      <c r="H240" s="1">
        <v>-3.9686444775744798</v>
      </c>
      <c r="I240">
        <f>VLOOKUP(C240,'[1]phenotypes-895'!$A$2:$G$896,7,FALSE)</f>
        <v>53</v>
      </c>
    </row>
    <row r="241" spans="1:9" x14ac:dyDescent="0.2">
      <c r="A241">
        <v>240</v>
      </c>
      <c r="B241">
        <v>6</v>
      </c>
      <c r="C241" t="s">
        <v>239</v>
      </c>
      <c r="D241" s="12" t="s">
        <v>913</v>
      </c>
      <c r="E241" s="1">
        <v>3.96373</v>
      </c>
      <c r="F241" s="1">
        <v>2.2716799999999999</v>
      </c>
      <c r="G241" s="1">
        <v>3.8998861924724602</v>
      </c>
      <c r="H241" s="1">
        <v>2.2022509295149302</v>
      </c>
      <c r="I241">
        <f>VLOOKUP(C241,'[1]phenotypes-895'!$A$2:$G$896,7,FALSE)</f>
        <v>98</v>
      </c>
    </row>
    <row r="242" spans="1:9" x14ac:dyDescent="0.2">
      <c r="A242">
        <v>241</v>
      </c>
      <c r="B242">
        <v>19</v>
      </c>
      <c r="C242" t="s">
        <v>240</v>
      </c>
      <c r="D242" s="12" t="s">
        <v>912</v>
      </c>
      <c r="E242" s="1">
        <v>-8.6668900000000004</v>
      </c>
      <c r="F242" s="1">
        <v>-9.0142600000000002</v>
      </c>
      <c r="G242" s="1">
        <v>-8.5409705214620306</v>
      </c>
      <c r="H242" s="1">
        <v>-8.8927172049235104</v>
      </c>
      <c r="I242">
        <f>VLOOKUP(C242,'[1]phenotypes-895'!$A$2:$G$896,7,FALSE)</f>
        <v>71</v>
      </c>
    </row>
    <row r="243" spans="1:9" x14ac:dyDescent="0.2">
      <c r="A243">
        <v>242</v>
      </c>
      <c r="B243">
        <v>12</v>
      </c>
      <c r="C243" t="s">
        <v>241</v>
      </c>
      <c r="D243" s="12" t="s">
        <v>912</v>
      </c>
      <c r="E243" s="1">
        <v>1.1237999999999999</v>
      </c>
      <c r="F243" s="1">
        <v>2.6777899999999999</v>
      </c>
      <c r="G243" s="1">
        <v>1.1004915909478501</v>
      </c>
      <c r="H243" s="1">
        <v>2.66162559736755</v>
      </c>
      <c r="I243">
        <f>VLOOKUP(C243,'[1]phenotypes-895'!$A$2:$G$896,7,FALSE)</f>
        <v>69</v>
      </c>
    </row>
    <row r="244" spans="1:9" x14ac:dyDescent="0.2">
      <c r="A244">
        <v>243</v>
      </c>
      <c r="B244">
        <v>2</v>
      </c>
      <c r="C244" t="s">
        <v>242</v>
      </c>
      <c r="D244" s="12" t="s">
        <v>913</v>
      </c>
      <c r="E244" s="1">
        <v>-1.6114299999999999</v>
      </c>
      <c r="F244" s="1">
        <v>-3.91926</v>
      </c>
      <c r="G244" s="1">
        <v>-1.4206069604932401</v>
      </c>
      <c r="H244" s="1">
        <v>-3.69930495385583</v>
      </c>
      <c r="I244">
        <f>VLOOKUP(C244,'[1]phenotypes-895'!$A$2:$G$896,7,FALSE)</f>
        <v>98</v>
      </c>
    </row>
    <row r="245" spans="1:9" x14ac:dyDescent="0.2">
      <c r="A245">
        <v>244</v>
      </c>
      <c r="B245">
        <v>5</v>
      </c>
      <c r="C245" t="s">
        <v>243</v>
      </c>
      <c r="D245" s="12" t="s">
        <v>913</v>
      </c>
      <c r="E245" s="1">
        <v>-2.1501999999999999</v>
      </c>
      <c r="F245" s="1">
        <v>-3.7411500000000002</v>
      </c>
      <c r="G245" s="1">
        <v>-2.15172858856217</v>
      </c>
      <c r="H245" s="1">
        <v>-3.7551611725455301</v>
      </c>
      <c r="I245">
        <f>VLOOKUP(C245,'[1]phenotypes-895'!$A$2:$G$896,7,FALSE)</f>
        <v>98</v>
      </c>
    </row>
    <row r="246" spans="1:9" x14ac:dyDescent="0.2">
      <c r="A246">
        <v>245</v>
      </c>
      <c r="B246">
        <v>18</v>
      </c>
      <c r="C246" t="s">
        <v>244</v>
      </c>
      <c r="D246" s="12" t="s">
        <v>912</v>
      </c>
      <c r="E246" s="1">
        <v>-4.5393800000000004</v>
      </c>
      <c r="F246" s="1">
        <v>-3.7532399999999999</v>
      </c>
      <c r="G246" s="1">
        <v>-4.4746796791578003</v>
      </c>
      <c r="H246" s="1">
        <v>-3.69218419486843</v>
      </c>
      <c r="I246">
        <f>VLOOKUP(C246,'[1]phenotypes-895'!$A$2:$G$896,7,FALSE)</f>
        <v>63</v>
      </c>
    </row>
    <row r="247" spans="1:9" x14ac:dyDescent="0.2">
      <c r="A247">
        <v>246</v>
      </c>
      <c r="B247">
        <v>6</v>
      </c>
      <c r="C247" t="s">
        <v>245</v>
      </c>
      <c r="D247" s="12" t="s">
        <v>913</v>
      </c>
      <c r="E247" s="1">
        <v>-3.2389600000000001</v>
      </c>
      <c r="F247" s="1">
        <v>-5.7827900000000003</v>
      </c>
      <c r="G247" s="1">
        <v>-3.1186907957860899</v>
      </c>
      <c r="H247" s="1">
        <v>-5.6364842336098704</v>
      </c>
      <c r="I247">
        <f>VLOOKUP(C247,'[1]phenotypes-895'!$A$2:$G$896,7,FALSE)</f>
        <v>60</v>
      </c>
    </row>
    <row r="248" spans="1:9" x14ac:dyDescent="0.2">
      <c r="A248">
        <v>247</v>
      </c>
      <c r="B248">
        <v>1</v>
      </c>
      <c r="C248" t="s">
        <v>246</v>
      </c>
      <c r="D248" s="12" t="s">
        <v>913</v>
      </c>
      <c r="E248" s="1">
        <v>-1.7248000000000001</v>
      </c>
      <c r="F248" s="1">
        <v>-3.18031</v>
      </c>
      <c r="G248" s="1">
        <v>-1.6927653365892501</v>
      </c>
      <c r="H248" s="1">
        <v>-3.14430167812914</v>
      </c>
      <c r="I248">
        <f>VLOOKUP(C248,'[1]phenotypes-895'!$A$2:$G$896,7,FALSE)</f>
        <v>98</v>
      </c>
    </row>
    <row r="249" spans="1:9" x14ac:dyDescent="0.2">
      <c r="A249">
        <v>248</v>
      </c>
      <c r="B249">
        <v>10</v>
      </c>
      <c r="C249" t="s">
        <v>247</v>
      </c>
      <c r="D249" s="12" t="s">
        <v>912</v>
      </c>
      <c r="E249" s="1">
        <v>-3.5175900000000002</v>
      </c>
      <c r="F249" s="1">
        <v>-2.6681300000000001</v>
      </c>
      <c r="G249" s="1">
        <v>-3.4676978964314999</v>
      </c>
      <c r="H249" s="1">
        <v>-2.6130933831425001</v>
      </c>
      <c r="I249">
        <f>VLOOKUP(C249,'[1]phenotypes-895'!$A$2:$G$896,7,FALSE)</f>
        <v>98</v>
      </c>
    </row>
    <row r="250" spans="1:9" x14ac:dyDescent="0.2">
      <c r="A250">
        <v>249</v>
      </c>
      <c r="B250">
        <v>10</v>
      </c>
      <c r="C250" t="s">
        <v>248</v>
      </c>
      <c r="D250" s="12" t="s">
        <v>912</v>
      </c>
      <c r="E250" s="1">
        <v>-2.0375999999999999</v>
      </c>
      <c r="F250" s="1">
        <v>-3.11538</v>
      </c>
      <c r="G250" s="1">
        <v>-2.0859437336386999</v>
      </c>
      <c r="H250" s="1">
        <v>-3.1664006659599102</v>
      </c>
      <c r="I250">
        <f>VLOOKUP(C250,'[1]phenotypes-895'!$A$2:$G$896,7,FALSE)</f>
        <v>56</v>
      </c>
    </row>
    <row r="251" spans="1:9" x14ac:dyDescent="0.2">
      <c r="A251">
        <v>250</v>
      </c>
      <c r="B251">
        <v>16</v>
      </c>
      <c r="C251" t="s">
        <v>249</v>
      </c>
      <c r="D251" s="12" t="s">
        <v>912</v>
      </c>
      <c r="E251" s="1">
        <v>-6.5501500000000004</v>
      </c>
      <c r="F251" s="1">
        <v>-6.6029600000000004</v>
      </c>
      <c r="G251" s="1">
        <v>-6.4104430939534902</v>
      </c>
      <c r="H251" s="1">
        <v>-6.45728631043559</v>
      </c>
      <c r="I251">
        <f>VLOOKUP(C251,'[1]phenotypes-895'!$A$2:$G$896,7,FALSE)</f>
        <v>64</v>
      </c>
    </row>
    <row r="252" spans="1:9" x14ac:dyDescent="0.2">
      <c r="A252">
        <v>251</v>
      </c>
      <c r="B252">
        <v>34</v>
      </c>
      <c r="C252" t="s">
        <v>250</v>
      </c>
      <c r="D252" s="13" t="s">
        <v>913</v>
      </c>
      <c r="E252" s="1">
        <v>-5.25068</v>
      </c>
      <c r="F252" s="1">
        <v>-6.0438000000000001</v>
      </c>
      <c r="G252" s="1">
        <v>-5.2564145990798696</v>
      </c>
      <c r="H252" s="1">
        <v>-6.0575339480665598</v>
      </c>
      <c r="I252">
        <f>VLOOKUP(C252,'[1]phenotypes-895'!$A$2:$G$896,7,FALSE)</f>
        <v>47</v>
      </c>
    </row>
    <row r="253" spans="1:9" x14ac:dyDescent="0.2">
      <c r="A253">
        <v>252</v>
      </c>
      <c r="B253">
        <v>1</v>
      </c>
      <c r="C253" t="s">
        <v>251</v>
      </c>
      <c r="D253" s="12" t="s">
        <v>913</v>
      </c>
      <c r="E253" s="1">
        <v>-6.3375300000000001</v>
      </c>
      <c r="F253" s="1">
        <v>-8.5144099999999998</v>
      </c>
      <c r="G253" s="1">
        <v>-6.2227208691402698</v>
      </c>
      <c r="H253" s="1">
        <v>-8.3822512566553993</v>
      </c>
      <c r="I253">
        <f>VLOOKUP(C253,'[1]phenotypes-895'!$A$2:$G$896,7,FALSE)</f>
        <v>63</v>
      </c>
    </row>
    <row r="254" spans="1:9" x14ac:dyDescent="0.2">
      <c r="A254">
        <v>253</v>
      </c>
      <c r="B254">
        <v>22</v>
      </c>
      <c r="C254" t="s">
        <v>252</v>
      </c>
      <c r="D254" s="13" t="s">
        <v>913</v>
      </c>
      <c r="E254" s="1">
        <v>3.1752400000000001</v>
      </c>
      <c r="F254" s="1">
        <v>2.6294599999999999</v>
      </c>
      <c r="G254" s="1">
        <v>3.1622351089140199</v>
      </c>
      <c r="H254" s="1">
        <v>2.6262200172848802</v>
      </c>
      <c r="I254">
        <f>VLOOKUP(C254,'[1]phenotypes-895'!$A$2:$G$896,7,FALSE)</f>
        <v>98</v>
      </c>
    </row>
    <row r="255" spans="1:9" x14ac:dyDescent="0.2">
      <c r="A255">
        <v>254</v>
      </c>
      <c r="B255">
        <v>11</v>
      </c>
      <c r="C255" t="s">
        <v>253</v>
      </c>
      <c r="D255" s="12" t="s">
        <v>912</v>
      </c>
      <c r="E255" s="1">
        <v>-7.2263000000000002</v>
      </c>
      <c r="F255" s="1">
        <v>-6.5776500000000002</v>
      </c>
      <c r="G255" s="1">
        <v>-7.1455743662116404</v>
      </c>
      <c r="H255" s="1">
        <v>-6.4973635768927904</v>
      </c>
      <c r="I255">
        <f>VLOOKUP(C255,'[1]phenotypes-895'!$A$2:$G$896,7,FALSE)</f>
        <v>51</v>
      </c>
    </row>
    <row r="256" spans="1:9" x14ac:dyDescent="0.2">
      <c r="A256">
        <v>255</v>
      </c>
      <c r="B256">
        <v>50</v>
      </c>
      <c r="C256" t="s">
        <v>254</v>
      </c>
      <c r="D256" s="13" t="s">
        <v>912</v>
      </c>
      <c r="E256" s="1">
        <v>1.48444</v>
      </c>
      <c r="F256" s="1">
        <v>3.95655</v>
      </c>
      <c r="G256" s="1">
        <v>1.48726725347162</v>
      </c>
      <c r="H256" s="1">
        <v>3.9526544555612202</v>
      </c>
      <c r="I256">
        <f>VLOOKUP(C256,'[1]phenotypes-895'!$A$2:$G$896,7,FALSE)</f>
        <v>79</v>
      </c>
    </row>
    <row r="257" spans="1:9" x14ac:dyDescent="0.2">
      <c r="A257">
        <v>256</v>
      </c>
      <c r="B257">
        <v>2</v>
      </c>
      <c r="C257" t="s">
        <v>255</v>
      </c>
      <c r="D257" s="12" t="s">
        <v>913</v>
      </c>
      <c r="E257" s="1">
        <v>-5.7769399999999997</v>
      </c>
      <c r="F257" s="1">
        <v>-8.4055400000000002</v>
      </c>
      <c r="G257" s="1">
        <v>-5.7987850858252701</v>
      </c>
      <c r="H257" s="1">
        <v>-8.4321965479020307</v>
      </c>
      <c r="I257">
        <f>VLOOKUP(C257,'[1]phenotypes-895'!$A$2:$G$896,7,FALSE)</f>
        <v>62</v>
      </c>
    </row>
    <row r="258" spans="1:9" x14ac:dyDescent="0.2">
      <c r="A258">
        <v>257</v>
      </c>
      <c r="B258">
        <v>50</v>
      </c>
      <c r="C258" t="s">
        <v>256</v>
      </c>
      <c r="D258" s="13" t="s">
        <v>912</v>
      </c>
      <c r="E258" s="1">
        <v>0.21466399999999999</v>
      </c>
      <c r="F258" s="1">
        <v>2.4406400000000001</v>
      </c>
      <c r="G258" s="1">
        <v>0.32975867076399001</v>
      </c>
      <c r="H258" s="1">
        <v>2.5446282989502098</v>
      </c>
      <c r="I258">
        <f>VLOOKUP(C258,'[1]phenotypes-895'!$A$2:$G$896,7,FALSE)</f>
        <v>62</v>
      </c>
    </row>
    <row r="259" spans="1:9" x14ac:dyDescent="0.2">
      <c r="A259">
        <v>258</v>
      </c>
      <c r="B259">
        <v>17</v>
      </c>
      <c r="C259" t="s">
        <v>257</v>
      </c>
      <c r="D259" s="12" t="s">
        <v>912</v>
      </c>
      <c r="E259" s="1">
        <v>-6.2380800000000001</v>
      </c>
      <c r="F259" s="1">
        <v>-5.9696899999999999</v>
      </c>
      <c r="G259" s="1">
        <v>-6.1923278060953004</v>
      </c>
      <c r="H259" s="1">
        <v>-5.9251179351509604</v>
      </c>
      <c r="I259">
        <f>VLOOKUP(C259,'[1]phenotypes-895'!$A$2:$G$896,7,FALSE)</f>
        <v>67</v>
      </c>
    </row>
    <row r="260" spans="1:9" x14ac:dyDescent="0.2">
      <c r="A260">
        <v>259</v>
      </c>
      <c r="B260">
        <v>24</v>
      </c>
      <c r="C260" t="s">
        <v>258</v>
      </c>
      <c r="D260" s="13" t="s">
        <v>913</v>
      </c>
      <c r="E260" s="1">
        <v>-2.5713499999999998</v>
      </c>
      <c r="F260" s="1">
        <v>-4.2061900000000003</v>
      </c>
      <c r="G260" s="1">
        <v>-2.5937976148825701</v>
      </c>
      <c r="H260" s="1">
        <v>-4.23272187309058</v>
      </c>
      <c r="I260">
        <f>VLOOKUP(C260,'[1]phenotypes-895'!$A$2:$G$896,7,FALSE)</f>
        <v>84</v>
      </c>
    </row>
    <row r="261" spans="1:9" x14ac:dyDescent="0.2">
      <c r="A261">
        <v>260</v>
      </c>
      <c r="B261">
        <v>11</v>
      </c>
      <c r="C261" t="s">
        <v>259</v>
      </c>
      <c r="D261" s="12" t="s">
        <v>912</v>
      </c>
      <c r="E261" s="1">
        <v>-5.7253600000000002</v>
      </c>
      <c r="F261" s="1">
        <v>-5.6205400000000001</v>
      </c>
      <c r="G261" s="1">
        <v>-5.5508209635489703</v>
      </c>
      <c r="H261" s="1">
        <v>-5.4393037740793302</v>
      </c>
      <c r="I261">
        <f>VLOOKUP(C261,'[1]phenotypes-895'!$A$2:$G$896,7,FALSE)</f>
        <v>59</v>
      </c>
    </row>
    <row r="262" spans="1:9" x14ac:dyDescent="0.2">
      <c r="A262">
        <v>261</v>
      </c>
      <c r="B262">
        <v>42</v>
      </c>
      <c r="C262" t="s">
        <v>260</v>
      </c>
      <c r="D262" s="13" t="s">
        <v>912</v>
      </c>
      <c r="E262" s="1">
        <v>1.5226599999999999</v>
      </c>
      <c r="F262" s="1">
        <v>4.1538399999999998</v>
      </c>
      <c r="G262" s="1">
        <v>1.5337632343313601</v>
      </c>
      <c r="H262" s="1">
        <v>4.16268036774024</v>
      </c>
      <c r="I262">
        <f>VLOOKUP(C262,'[1]phenotypes-895'!$A$2:$G$896,7,FALSE)</f>
        <v>71</v>
      </c>
    </row>
    <row r="263" spans="1:9" x14ac:dyDescent="0.2">
      <c r="A263">
        <v>262</v>
      </c>
      <c r="B263">
        <v>14</v>
      </c>
      <c r="C263" t="s">
        <v>261</v>
      </c>
      <c r="D263" s="12" t="s">
        <v>912</v>
      </c>
      <c r="E263" s="1">
        <v>-2.19028</v>
      </c>
      <c r="F263" s="1">
        <v>-3.2807400000000002</v>
      </c>
      <c r="G263" s="1">
        <v>-1.9929836003093999</v>
      </c>
      <c r="H263" s="1">
        <v>-3.06053126746</v>
      </c>
      <c r="I263">
        <f>VLOOKUP(C263,'[1]phenotypes-895'!$A$2:$G$896,7,FALSE)</f>
        <v>63</v>
      </c>
    </row>
    <row r="264" spans="1:9" x14ac:dyDescent="0.2">
      <c r="A264">
        <v>263</v>
      </c>
      <c r="B264">
        <v>34</v>
      </c>
      <c r="C264" t="s">
        <v>262</v>
      </c>
      <c r="D264" s="13" t="s">
        <v>913</v>
      </c>
      <c r="E264" s="1">
        <v>0.105684</v>
      </c>
      <c r="F264" s="1">
        <v>0.17371</v>
      </c>
      <c r="G264" s="1">
        <v>1.4227856207300899E-2</v>
      </c>
      <c r="H264" s="1">
        <v>7.9612864610941997E-2</v>
      </c>
      <c r="I264">
        <f>VLOOKUP(C264,'[1]phenotypes-895'!$A$2:$G$896,7,FALSE)</f>
        <v>77</v>
      </c>
    </row>
    <row r="265" spans="1:9" x14ac:dyDescent="0.2">
      <c r="A265">
        <v>264</v>
      </c>
      <c r="B265">
        <v>15</v>
      </c>
      <c r="C265" t="s">
        <v>263</v>
      </c>
      <c r="D265" s="12" t="s">
        <v>912</v>
      </c>
      <c r="E265" s="1">
        <v>-10.848100000000001</v>
      </c>
      <c r="F265" s="1">
        <v>-12.084099999999999</v>
      </c>
      <c r="G265" s="1">
        <v>-10.759152654088799</v>
      </c>
      <c r="H265" s="1">
        <v>-11.988002366701499</v>
      </c>
      <c r="I265">
        <f>VLOOKUP(C265,'[1]phenotypes-895'!$A$2:$G$896,7,FALSE)</f>
        <v>53</v>
      </c>
    </row>
    <row r="266" spans="1:9" x14ac:dyDescent="0.2">
      <c r="A266">
        <v>265</v>
      </c>
      <c r="B266">
        <v>47</v>
      </c>
      <c r="C266" t="s">
        <v>264</v>
      </c>
      <c r="D266" s="13" t="s">
        <v>912</v>
      </c>
      <c r="E266" s="1">
        <v>1.67157</v>
      </c>
      <c r="F266" s="1">
        <v>3.35188</v>
      </c>
      <c r="G266" s="1">
        <v>1.7114441153228701</v>
      </c>
      <c r="H266" s="1">
        <v>3.4510099986220499</v>
      </c>
      <c r="I266">
        <f>VLOOKUP(C266,'[1]phenotypes-895'!$A$2:$G$896,7,FALSE)</f>
        <v>98</v>
      </c>
    </row>
    <row r="267" spans="1:9" x14ac:dyDescent="0.2">
      <c r="A267">
        <v>266</v>
      </c>
      <c r="B267">
        <v>10</v>
      </c>
      <c r="C267" t="s">
        <v>265</v>
      </c>
      <c r="D267" s="12" t="s">
        <v>912</v>
      </c>
      <c r="E267" s="1">
        <v>-3.70749</v>
      </c>
      <c r="F267" s="1">
        <v>-3.6467800000000001</v>
      </c>
      <c r="G267" s="1">
        <v>-3.6157544559087902</v>
      </c>
      <c r="H267" s="1">
        <v>-3.5536184614102999</v>
      </c>
      <c r="I267">
        <f>VLOOKUP(C267,'[1]phenotypes-895'!$A$2:$G$896,7,FALSE)</f>
        <v>50</v>
      </c>
    </row>
    <row r="268" spans="1:9" x14ac:dyDescent="0.2">
      <c r="A268">
        <v>267</v>
      </c>
      <c r="B268">
        <v>43</v>
      </c>
      <c r="C268" t="s">
        <v>266</v>
      </c>
      <c r="D268" s="13" t="s">
        <v>912</v>
      </c>
      <c r="E268" s="1">
        <v>-3.6040800000000002</v>
      </c>
      <c r="F268" s="1">
        <v>-2.06141</v>
      </c>
      <c r="G268" s="1">
        <v>-3.6324581132445899</v>
      </c>
      <c r="H268" s="1">
        <v>-2.0758440226822801</v>
      </c>
      <c r="I268">
        <f>VLOOKUP(C268,'[1]phenotypes-895'!$A$2:$G$896,7,FALSE)</f>
        <v>54</v>
      </c>
    </row>
    <row r="269" spans="1:9" x14ac:dyDescent="0.2">
      <c r="A269">
        <v>268</v>
      </c>
      <c r="B269">
        <v>19</v>
      </c>
      <c r="C269" t="s">
        <v>267</v>
      </c>
      <c r="D269" s="12" t="s">
        <v>912</v>
      </c>
      <c r="E269" s="1">
        <v>-10.459099999999999</v>
      </c>
      <c r="F269" s="1">
        <v>-10.6129</v>
      </c>
      <c r="G269" s="1">
        <v>-10.4057163780721</v>
      </c>
      <c r="H269" s="1">
        <v>-10.558461223201</v>
      </c>
      <c r="I269">
        <f>VLOOKUP(C269,'[1]phenotypes-895'!$A$2:$G$896,7,FALSE)</f>
        <v>50</v>
      </c>
    </row>
    <row r="270" spans="1:9" x14ac:dyDescent="0.2">
      <c r="A270">
        <v>269</v>
      </c>
      <c r="B270">
        <v>50</v>
      </c>
      <c r="C270" t="s">
        <v>268</v>
      </c>
      <c r="D270" s="13" t="s">
        <v>912</v>
      </c>
      <c r="E270" s="1">
        <v>3.1051600000000001</v>
      </c>
      <c r="F270" s="1">
        <v>5.6364799999999997</v>
      </c>
      <c r="G270" s="1">
        <v>3.21151158722992</v>
      </c>
      <c r="H270" s="1">
        <v>5.7388285820816503</v>
      </c>
      <c r="I270">
        <f>VLOOKUP(C270,'[1]phenotypes-895'!$A$2:$G$896,7,FALSE)</f>
        <v>76</v>
      </c>
    </row>
    <row r="271" spans="1:9" x14ac:dyDescent="0.2">
      <c r="A271">
        <v>270</v>
      </c>
      <c r="B271">
        <v>19</v>
      </c>
      <c r="C271" t="s">
        <v>269</v>
      </c>
      <c r="D271" s="12" t="s">
        <v>912</v>
      </c>
      <c r="E271" s="1">
        <v>-9.3035399999999999</v>
      </c>
      <c r="F271" s="1">
        <v>-10.3447</v>
      </c>
      <c r="G271" s="1">
        <v>-9.3363189621670397</v>
      </c>
      <c r="H271" s="1">
        <v>-10.395342504274099</v>
      </c>
      <c r="I271">
        <f>VLOOKUP(C271,'[1]phenotypes-895'!$A$2:$G$896,7,FALSE)</f>
        <v>56</v>
      </c>
    </row>
    <row r="272" spans="1:9" x14ac:dyDescent="0.2">
      <c r="A272">
        <v>271</v>
      </c>
      <c r="B272">
        <v>32</v>
      </c>
      <c r="C272" t="s">
        <v>270</v>
      </c>
      <c r="D272" s="13" t="s">
        <v>913</v>
      </c>
      <c r="E272" s="1">
        <v>2.3271500000000001</v>
      </c>
      <c r="F272" s="1">
        <v>1.67808</v>
      </c>
      <c r="G272" s="1">
        <v>2.3001595614584498</v>
      </c>
      <c r="H272" s="1">
        <v>1.67350429070381</v>
      </c>
      <c r="I272">
        <f>VLOOKUP(C272,'[1]phenotypes-895'!$A$2:$G$896,7,FALSE)</f>
        <v>98</v>
      </c>
    </row>
    <row r="273" spans="1:9" x14ac:dyDescent="0.2">
      <c r="A273">
        <v>272</v>
      </c>
      <c r="B273">
        <v>19</v>
      </c>
      <c r="C273" t="s">
        <v>271</v>
      </c>
      <c r="D273" s="12" t="s">
        <v>912</v>
      </c>
      <c r="E273" s="1">
        <v>-10.872</v>
      </c>
      <c r="F273" s="1">
        <v>-10.9941</v>
      </c>
      <c r="G273" s="1">
        <v>-10.694252747541499</v>
      </c>
      <c r="H273" s="1">
        <v>-10.817016846422399</v>
      </c>
      <c r="I273">
        <f>VLOOKUP(C273,'[1]phenotypes-895'!$A$2:$G$896,7,FALSE)</f>
        <v>60</v>
      </c>
    </row>
    <row r="274" spans="1:9" x14ac:dyDescent="0.2">
      <c r="A274">
        <v>273</v>
      </c>
      <c r="B274">
        <v>5</v>
      </c>
      <c r="C274" t="s">
        <v>272</v>
      </c>
      <c r="D274" s="12" t="s">
        <v>913</v>
      </c>
      <c r="E274" s="1">
        <v>-6.4860699999999998</v>
      </c>
      <c r="F274" s="1">
        <v>-8.6533700000000007</v>
      </c>
      <c r="G274" s="1">
        <v>-6.5459978608795799</v>
      </c>
      <c r="H274" s="1">
        <v>-8.7365482568296002</v>
      </c>
      <c r="I274">
        <f>VLOOKUP(C274,'[1]phenotypes-895'!$A$2:$G$896,7,FALSE)</f>
        <v>50</v>
      </c>
    </row>
    <row r="275" spans="1:9" x14ac:dyDescent="0.2">
      <c r="A275">
        <v>274</v>
      </c>
      <c r="B275">
        <v>2</v>
      </c>
      <c r="C275" t="s">
        <v>273</v>
      </c>
      <c r="D275" s="12" t="s">
        <v>913</v>
      </c>
      <c r="E275" s="1">
        <v>4.1728800000000001</v>
      </c>
      <c r="F275" s="1">
        <v>5.0665199999999997</v>
      </c>
      <c r="G275" s="1">
        <v>4.2217807945835002</v>
      </c>
      <c r="H275" s="1">
        <v>5.1209613549980704</v>
      </c>
      <c r="I275">
        <f>VLOOKUP(C275,'[1]phenotypes-895'!$A$2:$G$896,7,FALSE)</f>
        <v>98</v>
      </c>
    </row>
    <row r="276" spans="1:9" x14ac:dyDescent="0.2">
      <c r="A276">
        <v>275</v>
      </c>
      <c r="B276">
        <v>2</v>
      </c>
      <c r="C276" t="s">
        <v>274</v>
      </c>
      <c r="D276" s="12" t="s">
        <v>913</v>
      </c>
      <c r="E276" s="1">
        <v>-5.5554800000000002</v>
      </c>
      <c r="F276" s="1">
        <v>-7.6904599999999999</v>
      </c>
      <c r="G276" s="1">
        <v>-5.5888342762949197</v>
      </c>
      <c r="H276" s="1">
        <v>-7.7381294013557396</v>
      </c>
      <c r="I276">
        <f>VLOOKUP(C276,'[1]phenotypes-895'!$A$2:$G$896,7,FALSE)</f>
        <v>56</v>
      </c>
    </row>
    <row r="277" spans="1:9" x14ac:dyDescent="0.2">
      <c r="A277">
        <v>276</v>
      </c>
      <c r="B277">
        <v>6</v>
      </c>
      <c r="C277" t="s">
        <v>275</v>
      </c>
      <c r="D277" s="12" t="s">
        <v>913</v>
      </c>
      <c r="E277" s="1">
        <v>0.31264399999999998</v>
      </c>
      <c r="F277" s="1">
        <v>-1.17788</v>
      </c>
      <c r="G277" s="1">
        <v>0.42794507545101301</v>
      </c>
      <c r="H277" s="1">
        <v>-1.0526180335006801</v>
      </c>
      <c r="I277">
        <f>VLOOKUP(C277,'[1]phenotypes-895'!$A$2:$G$896,7,FALSE)</f>
        <v>98</v>
      </c>
    </row>
    <row r="278" spans="1:9" x14ac:dyDescent="0.2">
      <c r="A278">
        <v>277</v>
      </c>
      <c r="B278">
        <v>10</v>
      </c>
      <c r="C278" t="s">
        <v>276</v>
      </c>
      <c r="D278" s="12" t="s">
        <v>912</v>
      </c>
      <c r="E278" s="1">
        <v>-4.2776899999999998</v>
      </c>
      <c r="F278" s="1">
        <v>-3.5813899999999999</v>
      </c>
      <c r="G278" s="1">
        <v>-4.3584487329860204</v>
      </c>
      <c r="H278" s="1">
        <v>-3.6667358602351601</v>
      </c>
      <c r="I278">
        <f>VLOOKUP(C278,'[1]phenotypes-895'!$A$2:$G$896,7,FALSE)</f>
        <v>56</v>
      </c>
    </row>
    <row r="279" spans="1:9" x14ac:dyDescent="0.2">
      <c r="A279">
        <v>278</v>
      </c>
      <c r="B279">
        <v>5</v>
      </c>
      <c r="C279" t="s">
        <v>277</v>
      </c>
      <c r="D279" s="12" t="s">
        <v>913</v>
      </c>
      <c r="E279" s="1">
        <v>-2.1534499999999999</v>
      </c>
      <c r="F279" s="1">
        <v>-4.2003300000000001</v>
      </c>
      <c r="G279" s="1">
        <v>-2.0949382230900602</v>
      </c>
      <c r="H279" s="1">
        <v>-4.1434630644826598</v>
      </c>
      <c r="I279">
        <f>VLOOKUP(C279,'[1]phenotypes-895'!$A$2:$G$896,7,FALSE)</f>
        <v>70</v>
      </c>
    </row>
    <row r="280" spans="1:9" x14ac:dyDescent="0.2">
      <c r="A280">
        <v>279</v>
      </c>
      <c r="B280">
        <v>17</v>
      </c>
      <c r="C280" t="s">
        <v>278</v>
      </c>
      <c r="D280" s="12" t="s">
        <v>912</v>
      </c>
      <c r="E280" s="1">
        <v>-6.6696999999999997</v>
      </c>
      <c r="F280" s="1">
        <v>-6.3613400000000002</v>
      </c>
      <c r="G280" s="1">
        <v>-6.4319196429330798</v>
      </c>
      <c r="H280" s="1">
        <v>-6.1287265030964502</v>
      </c>
      <c r="I280">
        <f>VLOOKUP(C280,'[1]phenotypes-895'!$A$2:$G$896,7,FALSE)</f>
        <v>68</v>
      </c>
    </row>
    <row r="281" spans="1:9" x14ac:dyDescent="0.2">
      <c r="A281">
        <v>280</v>
      </c>
      <c r="B281">
        <v>6</v>
      </c>
      <c r="C281" t="s">
        <v>279</v>
      </c>
      <c r="D281" s="12" t="s">
        <v>913</v>
      </c>
      <c r="E281" s="1">
        <v>-2.9261499999999998</v>
      </c>
      <c r="F281" s="1">
        <v>-5.1387</v>
      </c>
      <c r="G281" s="1">
        <v>-3.0034022852551301</v>
      </c>
      <c r="H281" s="1">
        <v>-5.2219688432900204</v>
      </c>
      <c r="I281">
        <f>VLOOKUP(C281,'[1]phenotypes-895'!$A$2:$G$896,7,FALSE)</f>
        <v>57</v>
      </c>
    </row>
    <row r="282" spans="1:9" x14ac:dyDescent="0.2">
      <c r="A282">
        <v>281</v>
      </c>
      <c r="B282">
        <v>2</v>
      </c>
      <c r="C282" t="s">
        <v>280</v>
      </c>
      <c r="D282" s="12" t="s">
        <v>913</v>
      </c>
      <c r="E282" s="1">
        <v>6.7657800000000003</v>
      </c>
      <c r="F282" s="1">
        <v>7.5630199999999999</v>
      </c>
      <c r="G282" s="1">
        <v>6.7524750325531198</v>
      </c>
      <c r="H282" s="1">
        <v>7.5573391181862704</v>
      </c>
      <c r="I282">
        <f>VLOOKUP(C282,'[1]phenotypes-895'!$A$2:$G$896,7,FALSE)</f>
        <v>98</v>
      </c>
    </row>
    <row r="283" spans="1:9" x14ac:dyDescent="0.2">
      <c r="A283">
        <v>282</v>
      </c>
      <c r="B283">
        <v>7</v>
      </c>
      <c r="C283" t="s">
        <v>281</v>
      </c>
      <c r="D283" s="12" t="s">
        <v>913</v>
      </c>
      <c r="E283" s="1">
        <v>-0.985317</v>
      </c>
      <c r="F283" s="1">
        <v>-2.4899</v>
      </c>
      <c r="G283" s="1">
        <v>-0.84734955466142603</v>
      </c>
      <c r="H283" s="1">
        <v>-2.3243838315507799</v>
      </c>
      <c r="I283">
        <f>VLOOKUP(C283,'[1]phenotypes-895'!$A$2:$G$896,7,FALSE)</f>
        <v>62</v>
      </c>
    </row>
    <row r="284" spans="1:9" x14ac:dyDescent="0.2">
      <c r="A284">
        <v>283</v>
      </c>
      <c r="B284">
        <v>17</v>
      </c>
      <c r="C284" t="s">
        <v>282</v>
      </c>
      <c r="D284" s="12" t="s">
        <v>912</v>
      </c>
      <c r="E284" s="1">
        <v>-7.9600299999999997</v>
      </c>
      <c r="F284" s="1">
        <v>-7.6467700000000001</v>
      </c>
      <c r="G284" s="1">
        <v>-7.9611871554605198</v>
      </c>
      <c r="H284" s="1">
        <v>-7.6541617875165304</v>
      </c>
      <c r="I284">
        <f>VLOOKUP(C284,'[1]phenotypes-895'!$A$2:$G$896,7,FALSE)</f>
        <v>53</v>
      </c>
    </row>
    <row r="285" spans="1:9" x14ac:dyDescent="0.2">
      <c r="A285">
        <v>284</v>
      </c>
      <c r="B285">
        <v>16</v>
      </c>
      <c r="C285" t="s">
        <v>283</v>
      </c>
      <c r="D285" s="12" t="s">
        <v>912</v>
      </c>
      <c r="E285" s="1">
        <v>-3.7364199999999999</v>
      </c>
      <c r="F285" s="1">
        <v>-3.6159599999999998</v>
      </c>
      <c r="G285" s="1">
        <v>-3.5782095605568802</v>
      </c>
      <c r="H285" s="1">
        <v>-3.44815347832286</v>
      </c>
      <c r="I285">
        <f>VLOOKUP(C285,'[1]phenotypes-895'!$A$2:$G$896,7,FALSE)</f>
        <v>66</v>
      </c>
    </row>
    <row r="286" spans="1:9" x14ac:dyDescent="0.2">
      <c r="A286">
        <v>285</v>
      </c>
      <c r="B286">
        <v>6</v>
      </c>
      <c r="C286" t="s">
        <v>284</v>
      </c>
      <c r="D286" s="12" t="s">
        <v>913</v>
      </c>
      <c r="E286" s="1">
        <v>-0.26510099999999998</v>
      </c>
      <c r="F286" s="1">
        <v>-2.7021799999999998</v>
      </c>
      <c r="G286" s="1">
        <v>-0.25425496495901001</v>
      </c>
      <c r="H286" s="1">
        <v>-2.7055822543703099</v>
      </c>
      <c r="I286">
        <f>VLOOKUP(C286,'[1]phenotypes-895'!$A$2:$G$896,7,FALSE)</f>
        <v>98</v>
      </c>
    </row>
    <row r="287" spans="1:9" x14ac:dyDescent="0.2">
      <c r="A287">
        <v>286</v>
      </c>
      <c r="B287">
        <v>11</v>
      </c>
      <c r="C287" t="s">
        <v>285</v>
      </c>
      <c r="D287" s="12" t="s">
        <v>912</v>
      </c>
      <c r="E287" s="1">
        <v>2.5005099999999998</v>
      </c>
      <c r="F287" s="1">
        <v>3.1559900000000001</v>
      </c>
      <c r="G287" s="1">
        <v>2.5610563785039102</v>
      </c>
      <c r="H287" s="1">
        <v>3.2155112046469099</v>
      </c>
      <c r="I287">
        <f>VLOOKUP(C287,'[1]phenotypes-895'!$A$2:$G$896,7,FALSE)</f>
        <v>98</v>
      </c>
    </row>
    <row r="288" spans="1:9" x14ac:dyDescent="0.2">
      <c r="A288">
        <v>287</v>
      </c>
      <c r="B288">
        <v>1</v>
      </c>
      <c r="C288" t="s">
        <v>286</v>
      </c>
      <c r="D288" s="12" t="s">
        <v>913</v>
      </c>
      <c r="E288" s="1">
        <v>-4.0782499999999997</v>
      </c>
      <c r="F288" s="1">
        <v>-6.0029000000000003</v>
      </c>
      <c r="G288" s="1">
        <v>-4.1429339439666597</v>
      </c>
      <c r="H288" s="1">
        <v>-6.0759721539542602</v>
      </c>
      <c r="I288">
        <f>VLOOKUP(C288,'[1]phenotypes-895'!$A$2:$G$896,7,FALSE)</f>
        <v>49</v>
      </c>
    </row>
    <row r="289" spans="1:9" x14ac:dyDescent="0.2">
      <c r="A289">
        <v>288</v>
      </c>
      <c r="B289">
        <v>6</v>
      </c>
      <c r="C289" t="s">
        <v>287</v>
      </c>
      <c r="D289" s="12" t="s">
        <v>913</v>
      </c>
      <c r="E289" s="1">
        <v>-4.6166799999999997</v>
      </c>
      <c r="F289" s="1">
        <v>-6.8941600000000003</v>
      </c>
      <c r="G289" s="1">
        <v>-4.4524972021187104</v>
      </c>
      <c r="H289" s="1">
        <v>-6.7116005449388396</v>
      </c>
      <c r="I289">
        <f>VLOOKUP(C289,'[1]phenotypes-895'!$A$2:$G$896,7,FALSE)</f>
        <v>57</v>
      </c>
    </row>
    <row r="290" spans="1:9" x14ac:dyDescent="0.2">
      <c r="A290">
        <v>289</v>
      </c>
      <c r="B290">
        <v>2</v>
      </c>
      <c r="C290" t="s">
        <v>288</v>
      </c>
      <c r="D290" s="12" t="s">
        <v>913</v>
      </c>
      <c r="E290" s="1">
        <v>-5.6485900000000004</v>
      </c>
      <c r="F290" s="1">
        <v>-8.3894300000000008</v>
      </c>
      <c r="G290" s="1">
        <v>-5.6709912045665103</v>
      </c>
      <c r="H290" s="1">
        <v>-8.4244078978257999</v>
      </c>
      <c r="I290">
        <f>VLOOKUP(C290,'[1]phenotypes-895'!$A$2:$G$896,7,FALSE)</f>
        <v>53</v>
      </c>
    </row>
    <row r="291" spans="1:9" x14ac:dyDescent="0.2">
      <c r="A291">
        <v>290</v>
      </c>
      <c r="B291">
        <v>5</v>
      </c>
      <c r="C291" t="s">
        <v>289</v>
      </c>
      <c r="D291" s="12" t="s">
        <v>913</v>
      </c>
      <c r="E291" s="1">
        <v>-5.0171200000000002</v>
      </c>
      <c r="F291" s="1">
        <v>-7.7651399999999997</v>
      </c>
      <c r="G291" s="1">
        <v>-4.9142329826167099</v>
      </c>
      <c r="H291" s="1">
        <v>-7.6513942092702196</v>
      </c>
      <c r="I291">
        <f>VLOOKUP(C291,'[1]phenotypes-895'!$A$2:$G$896,7,FALSE)</f>
        <v>66</v>
      </c>
    </row>
    <row r="292" spans="1:9" x14ac:dyDescent="0.2">
      <c r="A292">
        <v>291</v>
      </c>
      <c r="B292">
        <v>16</v>
      </c>
      <c r="C292" t="s">
        <v>290</v>
      </c>
      <c r="D292" s="12" t="s">
        <v>912</v>
      </c>
      <c r="E292" s="1">
        <v>-5.4254899999999999</v>
      </c>
      <c r="F292" s="1">
        <v>-5.19916</v>
      </c>
      <c r="G292" s="1">
        <v>-5.2815548437605102</v>
      </c>
      <c r="H292" s="1">
        <v>-5.0432421095009401</v>
      </c>
      <c r="I292">
        <f>VLOOKUP(C292,'[1]phenotypes-895'!$A$2:$G$896,7,FALSE)</f>
        <v>98</v>
      </c>
    </row>
    <row r="293" spans="1:9" x14ac:dyDescent="0.2">
      <c r="A293">
        <v>292</v>
      </c>
      <c r="B293">
        <v>7</v>
      </c>
      <c r="C293" t="s">
        <v>291</v>
      </c>
      <c r="D293" s="12" t="s">
        <v>913</v>
      </c>
      <c r="E293" s="1">
        <v>3.3181500000000002</v>
      </c>
      <c r="F293" s="1">
        <v>1.7897700000000001</v>
      </c>
      <c r="G293" s="1">
        <v>3.3031035742189001</v>
      </c>
      <c r="H293" s="1">
        <v>1.76838120790366</v>
      </c>
      <c r="I293">
        <f>VLOOKUP(C293,'[1]phenotypes-895'!$A$2:$G$896,7,FALSE)</f>
        <v>79</v>
      </c>
    </row>
    <row r="294" spans="1:9" x14ac:dyDescent="0.2">
      <c r="A294">
        <v>293</v>
      </c>
      <c r="B294">
        <v>7</v>
      </c>
      <c r="C294" t="s">
        <v>292</v>
      </c>
      <c r="D294" s="12" t="s">
        <v>913</v>
      </c>
      <c r="E294" s="1">
        <v>3.9302199999999998</v>
      </c>
      <c r="F294" s="1">
        <v>2.97356</v>
      </c>
      <c r="G294" s="1">
        <v>3.7626818495912602</v>
      </c>
      <c r="H294" s="1">
        <v>2.86760531808598</v>
      </c>
      <c r="I294">
        <f>VLOOKUP(C294,'[1]phenotypes-895'!$A$2:$G$896,7,FALSE)</f>
        <v>98</v>
      </c>
    </row>
    <row r="295" spans="1:9" x14ac:dyDescent="0.2">
      <c r="A295">
        <v>294</v>
      </c>
      <c r="B295">
        <v>15</v>
      </c>
      <c r="C295" t="s">
        <v>293</v>
      </c>
      <c r="D295" s="12" t="s">
        <v>912</v>
      </c>
      <c r="E295" s="1">
        <v>-9.4265799999999995</v>
      </c>
      <c r="F295" s="1">
        <v>-10.351599999999999</v>
      </c>
      <c r="G295" s="1">
        <v>-9.3874575378984009</v>
      </c>
      <c r="H295" s="1">
        <v>-10.3131466879921</v>
      </c>
      <c r="I295">
        <f>VLOOKUP(C295,'[1]phenotypes-895'!$A$2:$G$896,7,FALSE)</f>
        <v>58</v>
      </c>
    </row>
    <row r="296" spans="1:9" x14ac:dyDescent="0.2">
      <c r="A296">
        <v>295</v>
      </c>
      <c r="B296">
        <v>15</v>
      </c>
      <c r="C296" t="s">
        <v>294</v>
      </c>
      <c r="D296" s="12" t="s">
        <v>912</v>
      </c>
      <c r="E296" s="1">
        <v>-1.4763299999999999</v>
      </c>
      <c r="F296" s="1">
        <v>-1.6109899999999999</v>
      </c>
      <c r="G296" s="1">
        <v>-1.4349473893781699</v>
      </c>
      <c r="H296" s="1">
        <v>-1.5610255400008399</v>
      </c>
      <c r="I296">
        <f>VLOOKUP(C296,'[1]phenotypes-895'!$A$2:$G$896,7,FALSE)</f>
        <v>98</v>
      </c>
    </row>
    <row r="297" spans="1:9" x14ac:dyDescent="0.2">
      <c r="A297">
        <v>296</v>
      </c>
      <c r="B297">
        <v>14</v>
      </c>
      <c r="C297" t="s">
        <v>295</v>
      </c>
      <c r="D297" s="12" t="s">
        <v>912</v>
      </c>
      <c r="E297" s="1">
        <v>-5.2686500000000001</v>
      </c>
      <c r="F297" s="1">
        <v>-6.5674700000000001</v>
      </c>
      <c r="G297" s="1">
        <v>-5.3129169209934703</v>
      </c>
      <c r="H297" s="1">
        <v>-6.6222607230496804</v>
      </c>
      <c r="I297">
        <f>VLOOKUP(C297,'[1]phenotypes-895'!$A$2:$G$896,7,FALSE)</f>
        <v>43</v>
      </c>
    </row>
    <row r="298" spans="1:9" x14ac:dyDescent="0.2">
      <c r="A298">
        <v>297</v>
      </c>
      <c r="B298">
        <v>4</v>
      </c>
      <c r="C298" t="s">
        <v>296</v>
      </c>
      <c r="D298" s="12" t="s">
        <v>913</v>
      </c>
      <c r="E298" s="1">
        <v>-0.11570900000000001</v>
      </c>
      <c r="F298" s="1">
        <v>-1.8057399999999999</v>
      </c>
      <c r="G298" s="1">
        <v>-0.106422079839454</v>
      </c>
      <c r="H298" s="1">
        <v>-1.7980939980678901</v>
      </c>
      <c r="I298">
        <f>VLOOKUP(C298,'[1]phenotypes-895'!$A$2:$G$896,7,FALSE)</f>
        <v>72</v>
      </c>
    </row>
    <row r="299" spans="1:9" x14ac:dyDescent="0.2">
      <c r="A299">
        <v>298</v>
      </c>
      <c r="B299">
        <v>50</v>
      </c>
      <c r="C299" t="s">
        <v>297</v>
      </c>
      <c r="D299" s="13" t="s">
        <v>912</v>
      </c>
      <c r="E299" s="1">
        <v>-0.422759</v>
      </c>
      <c r="F299" s="1">
        <v>1.7799400000000001</v>
      </c>
      <c r="G299" s="1">
        <v>-0.32348499505968897</v>
      </c>
      <c r="H299" s="1">
        <v>1.8629820946214799</v>
      </c>
      <c r="I299">
        <f>VLOOKUP(C299,'[1]phenotypes-895'!$A$2:$G$896,7,FALSE)</f>
        <v>62</v>
      </c>
    </row>
    <row r="300" spans="1:9" x14ac:dyDescent="0.2">
      <c r="A300">
        <v>299</v>
      </c>
      <c r="B300">
        <v>10</v>
      </c>
      <c r="C300" t="s">
        <v>298</v>
      </c>
      <c r="D300" s="12" t="s">
        <v>912</v>
      </c>
      <c r="E300" s="1">
        <v>-7.9601699999999997</v>
      </c>
      <c r="F300" s="1">
        <v>-7.4363000000000001</v>
      </c>
      <c r="G300" s="1">
        <v>-7.8654186364234899</v>
      </c>
      <c r="H300" s="1">
        <v>-7.3512841157772897</v>
      </c>
      <c r="I300">
        <f>VLOOKUP(C300,'[1]phenotypes-895'!$A$2:$G$896,7,FALSE)</f>
        <v>45</v>
      </c>
    </row>
    <row r="301" spans="1:9" x14ac:dyDescent="0.2">
      <c r="A301">
        <v>300</v>
      </c>
      <c r="B301">
        <v>50</v>
      </c>
      <c r="C301" t="s">
        <v>299</v>
      </c>
      <c r="D301" s="13" t="s">
        <v>912</v>
      </c>
      <c r="E301" s="1">
        <v>-1.3533500000000001</v>
      </c>
      <c r="F301" s="1">
        <v>1.48634</v>
      </c>
      <c r="G301" s="1">
        <v>-1.3873925468280199</v>
      </c>
      <c r="H301" s="1">
        <v>1.4462524361912601</v>
      </c>
      <c r="I301">
        <f>VLOOKUP(C301,'[1]phenotypes-895'!$A$2:$G$896,7,FALSE)</f>
        <v>59</v>
      </c>
    </row>
    <row r="302" spans="1:9" x14ac:dyDescent="0.2">
      <c r="A302">
        <v>301</v>
      </c>
      <c r="B302">
        <v>24</v>
      </c>
      <c r="C302" t="s">
        <v>300</v>
      </c>
      <c r="D302" s="13" t="s">
        <v>913</v>
      </c>
      <c r="E302" s="1">
        <v>-1.67005</v>
      </c>
      <c r="F302" s="1">
        <v>-3.44381</v>
      </c>
      <c r="G302" s="1">
        <v>-1.67766597535364</v>
      </c>
      <c r="H302" s="1">
        <v>-3.4651871199589599</v>
      </c>
      <c r="I302">
        <f>VLOOKUP(C302,'[1]phenotypes-895'!$A$2:$G$896,7,FALSE)</f>
        <v>76</v>
      </c>
    </row>
    <row r="303" spans="1:9" x14ac:dyDescent="0.2">
      <c r="A303">
        <v>302</v>
      </c>
      <c r="B303">
        <v>13</v>
      </c>
      <c r="C303" t="s">
        <v>301</v>
      </c>
      <c r="D303" s="12" t="s">
        <v>912</v>
      </c>
      <c r="E303" s="1">
        <v>-4.4352999999999998</v>
      </c>
      <c r="F303" s="1">
        <v>-4.2754200000000004</v>
      </c>
      <c r="G303" s="1">
        <v>-4.3815987990796499</v>
      </c>
      <c r="H303" s="1">
        <v>-4.2267138261585204</v>
      </c>
      <c r="I303">
        <f>VLOOKUP(C303,'[1]phenotypes-895'!$A$2:$G$896,7,FALSE)</f>
        <v>98</v>
      </c>
    </row>
    <row r="304" spans="1:9" x14ac:dyDescent="0.2">
      <c r="A304">
        <v>303</v>
      </c>
      <c r="B304">
        <v>34</v>
      </c>
      <c r="C304" t="s">
        <v>302</v>
      </c>
      <c r="D304" s="13" t="s">
        <v>913</v>
      </c>
      <c r="E304" s="1">
        <v>-2.1869100000000001</v>
      </c>
      <c r="F304" s="1">
        <v>-2.7626599999999999</v>
      </c>
      <c r="G304" s="1">
        <v>-2.1166594755964399</v>
      </c>
      <c r="H304" s="1">
        <v>-2.6780442285758701</v>
      </c>
      <c r="I304">
        <f>VLOOKUP(C304,'[1]phenotypes-895'!$A$2:$G$896,7,FALSE)</f>
        <v>68</v>
      </c>
    </row>
    <row r="305" spans="1:9" x14ac:dyDescent="0.2">
      <c r="A305">
        <v>304</v>
      </c>
      <c r="B305">
        <v>13</v>
      </c>
      <c r="C305" t="s">
        <v>303</v>
      </c>
      <c r="D305" s="12" t="s">
        <v>912</v>
      </c>
      <c r="E305" s="1">
        <v>-9.1032700000000002</v>
      </c>
      <c r="F305" s="1">
        <v>-9.0609000000000002</v>
      </c>
      <c r="G305" s="1">
        <v>-8.9247514107861008</v>
      </c>
      <c r="H305" s="1">
        <v>-8.8788279091257198</v>
      </c>
      <c r="I305">
        <f>VLOOKUP(C305,'[1]phenotypes-895'!$A$2:$G$896,7,FALSE)</f>
        <v>49</v>
      </c>
    </row>
    <row r="306" spans="1:9" x14ac:dyDescent="0.2">
      <c r="A306">
        <v>305</v>
      </c>
      <c r="B306">
        <v>37</v>
      </c>
      <c r="C306" t="s">
        <v>304</v>
      </c>
      <c r="D306" s="13" t="s">
        <v>913</v>
      </c>
      <c r="E306" s="1">
        <v>7.8419100000000004</v>
      </c>
      <c r="F306" s="1">
        <v>8.2113600000000009</v>
      </c>
      <c r="G306" s="1">
        <v>7.80259817205721</v>
      </c>
      <c r="H306" s="1">
        <v>8.1731182144735204</v>
      </c>
      <c r="I306">
        <f>VLOOKUP(C306,'[1]phenotypes-895'!$A$2:$G$896,7,FALSE)</f>
        <v>98</v>
      </c>
    </row>
    <row r="307" spans="1:9" x14ac:dyDescent="0.2">
      <c r="A307">
        <v>306</v>
      </c>
      <c r="B307">
        <v>8</v>
      </c>
      <c r="C307" t="s">
        <v>305</v>
      </c>
      <c r="D307" s="12" t="s">
        <v>913</v>
      </c>
      <c r="E307" s="1">
        <v>3.3412600000000001</v>
      </c>
      <c r="F307" s="1">
        <v>1.3110200000000001</v>
      </c>
      <c r="G307" s="1">
        <v>3.3820811357131699</v>
      </c>
      <c r="H307" s="1">
        <v>1.3811088886988601</v>
      </c>
      <c r="I307">
        <f>VLOOKUP(C307,'[1]phenotypes-895'!$A$2:$G$896,7,FALSE)</f>
        <v>76</v>
      </c>
    </row>
    <row r="308" spans="1:9" x14ac:dyDescent="0.2">
      <c r="A308">
        <v>307</v>
      </c>
      <c r="B308">
        <v>49</v>
      </c>
      <c r="C308" t="s">
        <v>306</v>
      </c>
      <c r="D308" s="13" t="s">
        <v>912</v>
      </c>
      <c r="E308" s="1">
        <v>-0.19365099999999999</v>
      </c>
      <c r="F308" s="1">
        <v>2.33372</v>
      </c>
      <c r="G308" s="1">
        <v>-0.24268589464763499</v>
      </c>
      <c r="H308" s="1">
        <v>2.2939763712655998</v>
      </c>
      <c r="I308">
        <f>VLOOKUP(C308,'[1]phenotypes-895'!$A$2:$G$896,7,FALSE)</f>
        <v>67</v>
      </c>
    </row>
    <row r="309" spans="1:9" x14ac:dyDescent="0.2">
      <c r="A309">
        <v>308</v>
      </c>
      <c r="B309">
        <v>7</v>
      </c>
      <c r="C309" t="s">
        <v>307</v>
      </c>
      <c r="D309" s="12" t="s">
        <v>913</v>
      </c>
      <c r="E309" s="1">
        <v>3.9701900000000001</v>
      </c>
      <c r="F309" s="1">
        <v>2.6561400000000002</v>
      </c>
      <c r="G309" s="1">
        <v>4.0487681812269196</v>
      </c>
      <c r="H309" s="1">
        <v>2.7436899843816098</v>
      </c>
      <c r="I309">
        <f>VLOOKUP(C309,'[1]phenotypes-895'!$A$2:$G$896,7,FALSE)</f>
        <v>98</v>
      </c>
    </row>
    <row r="310" spans="1:9" x14ac:dyDescent="0.2">
      <c r="A310">
        <v>309</v>
      </c>
      <c r="B310">
        <v>51</v>
      </c>
      <c r="C310" t="s">
        <v>308</v>
      </c>
      <c r="D310" s="13" t="s">
        <v>912</v>
      </c>
      <c r="E310" s="1">
        <v>-3.3991199999999999</v>
      </c>
      <c r="F310" s="1">
        <v>-0.94963699999999995</v>
      </c>
      <c r="G310" s="1">
        <v>-3.28685211217064</v>
      </c>
      <c r="H310" s="1">
        <v>-0.85332375740592104</v>
      </c>
      <c r="I310">
        <f>VLOOKUP(C310,'[1]phenotypes-895'!$A$2:$G$896,7,FALSE)</f>
        <v>59</v>
      </c>
    </row>
    <row r="311" spans="1:9" x14ac:dyDescent="0.2">
      <c r="A311">
        <v>310</v>
      </c>
      <c r="B311">
        <v>48</v>
      </c>
      <c r="C311" t="s">
        <v>309</v>
      </c>
      <c r="D311" s="13" t="s">
        <v>912</v>
      </c>
      <c r="E311" s="1">
        <v>-0.78060200000000002</v>
      </c>
      <c r="F311" s="1">
        <v>1.1069899999999999</v>
      </c>
      <c r="G311" s="1">
        <v>-0.79383993375065098</v>
      </c>
      <c r="H311" s="1">
        <v>1.1065747329205</v>
      </c>
      <c r="I311">
        <f>VLOOKUP(C311,'[1]phenotypes-895'!$A$2:$G$896,7,FALSE)</f>
        <v>79</v>
      </c>
    </row>
    <row r="312" spans="1:9" x14ac:dyDescent="0.2">
      <c r="A312">
        <v>311</v>
      </c>
      <c r="B312">
        <v>1</v>
      </c>
      <c r="C312" t="s">
        <v>310</v>
      </c>
      <c r="D312" s="12" t="s">
        <v>913</v>
      </c>
      <c r="E312" s="1">
        <v>-4.4326800000000004</v>
      </c>
      <c r="F312" s="1">
        <v>-6.2432699999999999</v>
      </c>
      <c r="G312" s="1">
        <v>-4.3732637907260496</v>
      </c>
      <c r="H312" s="1">
        <v>-6.1843349171220297</v>
      </c>
      <c r="I312">
        <f>VLOOKUP(C312,'[1]phenotypes-895'!$A$2:$G$896,7,FALSE)</f>
        <v>37</v>
      </c>
    </row>
    <row r="313" spans="1:9" x14ac:dyDescent="0.2">
      <c r="A313">
        <v>312</v>
      </c>
      <c r="B313">
        <v>22</v>
      </c>
      <c r="C313" t="s">
        <v>311</v>
      </c>
      <c r="D313" s="13" t="s">
        <v>913</v>
      </c>
      <c r="E313" s="1">
        <v>1.9293100000000001</v>
      </c>
      <c r="F313" s="1">
        <v>2.0030199999999998</v>
      </c>
      <c r="G313" s="1">
        <v>1.9299330726741599</v>
      </c>
      <c r="H313" s="1">
        <v>1.9996668153239301</v>
      </c>
      <c r="I313">
        <f>VLOOKUP(C313,'[1]phenotypes-895'!$A$2:$G$896,7,FALSE)</f>
        <v>61</v>
      </c>
    </row>
    <row r="314" spans="1:9" x14ac:dyDescent="0.2">
      <c r="A314">
        <v>313</v>
      </c>
      <c r="B314">
        <v>3</v>
      </c>
      <c r="C314" t="s">
        <v>312</v>
      </c>
      <c r="D314" s="12" t="s">
        <v>913</v>
      </c>
      <c r="E314" s="1">
        <v>-2.5398299999999998</v>
      </c>
      <c r="F314" s="1">
        <v>-5.0431999999999997</v>
      </c>
      <c r="G314" s="1">
        <v>-2.5664778594406799</v>
      </c>
      <c r="H314" s="1">
        <v>-5.0744291866684499</v>
      </c>
      <c r="I314">
        <f>VLOOKUP(C314,'[1]phenotypes-895'!$A$2:$G$896,7,FALSE)</f>
        <v>50</v>
      </c>
    </row>
    <row r="315" spans="1:9" x14ac:dyDescent="0.2">
      <c r="A315">
        <v>314</v>
      </c>
      <c r="B315">
        <v>39</v>
      </c>
      <c r="C315" t="s">
        <v>313</v>
      </c>
      <c r="D315" s="13" t="s">
        <v>913</v>
      </c>
      <c r="E315" s="1">
        <v>4.8824399999999999</v>
      </c>
      <c r="F315" s="1">
        <v>4.2800200000000004</v>
      </c>
      <c r="G315" s="1">
        <v>4.93914967544075</v>
      </c>
      <c r="H315" s="1">
        <v>4.3537348750087004</v>
      </c>
      <c r="I315">
        <f>VLOOKUP(C315,'[1]phenotypes-895'!$A$2:$G$896,7,FALSE)</f>
        <v>98</v>
      </c>
    </row>
    <row r="316" spans="1:9" x14ac:dyDescent="0.2">
      <c r="A316">
        <v>315</v>
      </c>
      <c r="B316">
        <v>5</v>
      </c>
      <c r="C316" t="s">
        <v>314</v>
      </c>
      <c r="D316" s="12" t="s">
        <v>913</v>
      </c>
      <c r="E316" s="1">
        <v>-6.8602699999999999</v>
      </c>
      <c r="F316" s="1">
        <v>-9.6665399999999995</v>
      </c>
      <c r="G316" s="1">
        <v>-6.5719667006471303</v>
      </c>
      <c r="H316" s="1">
        <v>-9.3344704636122202</v>
      </c>
      <c r="I316">
        <f>VLOOKUP(C316,'[1]phenotypes-895'!$A$2:$G$896,7,FALSE)</f>
        <v>98</v>
      </c>
    </row>
    <row r="317" spans="1:9" x14ac:dyDescent="0.2">
      <c r="A317">
        <v>316</v>
      </c>
      <c r="B317">
        <v>40</v>
      </c>
      <c r="C317" t="s">
        <v>315</v>
      </c>
      <c r="D317" s="13" t="s">
        <v>913</v>
      </c>
      <c r="E317" s="1">
        <v>-1.8746499999999999</v>
      </c>
      <c r="F317" s="1">
        <v>-2.4775299999999998</v>
      </c>
      <c r="G317" s="1">
        <v>-1.89391836588534</v>
      </c>
      <c r="H317" s="1">
        <v>-2.50281268174647</v>
      </c>
      <c r="I317">
        <f>VLOOKUP(C317,'[1]phenotypes-895'!$A$2:$G$896,7,FALSE)</f>
        <v>68</v>
      </c>
    </row>
    <row r="318" spans="1:9" x14ac:dyDescent="0.2">
      <c r="A318">
        <v>317</v>
      </c>
      <c r="B318">
        <v>16</v>
      </c>
      <c r="C318" t="s">
        <v>316</v>
      </c>
      <c r="D318" s="12" t="s">
        <v>912</v>
      </c>
      <c r="E318" s="1">
        <v>-7.4740599999999997</v>
      </c>
      <c r="F318" s="1">
        <v>-7.4114000000000004</v>
      </c>
      <c r="G318" s="1">
        <v>-7.5943394849981098</v>
      </c>
      <c r="H318" s="1">
        <v>-7.54335571136206</v>
      </c>
      <c r="I318">
        <f>VLOOKUP(C318,'[1]phenotypes-895'!$A$2:$G$896,7,FALSE)</f>
        <v>49</v>
      </c>
    </row>
    <row r="319" spans="1:9" x14ac:dyDescent="0.2">
      <c r="A319">
        <v>318</v>
      </c>
      <c r="B319">
        <v>9</v>
      </c>
      <c r="C319" t="s">
        <v>317</v>
      </c>
      <c r="D319" s="12" t="s">
        <v>912</v>
      </c>
      <c r="E319" s="1">
        <v>-1.20211</v>
      </c>
      <c r="F319" s="1">
        <v>-1.0369299999999999</v>
      </c>
      <c r="G319" s="1">
        <v>-1.1005719195050401</v>
      </c>
      <c r="H319" s="1">
        <v>-0.92828603191967296</v>
      </c>
      <c r="I319">
        <f>VLOOKUP(C319,'[1]phenotypes-895'!$A$2:$G$896,7,FALSE)</f>
        <v>98</v>
      </c>
    </row>
    <row r="320" spans="1:9" x14ac:dyDescent="0.2">
      <c r="A320">
        <v>319</v>
      </c>
      <c r="B320">
        <v>3</v>
      </c>
      <c r="C320" t="s">
        <v>318</v>
      </c>
      <c r="D320" s="12" t="s">
        <v>913</v>
      </c>
      <c r="E320" s="1">
        <v>-0.150815</v>
      </c>
      <c r="F320" s="1">
        <v>-2.7656999999999998</v>
      </c>
      <c r="G320" s="1">
        <v>-0.223307567508506</v>
      </c>
      <c r="H320" s="1">
        <v>-2.8444793129886499</v>
      </c>
      <c r="I320">
        <f>VLOOKUP(C320,'[1]phenotypes-895'!$A$2:$G$896,7,FALSE)</f>
        <v>64</v>
      </c>
    </row>
    <row r="321" spans="1:9" x14ac:dyDescent="0.2">
      <c r="A321">
        <v>320</v>
      </c>
      <c r="B321">
        <v>8</v>
      </c>
      <c r="C321" t="s">
        <v>319</v>
      </c>
      <c r="D321" s="12" t="s">
        <v>913</v>
      </c>
      <c r="E321" s="1">
        <v>5.4950700000000001</v>
      </c>
      <c r="F321" s="1">
        <v>4.1447700000000003</v>
      </c>
      <c r="G321" s="1">
        <v>5.4447044291841902</v>
      </c>
      <c r="H321" s="1">
        <v>4.0920339499113503</v>
      </c>
      <c r="I321">
        <f>VLOOKUP(C321,'[1]phenotypes-895'!$A$2:$G$896,7,FALSE)</f>
        <v>98</v>
      </c>
    </row>
    <row r="322" spans="1:9" x14ac:dyDescent="0.2">
      <c r="A322">
        <v>321</v>
      </c>
      <c r="B322">
        <v>20</v>
      </c>
      <c r="C322" t="s">
        <v>320</v>
      </c>
      <c r="D322" s="12" t="s">
        <v>912</v>
      </c>
      <c r="E322" s="1">
        <v>-2.8936299999999999</v>
      </c>
      <c r="F322" s="1">
        <v>-1.60589</v>
      </c>
      <c r="G322" s="1">
        <v>-2.74377006899471</v>
      </c>
      <c r="H322" s="1">
        <v>-1.46659234045177</v>
      </c>
      <c r="I322">
        <f>VLOOKUP(C322,'[1]phenotypes-895'!$A$2:$G$896,7,FALSE)</f>
        <v>72</v>
      </c>
    </row>
    <row r="323" spans="1:9" x14ac:dyDescent="0.2">
      <c r="A323">
        <v>322</v>
      </c>
      <c r="B323">
        <v>11</v>
      </c>
      <c r="C323" t="s">
        <v>321</v>
      </c>
      <c r="D323" s="12" t="s">
        <v>912</v>
      </c>
      <c r="E323" s="1">
        <v>-8.0095299999999998</v>
      </c>
      <c r="F323" s="1">
        <v>-7.8420100000000001</v>
      </c>
      <c r="G323" s="1">
        <v>-8.0427826473516308</v>
      </c>
      <c r="H323" s="1">
        <v>-7.8748929741171896</v>
      </c>
      <c r="I323">
        <f>VLOOKUP(C323,'[1]phenotypes-895'!$A$2:$G$896,7,FALSE)</f>
        <v>53</v>
      </c>
    </row>
    <row r="324" spans="1:9" x14ac:dyDescent="0.2">
      <c r="A324">
        <v>323</v>
      </c>
      <c r="B324">
        <v>4</v>
      </c>
      <c r="C324" t="s">
        <v>322</v>
      </c>
      <c r="D324" s="12" t="s">
        <v>913</v>
      </c>
      <c r="E324" s="1">
        <v>-1.58585</v>
      </c>
      <c r="F324" s="1">
        <v>-3.4772099999999999</v>
      </c>
      <c r="G324" s="1">
        <v>-1.4508864070426499</v>
      </c>
      <c r="H324" s="1">
        <v>-3.3197830291798001</v>
      </c>
      <c r="I324">
        <f>VLOOKUP(C324,'[1]phenotypes-895'!$A$2:$G$896,7,FALSE)</f>
        <v>98</v>
      </c>
    </row>
    <row r="325" spans="1:9" x14ac:dyDescent="0.2">
      <c r="A325">
        <v>324</v>
      </c>
      <c r="B325">
        <v>8</v>
      </c>
      <c r="C325" t="s">
        <v>323</v>
      </c>
      <c r="D325" s="12" t="s">
        <v>913</v>
      </c>
      <c r="E325" s="1">
        <v>-2.9443600000000001</v>
      </c>
      <c r="F325" s="1">
        <v>-4.2028999999999996</v>
      </c>
      <c r="G325" s="1">
        <v>-2.9044815654875298</v>
      </c>
      <c r="H325" s="1">
        <v>-4.1593547766130303</v>
      </c>
      <c r="I325">
        <f>VLOOKUP(C325,'[1]phenotypes-895'!$A$2:$G$896,7,FALSE)</f>
        <v>53</v>
      </c>
    </row>
    <row r="326" spans="1:9" x14ac:dyDescent="0.2">
      <c r="A326">
        <v>325</v>
      </c>
      <c r="B326">
        <v>5</v>
      </c>
      <c r="C326" t="s">
        <v>324</v>
      </c>
      <c r="D326" s="12" t="s">
        <v>913</v>
      </c>
      <c r="E326" s="1">
        <v>-6.9304399999999999</v>
      </c>
      <c r="F326" s="1">
        <v>-9.2909100000000002</v>
      </c>
      <c r="G326" s="1">
        <v>-6.7858545393817797</v>
      </c>
      <c r="H326" s="1">
        <v>-9.1272354917631606</v>
      </c>
      <c r="I326">
        <f>VLOOKUP(C326,'[1]phenotypes-895'!$A$2:$G$896,7,FALSE)</f>
        <v>57</v>
      </c>
    </row>
    <row r="327" spans="1:9" x14ac:dyDescent="0.2">
      <c r="A327">
        <v>326</v>
      </c>
      <c r="B327">
        <v>16</v>
      </c>
      <c r="C327" t="s">
        <v>325</v>
      </c>
      <c r="D327" s="12" t="s">
        <v>912</v>
      </c>
      <c r="E327" s="1">
        <v>-8.8287999999999993</v>
      </c>
      <c r="F327" s="1">
        <v>-8.6996900000000004</v>
      </c>
      <c r="G327" s="1">
        <v>-8.8585123311067004</v>
      </c>
      <c r="H327" s="1">
        <v>-8.7249637936794606</v>
      </c>
      <c r="I327">
        <f>VLOOKUP(C327,'[1]phenotypes-895'!$A$2:$G$896,7,FALSE)</f>
        <v>61</v>
      </c>
    </row>
    <row r="328" spans="1:9" x14ac:dyDescent="0.2">
      <c r="A328">
        <v>327</v>
      </c>
      <c r="B328">
        <v>17</v>
      </c>
      <c r="C328" t="s">
        <v>326</v>
      </c>
      <c r="D328" s="12" t="s">
        <v>912</v>
      </c>
      <c r="E328" s="1">
        <v>-7.4250499999999997</v>
      </c>
      <c r="F328" s="1">
        <v>-7.2861000000000002</v>
      </c>
      <c r="G328" s="1">
        <v>-7.4506457635752303</v>
      </c>
      <c r="H328" s="1">
        <v>-7.31687681413747</v>
      </c>
      <c r="I328">
        <f>VLOOKUP(C328,'[1]phenotypes-895'!$A$2:$G$896,7,FALSE)</f>
        <v>53</v>
      </c>
    </row>
    <row r="329" spans="1:9" x14ac:dyDescent="0.2">
      <c r="A329">
        <v>328</v>
      </c>
      <c r="B329">
        <v>5</v>
      </c>
      <c r="C329" t="s">
        <v>327</v>
      </c>
      <c r="D329" s="12" t="s">
        <v>913</v>
      </c>
      <c r="E329" s="1">
        <v>-7.6668799999999999</v>
      </c>
      <c r="F329" s="1">
        <v>-10.509399999999999</v>
      </c>
      <c r="G329" s="1">
        <v>-7.6707948997212299</v>
      </c>
      <c r="H329" s="1">
        <v>-10.522486401954501</v>
      </c>
      <c r="I329">
        <f>VLOOKUP(C329,'[1]phenotypes-895'!$A$2:$G$896,7,FALSE)</f>
        <v>62</v>
      </c>
    </row>
    <row r="330" spans="1:9" x14ac:dyDescent="0.2">
      <c r="A330">
        <v>329</v>
      </c>
      <c r="B330">
        <v>13</v>
      </c>
      <c r="C330" t="s">
        <v>328</v>
      </c>
      <c r="D330" s="12" t="s">
        <v>912</v>
      </c>
      <c r="E330" s="1">
        <v>-3.05586</v>
      </c>
      <c r="F330" s="1">
        <v>-2.5463499999999999</v>
      </c>
      <c r="G330" s="1">
        <v>-3.0115893570366699</v>
      </c>
      <c r="H330" s="1">
        <v>-2.4968712697222299</v>
      </c>
      <c r="I330">
        <f>VLOOKUP(C330,'[1]phenotypes-895'!$A$2:$G$896,7,FALSE)</f>
        <v>98</v>
      </c>
    </row>
    <row r="331" spans="1:9" x14ac:dyDescent="0.2">
      <c r="A331">
        <v>330</v>
      </c>
      <c r="B331">
        <v>1</v>
      </c>
      <c r="C331" t="s">
        <v>329</v>
      </c>
      <c r="D331" s="12" t="s">
        <v>913</v>
      </c>
      <c r="E331" s="1">
        <v>-3.5916800000000002</v>
      </c>
      <c r="F331" s="1">
        <v>-5.2907700000000002</v>
      </c>
      <c r="G331" s="1">
        <v>-3.52538893567568</v>
      </c>
      <c r="H331" s="1">
        <v>-5.2136560022460703</v>
      </c>
      <c r="I331">
        <f>VLOOKUP(C331,'[1]phenotypes-895'!$A$2:$G$896,7,FALSE)</f>
        <v>48</v>
      </c>
    </row>
    <row r="332" spans="1:9" x14ac:dyDescent="0.2">
      <c r="A332">
        <v>331</v>
      </c>
      <c r="B332">
        <v>9</v>
      </c>
      <c r="C332" t="s">
        <v>330</v>
      </c>
      <c r="D332" s="12" t="s">
        <v>912</v>
      </c>
      <c r="E332" s="1">
        <v>5.1863300000000003E-3</v>
      </c>
      <c r="F332" s="1">
        <v>0.86906700000000003</v>
      </c>
      <c r="G332" s="1">
        <v>3.01965426052304E-2</v>
      </c>
      <c r="H332" s="1">
        <v>0.89943391930607297</v>
      </c>
      <c r="I332">
        <f>VLOOKUP(C332,'[1]phenotypes-895'!$A$2:$G$896,7,FALSE)</f>
        <v>98</v>
      </c>
    </row>
    <row r="333" spans="1:9" x14ac:dyDescent="0.2">
      <c r="A333">
        <v>332</v>
      </c>
      <c r="B333">
        <v>5</v>
      </c>
      <c r="C333" t="s">
        <v>331</v>
      </c>
      <c r="D333" s="12" t="s">
        <v>913</v>
      </c>
      <c r="E333" s="1">
        <v>-9.2810199999999998</v>
      </c>
      <c r="F333" s="1">
        <v>-12.502800000000001</v>
      </c>
      <c r="G333" s="1">
        <v>-9.3295795308114595</v>
      </c>
      <c r="H333" s="1">
        <v>-12.5644024185432</v>
      </c>
      <c r="I333">
        <f>VLOOKUP(C333,'[1]phenotypes-895'!$A$2:$G$896,7,FALSE)</f>
        <v>51</v>
      </c>
    </row>
    <row r="334" spans="1:9" x14ac:dyDescent="0.2">
      <c r="A334">
        <v>333</v>
      </c>
      <c r="B334">
        <v>4</v>
      </c>
      <c r="C334" t="s">
        <v>332</v>
      </c>
      <c r="D334" s="12" t="s">
        <v>913</v>
      </c>
      <c r="E334" s="1">
        <v>-4.6402299999999999</v>
      </c>
      <c r="F334" s="1">
        <v>-7.2487399999999997</v>
      </c>
      <c r="G334" s="1">
        <v>-4.5332131951600099</v>
      </c>
      <c r="H334" s="1">
        <v>-7.1263139102674904</v>
      </c>
      <c r="I334">
        <f>VLOOKUP(C334,'[1]phenotypes-895'!$A$2:$G$896,7,FALSE)</f>
        <v>62</v>
      </c>
    </row>
    <row r="335" spans="1:9" x14ac:dyDescent="0.2">
      <c r="A335">
        <v>334</v>
      </c>
      <c r="B335">
        <v>4</v>
      </c>
      <c r="C335" t="s">
        <v>333</v>
      </c>
      <c r="D335" s="12" t="s">
        <v>913</v>
      </c>
      <c r="E335" s="1">
        <v>-1.97956</v>
      </c>
      <c r="F335" s="1">
        <v>-4.2021600000000001</v>
      </c>
      <c r="G335" s="1">
        <v>-2.01268149394055</v>
      </c>
      <c r="H335" s="1">
        <v>-4.2218148035761702</v>
      </c>
      <c r="I335">
        <f>VLOOKUP(C335,'[1]phenotypes-895'!$A$2:$G$896,7,FALSE)</f>
        <v>80</v>
      </c>
    </row>
    <row r="336" spans="1:9" x14ac:dyDescent="0.2">
      <c r="A336">
        <v>335</v>
      </c>
      <c r="B336">
        <v>4</v>
      </c>
      <c r="C336" t="s">
        <v>334</v>
      </c>
      <c r="D336" s="12" t="s">
        <v>913</v>
      </c>
      <c r="E336" s="1">
        <v>-4.3816600000000001</v>
      </c>
      <c r="F336" s="1">
        <v>-6.4669299999999996</v>
      </c>
      <c r="G336" s="1">
        <v>-4.2412533144518303</v>
      </c>
      <c r="H336" s="1">
        <v>-6.3043474564004498</v>
      </c>
      <c r="I336">
        <f>VLOOKUP(C336,'[1]phenotypes-895'!$A$2:$G$896,7,FALSE)</f>
        <v>63</v>
      </c>
    </row>
    <row r="337" spans="1:9" x14ac:dyDescent="0.2">
      <c r="A337">
        <v>336</v>
      </c>
      <c r="B337">
        <v>4</v>
      </c>
      <c r="C337" t="s">
        <v>335</v>
      </c>
      <c r="D337" s="12" t="s">
        <v>913</v>
      </c>
      <c r="E337" s="1">
        <v>0.36942399999999997</v>
      </c>
      <c r="F337" s="1">
        <v>-1.33786</v>
      </c>
      <c r="G337" s="1">
        <v>0.342470375919815</v>
      </c>
      <c r="H337" s="1">
        <v>-1.37454896937658</v>
      </c>
      <c r="I337">
        <f>VLOOKUP(C337,'[1]phenotypes-895'!$A$2:$G$896,7,FALSE)</f>
        <v>98</v>
      </c>
    </row>
    <row r="338" spans="1:9" x14ac:dyDescent="0.2">
      <c r="A338">
        <v>337</v>
      </c>
      <c r="B338">
        <v>6</v>
      </c>
      <c r="C338" t="s">
        <v>336</v>
      </c>
      <c r="D338" s="12" t="s">
        <v>913</v>
      </c>
      <c r="E338" s="1">
        <v>0.40073700000000001</v>
      </c>
      <c r="F338" s="1">
        <v>-1.19994</v>
      </c>
      <c r="G338" s="1">
        <v>0.54776121242807696</v>
      </c>
      <c r="H338" s="1">
        <v>-1.0126031375553299</v>
      </c>
      <c r="I338">
        <f>VLOOKUP(C338,'[1]phenotypes-895'!$A$2:$G$896,7,FALSE)</f>
        <v>98</v>
      </c>
    </row>
    <row r="339" spans="1:9" x14ac:dyDescent="0.2">
      <c r="A339">
        <v>338</v>
      </c>
      <c r="B339">
        <v>8</v>
      </c>
      <c r="C339" t="s">
        <v>337</v>
      </c>
      <c r="D339" s="12" t="s">
        <v>913</v>
      </c>
      <c r="E339" s="1">
        <v>4.0063300000000002</v>
      </c>
      <c r="F339" s="1">
        <v>1.95583</v>
      </c>
      <c r="G339" s="1">
        <v>3.9724198822505201</v>
      </c>
      <c r="H339" s="1">
        <v>1.9364441457505099</v>
      </c>
      <c r="I339">
        <f>VLOOKUP(C339,'[1]phenotypes-895'!$A$2:$G$896,7,FALSE)</f>
        <v>76</v>
      </c>
    </row>
    <row r="340" spans="1:9" x14ac:dyDescent="0.2">
      <c r="A340">
        <v>339</v>
      </c>
      <c r="B340">
        <v>4</v>
      </c>
      <c r="C340" t="s">
        <v>338</v>
      </c>
      <c r="D340" s="12" t="s">
        <v>913</v>
      </c>
      <c r="E340" s="1">
        <v>-2.8084899999999999</v>
      </c>
      <c r="F340" s="1">
        <v>-5.32165</v>
      </c>
      <c r="G340" s="1">
        <v>-2.7871460829435799</v>
      </c>
      <c r="H340" s="1">
        <v>-5.2970022415440798</v>
      </c>
      <c r="I340">
        <f>VLOOKUP(C340,'[1]phenotypes-895'!$A$2:$G$896,7,FALSE)</f>
        <v>62</v>
      </c>
    </row>
    <row r="341" spans="1:9" x14ac:dyDescent="0.2">
      <c r="A341">
        <v>340</v>
      </c>
      <c r="B341">
        <v>14</v>
      </c>
      <c r="C341" t="s">
        <v>339</v>
      </c>
      <c r="D341" s="12" t="s">
        <v>912</v>
      </c>
      <c r="E341" s="1">
        <v>-1.6227</v>
      </c>
      <c r="F341" s="1">
        <v>-2.13198</v>
      </c>
      <c r="G341" s="1">
        <v>-1.60333898414868</v>
      </c>
      <c r="H341" s="1">
        <v>-2.1169272674938702</v>
      </c>
      <c r="I341">
        <f>VLOOKUP(C341,'[1]phenotypes-895'!$A$2:$G$896,7,FALSE)</f>
        <v>74</v>
      </c>
    </row>
    <row r="342" spans="1:9" x14ac:dyDescent="0.2">
      <c r="A342">
        <v>341</v>
      </c>
      <c r="B342">
        <v>3</v>
      </c>
      <c r="C342" t="s">
        <v>340</v>
      </c>
      <c r="D342" s="12" t="s">
        <v>913</v>
      </c>
      <c r="E342" s="1">
        <v>-2.0659900000000002</v>
      </c>
      <c r="F342" s="1">
        <v>-4.5352499999999996</v>
      </c>
      <c r="G342" s="1">
        <v>-2.0277591588627599</v>
      </c>
      <c r="H342" s="1">
        <v>-4.5001264191092396</v>
      </c>
      <c r="I342">
        <f>VLOOKUP(C342,'[1]phenotypes-895'!$A$2:$G$896,7,FALSE)</f>
        <v>57</v>
      </c>
    </row>
    <row r="343" spans="1:9" x14ac:dyDescent="0.2">
      <c r="A343">
        <v>342</v>
      </c>
      <c r="B343">
        <v>11</v>
      </c>
      <c r="C343" t="s">
        <v>341</v>
      </c>
      <c r="D343" s="12" t="s">
        <v>912</v>
      </c>
      <c r="E343" s="1">
        <v>-7.5301900000000005E-2</v>
      </c>
      <c r="F343" s="1">
        <v>0.100315</v>
      </c>
      <c r="G343" s="1">
        <v>-7.2824001768231006E-2</v>
      </c>
      <c r="H343" s="1">
        <v>0.10388169629917</v>
      </c>
      <c r="I343">
        <f>VLOOKUP(C343,'[1]phenotypes-895'!$A$2:$G$896,7,FALSE)</f>
        <v>98</v>
      </c>
    </row>
    <row r="344" spans="1:9" x14ac:dyDescent="0.2">
      <c r="A344">
        <v>343</v>
      </c>
      <c r="B344">
        <v>2</v>
      </c>
      <c r="C344" t="s">
        <v>342</v>
      </c>
      <c r="D344" s="12" t="s">
        <v>913</v>
      </c>
      <c r="E344" s="1">
        <v>-3.6444999999999999</v>
      </c>
      <c r="F344" s="1">
        <v>-5.7506899999999996</v>
      </c>
      <c r="G344" s="1">
        <v>-3.4901200816115199</v>
      </c>
      <c r="H344" s="1">
        <v>-5.5834252473666997</v>
      </c>
      <c r="I344">
        <f>VLOOKUP(C344,'[1]phenotypes-895'!$A$2:$G$896,7,FALSE)</f>
        <v>98</v>
      </c>
    </row>
    <row r="345" spans="1:9" x14ac:dyDescent="0.2">
      <c r="A345">
        <v>344</v>
      </c>
      <c r="B345">
        <v>50</v>
      </c>
      <c r="C345" t="s">
        <v>343</v>
      </c>
      <c r="D345" s="13" t="s">
        <v>912</v>
      </c>
      <c r="E345" s="1">
        <v>1.32429</v>
      </c>
      <c r="F345" s="1">
        <v>4.1034699999999997</v>
      </c>
      <c r="G345" s="1">
        <v>1.3351841152911601</v>
      </c>
      <c r="H345" s="1">
        <v>4.11820452266661</v>
      </c>
      <c r="I345">
        <f>VLOOKUP(C345,'[1]phenotypes-895'!$A$2:$G$896,7,FALSE)</f>
        <v>98</v>
      </c>
    </row>
    <row r="346" spans="1:9" x14ac:dyDescent="0.2">
      <c r="A346">
        <v>345</v>
      </c>
      <c r="B346">
        <v>27</v>
      </c>
      <c r="C346" t="s">
        <v>344</v>
      </c>
      <c r="D346" s="13" t="s">
        <v>913</v>
      </c>
      <c r="E346" s="1">
        <v>5.5400099999999997</v>
      </c>
      <c r="F346" s="1">
        <v>4.5159000000000002</v>
      </c>
      <c r="G346" s="1">
        <v>5.5609832680813698</v>
      </c>
      <c r="H346" s="1">
        <v>4.5362116847238001</v>
      </c>
      <c r="I346">
        <f>VLOOKUP(C346,'[1]phenotypes-895'!$A$2:$G$896,7,FALSE)</f>
        <v>86</v>
      </c>
    </row>
    <row r="347" spans="1:9" x14ac:dyDescent="0.2">
      <c r="A347">
        <v>346</v>
      </c>
      <c r="B347">
        <v>13</v>
      </c>
      <c r="C347" t="s">
        <v>345</v>
      </c>
      <c r="D347" s="12" t="s">
        <v>912</v>
      </c>
      <c r="E347" s="1">
        <v>-6.4476399999999998</v>
      </c>
      <c r="F347" s="1">
        <v>-6.2219800000000003</v>
      </c>
      <c r="G347" s="1">
        <v>-6.2893618453939402</v>
      </c>
      <c r="H347" s="1">
        <v>-6.0543146805802497</v>
      </c>
      <c r="I347">
        <f>VLOOKUP(C347,'[1]phenotypes-895'!$A$2:$G$896,7,FALSE)</f>
        <v>91</v>
      </c>
    </row>
    <row r="348" spans="1:9" x14ac:dyDescent="0.2">
      <c r="A348">
        <v>347</v>
      </c>
      <c r="B348">
        <v>53</v>
      </c>
      <c r="C348" t="s">
        <v>346</v>
      </c>
      <c r="D348" s="13" t="s">
        <v>912</v>
      </c>
      <c r="E348" s="1">
        <v>0.91207499999999997</v>
      </c>
      <c r="F348" s="1">
        <v>2.7762099999999998</v>
      </c>
      <c r="G348" s="1">
        <v>0.88445552175585695</v>
      </c>
      <c r="H348" s="1">
        <v>2.7577886962624598</v>
      </c>
      <c r="I348">
        <f>VLOOKUP(C348,'[1]phenotypes-895'!$A$2:$G$896,7,FALSE)</f>
        <v>60</v>
      </c>
    </row>
    <row r="349" spans="1:9" x14ac:dyDescent="0.2">
      <c r="A349">
        <v>348</v>
      </c>
      <c r="B349">
        <v>36</v>
      </c>
      <c r="C349" t="s">
        <v>347</v>
      </c>
      <c r="D349" s="13" t="s">
        <v>913</v>
      </c>
      <c r="E349" s="1">
        <v>4.5109599999999999</v>
      </c>
      <c r="F349" s="1">
        <v>5.6636100000000003</v>
      </c>
      <c r="G349" s="1">
        <v>4.5118218275171502</v>
      </c>
      <c r="H349" s="1">
        <v>5.6663027961698296</v>
      </c>
      <c r="I349">
        <f>VLOOKUP(C349,'[1]phenotypes-895'!$A$2:$G$896,7,FALSE)</f>
        <v>84</v>
      </c>
    </row>
    <row r="350" spans="1:9" x14ac:dyDescent="0.2">
      <c r="A350">
        <v>349</v>
      </c>
      <c r="B350">
        <v>15</v>
      </c>
      <c r="C350" t="s">
        <v>348</v>
      </c>
      <c r="D350" s="12" t="s">
        <v>912</v>
      </c>
      <c r="E350" s="1">
        <v>-4.0264499999999996</v>
      </c>
      <c r="F350" s="1">
        <v>-4.4502499999999996</v>
      </c>
      <c r="G350" s="1">
        <v>-3.9456643437717198</v>
      </c>
      <c r="H350" s="1">
        <v>-4.3654422600538103</v>
      </c>
      <c r="I350">
        <f>VLOOKUP(C350,'[1]phenotypes-895'!$A$2:$G$896,7,FALSE)</f>
        <v>64</v>
      </c>
    </row>
    <row r="351" spans="1:9" x14ac:dyDescent="0.2">
      <c r="A351">
        <v>350</v>
      </c>
      <c r="B351">
        <v>39</v>
      </c>
      <c r="C351" t="s">
        <v>349</v>
      </c>
      <c r="D351" s="13" t="s">
        <v>913</v>
      </c>
      <c r="E351" s="1">
        <v>2.1382599999999998</v>
      </c>
      <c r="F351" s="1">
        <v>1.6046</v>
      </c>
      <c r="G351" s="1">
        <v>2.1794292722834299</v>
      </c>
      <c r="H351" s="1">
        <v>1.6446982557666501</v>
      </c>
      <c r="I351">
        <f>VLOOKUP(C351,'[1]phenotypes-895'!$A$2:$G$896,7,FALSE)</f>
        <v>67</v>
      </c>
    </row>
    <row r="352" spans="1:9" x14ac:dyDescent="0.2">
      <c r="A352">
        <v>351</v>
      </c>
      <c r="B352">
        <v>13</v>
      </c>
      <c r="C352" t="s">
        <v>350</v>
      </c>
      <c r="D352" s="12" t="s">
        <v>912</v>
      </c>
      <c r="E352" s="1">
        <v>-6.5410899999999996</v>
      </c>
      <c r="F352" s="1">
        <v>-5.7841199999999997</v>
      </c>
      <c r="G352" s="1">
        <v>-6.5300736868106997</v>
      </c>
      <c r="H352" s="1">
        <v>-5.7665885167103204</v>
      </c>
      <c r="I352">
        <f>VLOOKUP(C352,'[1]phenotypes-895'!$A$2:$G$896,7,FALSE)</f>
        <v>71</v>
      </c>
    </row>
    <row r="353" spans="1:9" x14ac:dyDescent="0.2">
      <c r="A353">
        <v>352</v>
      </c>
      <c r="B353">
        <v>44</v>
      </c>
      <c r="C353" t="s">
        <v>351</v>
      </c>
      <c r="D353" s="13" t="s">
        <v>912</v>
      </c>
      <c r="E353" s="1">
        <v>5.1710700000000003</v>
      </c>
      <c r="F353" s="1">
        <v>7.2972299999999999</v>
      </c>
      <c r="G353" s="1">
        <v>5.1942882385679603</v>
      </c>
      <c r="H353" s="1">
        <v>7.3294724822694999</v>
      </c>
      <c r="I353">
        <f>VLOOKUP(C353,'[1]phenotypes-895'!$A$2:$G$896,7,FALSE)</f>
        <v>98</v>
      </c>
    </row>
    <row r="354" spans="1:9" x14ac:dyDescent="0.2">
      <c r="A354">
        <v>353</v>
      </c>
      <c r="B354">
        <v>6</v>
      </c>
      <c r="C354" t="s">
        <v>352</v>
      </c>
      <c r="D354" s="12" t="s">
        <v>913</v>
      </c>
      <c r="E354" s="1">
        <v>-3.86029</v>
      </c>
      <c r="F354" s="1">
        <v>-6.1973099999999999</v>
      </c>
      <c r="G354" s="1">
        <v>-3.8120751409193998</v>
      </c>
      <c r="H354" s="1">
        <v>-6.1413415033992296</v>
      </c>
      <c r="I354">
        <f>VLOOKUP(C354,'[1]phenotypes-895'!$A$2:$G$896,7,FALSE)</f>
        <v>53</v>
      </c>
    </row>
    <row r="355" spans="1:9" x14ac:dyDescent="0.2">
      <c r="A355">
        <v>354</v>
      </c>
      <c r="B355">
        <v>53</v>
      </c>
      <c r="C355" t="s">
        <v>353</v>
      </c>
      <c r="D355" s="13" t="s">
        <v>912</v>
      </c>
      <c r="E355" s="1">
        <v>1.9054199999999999</v>
      </c>
      <c r="F355" s="1">
        <v>3.9607600000000001</v>
      </c>
      <c r="G355" s="1">
        <v>1.9060658817665901</v>
      </c>
      <c r="H355" s="1">
        <v>3.9613469158484902</v>
      </c>
      <c r="I355">
        <f>VLOOKUP(C355,'[1]phenotypes-895'!$A$2:$G$896,7,FALSE)</f>
        <v>62</v>
      </c>
    </row>
    <row r="356" spans="1:9" x14ac:dyDescent="0.2">
      <c r="A356">
        <v>355</v>
      </c>
      <c r="B356">
        <v>6</v>
      </c>
      <c r="C356" t="s">
        <v>354</v>
      </c>
      <c r="D356" s="12" t="s">
        <v>913</v>
      </c>
      <c r="E356" s="1">
        <v>0.73555000000000004</v>
      </c>
      <c r="F356" s="1">
        <v>-1.09982</v>
      </c>
      <c r="G356" s="1">
        <v>0.79108461270241204</v>
      </c>
      <c r="H356" s="1">
        <v>-1.02940614732413</v>
      </c>
      <c r="I356">
        <f>VLOOKUP(C356,'[1]phenotypes-895'!$A$2:$G$896,7,FALSE)</f>
        <v>98</v>
      </c>
    </row>
    <row r="357" spans="1:9" x14ac:dyDescent="0.2">
      <c r="A357">
        <v>356</v>
      </c>
      <c r="B357">
        <v>35</v>
      </c>
      <c r="C357" t="s">
        <v>355</v>
      </c>
      <c r="D357" s="13" t="s">
        <v>913</v>
      </c>
      <c r="E357" s="1">
        <v>0.165299</v>
      </c>
      <c r="F357" s="1">
        <v>-0.42991600000000002</v>
      </c>
      <c r="G357" s="1">
        <v>0.143765513724676</v>
      </c>
      <c r="H357" s="1">
        <v>-0.46959278076938099</v>
      </c>
      <c r="I357">
        <f>VLOOKUP(C357,'[1]phenotypes-895'!$A$2:$G$896,7,FALSE)</f>
        <v>42</v>
      </c>
    </row>
    <row r="358" spans="1:9" x14ac:dyDescent="0.2">
      <c r="A358">
        <v>357</v>
      </c>
      <c r="B358">
        <v>6</v>
      </c>
      <c r="C358" t="s">
        <v>356</v>
      </c>
      <c r="D358" s="12" t="s">
        <v>913</v>
      </c>
      <c r="E358" s="1">
        <v>-1.49126</v>
      </c>
      <c r="F358" s="1">
        <v>-3.5909300000000002</v>
      </c>
      <c r="G358" s="1">
        <v>-1.43473890029942</v>
      </c>
      <c r="H358" s="1">
        <v>-3.5306283898019601</v>
      </c>
      <c r="I358">
        <f>VLOOKUP(C358,'[1]phenotypes-895'!$A$2:$G$896,7,FALSE)</f>
        <v>69</v>
      </c>
    </row>
    <row r="359" spans="1:9" x14ac:dyDescent="0.2">
      <c r="A359">
        <v>358</v>
      </c>
      <c r="B359">
        <v>40</v>
      </c>
      <c r="C359" t="s">
        <v>357</v>
      </c>
      <c r="D359" s="13" t="s">
        <v>913</v>
      </c>
      <c r="E359" s="1">
        <v>-0.935311</v>
      </c>
      <c r="F359" s="1">
        <v>-1.36015</v>
      </c>
      <c r="G359" s="1">
        <v>-0.96311662297850398</v>
      </c>
      <c r="H359" s="1">
        <v>-1.3864962132110601</v>
      </c>
      <c r="I359">
        <f>VLOOKUP(C359,'[1]phenotypes-895'!$A$2:$G$896,7,FALSE)</f>
        <v>49</v>
      </c>
    </row>
    <row r="360" spans="1:9" x14ac:dyDescent="0.2">
      <c r="A360">
        <v>359</v>
      </c>
      <c r="B360">
        <v>2</v>
      </c>
      <c r="C360" t="s">
        <v>358</v>
      </c>
      <c r="D360" s="12" t="s">
        <v>913</v>
      </c>
      <c r="E360" s="1">
        <v>-6.8281200000000002</v>
      </c>
      <c r="F360" s="1">
        <v>-9.3616700000000002</v>
      </c>
      <c r="G360" s="1">
        <v>-6.90437225799303</v>
      </c>
      <c r="H360" s="1">
        <v>-9.4596759860478308</v>
      </c>
      <c r="I360">
        <f>VLOOKUP(C360,'[1]phenotypes-895'!$A$2:$G$896,7,FALSE)</f>
        <v>42</v>
      </c>
    </row>
    <row r="361" spans="1:9" x14ac:dyDescent="0.2">
      <c r="A361">
        <v>360</v>
      </c>
      <c r="B361">
        <v>27</v>
      </c>
      <c r="C361" t="s">
        <v>359</v>
      </c>
      <c r="D361" s="13" t="s">
        <v>913</v>
      </c>
      <c r="E361" s="1">
        <v>4.6888300000000003</v>
      </c>
      <c r="F361" s="1">
        <v>3.5444100000000001</v>
      </c>
      <c r="G361" s="1">
        <v>4.6570891236598602</v>
      </c>
      <c r="H361" s="1">
        <v>3.5074878047638198</v>
      </c>
      <c r="I361">
        <f>VLOOKUP(C361,'[1]phenotypes-895'!$A$2:$G$896,7,FALSE)</f>
        <v>98</v>
      </c>
    </row>
    <row r="362" spans="1:9" x14ac:dyDescent="0.2">
      <c r="A362">
        <v>361</v>
      </c>
      <c r="B362">
        <v>52</v>
      </c>
      <c r="C362" t="s">
        <v>360</v>
      </c>
      <c r="D362" s="13" t="s">
        <v>912</v>
      </c>
      <c r="E362" s="1">
        <v>6.0518799999999997</v>
      </c>
      <c r="F362" s="1">
        <v>8.3489400000000007</v>
      </c>
      <c r="G362" s="1">
        <v>5.9216647728075396</v>
      </c>
      <c r="H362" s="1">
        <v>8.1527082723043396</v>
      </c>
      <c r="I362">
        <f>VLOOKUP(C362,'[1]phenotypes-895'!$A$2:$G$896,7,FALSE)</f>
        <v>94</v>
      </c>
    </row>
    <row r="363" spans="1:9" x14ac:dyDescent="0.2">
      <c r="A363">
        <v>362</v>
      </c>
      <c r="B363">
        <v>36</v>
      </c>
      <c r="C363" t="s">
        <v>361</v>
      </c>
      <c r="D363" s="13" t="s">
        <v>913</v>
      </c>
      <c r="E363" s="1">
        <v>4.9531200000000002</v>
      </c>
      <c r="F363" s="1">
        <v>4.1362399999999999</v>
      </c>
      <c r="G363" s="1">
        <v>4.9528341797584003</v>
      </c>
      <c r="H363" s="1">
        <v>4.1371596676485698</v>
      </c>
      <c r="I363">
        <f>VLOOKUP(C363,'[1]phenotypes-895'!$A$2:$G$896,7,FALSE)</f>
        <v>98</v>
      </c>
    </row>
    <row r="364" spans="1:9" x14ac:dyDescent="0.2">
      <c r="A364">
        <v>363</v>
      </c>
      <c r="B364">
        <v>42</v>
      </c>
      <c r="C364" t="s">
        <v>362</v>
      </c>
      <c r="D364" s="13" t="s">
        <v>912</v>
      </c>
      <c r="E364" s="1">
        <v>2.4273099999999999</v>
      </c>
      <c r="F364" s="1">
        <v>1.33931</v>
      </c>
      <c r="G364" s="1">
        <v>2.3889571857991898</v>
      </c>
      <c r="H364" s="1">
        <v>1.2975216561949601</v>
      </c>
      <c r="I364">
        <f>VLOOKUP(C364,'[1]phenotypes-895'!$A$2:$G$896,7,FALSE)</f>
        <v>76</v>
      </c>
    </row>
    <row r="365" spans="1:9" x14ac:dyDescent="0.2">
      <c r="A365">
        <v>364</v>
      </c>
      <c r="B365">
        <v>44</v>
      </c>
      <c r="C365" t="s">
        <v>363</v>
      </c>
      <c r="D365" s="13" t="s">
        <v>912</v>
      </c>
      <c r="E365" s="1">
        <v>0.47370400000000001</v>
      </c>
      <c r="F365" s="1">
        <v>0.102134</v>
      </c>
      <c r="G365" s="1">
        <v>0.48750062772000402</v>
      </c>
      <c r="H365" s="1">
        <v>0.120949372273725</v>
      </c>
      <c r="I365">
        <f>VLOOKUP(C365,'[1]phenotypes-895'!$A$2:$G$896,7,FALSE)</f>
        <v>98</v>
      </c>
    </row>
    <row r="366" spans="1:9" x14ac:dyDescent="0.2">
      <c r="A366">
        <v>365</v>
      </c>
      <c r="B366">
        <v>50</v>
      </c>
      <c r="C366" t="s">
        <v>364</v>
      </c>
      <c r="D366" s="13" t="s">
        <v>912</v>
      </c>
      <c r="E366" s="1">
        <v>7.0283100000000003</v>
      </c>
      <c r="F366" s="1">
        <v>6.3228200000000001</v>
      </c>
      <c r="G366" s="1">
        <v>7.0480213906095797</v>
      </c>
      <c r="H366" s="1">
        <v>6.3365057564751002</v>
      </c>
      <c r="I366">
        <f>VLOOKUP(C366,'[1]phenotypes-895'!$A$2:$G$896,7,FALSE)</f>
        <v>98</v>
      </c>
    </row>
    <row r="367" spans="1:9" x14ac:dyDescent="0.2">
      <c r="A367">
        <v>366</v>
      </c>
      <c r="B367">
        <v>50</v>
      </c>
      <c r="C367" t="s">
        <v>365</v>
      </c>
      <c r="D367" s="13" t="s">
        <v>912</v>
      </c>
      <c r="E367" s="1">
        <v>3.2122799999999998</v>
      </c>
      <c r="F367" s="1">
        <v>3.3071600000000001</v>
      </c>
      <c r="G367" s="1">
        <v>3.2146692857941899</v>
      </c>
      <c r="H367" s="1">
        <v>3.3153832271372101</v>
      </c>
      <c r="I367">
        <f>VLOOKUP(C367,'[1]phenotypes-895'!$A$2:$G$896,7,FALSE)</f>
        <v>98</v>
      </c>
    </row>
    <row r="368" spans="1:9" x14ac:dyDescent="0.2">
      <c r="A368">
        <v>367</v>
      </c>
      <c r="B368">
        <v>44</v>
      </c>
      <c r="C368" t="s">
        <v>366</v>
      </c>
      <c r="D368" s="13" t="s">
        <v>912</v>
      </c>
      <c r="E368" s="1">
        <v>1.58792</v>
      </c>
      <c r="F368" s="1">
        <v>1.49631</v>
      </c>
      <c r="G368" s="1">
        <v>1.5225822673067899</v>
      </c>
      <c r="H368" s="1">
        <v>1.4336802091630201</v>
      </c>
      <c r="I368">
        <f>VLOOKUP(C368,'[1]phenotypes-895'!$A$2:$G$896,7,FALSE)</f>
        <v>69</v>
      </c>
    </row>
    <row r="369" spans="1:9" x14ac:dyDescent="0.2">
      <c r="A369">
        <v>368</v>
      </c>
      <c r="B369">
        <v>44</v>
      </c>
      <c r="C369" t="s">
        <v>367</v>
      </c>
      <c r="D369" s="13" t="s">
        <v>912</v>
      </c>
      <c r="E369" s="1">
        <v>0.112899</v>
      </c>
      <c r="F369" s="1">
        <v>-1.0425</v>
      </c>
      <c r="G369" s="1">
        <v>3.9516574347692797E-2</v>
      </c>
      <c r="H369" s="1">
        <v>-1.1157237365357699</v>
      </c>
      <c r="I369">
        <f>VLOOKUP(C369,'[1]phenotypes-895'!$A$2:$G$896,7,FALSE)</f>
        <v>66</v>
      </c>
    </row>
    <row r="370" spans="1:9" x14ac:dyDescent="0.2">
      <c r="A370">
        <v>369</v>
      </c>
      <c r="B370">
        <v>42</v>
      </c>
      <c r="C370" t="s">
        <v>368</v>
      </c>
      <c r="D370" s="13" t="s">
        <v>912</v>
      </c>
      <c r="E370" s="1">
        <v>1.56454</v>
      </c>
      <c r="F370" s="1">
        <v>0.59935499999999997</v>
      </c>
      <c r="G370" s="1">
        <v>1.54585047434543</v>
      </c>
      <c r="H370" s="1">
        <v>0.57126376651840205</v>
      </c>
      <c r="I370">
        <f>VLOOKUP(C370,'[1]phenotypes-895'!$A$2:$G$896,7,FALSE)</f>
        <v>70</v>
      </c>
    </row>
    <row r="371" spans="1:9" x14ac:dyDescent="0.2">
      <c r="A371">
        <v>370</v>
      </c>
      <c r="B371">
        <v>46</v>
      </c>
      <c r="C371" t="s">
        <v>369</v>
      </c>
      <c r="D371" s="13" t="s">
        <v>912</v>
      </c>
      <c r="E371" s="1">
        <v>-1.13934</v>
      </c>
      <c r="F371" s="1">
        <v>-2.4574799999999999</v>
      </c>
      <c r="G371" s="1">
        <v>-1.19671149871977</v>
      </c>
      <c r="H371" s="1">
        <v>-2.5291863562197001</v>
      </c>
      <c r="I371">
        <f>VLOOKUP(C371,'[1]phenotypes-895'!$A$2:$G$896,7,FALSE)</f>
        <v>62</v>
      </c>
    </row>
    <row r="372" spans="1:9" x14ac:dyDescent="0.2">
      <c r="A372">
        <v>371</v>
      </c>
      <c r="B372">
        <v>50</v>
      </c>
      <c r="C372" t="s">
        <v>370</v>
      </c>
      <c r="D372" s="13" t="s">
        <v>912</v>
      </c>
      <c r="E372" s="1">
        <v>-3.0445099999999998</v>
      </c>
      <c r="F372" s="1">
        <v>-2.42706</v>
      </c>
      <c r="G372" s="1">
        <v>-3.0197003293055098</v>
      </c>
      <c r="H372" s="1">
        <v>-2.4011630407880098</v>
      </c>
      <c r="I372">
        <f>VLOOKUP(C372,'[1]phenotypes-895'!$A$2:$G$896,7,FALSE)</f>
        <v>48</v>
      </c>
    </row>
    <row r="373" spans="1:9" x14ac:dyDescent="0.2">
      <c r="A373">
        <v>372</v>
      </c>
      <c r="B373">
        <v>48</v>
      </c>
      <c r="C373" t="s">
        <v>371</v>
      </c>
      <c r="D373" s="13" t="s">
        <v>912</v>
      </c>
      <c r="E373" s="1">
        <v>0.27023999999999998</v>
      </c>
      <c r="F373" s="1">
        <v>1.64544</v>
      </c>
      <c r="G373" s="1">
        <v>0.25546280204059901</v>
      </c>
      <c r="H373" s="1">
        <v>1.6325813185106299</v>
      </c>
      <c r="I373">
        <f>VLOOKUP(C373,'[1]phenotypes-895'!$A$2:$G$896,7,FALSE)</f>
        <v>74</v>
      </c>
    </row>
    <row r="374" spans="1:9" x14ac:dyDescent="0.2">
      <c r="A374">
        <v>373</v>
      </c>
      <c r="B374">
        <v>50</v>
      </c>
      <c r="C374" t="s">
        <v>372</v>
      </c>
      <c r="D374" s="13" t="s">
        <v>912</v>
      </c>
      <c r="E374" s="1">
        <v>4.2862400000000003</v>
      </c>
      <c r="F374" s="1">
        <v>6.048</v>
      </c>
      <c r="G374" s="1">
        <v>4.2155241860900601</v>
      </c>
      <c r="H374" s="1">
        <v>5.9828552755867896</v>
      </c>
      <c r="I374">
        <f>VLOOKUP(C374,'[1]phenotypes-895'!$A$2:$G$896,7,FALSE)</f>
        <v>98</v>
      </c>
    </row>
    <row r="375" spans="1:9" x14ac:dyDescent="0.2">
      <c r="A375">
        <v>374</v>
      </c>
      <c r="B375">
        <v>48</v>
      </c>
      <c r="C375" t="s">
        <v>373</v>
      </c>
      <c r="D375" s="13" t="s">
        <v>912</v>
      </c>
      <c r="E375" s="1">
        <v>0.59576799999999996</v>
      </c>
      <c r="F375" s="1">
        <v>0.46844799999999998</v>
      </c>
      <c r="G375" s="1">
        <v>0.57590262083413402</v>
      </c>
      <c r="H375" s="1">
        <v>0.456435121860717</v>
      </c>
      <c r="I375">
        <f>VLOOKUP(C375,'[1]phenotypes-895'!$A$2:$G$896,7,FALSE)</f>
        <v>98</v>
      </c>
    </row>
    <row r="376" spans="1:9" x14ac:dyDescent="0.2">
      <c r="A376">
        <v>375</v>
      </c>
      <c r="B376">
        <v>44</v>
      </c>
      <c r="C376" t="s">
        <v>374</v>
      </c>
      <c r="D376" s="13" t="s">
        <v>912</v>
      </c>
      <c r="E376" s="1">
        <v>-0.63250399999999996</v>
      </c>
      <c r="F376" s="1">
        <v>1.8788199999999999</v>
      </c>
      <c r="G376" s="1">
        <v>-0.63844689972151203</v>
      </c>
      <c r="H376" s="1">
        <v>1.8714608645233699</v>
      </c>
      <c r="I376">
        <f>VLOOKUP(C376,'[1]phenotypes-895'!$A$2:$G$896,7,FALSE)</f>
        <v>62</v>
      </c>
    </row>
    <row r="377" spans="1:9" x14ac:dyDescent="0.2">
      <c r="A377">
        <v>376</v>
      </c>
      <c r="B377">
        <v>49</v>
      </c>
      <c r="C377" t="s">
        <v>375</v>
      </c>
      <c r="D377" s="13" t="s">
        <v>912</v>
      </c>
      <c r="E377" s="1">
        <v>3.1914199999999997E-2</v>
      </c>
      <c r="F377" s="1">
        <v>0.27909800000000001</v>
      </c>
      <c r="G377" s="1">
        <v>4.4276156261879897E-2</v>
      </c>
      <c r="H377" s="1">
        <v>0.29592798787866498</v>
      </c>
      <c r="I377">
        <f>VLOOKUP(C377,'[1]phenotypes-895'!$A$2:$G$896,7,FALSE)</f>
        <v>88</v>
      </c>
    </row>
    <row r="378" spans="1:9" x14ac:dyDescent="0.2">
      <c r="A378">
        <v>377</v>
      </c>
      <c r="B378">
        <v>41</v>
      </c>
      <c r="C378" t="s">
        <v>376</v>
      </c>
      <c r="D378" s="13" t="s">
        <v>912</v>
      </c>
      <c r="E378" s="1">
        <v>4.2357199999999997</v>
      </c>
      <c r="F378" s="1">
        <v>5.1834600000000002</v>
      </c>
      <c r="G378" s="1">
        <v>4.2037489265058898</v>
      </c>
      <c r="H378" s="1">
        <v>5.1514822994522804</v>
      </c>
      <c r="I378">
        <f>VLOOKUP(C378,'[1]phenotypes-895'!$A$2:$G$896,7,FALSE)</f>
        <v>98</v>
      </c>
    </row>
    <row r="379" spans="1:9" x14ac:dyDescent="0.2">
      <c r="A379">
        <v>378</v>
      </c>
      <c r="B379">
        <v>50</v>
      </c>
      <c r="C379" t="s">
        <v>377</v>
      </c>
      <c r="D379" s="13" t="s">
        <v>912</v>
      </c>
      <c r="E379" s="1">
        <v>3.5406300000000002</v>
      </c>
      <c r="F379" s="1">
        <v>6.0476999999999999</v>
      </c>
      <c r="G379" s="1">
        <v>3.5806071029691799</v>
      </c>
      <c r="H379" s="1">
        <v>6.09821731722558</v>
      </c>
      <c r="I379">
        <f>VLOOKUP(C379,'[1]phenotypes-895'!$A$2:$G$896,7,FALSE)</f>
        <v>98</v>
      </c>
    </row>
    <row r="380" spans="1:9" x14ac:dyDescent="0.2">
      <c r="A380">
        <v>379</v>
      </c>
      <c r="B380">
        <v>44</v>
      </c>
      <c r="C380" t="s">
        <v>378</v>
      </c>
      <c r="D380" s="13" t="s">
        <v>912</v>
      </c>
      <c r="E380" s="1">
        <v>0.49864599999999998</v>
      </c>
      <c r="F380" s="1">
        <v>-0.42891800000000002</v>
      </c>
      <c r="G380" s="1">
        <v>0.484544860650022</v>
      </c>
      <c r="H380" s="1">
        <v>-0.446800850110742</v>
      </c>
      <c r="I380">
        <f>VLOOKUP(C380,'[1]phenotypes-895'!$A$2:$G$896,7,FALSE)</f>
        <v>98</v>
      </c>
    </row>
    <row r="381" spans="1:9" x14ac:dyDescent="0.2">
      <c r="A381">
        <v>380</v>
      </c>
      <c r="B381">
        <v>36</v>
      </c>
      <c r="C381" t="s">
        <v>379</v>
      </c>
      <c r="D381" s="13" t="s">
        <v>913</v>
      </c>
      <c r="E381" s="1">
        <v>4.6991100000000001</v>
      </c>
      <c r="F381" s="1">
        <v>6.0912499999999996</v>
      </c>
      <c r="G381" s="1">
        <v>4.6360127043599997</v>
      </c>
      <c r="H381" s="1">
        <v>6.0021842037984898</v>
      </c>
      <c r="I381">
        <f>VLOOKUP(C381,'[1]phenotypes-895'!$A$2:$G$896,7,FALSE)</f>
        <v>98</v>
      </c>
    </row>
    <row r="382" spans="1:9" x14ac:dyDescent="0.2">
      <c r="A382">
        <v>381</v>
      </c>
      <c r="B382">
        <v>50</v>
      </c>
      <c r="C382" t="s">
        <v>380</v>
      </c>
      <c r="D382" s="13" t="s">
        <v>912</v>
      </c>
      <c r="E382" s="1">
        <v>1.82382</v>
      </c>
      <c r="F382" s="1">
        <v>1.21427</v>
      </c>
      <c r="G382" s="1">
        <v>1.7702187982737501</v>
      </c>
      <c r="H382" s="1">
        <v>1.16291348748391</v>
      </c>
      <c r="I382">
        <f>VLOOKUP(C382,'[1]phenotypes-895'!$A$2:$G$896,7,FALSE)</f>
        <v>98</v>
      </c>
    </row>
    <row r="383" spans="1:9" x14ac:dyDescent="0.2">
      <c r="A383">
        <v>382</v>
      </c>
      <c r="B383">
        <v>27</v>
      </c>
      <c r="C383" t="s">
        <v>381</v>
      </c>
      <c r="D383" s="12" t="s">
        <v>913</v>
      </c>
      <c r="E383" s="1">
        <v>4.9565400000000004</v>
      </c>
      <c r="F383" s="1">
        <v>3.218</v>
      </c>
      <c r="G383" s="1">
        <v>4.9625316865833602</v>
      </c>
      <c r="H383" s="1">
        <v>3.2184166467561299</v>
      </c>
      <c r="I383">
        <f>VLOOKUP(C383,'[1]phenotypes-895'!$A$2:$G$896,7,FALSE)</f>
        <v>61</v>
      </c>
    </row>
    <row r="384" spans="1:9" x14ac:dyDescent="0.2">
      <c r="A384">
        <v>383</v>
      </c>
      <c r="B384">
        <v>49</v>
      </c>
      <c r="C384" t="s">
        <v>382</v>
      </c>
      <c r="D384" s="13" t="s">
        <v>912</v>
      </c>
      <c r="E384" s="1">
        <v>2.0196000000000001</v>
      </c>
      <c r="F384" s="1">
        <v>1.2360199999999999</v>
      </c>
      <c r="G384" s="1">
        <v>1.99871117116812</v>
      </c>
      <c r="H384" s="1">
        <v>1.2108575575060401</v>
      </c>
      <c r="I384">
        <f>VLOOKUP(C384,'[1]phenotypes-895'!$A$2:$G$896,7,FALSE)</f>
        <v>57</v>
      </c>
    </row>
    <row r="385" spans="1:9" x14ac:dyDescent="0.2">
      <c r="A385">
        <v>384</v>
      </c>
      <c r="B385">
        <v>46</v>
      </c>
      <c r="C385" t="s">
        <v>383</v>
      </c>
      <c r="D385" s="13" t="s">
        <v>912</v>
      </c>
      <c r="E385" s="1">
        <v>2.6340599999999998</v>
      </c>
      <c r="F385" s="1">
        <v>2.6936100000000001</v>
      </c>
      <c r="G385" s="1">
        <v>2.6227951940296501</v>
      </c>
      <c r="H385" s="1">
        <v>2.6842134683463201</v>
      </c>
      <c r="I385">
        <f>VLOOKUP(C385,'[1]phenotypes-895'!$A$2:$G$896,7,FALSE)</f>
        <v>89</v>
      </c>
    </row>
    <row r="386" spans="1:9" x14ac:dyDescent="0.2">
      <c r="A386">
        <v>385</v>
      </c>
      <c r="B386">
        <v>49</v>
      </c>
      <c r="C386" t="s">
        <v>384</v>
      </c>
      <c r="D386" s="13" t="s">
        <v>912</v>
      </c>
      <c r="E386" s="1">
        <v>-4.3852000000000002</v>
      </c>
      <c r="F386" s="1">
        <v>-4.1043599999999998</v>
      </c>
      <c r="G386" s="1">
        <v>-4.4369668320327902</v>
      </c>
      <c r="H386" s="1">
        <v>-4.1565717966769302</v>
      </c>
      <c r="I386">
        <f>VLOOKUP(C386,'[1]phenotypes-895'!$A$2:$G$896,7,FALSE)</f>
        <v>51</v>
      </c>
    </row>
    <row r="387" spans="1:9" x14ac:dyDescent="0.2">
      <c r="A387">
        <v>386</v>
      </c>
      <c r="B387">
        <v>49</v>
      </c>
      <c r="C387" t="s">
        <v>385</v>
      </c>
      <c r="D387" s="13" t="s">
        <v>912</v>
      </c>
      <c r="E387" s="1">
        <v>3.7589100000000002</v>
      </c>
      <c r="F387" s="1">
        <v>2.4095200000000001</v>
      </c>
      <c r="G387" s="1">
        <v>3.7279017889339401</v>
      </c>
      <c r="H387" s="1">
        <v>2.36936115331505</v>
      </c>
      <c r="I387">
        <f>VLOOKUP(C387,'[1]phenotypes-895'!$A$2:$G$896,7,FALSE)</f>
        <v>75</v>
      </c>
    </row>
    <row r="388" spans="1:9" x14ac:dyDescent="0.2">
      <c r="A388">
        <v>387</v>
      </c>
      <c r="B388">
        <v>44</v>
      </c>
      <c r="C388" t="s">
        <v>386</v>
      </c>
      <c r="D388" s="13" t="s">
        <v>912</v>
      </c>
      <c r="E388" s="1">
        <v>-1.15045</v>
      </c>
      <c r="F388" s="1">
        <v>0.51309300000000002</v>
      </c>
      <c r="G388" s="1">
        <v>-1.16915576915095</v>
      </c>
      <c r="H388" s="1">
        <v>0.50087164703699705</v>
      </c>
      <c r="I388">
        <f>VLOOKUP(C388,'[1]phenotypes-895'!$A$2:$G$896,7,FALSE)</f>
        <v>98</v>
      </c>
    </row>
    <row r="389" spans="1:9" x14ac:dyDescent="0.2">
      <c r="A389">
        <v>388</v>
      </c>
      <c r="B389">
        <v>52</v>
      </c>
      <c r="C389" t="s">
        <v>387</v>
      </c>
      <c r="D389" s="13" t="s">
        <v>912</v>
      </c>
      <c r="E389" s="1">
        <v>5.04223</v>
      </c>
      <c r="F389" s="1">
        <v>4.8026</v>
      </c>
      <c r="G389" s="1">
        <v>5.0338494475214404</v>
      </c>
      <c r="H389" s="1">
        <v>4.7959494544153598</v>
      </c>
      <c r="I389">
        <f>VLOOKUP(C389,'[1]phenotypes-895'!$A$2:$G$896,7,FALSE)</f>
        <v>98</v>
      </c>
    </row>
    <row r="390" spans="1:9" x14ac:dyDescent="0.2">
      <c r="A390">
        <v>389</v>
      </c>
      <c r="B390">
        <v>50</v>
      </c>
      <c r="C390" t="s">
        <v>388</v>
      </c>
      <c r="D390" s="13" t="s">
        <v>912</v>
      </c>
      <c r="E390" s="1">
        <v>-0.19969300000000001</v>
      </c>
      <c r="F390" s="1">
        <v>1.13626</v>
      </c>
      <c r="G390" s="1">
        <v>-0.19321171230641601</v>
      </c>
      <c r="H390" s="1">
        <v>1.15213192484718</v>
      </c>
      <c r="I390">
        <f>VLOOKUP(C390,'[1]phenotypes-895'!$A$2:$G$896,7,FALSE)</f>
        <v>98</v>
      </c>
    </row>
    <row r="391" spans="1:9" x14ac:dyDescent="0.2">
      <c r="A391">
        <v>390</v>
      </c>
      <c r="B391">
        <v>42</v>
      </c>
      <c r="C391" t="s">
        <v>389</v>
      </c>
      <c r="D391" s="13" t="s">
        <v>912</v>
      </c>
      <c r="E391" s="1">
        <v>4.3111100000000002</v>
      </c>
      <c r="F391" s="1">
        <v>4.4431599999999998</v>
      </c>
      <c r="G391" s="1">
        <v>4.3360946091663299</v>
      </c>
      <c r="H391" s="1">
        <v>4.4719288352750404</v>
      </c>
      <c r="I391">
        <f>VLOOKUP(C391,'[1]phenotypes-895'!$A$2:$G$896,7,FALSE)</f>
        <v>98</v>
      </c>
    </row>
    <row r="392" spans="1:9" x14ac:dyDescent="0.2">
      <c r="A392">
        <v>391</v>
      </c>
      <c r="B392">
        <v>44</v>
      </c>
      <c r="C392" t="s">
        <v>390</v>
      </c>
      <c r="D392" s="13" t="s">
        <v>912</v>
      </c>
      <c r="E392" s="1">
        <v>6.2154800000000003</v>
      </c>
      <c r="F392" s="1">
        <v>7.1928799999999997</v>
      </c>
      <c r="G392" s="1">
        <v>6.2454642062755097</v>
      </c>
      <c r="H392" s="1">
        <v>7.2214419939567502</v>
      </c>
      <c r="I392">
        <f>VLOOKUP(C392,'[1]phenotypes-895'!$A$2:$G$896,7,FALSE)</f>
        <v>98</v>
      </c>
    </row>
    <row r="393" spans="1:9" x14ac:dyDescent="0.2">
      <c r="A393">
        <v>392</v>
      </c>
      <c r="B393">
        <v>49</v>
      </c>
      <c r="C393" t="s">
        <v>391</v>
      </c>
      <c r="D393" s="13" t="s">
        <v>912</v>
      </c>
      <c r="E393" s="1">
        <v>6.9691299999999998</v>
      </c>
      <c r="F393" s="1">
        <v>7.0050600000000003</v>
      </c>
      <c r="G393" s="1">
        <v>6.9646075431372196</v>
      </c>
      <c r="H393" s="1">
        <v>6.9992536789184401</v>
      </c>
      <c r="I393">
        <f>VLOOKUP(C393,'[1]phenotypes-895'!$A$2:$G$896,7,FALSE)</f>
        <v>98</v>
      </c>
    </row>
    <row r="394" spans="1:9" x14ac:dyDescent="0.2">
      <c r="A394">
        <v>393</v>
      </c>
      <c r="B394">
        <v>54</v>
      </c>
      <c r="C394" t="s">
        <v>392</v>
      </c>
      <c r="D394" s="13" t="s">
        <v>912</v>
      </c>
      <c r="E394" s="1">
        <v>-0.429147</v>
      </c>
      <c r="F394" s="1">
        <v>0.86742200000000003</v>
      </c>
      <c r="G394" s="1">
        <v>-0.42535324483939002</v>
      </c>
      <c r="H394" s="1">
        <v>0.87065969680237498</v>
      </c>
      <c r="I394">
        <f>VLOOKUP(C394,'[1]phenotypes-895'!$A$2:$G$896,7,FALSE)</f>
        <v>76</v>
      </c>
    </row>
    <row r="395" spans="1:9" x14ac:dyDescent="0.2">
      <c r="A395">
        <v>394</v>
      </c>
      <c r="B395">
        <v>42</v>
      </c>
      <c r="C395" t="s">
        <v>393</v>
      </c>
      <c r="D395" s="13" t="s">
        <v>912</v>
      </c>
      <c r="E395" s="1">
        <v>3.0309599999999999</v>
      </c>
      <c r="F395" s="1">
        <v>3.69068</v>
      </c>
      <c r="G395" s="1">
        <v>3.0185937546367301</v>
      </c>
      <c r="H395" s="1">
        <v>3.68489103460151</v>
      </c>
      <c r="I395">
        <f>VLOOKUP(C395,'[1]phenotypes-895'!$A$2:$G$896,7,FALSE)</f>
        <v>98</v>
      </c>
    </row>
    <row r="396" spans="1:9" x14ac:dyDescent="0.2">
      <c r="A396">
        <v>395</v>
      </c>
      <c r="B396">
        <v>44</v>
      </c>
      <c r="C396" t="s">
        <v>394</v>
      </c>
      <c r="D396" s="13" t="s">
        <v>912</v>
      </c>
      <c r="E396" s="1">
        <v>5.02515</v>
      </c>
      <c r="F396" s="1">
        <v>4.9599900000000003</v>
      </c>
      <c r="G396" s="1">
        <v>5.0353814272933297</v>
      </c>
      <c r="H396" s="1">
        <v>4.9777217686233604</v>
      </c>
      <c r="I396">
        <f>VLOOKUP(C396,'[1]phenotypes-895'!$A$2:$G$896,7,FALSE)</f>
        <v>98</v>
      </c>
    </row>
    <row r="397" spans="1:9" x14ac:dyDescent="0.2">
      <c r="A397">
        <v>396</v>
      </c>
      <c r="B397">
        <v>49</v>
      </c>
      <c r="C397" t="s">
        <v>395</v>
      </c>
      <c r="D397" s="13" t="s">
        <v>912</v>
      </c>
      <c r="E397" s="1">
        <v>1.5810299999999999</v>
      </c>
      <c r="F397" s="1">
        <v>2.3482599999999998</v>
      </c>
      <c r="G397" s="1">
        <v>1.5440644436782101</v>
      </c>
      <c r="H397" s="1">
        <v>2.3285802275418099</v>
      </c>
      <c r="I397">
        <f>VLOOKUP(C397,'[1]phenotypes-895'!$A$2:$G$896,7,FALSE)</f>
        <v>60</v>
      </c>
    </row>
    <row r="398" spans="1:9" x14ac:dyDescent="0.2">
      <c r="A398">
        <v>397</v>
      </c>
      <c r="B398">
        <v>50</v>
      </c>
      <c r="C398" t="s">
        <v>396</v>
      </c>
      <c r="D398" s="13" t="s">
        <v>912</v>
      </c>
      <c r="E398" s="1">
        <v>-2.4886400000000002</v>
      </c>
      <c r="F398" s="1">
        <v>-4.4392199999999997</v>
      </c>
      <c r="G398" s="1">
        <v>-2.5854951541707298</v>
      </c>
      <c r="H398" s="1">
        <v>-4.5495419539091797</v>
      </c>
      <c r="I398">
        <f>VLOOKUP(C398,'[1]phenotypes-895'!$A$2:$G$896,7,FALSE)</f>
        <v>61</v>
      </c>
    </row>
    <row r="399" spans="1:9" x14ac:dyDescent="0.2">
      <c r="A399">
        <v>398</v>
      </c>
      <c r="B399">
        <v>43</v>
      </c>
      <c r="C399" t="s">
        <v>397</v>
      </c>
      <c r="D399" s="13" t="s">
        <v>912</v>
      </c>
      <c r="E399" s="1">
        <v>-2.8388599999999999</v>
      </c>
      <c r="F399" s="1">
        <v>-3.2392599999999998</v>
      </c>
      <c r="G399" s="1">
        <v>-2.8566650237274498</v>
      </c>
      <c r="H399" s="1">
        <v>-3.2549043413465002</v>
      </c>
      <c r="I399">
        <f>VLOOKUP(C399,'[1]phenotypes-895'!$A$2:$G$896,7,FALSE)</f>
        <v>69</v>
      </c>
    </row>
    <row r="400" spans="1:9" x14ac:dyDescent="0.2">
      <c r="A400">
        <v>399</v>
      </c>
      <c r="B400">
        <v>50</v>
      </c>
      <c r="C400" t="s">
        <v>398</v>
      </c>
      <c r="D400" s="13" t="s">
        <v>912</v>
      </c>
      <c r="E400" s="1">
        <v>-2.6175999999999999</v>
      </c>
      <c r="F400" s="1">
        <v>-1.79539</v>
      </c>
      <c r="G400" s="1">
        <v>-2.6555552719526898</v>
      </c>
      <c r="H400" s="1">
        <v>-1.8285242877221599</v>
      </c>
      <c r="I400">
        <f>VLOOKUP(C400,'[1]phenotypes-895'!$A$2:$G$896,7,FALSE)</f>
        <v>92</v>
      </c>
    </row>
    <row r="401" spans="1:9" x14ac:dyDescent="0.2">
      <c r="A401">
        <v>400</v>
      </c>
      <c r="B401">
        <v>50</v>
      </c>
      <c r="C401" t="s">
        <v>399</v>
      </c>
      <c r="D401" s="13" t="s">
        <v>912</v>
      </c>
      <c r="E401" s="1">
        <v>1.69208</v>
      </c>
      <c r="F401" s="1">
        <v>1.3944399999999999</v>
      </c>
      <c r="G401" s="1">
        <v>1.6508017294983901</v>
      </c>
      <c r="H401" s="1">
        <v>1.35363733387015</v>
      </c>
      <c r="I401">
        <f>VLOOKUP(C401,'[1]phenotypes-895'!$A$2:$G$896,7,FALSE)</f>
        <v>98</v>
      </c>
    </row>
    <row r="402" spans="1:9" x14ac:dyDescent="0.2">
      <c r="A402">
        <v>401</v>
      </c>
      <c r="B402">
        <v>35</v>
      </c>
      <c r="C402" t="s">
        <v>400</v>
      </c>
      <c r="D402" s="13" t="s">
        <v>913</v>
      </c>
      <c r="E402" s="1">
        <v>0.59662199999999999</v>
      </c>
      <c r="F402" s="1">
        <v>-0.80612700000000004</v>
      </c>
      <c r="G402" s="1">
        <v>0.60659310625876695</v>
      </c>
      <c r="H402" s="1">
        <v>-0.79734393013782501</v>
      </c>
      <c r="I402">
        <f>VLOOKUP(C402,'[1]phenotypes-895'!$A$2:$G$896,7,FALSE)</f>
        <v>98</v>
      </c>
    </row>
    <row r="403" spans="1:9" x14ac:dyDescent="0.2">
      <c r="A403">
        <v>402</v>
      </c>
      <c r="B403">
        <v>50</v>
      </c>
      <c r="C403" t="s">
        <v>401</v>
      </c>
      <c r="D403" s="13" t="s">
        <v>912</v>
      </c>
      <c r="E403" s="1">
        <v>-7.14616E-2</v>
      </c>
      <c r="F403" s="1">
        <v>2.1779099999999998</v>
      </c>
      <c r="G403" s="1">
        <v>-9.7003241306297797E-2</v>
      </c>
      <c r="H403" s="1">
        <v>2.1723615950519601</v>
      </c>
      <c r="I403">
        <f>VLOOKUP(C403,'[1]phenotypes-895'!$A$2:$G$896,7,FALSE)</f>
        <v>75</v>
      </c>
    </row>
    <row r="404" spans="1:9" x14ac:dyDescent="0.2">
      <c r="A404">
        <v>403</v>
      </c>
      <c r="B404">
        <v>34</v>
      </c>
      <c r="C404" t="s">
        <v>402</v>
      </c>
      <c r="D404" s="13" t="s">
        <v>913</v>
      </c>
      <c r="E404" s="1">
        <v>-0.30308000000000002</v>
      </c>
      <c r="F404" s="1">
        <v>0.37373600000000001</v>
      </c>
      <c r="G404" s="1">
        <v>-0.33099676254099503</v>
      </c>
      <c r="H404" s="1">
        <v>0.34467162550217101</v>
      </c>
      <c r="I404">
        <f>VLOOKUP(C404,'[1]phenotypes-895'!$A$2:$G$896,7,FALSE)</f>
        <v>69</v>
      </c>
    </row>
    <row r="405" spans="1:9" x14ac:dyDescent="0.2">
      <c r="A405">
        <v>404</v>
      </c>
      <c r="B405">
        <v>49</v>
      </c>
      <c r="C405" t="s">
        <v>403</v>
      </c>
      <c r="D405" s="13" t="s">
        <v>912</v>
      </c>
      <c r="E405" s="1">
        <v>-1.9314199999999999</v>
      </c>
      <c r="F405" s="1">
        <v>-3.3584900000000002</v>
      </c>
      <c r="G405" s="1">
        <v>-1.9768914169879801</v>
      </c>
      <c r="H405" s="1">
        <v>-3.41048820778401</v>
      </c>
      <c r="I405">
        <f>VLOOKUP(C405,'[1]phenotypes-895'!$A$2:$G$896,7,FALSE)</f>
        <v>66</v>
      </c>
    </row>
    <row r="406" spans="1:9" x14ac:dyDescent="0.2">
      <c r="A406">
        <v>405</v>
      </c>
      <c r="B406">
        <v>48</v>
      </c>
      <c r="C406" t="s">
        <v>404</v>
      </c>
      <c r="D406" s="13" t="s">
        <v>912</v>
      </c>
      <c r="E406" s="1">
        <v>4.4845800000000002</v>
      </c>
      <c r="F406" s="1">
        <v>3.9264999999999999</v>
      </c>
      <c r="G406" s="1">
        <v>4.5110025673214196</v>
      </c>
      <c r="H406" s="1">
        <v>3.9535652223487601</v>
      </c>
      <c r="I406">
        <f>VLOOKUP(C406,'[1]phenotypes-895'!$A$2:$G$896,7,FALSE)</f>
        <v>98</v>
      </c>
    </row>
    <row r="407" spans="1:9" x14ac:dyDescent="0.2">
      <c r="A407">
        <v>406</v>
      </c>
      <c r="B407">
        <v>50</v>
      </c>
      <c r="C407" t="s">
        <v>405</v>
      </c>
      <c r="D407" s="13" t="s">
        <v>912</v>
      </c>
      <c r="E407" s="1">
        <v>-1.44238</v>
      </c>
      <c r="F407" s="1">
        <v>0.29015800000000003</v>
      </c>
      <c r="G407" s="1">
        <v>-1.44953130789088</v>
      </c>
      <c r="H407" s="1">
        <v>0.29241006553125198</v>
      </c>
      <c r="I407">
        <f>VLOOKUP(C407,'[1]phenotypes-895'!$A$2:$G$896,7,FALSE)</f>
        <v>56</v>
      </c>
    </row>
    <row r="408" spans="1:9" x14ac:dyDescent="0.2">
      <c r="A408">
        <v>407</v>
      </c>
      <c r="B408">
        <v>51</v>
      </c>
      <c r="C408" t="s">
        <v>406</v>
      </c>
      <c r="D408" s="13" t="s">
        <v>912</v>
      </c>
      <c r="E408" s="1">
        <v>4.7504400000000002E-2</v>
      </c>
      <c r="F408" s="1">
        <v>-0.36465599999999998</v>
      </c>
      <c r="G408" s="1">
        <v>6.69885897918339E-3</v>
      </c>
      <c r="H408" s="1">
        <v>-0.41299807845035202</v>
      </c>
      <c r="I408">
        <f>VLOOKUP(C408,'[1]phenotypes-895'!$A$2:$G$896,7,FALSE)</f>
        <v>65</v>
      </c>
    </row>
    <row r="409" spans="1:9" x14ac:dyDescent="0.2">
      <c r="A409">
        <v>408</v>
      </c>
      <c r="B409">
        <v>49</v>
      </c>
      <c r="C409" t="s">
        <v>407</v>
      </c>
      <c r="D409" s="13" t="s">
        <v>912</v>
      </c>
      <c r="E409" s="1">
        <v>2.1350600000000002</v>
      </c>
      <c r="F409" s="1">
        <v>2.4356800000000001</v>
      </c>
      <c r="G409" s="1">
        <v>2.14680813230426</v>
      </c>
      <c r="H409" s="1">
        <v>2.4479825239569899</v>
      </c>
      <c r="I409">
        <f>VLOOKUP(C409,'[1]phenotypes-895'!$A$2:$G$896,7,FALSE)</f>
        <v>60</v>
      </c>
    </row>
    <row r="410" spans="1:9" x14ac:dyDescent="0.2">
      <c r="A410">
        <v>409</v>
      </c>
      <c r="B410">
        <v>51</v>
      </c>
      <c r="C410" t="s">
        <v>408</v>
      </c>
      <c r="D410" s="13" t="s">
        <v>912</v>
      </c>
      <c r="E410" s="1">
        <v>5.9782500000000001</v>
      </c>
      <c r="F410" s="1">
        <v>6.0870699999999998</v>
      </c>
      <c r="G410" s="1">
        <v>6.0006079125526401</v>
      </c>
      <c r="H410" s="1">
        <v>6.1285661197806798</v>
      </c>
      <c r="I410">
        <f>VLOOKUP(C410,'[1]phenotypes-895'!$A$2:$G$896,7,FALSE)</f>
        <v>98</v>
      </c>
    </row>
    <row r="411" spans="1:9" x14ac:dyDescent="0.2">
      <c r="A411">
        <v>410</v>
      </c>
      <c r="B411">
        <v>50</v>
      </c>
      <c r="C411" t="s">
        <v>409</v>
      </c>
      <c r="D411" s="13" t="s">
        <v>912</v>
      </c>
      <c r="E411" s="1">
        <v>1.6336299999999999</v>
      </c>
      <c r="F411" s="1">
        <v>1.50491</v>
      </c>
      <c r="G411" s="1">
        <v>1.63908336795512</v>
      </c>
      <c r="H411" s="1">
        <v>1.5111961110934899</v>
      </c>
      <c r="I411">
        <f>VLOOKUP(C411,'[1]phenotypes-895'!$A$2:$G$896,7,FALSE)</f>
        <v>54</v>
      </c>
    </row>
    <row r="412" spans="1:9" x14ac:dyDescent="0.2">
      <c r="A412">
        <v>411</v>
      </c>
      <c r="B412">
        <v>50</v>
      </c>
      <c r="C412" t="s">
        <v>410</v>
      </c>
      <c r="D412" s="13" t="s">
        <v>912</v>
      </c>
      <c r="E412" s="1">
        <v>6.9359099999999998</v>
      </c>
      <c r="F412" s="1">
        <v>6.69381</v>
      </c>
      <c r="G412" s="1">
        <v>6.9758249164645401</v>
      </c>
      <c r="H412" s="1">
        <v>6.7363865646855796</v>
      </c>
      <c r="I412">
        <f>VLOOKUP(C412,'[1]phenotypes-895'!$A$2:$G$896,7,FALSE)</f>
        <v>98</v>
      </c>
    </row>
    <row r="413" spans="1:9" x14ac:dyDescent="0.2">
      <c r="A413">
        <v>412</v>
      </c>
      <c r="B413">
        <v>53</v>
      </c>
      <c r="C413" t="s">
        <v>411</v>
      </c>
      <c r="D413" s="13" t="s">
        <v>912</v>
      </c>
      <c r="E413" s="1">
        <v>5.8912399999999998</v>
      </c>
      <c r="F413" s="1">
        <v>6.0685200000000004</v>
      </c>
      <c r="G413" s="1">
        <v>5.8998151541066797</v>
      </c>
      <c r="H413" s="1">
        <v>6.0730468547740299</v>
      </c>
      <c r="I413">
        <f>VLOOKUP(C413,'[1]phenotypes-895'!$A$2:$G$896,7,FALSE)</f>
        <v>98</v>
      </c>
    </row>
    <row r="414" spans="1:9" x14ac:dyDescent="0.2">
      <c r="A414">
        <v>413</v>
      </c>
      <c r="B414">
        <v>49</v>
      </c>
      <c r="C414" t="s">
        <v>412</v>
      </c>
      <c r="D414" s="13" t="s">
        <v>912</v>
      </c>
      <c r="E414" s="1">
        <v>0.18284800000000001</v>
      </c>
      <c r="F414" s="1">
        <v>0.52948099999999998</v>
      </c>
      <c r="G414" s="1">
        <v>0.17804075965684801</v>
      </c>
      <c r="H414" s="1">
        <v>0.52638615946669798</v>
      </c>
      <c r="I414">
        <f>VLOOKUP(C414,'[1]phenotypes-895'!$A$2:$G$896,7,FALSE)</f>
        <v>98</v>
      </c>
    </row>
    <row r="415" spans="1:9" x14ac:dyDescent="0.2">
      <c r="A415">
        <v>414</v>
      </c>
      <c r="B415">
        <v>50</v>
      </c>
      <c r="C415" t="s">
        <v>413</v>
      </c>
      <c r="D415" s="13" t="s">
        <v>912</v>
      </c>
      <c r="E415" s="1">
        <v>5.7973800000000004</v>
      </c>
      <c r="F415" s="1">
        <v>7.5705400000000003</v>
      </c>
      <c r="G415" s="1">
        <v>5.8005614606581499</v>
      </c>
      <c r="H415" s="1">
        <v>7.5867450872722202</v>
      </c>
      <c r="I415">
        <f>VLOOKUP(C415,'[1]phenotypes-895'!$A$2:$G$896,7,FALSE)</f>
        <v>89</v>
      </c>
    </row>
    <row r="416" spans="1:9" x14ac:dyDescent="0.2">
      <c r="A416">
        <v>415</v>
      </c>
      <c r="B416">
        <v>48</v>
      </c>
      <c r="C416" t="s">
        <v>414</v>
      </c>
      <c r="D416" s="13" t="s">
        <v>912</v>
      </c>
      <c r="E416" s="1">
        <v>3.1771099999999999</v>
      </c>
      <c r="F416" s="1">
        <v>4.4854099999999999</v>
      </c>
      <c r="G416" s="1">
        <v>3.20881309834279</v>
      </c>
      <c r="H416" s="1">
        <v>4.5312506169971503</v>
      </c>
      <c r="I416">
        <f>VLOOKUP(C416,'[1]phenotypes-895'!$A$2:$G$896,7,FALSE)</f>
        <v>91</v>
      </c>
    </row>
    <row r="417" spans="1:9" x14ac:dyDescent="0.2">
      <c r="A417">
        <v>416</v>
      </c>
      <c r="B417">
        <v>45</v>
      </c>
      <c r="C417" t="s">
        <v>415</v>
      </c>
      <c r="D417" s="13" t="s">
        <v>912</v>
      </c>
      <c r="E417" s="1">
        <v>-1.68919</v>
      </c>
      <c r="F417" s="1">
        <v>-1.87795</v>
      </c>
      <c r="G417" s="1">
        <v>-1.47681647902423</v>
      </c>
      <c r="H417" s="1">
        <v>-1.63006054501116</v>
      </c>
      <c r="I417">
        <f>VLOOKUP(C417,'[1]phenotypes-895'!$A$2:$G$896,7,FALSE)</f>
        <v>98</v>
      </c>
    </row>
    <row r="418" spans="1:9" x14ac:dyDescent="0.2">
      <c r="A418">
        <v>417</v>
      </c>
      <c r="B418">
        <v>42</v>
      </c>
      <c r="C418" t="s">
        <v>416</v>
      </c>
      <c r="D418" s="13" t="s">
        <v>912</v>
      </c>
      <c r="E418" s="1">
        <v>-0.12798300000000001</v>
      </c>
      <c r="F418" s="1">
        <v>2.2175699999999998</v>
      </c>
      <c r="G418" s="1">
        <v>-0.13218201977156099</v>
      </c>
      <c r="H418" s="1">
        <v>2.22706098033462</v>
      </c>
      <c r="I418">
        <f>VLOOKUP(C418,'[1]phenotypes-895'!$A$2:$G$896,7,FALSE)</f>
        <v>88</v>
      </c>
    </row>
    <row r="419" spans="1:9" x14ac:dyDescent="0.2">
      <c r="A419">
        <v>418</v>
      </c>
      <c r="B419">
        <v>42</v>
      </c>
      <c r="C419" t="s">
        <v>417</v>
      </c>
      <c r="D419" s="13" t="s">
        <v>912</v>
      </c>
      <c r="E419" s="1">
        <v>-1.3471500000000001</v>
      </c>
      <c r="F419" s="1">
        <v>0.81960299999999997</v>
      </c>
      <c r="G419" s="1">
        <v>-1.4036679095246001</v>
      </c>
      <c r="H419" s="1">
        <v>0.76305074285948304</v>
      </c>
      <c r="I419">
        <f>VLOOKUP(C419,'[1]phenotypes-895'!$A$2:$G$896,7,FALSE)</f>
        <v>98</v>
      </c>
    </row>
    <row r="420" spans="1:9" x14ac:dyDescent="0.2">
      <c r="A420">
        <v>419</v>
      </c>
      <c r="B420">
        <v>54</v>
      </c>
      <c r="C420" t="s">
        <v>418</v>
      </c>
      <c r="D420" s="13" t="s">
        <v>912</v>
      </c>
      <c r="E420" s="1">
        <v>7.5720000000000001</v>
      </c>
      <c r="F420" s="1">
        <v>7.4266500000000004</v>
      </c>
      <c r="G420" s="1">
        <v>7.56373008637813</v>
      </c>
      <c r="H420" s="1">
        <v>7.4206804020258996</v>
      </c>
      <c r="I420">
        <f>VLOOKUP(C420,'[1]phenotypes-895'!$A$2:$G$896,7,FALSE)</f>
        <v>98</v>
      </c>
    </row>
    <row r="421" spans="1:9" x14ac:dyDescent="0.2">
      <c r="A421">
        <v>420</v>
      </c>
      <c r="B421">
        <v>53</v>
      </c>
      <c r="C421" t="s">
        <v>419</v>
      </c>
      <c r="D421" s="13" t="s">
        <v>912</v>
      </c>
      <c r="E421" s="1">
        <v>1.50989</v>
      </c>
      <c r="F421" s="1">
        <v>-0.35772100000000001</v>
      </c>
      <c r="G421" s="1">
        <v>1.4831853823433301</v>
      </c>
      <c r="H421" s="1">
        <v>-0.385457529675863</v>
      </c>
      <c r="I421">
        <f>VLOOKUP(C421,'[1]phenotypes-895'!$A$2:$G$896,7,FALSE)</f>
        <v>98</v>
      </c>
    </row>
    <row r="422" spans="1:9" x14ac:dyDescent="0.2">
      <c r="A422">
        <v>421</v>
      </c>
      <c r="B422">
        <v>42</v>
      </c>
      <c r="C422" t="s">
        <v>420</v>
      </c>
      <c r="D422" s="13" t="s">
        <v>912</v>
      </c>
      <c r="E422" s="1">
        <v>1.01799</v>
      </c>
      <c r="F422" s="1">
        <v>2.4302800000000002</v>
      </c>
      <c r="G422" s="1">
        <v>1.01706662229444</v>
      </c>
      <c r="H422" s="1">
        <v>2.4366155254940298</v>
      </c>
      <c r="I422">
        <f>VLOOKUP(C422,'[1]phenotypes-895'!$A$2:$G$896,7,FALSE)</f>
        <v>98</v>
      </c>
    </row>
    <row r="423" spans="1:9" x14ac:dyDescent="0.2">
      <c r="A423">
        <v>422</v>
      </c>
      <c r="B423">
        <v>31</v>
      </c>
      <c r="C423" t="s">
        <v>421</v>
      </c>
      <c r="D423" s="13" t="s">
        <v>913</v>
      </c>
      <c r="E423" s="1">
        <v>-2.0294300000000001</v>
      </c>
      <c r="F423" s="1">
        <v>-4.2826199999999996</v>
      </c>
      <c r="G423" s="1">
        <v>-2.0324411775077702</v>
      </c>
      <c r="H423" s="1">
        <v>-4.2834191576376899</v>
      </c>
      <c r="I423">
        <f>VLOOKUP(C423,'[1]phenotypes-895'!$A$2:$G$896,7,FALSE)</f>
        <v>64</v>
      </c>
    </row>
    <row r="424" spans="1:9" x14ac:dyDescent="0.2">
      <c r="A424">
        <v>423</v>
      </c>
      <c r="B424">
        <v>48</v>
      </c>
      <c r="C424" t="s">
        <v>422</v>
      </c>
      <c r="D424" s="13" t="s">
        <v>912</v>
      </c>
      <c r="E424" s="1">
        <v>-3.4721299999999999</v>
      </c>
      <c r="F424" s="1">
        <v>-3.1672600000000002</v>
      </c>
      <c r="G424" s="1">
        <v>-3.4936634349507898</v>
      </c>
      <c r="H424" s="1">
        <v>-3.1912623136307601</v>
      </c>
      <c r="I424">
        <f>VLOOKUP(C424,'[1]phenotypes-895'!$A$2:$G$896,7,FALSE)</f>
        <v>58</v>
      </c>
    </row>
    <row r="425" spans="1:9" x14ac:dyDescent="0.2">
      <c r="A425">
        <v>424</v>
      </c>
      <c r="B425">
        <v>29</v>
      </c>
      <c r="C425" t="s">
        <v>423</v>
      </c>
      <c r="D425" s="13" t="s">
        <v>913</v>
      </c>
      <c r="E425" s="1">
        <v>1.1731199999999999</v>
      </c>
      <c r="F425" s="1">
        <v>0.41060000000000002</v>
      </c>
      <c r="G425" s="1">
        <v>1.19055925047803</v>
      </c>
      <c r="H425" s="1">
        <v>0.431436826786738</v>
      </c>
      <c r="I425">
        <f>VLOOKUP(C425,'[1]phenotypes-895'!$A$2:$G$896,7,FALSE)</f>
        <v>98</v>
      </c>
    </row>
    <row r="426" spans="1:9" x14ac:dyDescent="0.2">
      <c r="A426">
        <v>425</v>
      </c>
      <c r="B426">
        <v>52</v>
      </c>
      <c r="C426" t="s">
        <v>424</v>
      </c>
      <c r="D426" s="13" t="s">
        <v>912</v>
      </c>
      <c r="E426" s="1">
        <v>2.53125</v>
      </c>
      <c r="F426" s="1">
        <v>4.4090400000000001</v>
      </c>
      <c r="G426" s="1">
        <v>2.5038908871185401</v>
      </c>
      <c r="H426" s="1">
        <v>4.3817990963529798</v>
      </c>
      <c r="I426">
        <f>VLOOKUP(C426,'[1]phenotypes-895'!$A$2:$G$896,7,FALSE)</f>
        <v>57</v>
      </c>
    </row>
    <row r="427" spans="1:9" x14ac:dyDescent="0.2">
      <c r="A427">
        <v>426</v>
      </c>
      <c r="B427">
        <v>50</v>
      </c>
      <c r="C427" t="s">
        <v>425</v>
      </c>
      <c r="D427" s="13" t="s">
        <v>912</v>
      </c>
      <c r="E427" s="1">
        <v>4.4461399999999998</v>
      </c>
      <c r="F427" s="1">
        <v>5.4512799999999997</v>
      </c>
      <c r="G427" s="1">
        <v>4.4769087832134504</v>
      </c>
      <c r="H427" s="1">
        <v>5.4920118764738604</v>
      </c>
      <c r="I427">
        <f>VLOOKUP(C427,'[1]phenotypes-895'!$A$2:$G$896,7,FALSE)</f>
        <v>98</v>
      </c>
    </row>
    <row r="428" spans="1:9" x14ac:dyDescent="0.2">
      <c r="A428">
        <v>427</v>
      </c>
      <c r="B428">
        <v>49</v>
      </c>
      <c r="C428" t="s">
        <v>426</v>
      </c>
      <c r="D428" s="13" t="s">
        <v>912</v>
      </c>
      <c r="E428" s="1">
        <v>3.4056099999999998</v>
      </c>
      <c r="F428" s="1">
        <v>4.9260099999999998</v>
      </c>
      <c r="G428" s="1">
        <v>3.3609481409626998</v>
      </c>
      <c r="H428" s="1">
        <v>4.8901822553393304</v>
      </c>
      <c r="I428">
        <f>VLOOKUP(C428,'[1]phenotypes-895'!$A$2:$G$896,7,FALSE)</f>
        <v>63</v>
      </c>
    </row>
    <row r="429" spans="1:9" x14ac:dyDescent="0.2">
      <c r="A429">
        <v>428</v>
      </c>
      <c r="B429">
        <v>53</v>
      </c>
      <c r="C429" t="s">
        <v>427</v>
      </c>
      <c r="D429" s="13" t="s">
        <v>912</v>
      </c>
      <c r="E429" s="1">
        <v>-2.7669999999999999</v>
      </c>
      <c r="F429" s="1">
        <v>-2.2209699999999999</v>
      </c>
      <c r="G429" s="1">
        <v>-2.7876757324235002</v>
      </c>
      <c r="H429" s="1">
        <v>-2.2422700728341098</v>
      </c>
      <c r="I429">
        <f>VLOOKUP(C429,'[1]phenotypes-895'!$A$2:$G$896,7,FALSE)</f>
        <v>62</v>
      </c>
    </row>
    <row r="430" spans="1:9" x14ac:dyDescent="0.2">
      <c r="A430">
        <v>429</v>
      </c>
      <c r="B430">
        <v>50</v>
      </c>
      <c r="C430" t="s">
        <v>428</v>
      </c>
      <c r="D430" s="13" t="s">
        <v>912</v>
      </c>
      <c r="E430" s="1">
        <v>4.0796900000000003</v>
      </c>
      <c r="F430" s="1">
        <v>6.4139999999999997</v>
      </c>
      <c r="G430" s="1">
        <v>4.0624680563467601</v>
      </c>
      <c r="H430" s="1">
        <v>6.3952503947185697</v>
      </c>
      <c r="I430">
        <f>VLOOKUP(C430,'[1]phenotypes-895'!$A$2:$G$896,7,FALSE)</f>
        <v>98</v>
      </c>
    </row>
    <row r="431" spans="1:9" x14ac:dyDescent="0.2">
      <c r="A431">
        <v>430</v>
      </c>
      <c r="B431">
        <v>43</v>
      </c>
      <c r="C431" t="s">
        <v>429</v>
      </c>
      <c r="D431" s="13" t="s">
        <v>912</v>
      </c>
      <c r="E431" s="1">
        <v>-1.9359200000000001</v>
      </c>
      <c r="F431" s="1">
        <v>-2.1298400000000002</v>
      </c>
      <c r="G431" s="1">
        <v>-1.8860847484727701</v>
      </c>
      <c r="H431" s="1">
        <v>-2.0708859648620002</v>
      </c>
      <c r="I431">
        <f>VLOOKUP(C431,'[1]phenotypes-895'!$A$2:$G$896,7,FALSE)</f>
        <v>68</v>
      </c>
    </row>
    <row r="432" spans="1:9" x14ac:dyDescent="0.2">
      <c r="A432">
        <v>431</v>
      </c>
      <c r="B432">
        <v>42</v>
      </c>
      <c r="C432" t="s">
        <v>430</v>
      </c>
      <c r="D432" s="13" t="s">
        <v>912</v>
      </c>
      <c r="E432" s="1">
        <v>-2.0209000000000001</v>
      </c>
      <c r="F432" s="1">
        <v>-3.9965799999999998</v>
      </c>
      <c r="G432" s="1">
        <v>-2.0667891525827198</v>
      </c>
      <c r="H432" s="1">
        <v>-4.04520457010935</v>
      </c>
      <c r="I432">
        <f>VLOOKUP(C432,'[1]phenotypes-895'!$A$2:$G$896,7,FALSE)</f>
        <v>65</v>
      </c>
    </row>
    <row r="433" spans="1:9" x14ac:dyDescent="0.2">
      <c r="A433">
        <v>432</v>
      </c>
      <c r="B433">
        <v>50</v>
      </c>
      <c r="C433" t="s">
        <v>431</v>
      </c>
      <c r="D433" s="13" t="s">
        <v>912</v>
      </c>
      <c r="E433" s="1">
        <v>3.96469</v>
      </c>
      <c r="F433" s="1">
        <v>5.1337700000000002</v>
      </c>
      <c r="G433" s="1">
        <v>3.9752450150886198</v>
      </c>
      <c r="H433" s="1">
        <v>5.1645111422493102</v>
      </c>
      <c r="I433">
        <f>VLOOKUP(C433,'[1]phenotypes-895'!$A$2:$G$896,7,FALSE)</f>
        <v>98</v>
      </c>
    </row>
    <row r="434" spans="1:9" x14ac:dyDescent="0.2">
      <c r="A434">
        <v>433</v>
      </c>
      <c r="B434">
        <v>45</v>
      </c>
      <c r="C434" t="s">
        <v>432</v>
      </c>
      <c r="D434" s="13" t="s">
        <v>912</v>
      </c>
      <c r="E434" s="1">
        <v>5.2541799999999999</v>
      </c>
      <c r="F434" s="1">
        <v>7.2420900000000001</v>
      </c>
      <c r="G434" s="1">
        <v>5.3090349417568703</v>
      </c>
      <c r="H434" s="1">
        <v>7.2980141326748003</v>
      </c>
      <c r="I434">
        <f>VLOOKUP(C434,'[1]phenotypes-895'!$A$2:$G$896,7,FALSE)</f>
        <v>98</v>
      </c>
    </row>
    <row r="435" spans="1:9" x14ac:dyDescent="0.2">
      <c r="A435">
        <v>434</v>
      </c>
      <c r="B435">
        <v>42</v>
      </c>
      <c r="C435" t="s">
        <v>433</v>
      </c>
      <c r="D435" s="13" t="s">
        <v>912</v>
      </c>
      <c r="E435" s="1">
        <v>3.1104099999999999</v>
      </c>
      <c r="F435" s="1">
        <v>2.8022800000000001</v>
      </c>
      <c r="G435" s="1">
        <v>3.0628279635201401</v>
      </c>
      <c r="H435" s="1">
        <v>2.7581256049902398</v>
      </c>
      <c r="I435">
        <f>VLOOKUP(C435,'[1]phenotypes-895'!$A$2:$G$896,7,FALSE)</f>
        <v>98</v>
      </c>
    </row>
    <row r="436" spans="1:9" x14ac:dyDescent="0.2">
      <c r="A436">
        <v>435</v>
      </c>
      <c r="B436">
        <v>42</v>
      </c>
      <c r="C436" t="s">
        <v>434</v>
      </c>
      <c r="D436" s="13" t="s">
        <v>912</v>
      </c>
      <c r="E436" s="1">
        <v>2.82355</v>
      </c>
      <c r="F436" s="1">
        <v>3.71766</v>
      </c>
      <c r="G436" s="1">
        <v>2.7805716890732501</v>
      </c>
      <c r="H436" s="1">
        <v>3.6733234024071901</v>
      </c>
      <c r="I436">
        <f>VLOOKUP(C436,'[1]phenotypes-895'!$A$2:$G$896,7,FALSE)</f>
        <v>98</v>
      </c>
    </row>
    <row r="437" spans="1:9" x14ac:dyDescent="0.2">
      <c r="A437">
        <v>436</v>
      </c>
      <c r="B437">
        <v>41</v>
      </c>
      <c r="C437" t="s">
        <v>435</v>
      </c>
      <c r="D437" s="13" t="s">
        <v>912</v>
      </c>
      <c r="E437" s="1">
        <v>1.1284700000000001</v>
      </c>
      <c r="F437" s="1">
        <v>1.0967199999999999</v>
      </c>
      <c r="G437" s="1">
        <v>1.11952179074268</v>
      </c>
      <c r="H437" s="1">
        <v>1.0749524787390099</v>
      </c>
      <c r="I437">
        <f>VLOOKUP(C437,'[1]phenotypes-895'!$A$2:$G$896,7,FALSE)</f>
        <v>98</v>
      </c>
    </row>
    <row r="438" spans="1:9" x14ac:dyDescent="0.2">
      <c r="A438">
        <v>437</v>
      </c>
      <c r="B438">
        <v>49</v>
      </c>
      <c r="C438" t="s">
        <v>436</v>
      </c>
      <c r="D438" s="13" t="s">
        <v>912</v>
      </c>
      <c r="E438" s="1">
        <v>-1.3715999999999999</v>
      </c>
      <c r="F438" s="1">
        <v>0.13663900000000001</v>
      </c>
      <c r="G438" s="1">
        <v>-1.3986730053379299</v>
      </c>
      <c r="H438" s="1">
        <v>0.11543765334202701</v>
      </c>
      <c r="I438">
        <f>VLOOKUP(C438,'[1]phenotypes-895'!$A$2:$G$896,7,FALSE)</f>
        <v>98</v>
      </c>
    </row>
    <row r="439" spans="1:9" x14ac:dyDescent="0.2">
      <c r="A439">
        <v>438</v>
      </c>
      <c r="B439">
        <v>50</v>
      </c>
      <c r="C439" t="s">
        <v>437</v>
      </c>
      <c r="D439" s="13" t="s">
        <v>912</v>
      </c>
      <c r="E439" s="1">
        <v>-1.3385499999999999</v>
      </c>
      <c r="F439" s="1">
        <v>-1.5850900000000001</v>
      </c>
      <c r="G439" s="1">
        <v>-1.3429637912624</v>
      </c>
      <c r="H439" s="1">
        <v>-1.5771203980561099</v>
      </c>
      <c r="I439">
        <f>VLOOKUP(C439,'[1]phenotypes-895'!$A$2:$G$896,7,FALSE)</f>
        <v>88</v>
      </c>
    </row>
    <row r="440" spans="1:9" x14ac:dyDescent="0.2">
      <c r="A440">
        <v>439</v>
      </c>
      <c r="B440">
        <v>54</v>
      </c>
      <c r="C440" t="s">
        <v>438</v>
      </c>
      <c r="D440" s="13" t="s">
        <v>912</v>
      </c>
      <c r="E440" s="1">
        <v>0.82457899999999995</v>
      </c>
      <c r="F440" s="1">
        <v>-0.33439600000000003</v>
      </c>
      <c r="G440" s="1">
        <v>0.81382719435669704</v>
      </c>
      <c r="H440" s="1">
        <v>-0.341298352342366</v>
      </c>
      <c r="I440">
        <f>VLOOKUP(C440,'[1]phenotypes-895'!$A$2:$G$896,7,FALSE)</f>
        <v>98</v>
      </c>
    </row>
    <row r="441" spans="1:9" x14ac:dyDescent="0.2">
      <c r="A441">
        <v>440</v>
      </c>
      <c r="B441">
        <v>52</v>
      </c>
      <c r="C441" t="s">
        <v>439</v>
      </c>
      <c r="D441" s="13" t="s">
        <v>912</v>
      </c>
      <c r="E441" s="1">
        <v>-0.95933199999999996</v>
      </c>
      <c r="F441" s="1">
        <v>-0.85239200000000004</v>
      </c>
      <c r="G441" s="1">
        <v>-0.998655066677688</v>
      </c>
      <c r="H441" s="1">
        <v>-0.899455317930134</v>
      </c>
      <c r="I441">
        <f>VLOOKUP(C441,'[1]phenotypes-895'!$A$2:$G$896,7,FALSE)</f>
        <v>98</v>
      </c>
    </row>
    <row r="442" spans="1:9" x14ac:dyDescent="0.2">
      <c r="A442">
        <v>441</v>
      </c>
      <c r="B442">
        <v>40</v>
      </c>
      <c r="C442" t="s">
        <v>440</v>
      </c>
      <c r="D442" s="13" t="s">
        <v>913</v>
      </c>
      <c r="E442" s="1">
        <v>0.64957200000000004</v>
      </c>
      <c r="F442" s="1">
        <v>1.07988</v>
      </c>
      <c r="G442" s="1">
        <v>0.67220981406346303</v>
      </c>
      <c r="H442" s="1">
        <v>1.0931138034105901</v>
      </c>
      <c r="I442">
        <f>VLOOKUP(C442,'[1]phenotypes-895'!$A$2:$G$896,7,FALSE)</f>
        <v>98</v>
      </c>
    </row>
    <row r="443" spans="1:9" x14ac:dyDescent="0.2">
      <c r="A443">
        <v>442</v>
      </c>
      <c r="B443">
        <v>50</v>
      </c>
      <c r="C443" t="s">
        <v>441</v>
      </c>
      <c r="D443" s="13" t="s">
        <v>912</v>
      </c>
      <c r="E443" s="1">
        <v>2.9879099999999998</v>
      </c>
      <c r="F443" s="1">
        <v>1.63028</v>
      </c>
      <c r="G443" s="1">
        <v>2.8938812366159001</v>
      </c>
      <c r="H443" s="1">
        <v>1.52598856745833</v>
      </c>
      <c r="I443">
        <f>VLOOKUP(C443,'[1]phenotypes-895'!$A$2:$G$896,7,FALSE)</f>
        <v>98</v>
      </c>
    </row>
    <row r="444" spans="1:9" x14ac:dyDescent="0.2">
      <c r="A444">
        <v>443</v>
      </c>
      <c r="B444">
        <v>29</v>
      </c>
      <c r="C444" t="s">
        <v>442</v>
      </c>
      <c r="D444" s="13" t="s">
        <v>913</v>
      </c>
      <c r="E444" s="1">
        <v>5.4689300000000003</v>
      </c>
      <c r="F444" s="1">
        <v>3.9498899999999999</v>
      </c>
      <c r="G444" s="1">
        <v>5.4602834169780996</v>
      </c>
      <c r="H444" s="1">
        <v>3.9396022339609398</v>
      </c>
      <c r="I444">
        <f>VLOOKUP(C444,'[1]phenotypes-895'!$A$2:$G$896,7,FALSE)</f>
        <v>98</v>
      </c>
    </row>
    <row r="445" spans="1:9" x14ac:dyDescent="0.2">
      <c r="A445">
        <v>444</v>
      </c>
      <c r="B445">
        <v>46</v>
      </c>
      <c r="C445" t="s">
        <v>443</v>
      </c>
      <c r="D445" s="13" t="s">
        <v>912</v>
      </c>
      <c r="E445" s="1">
        <v>3.2056</v>
      </c>
      <c r="F445" s="1">
        <v>2.0336400000000001</v>
      </c>
      <c r="G445" s="1">
        <v>3.19566242732343</v>
      </c>
      <c r="H445" s="1">
        <v>2.0208042235034398</v>
      </c>
      <c r="I445">
        <f>VLOOKUP(C445,'[1]phenotypes-895'!$A$2:$G$896,7,FALSE)</f>
        <v>60</v>
      </c>
    </row>
    <row r="446" spans="1:9" x14ac:dyDescent="0.2">
      <c r="A446">
        <v>445</v>
      </c>
      <c r="B446">
        <v>52</v>
      </c>
      <c r="C446" t="s">
        <v>444</v>
      </c>
      <c r="D446" s="13" t="s">
        <v>912</v>
      </c>
      <c r="E446" s="1">
        <v>2.33487</v>
      </c>
      <c r="F446" s="1">
        <v>3.6137100000000002</v>
      </c>
      <c r="G446" s="1">
        <v>2.32113676346161</v>
      </c>
      <c r="H446" s="1">
        <v>3.6018254135438101</v>
      </c>
      <c r="I446">
        <f>VLOOKUP(C446,'[1]phenotypes-895'!$A$2:$G$896,7,FALSE)</f>
        <v>85</v>
      </c>
    </row>
    <row r="447" spans="1:9" x14ac:dyDescent="0.2">
      <c r="A447">
        <v>446</v>
      </c>
      <c r="B447">
        <v>46</v>
      </c>
      <c r="C447" t="s">
        <v>445</v>
      </c>
      <c r="D447" s="13" t="s">
        <v>912</v>
      </c>
      <c r="E447" s="1">
        <v>0.26169100000000001</v>
      </c>
      <c r="F447" s="1">
        <v>1.89347</v>
      </c>
      <c r="G447" s="1">
        <v>0.241877822867436</v>
      </c>
      <c r="H447" s="1">
        <v>1.8832980741743699</v>
      </c>
      <c r="I447">
        <f>VLOOKUP(C447,'[1]phenotypes-895'!$A$2:$G$896,7,FALSE)</f>
        <v>98</v>
      </c>
    </row>
    <row r="448" spans="1:9" x14ac:dyDescent="0.2">
      <c r="A448">
        <v>447</v>
      </c>
      <c r="B448">
        <v>50</v>
      </c>
      <c r="C448" t="s">
        <v>446</v>
      </c>
      <c r="D448" s="13" t="s">
        <v>912</v>
      </c>
      <c r="E448" s="1">
        <v>-4.9533800000000001</v>
      </c>
      <c r="F448" s="1">
        <v>-3.3810500000000001</v>
      </c>
      <c r="G448" s="1">
        <v>-4.9372549670406602</v>
      </c>
      <c r="H448" s="1">
        <v>-3.3716506685216499</v>
      </c>
      <c r="I448">
        <f>VLOOKUP(C448,'[1]phenotypes-895'!$A$2:$G$896,7,FALSE)</f>
        <v>60</v>
      </c>
    </row>
    <row r="449" spans="1:9" x14ac:dyDescent="0.2">
      <c r="A449">
        <v>448</v>
      </c>
      <c r="B449">
        <v>42</v>
      </c>
      <c r="C449" t="s">
        <v>447</v>
      </c>
      <c r="D449" s="13" t="s">
        <v>912</v>
      </c>
      <c r="E449" s="1">
        <v>-2.70025</v>
      </c>
      <c r="F449" s="1">
        <v>-3.4931700000000001</v>
      </c>
      <c r="G449" s="1">
        <v>-2.7465239669776098</v>
      </c>
      <c r="H449" s="1">
        <v>-3.5421439209751102</v>
      </c>
      <c r="I449">
        <f>VLOOKUP(C449,'[1]phenotypes-895'!$A$2:$G$896,7,FALSE)</f>
        <v>55</v>
      </c>
    </row>
    <row r="450" spans="1:9" x14ac:dyDescent="0.2">
      <c r="A450">
        <v>449</v>
      </c>
      <c r="B450">
        <v>53</v>
      </c>
      <c r="C450" t="s">
        <v>448</v>
      </c>
      <c r="D450" s="13" t="s">
        <v>912</v>
      </c>
      <c r="E450" s="1">
        <v>2.7604199999999999</v>
      </c>
      <c r="F450" s="1">
        <v>4.2444800000000003</v>
      </c>
      <c r="G450" s="1">
        <v>2.7728239206459802</v>
      </c>
      <c r="H450" s="1">
        <v>4.2683215459233796</v>
      </c>
      <c r="I450">
        <f>VLOOKUP(C450,'[1]phenotypes-895'!$A$2:$G$896,7,FALSE)</f>
        <v>98</v>
      </c>
    </row>
    <row r="451" spans="1:9" x14ac:dyDescent="0.2">
      <c r="A451">
        <v>450</v>
      </c>
      <c r="B451">
        <v>49</v>
      </c>
      <c r="C451" t="s">
        <v>449</v>
      </c>
      <c r="D451" s="13" t="s">
        <v>912</v>
      </c>
      <c r="E451" s="1">
        <v>0.63095800000000002</v>
      </c>
      <c r="F451" s="1">
        <v>-1.0782099999999999</v>
      </c>
      <c r="G451" s="1">
        <v>0.62503270217071105</v>
      </c>
      <c r="H451" s="1">
        <v>-1.0808992135433</v>
      </c>
      <c r="I451">
        <f>VLOOKUP(C451,'[1]phenotypes-895'!$A$2:$G$896,7,FALSE)</f>
        <v>98</v>
      </c>
    </row>
    <row r="452" spans="1:9" x14ac:dyDescent="0.2">
      <c r="A452">
        <v>451</v>
      </c>
      <c r="B452">
        <v>44</v>
      </c>
      <c r="C452" t="s">
        <v>450</v>
      </c>
      <c r="D452" s="13" t="s">
        <v>912</v>
      </c>
      <c r="E452" s="1">
        <v>-0.25298999999999999</v>
      </c>
      <c r="F452" s="1">
        <v>1.26457</v>
      </c>
      <c r="G452" s="1">
        <v>-0.247801055903382</v>
      </c>
      <c r="H452" s="1">
        <v>1.2755250837712999</v>
      </c>
      <c r="I452">
        <f>VLOOKUP(C452,'[1]phenotypes-895'!$A$2:$G$896,7,FALSE)</f>
        <v>67</v>
      </c>
    </row>
    <row r="453" spans="1:9" x14ac:dyDescent="0.2">
      <c r="A453">
        <v>452</v>
      </c>
      <c r="B453">
        <v>42</v>
      </c>
      <c r="C453" t="s">
        <v>451</v>
      </c>
      <c r="D453" s="13" t="s">
        <v>912</v>
      </c>
      <c r="E453" s="1">
        <v>1.14954</v>
      </c>
      <c r="F453" s="1">
        <v>0.39653100000000002</v>
      </c>
      <c r="G453" s="1">
        <v>1.1836751091556501</v>
      </c>
      <c r="H453" s="1">
        <v>0.43582175546523999</v>
      </c>
      <c r="I453">
        <f>VLOOKUP(C453,'[1]phenotypes-895'!$A$2:$G$896,7,FALSE)</f>
        <v>88</v>
      </c>
    </row>
    <row r="454" spans="1:9" x14ac:dyDescent="0.2">
      <c r="A454">
        <v>453</v>
      </c>
      <c r="B454">
        <v>53</v>
      </c>
      <c r="C454" t="s">
        <v>452</v>
      </c>
      <c r="D454" s="13" t="s">
        <v>912</v>
      </c>
      <c r="E454" s="1">
        <v>4.1669700000000001</v>
      </c>
      <c r="F454" s="1">
        <v>5.2870200000000001</v>
      </c>
      <c r="G454" s="1">
        <v>4.1674438599312902</v>
      </c>
      <c r="H454" s="1">
        <v>5.2872768264483501</v>
      </c>
      <c r="I454">
        <f>VLOOKUP(C454,'[1]phenotypes-895'!$A$2:$G$896,7,FALSE)</f>
        <v>98</v>
      </c>
    </row>
    <row r="455" spans="1:9" x14ac:dyDescent="0.2">
      <c r="A455">
        <v>454</v>
      </c>
      <c r="B455">
        <v>45</v>
      </c>
      <c r="C455" t="s">
        <v>453</v>
      </c>
      <c r="D455" s="13" t="s">
        <v>912</v>
      </c>
      <c r="E455" s="1">
        <v>-2.0098799999999999</v>
      </c>
      <c r="F455" s="1">
        <v>0.49082199999999998</v>
      </c>
      <c r="G455" s="1">
        <v>-1.99443840534548</v>
      </c>
      <c r="H455" s="1">
        <v>0.50806266428605695</v>
      </c>
      <c r="I455">
        <f>VLOOKUP(C455,'[1]phenotypes-895'!$A$2:$G$896,7,FALSE)</f>
        <v>74</v>
      </c>
    </row>
    <row r="456" spans="1:9" x14ac:dyDescent="0.2">
      <c r="A456">
        <v>455</v>
      </c>
      <c r="B456">
        <v>48</v>
      </c>
      <c r="C456" t="s">
        <v>454</v>
      </c>
      <c r="D456" s="13" t="s">
        <v>912</v>
      </c>
      <c r="E456" s="1">
        <v>4.8283699999999996</v>
      </c>
      <c r="F456" s="1">
        <v>4.5803099999999999</v>
      </c>
      <c r="G456" s="1">
        <v>4.8093390981219697</v>
      </c>
      <c r="H456" s="1">
        <v>4.5648227726479504</v>
      </c>
      <c r="I456">
        <f>VLOOKUP(C456,'[1]phenotypes-895'!$A$2:$G$896,7,FALSE)</f>
        <v>81</v>
      </c>
    </row>
    <row r="457" spans="1:9" x14ac:dyDescent="0.2">
      <c r="A457">
        <v>456</v>
      </c>
      <c r="B457">
        <v>53</v>
      </c>
      <c r="C457" t="s">
        <v>455</v>
      </c>
      <c r="D457" s="13" t="s">
        <v>912</v>
      </c>
      <c r="E457" s="1">
        <v>1.5047900000000001</v>
      </c>
      <c r="F457" s="1">
        <v>4.0269199999999996</v>
      </c>
      <c r="G457" s="1">
        <v>1.52335665660538</v>
      </c>
      <c r="H457" s="1">
        <v>4.0474303280938404</v>
      </c>
      <c r="I457">
        <f>VLOOKUP(C457,'[1]phenotypes-895'!$A$2:$G$896,7,FALSE)</f>
        <v>98</v>
      </c>
    </row>
    <row r="458" spans="1:9" x14ac:dyDescent="0.2">
      <c r="A458">
        <v>457</v>
      </c>
      <c r="B458">
        <v>45</v>
      </c>
      <c r="C458" t="s">
        <v>456</v>
      </c>
      <c r="D458" s="13" t="s">
        <v>912</v>
      </c>
      <c r="E458" s="1">
        <v>5.9687299999999999</v>
      </c>
      <c r="F458" s="1">
        <v>5.6480399999999999</v>
      </c>
      <c r="G458" s="1">
        <v>5.9382648635000397</v>
      </c>
      <c r="H458" s="1">
        <v>5.61458037917465</v>
      </c>
      <c r="I458">
        <f>VLOOKUP(C458,'[1]phenotypes-895'!$A$2:$G$896,7,FALSE)</f>
        <v>98</v>
      </c>
    </row>
    <row r="459" spans="1:9" x14ac:dyDescent="0.2">
      <c r="A459">
        <v>458</v>
      </c>
      <c r="B459">
        <v>50</v>
      </c>
      <c r="C459" t="s">
        <v>457</v>
      </c>
      <c r="D459" s="13" t="s">
        <v>912</v>
      </c>
      <c r="E459" s="1">
        <v>-0.83291099999999996</v>
      </c>
      <c r="F459" s="1">
        <v>-2.0944500000000001</v>
      </c>
      <c r="G459" s="1">
        <v>-0.90394052301587302</v>
      </c>
      <c r="H459" s="1">
        <v>-2.1761905493539202</v>
      </c>
      <c r="I459">
        <f>VLOOKUP(C459,'[1]phenotypes-895'!$A$2:$G$896,7,FALSE)</f>
        <v>57</v>
      </c>
    </row>
    <row r="460" spans="1:9" x14ac:dyDescent="0.2">
      <c r="A460">
        <v>459</v>
      </c>
      <c r="B460">
        <v>47</v>
      </c>
      <c r="C460" t="s">
        <v>458</v>
      </c>
      <c r="D460" s="13" t="s">
        <v>912</v>
      </c>
      <c r="E460" s="1">
        <v>-1.78359</v>
      </c>
      <c r="F460" s="1">
        <v>8.70457E-3</v>
      </c>
      <c r="G460" s="1">
        <v>-1.8110870443048199</v>
      </c>
      <c r="H460" s="1">
        <v>-2.94667296032332E-2</v>
      </c>
      <c r="I460">
        <f>VLOOKUP(C460,'[1]phenotypes-895'!$A$2:$G$896,7,FALSE)</f>
        <v>66</v>
      </c>
    </row>
    <row r="461" spans="1:9" x14ac:dyDescent="0.2">
      <c r="A461">
        <v>460</v>
      </c>
      <c r="B461">
        <v>50</v>
      </c>
      <c r="C461" t="s">
        <v>459</v>
      </c>
      <c r="D461" s="13" t="s">
        <v>912</v>
      </c>
      <c r="E461" s="1">
        <v>0.95165299999999997</v>
      </c>
      <c r="F461" s="1">
        <v>2.65368</v>
      </c>
      <c r="G461" s="1">
        <v>0.92205242191608505</v>
      </c>
      <c r="H461" s="1">
        <v>2.6285365862155499</v>
      </c>
      <c r="I461">
        <f>VLOOKUP(C461,'[1]phenotypes-895'!$A$2:$G$896,7,FALSE)</f>
        <v>63</v>
      </c>
    </row>
    <row r="462" spans="1:9" x14ac:dyDescent="0.2">
      <c r="A462">
        <v>461</v>
      </c>
      <c r="B462">
        <v>51</v>
      </c>
      <c r="C462" t="s">
        <v>460</v>
      </c>
      <c r="D462" s="13" t="s">
        <v>912</v>
      </c>
      <c r="E462" s="1">
        <v>-5.3454899999999999</v>
      </c>
      <c r="F462" s="1">
        <v>-7.6600299999999999</v>
      </c>
      <c r="G462" s="1">
        <v>-5.3496746229883696</v>
      </c>
      <c r="H462" s="1">
        <v>-7.6719491574502197</v>
      </c>
      <c r="I462">
        <f>VLOOKUP(C462,'[1]phenotypes-895'!$A$2:$G$896,7,FALSE)</f>
        <v>86</v>
      </c>
    </row>
    <row r="463" spans="1:9" x14ac:dyDescent="0.2">
      <c r="A463">
        <v>462</v>
      </c>
      <c r="B463">
        <v>32</v>
      </c>
      <c r="C463" t="s">
        <v>461</v>
      </c>
      <c r="D463" s="13" t="s">
        <v>913</v>
      </c>
      <c r="E463" s="1">
        <v>3.8446699999999998</v>
      </c>
      <c r="F463" s="1">
        <v>4.8386800000000001</v>
      </c>
      <c r="G463" s="1">
        <v>3.7846169883459999</v>
      </c>
      <c r="H463" s="1">
        <v>4.7741408973888397</v>
      </c>
      <c r="I463">
        <f>VLOOKUP(C463,'[1]phenotypes-895'!$A$2:$G$896,7,FALSE)</f>
        <v>89</v>
      </c>
    </row>
    <row r="464" spans="1:9" x14ac:dyDescent="0.2">
      <c r="A464">
        <v>463</v>
      </c>
      <c r="B464">
        <v>44</v>
      </c>
      <c r="C464" t="s">
        <v>462</v>
      </c>
      <c r="D464" s="13" t="s">
        <v>912</v>
      </c>
      <c r="E464" s="1">
        <v>1.37019</v>
      </c>
      <c r="F464" s="1">
        <v>0.176286</v>
      </c>
      <c r="G464" s="1">
        <v>1.3237786754683101</v>
      </c>
      <c r="H464" s="1">
        <v>0.117640843422271</v>
      </c>
      <c r="I464">
        <f>VLOOKUP(C464,'[1]phenotypes-895'!$A$2:$G$896,7,FALSE)</f>
        <v>52</v>
      </c>
    </row>
    <row r="465" spans="1:9" x14ac:dyDescent="0.2">
      <c r="A465">
        <v>464</v>
      </c>
      <c r="B465">
        <v>21</v>
      </c>
      <c r="C465" t="s">
        <v>463</v>
      </c>
      <c r="D465" s="13" t="s">
        <v>913</v>
      </c>
      <c r="E465" s="1">
        <v>7.8867900000000004</v>
      </c>
      <c r="F465" s="1">
        <v>7.6106699999999998</v>
      </c>
      <c r="G465" s="1">
        <v>7.9301999207661202</v>
      </c>
      <c r="H465" s="1">
        <v>7.6541537354650897</v>
      </c>
      <c r="I465">
        <f>VLOOKUP(C465,'[1]phenotypes-895'!$A$2:$G$896,7,FALSE)</f>
        <v>98</v>
      </c>
    </row>
    <row r="466" spans="1:9" x14ac:dyDescent="0.2">
      <c r="A466">
        <v>465</v>
      </c>
      <c r="B466">
        <v>52</v>
      </c>
      <c r="C466" t="s">
        <v>464</v>
      </c>
      <c r="D466" s="13" t="s">
        <v>912</v>
      </c>
      <c r="E466" s="1">
        <v>-0.30015500000000001</v>
      </c>
      <c r="F466" s="1">
        <v>-0.84989499999999996</v>
      </c>
      <c r="G466" s="1">
        <v>-0.2216790749343</v>
      </c>
      <c r="H466" s="1">
        <v>-0.75544003553850303</v>
      </c>
      <c r="I466">
        <f>VLOOKUP(C466,'[1]phenotypes-895'!$A$2:$G$896,7,FALSE)</f>
        <v>98</v>
      </c>
    </row>
    <row r="467" spans="1:9" x14ac:dyDescent="0.2">
      <c r="A467">
        <v>466</v>
      </c>
      <c r="B467">
        <v>54</v>
      </c>
      <c r="C467" t="s">
        <v>465</v>
      </c>
      <c r="D467" s="13" t="s">
        <v>912</v>
      </c>
      <c r="E467" s="1">
        <v>5.6916399999999996</v>
      </c>
      <c r="F467" s="1">
        <v>5.1356000000000002</v>
      </c>
      <c r="G467" s="1">
        <v>5.6616599823875697</v>
      </c>
      <c r="H467" s="1">
        <v>5.1134331798890003</v>
      </c>
      <c r="I467">
        <f>VLOOKUP(C467,'[1]phenotypes-895'!$A$2:$G$896,7,FALSE)</f>
        <v>98</v>
      </c>
    </row>
    <row r="468" spans="1:9" x14ac:dyDescent="0.2">
      <c r="A468">
        <v>467</v>
      </c>
      <c r="B468">
        <v>42</v>
      </c>
      <c r="C468" t="s">
        <v>466</v>
      </c>
      <c r="D468" s="13" t="s">
        <v>912</v>
      </c>
      <c r="E468" s="1">
        <v>2.98346</v>
      </c>
      <c r="F468" s="1">
        <v>3.0640800000000001</v>
      </c>
      <c r="G468" s="1">
        <v>2.9815304337792599</v>
      </c>
      <c r="H468" s="1">
        <v>3.0553354087391602</v>
      </c>
      <c r="I468">
        <f>VLOOKUP(C468,'[1]phenotypes-895'!$A$2:$G$896,7,FALSE)</f>
        <v>98</v>
      </c>
    </row>
    <row r="469" spans="1:9" x14ac:dyDescent="0.2">
      <c r="A469">
        <v>468</v>
      </c>
      <c r="B469">
        <v>44</v>
      </c>
      <c r="C469" t="s">
        <v>467</v>
      </c>
      <c r="D469" s="13" t="s">
        <v>912</v>
      </c>
      <c r="E469" s="1">
        <v>0.74153899999999995</v>
      </c>
      <c r="F469" s="1">
        <v>3.0029400000000002</v>
      </c>
      <c r="G469" s="1">
        <v>0.71282541397254295</v>
      </c>
      <c r="H469" s="1">
        <v>2.9848236191102999</v>
      </c>
      <c r="I469">
        <f>VLOOKUP(C469,'[1]phenotypes-895'!$A$2:$G$896,7,FALSE)</f>
        <v>98</v>
      </c>
    </row>
    <row r="470" spans="1:9" x14ac:dyDescent="0.2">
      <c r="A470">
        <v>469</v>
      </c>
      <c r="B470">
        <v>47</v>
      </c>
      <c r="C470" t="s">
        <v>468</v>
      </c>
      <c r="D470" s="13" t="s">
        <v>912</v>
      </c>
      <c r="E470" s="1">
        <v>-4.6737900000000003</v>
      </c>
      <c r="F470" s="1">
        <v>-3.1859000000000002</v>
      </c>
      <c r="G470" s="1">
        <v>-4.6834830859273699</v>
      </c>
      <c r="H470" s="1">
        <v>-3.2018719258364099</v>
      </c>
      <c r="I470">
        <f>VLOOKUP(C470,'[1]phenotypes-895'!$A$2:$G$896,7,FALSE)</f>
        <v>60</v>
      </c>
    </row>
    <row r="471" spans="1:9" x14ac:dyDescent="0.2">
      <c r="A471">
        <v>470</v>
      </c>
      <c r="B471">
        <v>49</v>
      </c>
      <c r="C471" t="s">
        <v>469</v>
      </c>
      <c r="D471" s="13" t="s">
        <v>912</v>
      </c>
      <c r="E471" s="1">
        <v>5.7366599999999996</v>
      </c>
      <c r="F471" s="1">
        <v>4.4210599999999998</v>
      </c>
      <c r="G471" s="1">
        <v>5.6916641234604999</v>
      </c>
      <c r="H471" s="1">
        <v>4.3709871590703102</v>
      </c>
      <c r="I471">
        <f>VLOOKUP(C471,'[1]phenotypes-895'!$A$2:$G$896,7,FALSE)</f>
        <v>98</v>
      </c>
    </row>
    <row r="472" spans="1:9" x14ac:dyDescent="0.2">
      <c r="A472">
        <v>471</v>
      </c>
      <c r="B472">
        <v>54</v>
      </c>
      <c r="C472" t="s">
        <v>470</v>
      </c>
      <c r="D472" s="13" t="s">
        <v>912</v>
      </c>
      <c r="E472" s="1">
        <v>3.0856599999999998</v>
      </c>
      <c r="F472" s="1">
        <v>4.3627099999999999</v>
      </c>
      <c r="G472" s="1">
        <v>3.1138463390354501</v>
      </c>
      <c r="H472" s="1">
        <v>4.4323394936512104</v>
      </c>
      <c r="I472">
        <f>VLOOKUP(C472,'[1]phenotypes-895'!$A$2:$G$896,7,FALSE)</f>
        <v>98</v>
      </c>
    </row>
    <row r="473" spans="1:9" x14ac:dyDescent="0.2">
      <c r="A473">
        <v>472</v>
      </c>
      <c r="B473">
        <v>46</v>
      </c>
      <c r="C473" t="s">
        <v>471</v>
      </c>
      <c r="D473" s="13" t="s">
        <v>912</v>
      </c>
      <c r="E473" s="1">
        <v>0.110498</v>
      </c>
      <c r="F473" s="1">
        <v>1.6526000000000001</v>
      </c>
      <c r="G473" s="1">
        <v>9.6234316238574896E-2</v>
      </c>
      <c r="H473" s="1">
        <v>1.6493871153175701</v>
      </c>
      <c r="I473">
        <f>VLOOKUP(C473,'[1]phenotypes-895'!$A$2:$G$896,7,FALSE)</f>
        <v>98</v>
      </c>
    </row>
    <row r="474" spans="1:9" x14ac:dyDescent="0.2">
      <c r="A474">
        <v>473</v>
      </c>
      <c r="B474">
        <v>51</v>
      </c>
      <c r="C474" t="s">
        <v>472</v>
      </c>
      <c r="D474" s="13" t="s">
        <v>912</v>
      </c>
      <c r="E474" s="1">
        <v>2.62405</v>
      </c>
      <c r="F474" s="1">
        <v>4.5926799999999997</v>
      </c>
      <c r="G474" s="1">
        <v>2.58240128734437</v>
      </c>
      <c r="H474" s="1">
        <v>4.5548805310643603</v>
      </c>
      <c r="I474">
        <f>VLOOKUP(C474,'[1]phenotypes-895'!$A$2:$G$896,7,FALSE)</f>
        <v>98</v>
      </c>
    </row>
    <row r="475" spans="1:9" x14ac:dyDescent="0.2">
      <c r="A475">
        <v>474</v>
      </c>
      <c r="B475">
        <v>54</v>
      </c>
      <c r="C475" t="s">
        <v>473</v>
      </c>
      <c r="D475" s="13" t="s">
        <v>912</v>
      </c>
      <c r="E475" s="1">
        <v>2.5646599999999999</v>
      </c>
      <c r="F475" s="1">
        <v>4.9217399999999998</v>
      </c>
      <c r="G475" s="1">
        <v>2.5671827802761502</v>
      </c>
      <c r="H475" s="1">
        <v>4.9253184725935997</v>
      </c>
      <c r="I475">
        <f>VLOOKUP(C475,'[1]phenotypes-895'!$A$2:$G$896,7,FALSE)</f>
        <v>98</v>
      </c>
    </row>
    <row r="476" spans="1:9" x14ac:dyDescent="0.2">
      <c r="A476">
        <v>475</v>
      </c>
      <c r="B476">
        <v>44</v>
      </c>
      <c r="C476" t="s">
        <v>474</v>
      </c>
      <c r="D476" s="13" t="s">
        <v>912</v>
      </c>
      <c r="E476" s="1">
        <v>-0.78700000000000003</v>
      </c>
      <c r="F476" s="1">
        <v>-0.27319100000000002</v>
      </c>
      <c r="G476" s="1">
        <v>-0.83978251436474505</v>
      </c>
      <c r="H476" s="1">
        <v>-0.32104530487499</v>
      </c>
      <c r="I476">
        <f>VLOOKUP(C476,'[1]phenotypes-895'!$A$2:$G$896,7,FALSE)</f>
        <v>58</v>
      </c>
    </row>
    <row r="477" spans="1:9" x14ac:dyDescent="0.2">
      <c r="A477">
        <v>476</v>
      </c>
      <c r="B477">
        <v>45</v>
      </c>
      <c r="C477" t="s">
        <v>475</v>
      </c>
      <c r="D477" s="13" t="s">
        <v>912</v>
      </c>
      <c r="E477" s="1">
        <v>1.7392799999999999</v>
      </c>
      <c r="F477" s="1">
        <v>0.36818600000000001</v>
      </c>
      <c r="G477" s="1">
        <v>1.71753606025446</v>
      </c>
      <c r="H477" s="1">
        <v>0.33690243657395003</v>
      </c>
      <c r="I477">
        <f>VLOOKUP(C477,'[1]phenotypes-895'!$A$2:$G$896,7,FALSE)</f>
        <v>86</v>
      </c>
    </row>
    <row r="478" spans="1:9" x14ac:dyDescent="0.2">
      <c r="A478">
        <v>477</v>
      </c>
      <c r="B478">
        <v>49</v>
      </c>
      <c r="C478" t="s">
        <v>476</v>
      </c>
      <c r="D478" s="13" t="s">
        <v>912</v>
      </c>
      <c r="E478" s="1">
        <v>0.46623599999999998</v>
      </c>
      <c r="F478" s="1">
        <v>-0.78026600000000002</v>
      </c>
      <c r="G478" s="1">
        <v>0.46758880421024301</v>
      </c>
      <c r="H478" s="1">
        <v>-0.78247459492849303</v>
      </c>
      <c r="I478">
        <f>VLOOKUP(C478,'[1]phenotypes-895'!$A$2:$G$896,7,FALSE)</f>
        <v>98</v>
      </c>
    </row>
    <row r="479" spans="1:9" x14ac:dyDescent="0.2">
      <c r="A479">
        <v>478</v>
      </c>
      <c r="B479">
        <v>42</v>
      </c>
      <c r="C479" t="s">
        <v>477</v>
      </c>
      <c r="D479" s="13" t="s">
        <v>912</v>
      </c>
      <c r="E479" s="1">
        <v>1.6489799999999999</v>
      </c>
      <c r="F479" s="1">
        <v>1.50031</v>
      </c>
      <c r="G479" s="1">
        <v>1.61334542322887</v>
      </c>
      <c r="H479" s="1">
        <v>1.45580894534311</v>
      </c>
      <c r="I479">
        <f>VLOOKUP(C479,'[1]phenotypes-895'!$A$2:$G$896,7,FALSE)</f>
        <v>66</v>
      </c>
    </row>
    <row r="480" spans="1:9" x14ac:dyDescent="0.2">
      <c r="A480">
        <v>479</v>
      </c>
      <c r="B480">
        <v>54</v>
      </c>
      <c r="C480" t="s">
        <v>478</v>
      </c>
      <c r="D480" s="13" t="s">
        <v>912</v>
      </c>
      <c r="E480" s="1">
        <v>-2.9578799999999998</v>
      </c>
      <c r="F480" s="1">
        <v>-4.4144399999999999</v>
      </c>
      <c r="G480" s="1">
        <v>-2.9622518851397199</v>
      </c>
      <c r="H480" s="1">
        <v>-4.4132350176000701</v>
      </c>
      <c r="I480">
        <f>VLOOKUP(C480,'[1]phenotypes-895'!$A$2:$G$896,7,FALSE)</f>
        <v>62</v>
      </c>
    </row>
    <row r="481" spans="1:9" x14ac:dyDescent="0.2">
      <c r="A481">
        <v>480</v>
      </c>
      <c r="B481">
        <v>53</v>
      </c>
      <c r="C481" t="s">
        <v>479</v>
      </c>
      <c r="D481" s="13" t="s">
        <v>912</v>
      </c>
      <c r="E481" s="1">
        <v>5.8782800000000002</v>
      </c>
      <c r="F481" s="1">
        <v>5.9789899999999996</v>
      </c>
      <c r="G481" s="1">
        <v>5.8678976888934304</v>
      </c>
      <c r="H481" s="1">
        <v>5.9590126125409704</v>
      </c>
      <c r="I481">
        <f>VLOOKUP(C481,'[1]phenotypes-895'!$A$2:$G$896,7,FALSE)</f>
        <v>98</v>
      </c>
    </row>
    <row r="482" spans="1:9" x14ac:dyDescent="0.2">
      <c r="A482">
        <v>481</v>
      </c>
      <c r="B482">
        <v>34</v>
      </c>
      <c r="C482" t="s">
        <v>480</v>
      </c>
      <c r="D482" s="13" t="s">
        <v>913</v>
      </c>
      <c r="E482" s="1">
        <v>6.0089199999999998</v>
      </c>
      <c r="F482" s="1">
        <v>4.4082600000000003</v>
      </c>
      <c r="G482" s="1">
        <v>6.0064249661289004</v>
      </c>
      <c r="H482" s="1">
        <v>4.4166087078993996</v>
      </c>
      <c r="I482">
        <f>VLOOKUP(C482,'[1]phenotypes-895'!$A$2:$G$896,7,FALSE)</f>
        <v>98</v>
      </c>
    </row>
    <row r="483" spans="1:9" x14ac:dyDescent="0.2">
      <c r="A483">
        <v>482</v>
      </c>
      <c r="B483">
        <v>50</v>
      </c>
      <c r="C483" t="s">
        <v>481</v>
      </c>
      <c r="D483" s="13" t="s">
        <v>912</v>
      </c>
      <c r="E483" s="1">
        <v>-0.94033999999999995</v>
      </c>
      <c r="F483" s="1">
        <v>-2.71401</v>
      </c>
      <c r="G483" s="1">
        <v>-0.95820393342856403</v>
      </c>
      <c r="H483" s="1">
        <v>-2.7380582858679401</v>
      </c>
      <c r="I483">
        <f>VLOOKUP(C483,'[1]phenotypes-895'!$A$2:$G$896,7,FALSE)</f>
        <v>82</v>
      </c>
    </row>
    <row r="484" spans="1:9" x14ac:dyDescent="0.2">
      <c r="A484">
        <v>483</v>
      </c>
      <c r="B484">
        <v>36</v>
      </c>
      <c r="C484" t="s">
        <v>482</v>
      </c>
      <c r="D484" s="13" t="s">
        <v>913</v>
      </c>
      <c r="E484" s="1">
        <v>-5.8658700000000001</v>
      </c>
      <c r="F484" s="1">
        <v>-8.4789600000000007</v>
      </c>
      <c r="G484" s="1">
        <v>-5.9444924109360304</v>
      </c>
      <c r="H484" s="1">
        <v>-8.5799010593173204</v>
      </c>
      <c r="I484">
        <f>VLOOKUP(C484,'[1]phenotypes-895'!$A$2:$G$896,7,FALSE)</f>
        <v>57</v>
      </c>
    </row>
    <row r="485" spans="1:9" x14ac:dyDescent="0.2">
      <c r="A485">
        <v>484</v>
      </c>
      <c r="B485">
        <v>50</v>
      </c>
      <c r="C485" t="s">
        <v>483</v>
      </c>
      <c r="D485" s="13" t="s">
        <v>912</v>
      </c>
      <c r="E485" s="1">
        <v>2.98963</v>
      </c>
      <c r="F485" s="1">
        <v>2.7484899999999999</v>
      </c>
      <c r="G485" s="1">
        <v>2.9653632424473599</v>
      </c>
      <c r="H485" s="1">
        <v>2.7360609724178002</v>
      </c>
      <c r="I485">
        <f>VLOOKUP(C485,'[1]phenotypes-895'!$A$2:$G$896,7,FALSE)</f>
        <v>69</v>
      </c>
    </row>
    <row r="486" spans="1:9" x14ac:dyDescent="0.2">
      <c r="A486">
        <v>485</v>
      </c>
      <c r="B486">
        <v>50</v>
      </c>
      <c r="C486" t="s">
        <v>484</v>
      </c>
      <c r="D486" s="13" t="s">
        <v>912</v>
      </c>
      <c r="E486" s="1">
        <v>5.00319</v>
      </c>
      <c r="F486" s="1">
        <v>4.9448499999999997</v>
      </c>
      <c r="G486" s="1">
        <v>4.9306791789124098</v>
      </c>
      <c r="H486" s="1">
        <v>4.8740806187663601</v>
      </c>
      <c r="I486">
        <f>VLOOKUP(C486,'[1]phenotypes-895'!$A$2:$G$896,7,FALSE)</f>
        <v>92</v>
      </c>
    </row>
    <row r="487" spans="1:9" x14ac:dyDescent="0.2">
      <c r="A487">
        <v>486</v>
      </c>
      <c r="B487">
        <v>50</v>
      </c>
      <c r="C487" t="s">
        <v>485</v>
      </c>
      <c r="D487" s="13" t="s">
        <v>912</v>
      </c>
      <c r="E487" s="1">
        <v>-0.93658699999999995</v>
      </c>
      <c r="F487" s="1">
        <v>0.31493399999999999</v>
      </c>
      <c r="G487" s="1">
        <v>-0.95480120540701496</v>
      </c>
      <c r="H487" s="1">
        <v>0.29976530742497098</v>
      </c>
      <c r="I487">
        <f>VLOOKUP(C487,'[1]phenotypes-895'!$A$2:$G$896,7,FALSE)</f>
        <v>64</v>
      </c>
    </row>
    <row r="488" spans="1:9" x14ac:dyDescent="0.2">
      <c r="A488">
        <v>487</v>
      </c>
      <c r="B488">
        <v>48</v>
      </c>
      <c r="C488" t="s">
        <v>486</v>
      </c>
      <c r="D488" s="13" t="s">
        <v>912</v>
      </c>
      <c r="E488" s="1">
        <v>0.52186200000000005</v>
      </c>
      <c r="F488" s="1">
        <v>0.84175500000000003</v>
      </c>
      <c r="G488" s="1">
        <v>0.52397697926355502</v>
      </c>
      <c r="H488" s="1">
        <v>0.84480627309080203</v>
      </c>
      <c r="I488">
        <f>VLOOKUP(C488,'[1]phenotypes-895'!$A$2:$G$896,7,FALSE)</f>
        <v>98</v>
      </c>
    </row>
    <row r="489" spans="1:9" x14ac:dyDescent="0.2">
      <c r="A489">
        <v>488</v>
      </c>
      <c r="B489">
        <v>46</v>
      </c>
      <c r="C489" t="s">
        <v>487</v>
      </c>
      <c r="D489" s="13" t="s">
        <v>912</v>
      </c>
      <c r="E489" s="1">
        <v>-1.42875</v>
      </c>
      <c r="F489" s="1">
        <v>-2.3905500000000002</v>
      </c>
      <c r="G489" s="1">
        <v>-1.4973091826291001</v>
      </c>
      <c r="H489" s="1">
        <v>-2.4603807199787102</v>
      </c>
      <c r="I489">
        <f>VLOOKUP(C489,'[1]phenotypes-895'!$A$2:$G$896,7,FALSE)</f>
        <v>69</v>
      </c>
    </row>
    <row r="490" spans="1:9" x14ac:dyDescent="0.2">
      <c r="A490">
        <v>489</v>
      </c>
      <c r="B490">
        <v>50</v>
      </c>
      <c r="C490" t="s">
        <v>488</v>
      </c>
      <c r="D490" s="13" t="s">
        <v>912</v>
      </c>
      <c r="E490" s="1">
        <v>0.87680999999999998</v>
      </c>
      <c r="F490" s="1">
        <v>3.5503900000000002</v>
      </c>
      <c r="G490" s="1">
        <v>0.86217588859304395</v>
      </c>
      <c r="H490" s="1">
        <v>3.5425899906459701</v>
      </c>
      <c r="I490">
        <f>VLOOKUP(C490,'[1]phenotypes-895'!$A$2:$G$896,7,FALSE)</f>
        <v>69</v>
      </c>
    </row>
    <row r="491" spans="1:9" x14ac:dyDescent="0.2">
      <c r="A491">
        <v>490</v>
      </c>
      <c r="B491">
        <v>46</v>
      </c>
      <c r="C491" t="s">
        <v>489</v>
      </c>
      <c r="D491" s="13" t="s">
        <v>912</v>
      </c>
      <c r="E491" s="1">
        <v>6.4124100000000004</v>
      </c>
      <c r="F491" s="1">
        <v>6.5284700000000004</v>
      </c>
      <c r="G491" s="1">
        <v>6.4249127477141403</v>
      </c>
      <c r="H491" s="1">
        <v>6.5365992740422696</v>
      </c>
      <c r="I491">
        <f>VLOOKUP(C491,'[1]phenotypes-895'!$A$2:$G$896,7,FALSE)</f>
        <v>98</v>
      </c>
    </row>
    <row r="492" spans="1:9" x14ac:dyDescent="0.2">
      <c r="A492">
        <v>491</v>
      </c>
      <c r="B492">
        <v>46</v>
      </c>
      <c r="C492" t="s">
        <v>490</v>
      </c>
      <c r="D492" s="13" t="s">
        <v>912</v>
      </c>
      <c r="E492" s="1">
        <v>0.99517</v>
      </c>
      <c r="F492" s="1">
        <v>3.5589400000000002</v>
      </c>
      <c r="G492" s="1">
        <v>0.97583064186992896</v>
      </c>
      <c r="H492" s="1">
        <v>3.5536571610096099</v>
      </c>
      <c r="I492">
        <f>VLOOKUP(C492,'[1]phenotypes-895'!$A$2:$G$896,7,FALSE)</f>
        <v>80</v>
      </c>
    </row>
    <row r="493" spans="1:9" x14ac:dyDescent="0.2">
      <c r="A493">
        <v>492</v>
      </c>
      <c r="B493">
        <v>48</v>
      </c>
      <c r="C493" t="s">
        <v>491</v>
      </c>
      <c r="D493" s="13" t="s">
        <v>912</v>
      </c>
      <c r="E493" s="1">
        <v>-0.73399000000000003</v>
      </c>
      <c r="F493" s="1">
        <v>1.09941</v>
      </c>
      <c r="G493" s="1">
        <v>-0.703181514720985</v>
      </c>
      <c r="H493" s="1">
        <v>1.13972432371183</v>
      </c>
      <c r="I493">
        <f>VLOOKUP(C493,'[1]phenotypes-895'!$A$2:$G$896,7,FALSE)</f>
        <v>98</v>
      </c>
    </row>
    <row r="494" spans="1:9" x14ac:dyDescent="0.2">
      <c r="A494">
        <v>493</v>
      </c>
      <c r="B494">
        <v>50</v>
      </c>
      <c r="C494" t="s">
        <v>492</v>
      </c>
      <c r="D494" s="13" t="s">
        <v>912</v>
      </c>
      <c r="E494" s="1">
        <v>5.28911</v>
      </c>
      <c r="F494" s="1">
        <v>4.9295799999999996</v>
      </c>
      <c r="G494" s="1">
        <v>5.2835747556229604</v>
      </c>
      <c r="H494" s="1">
        <v>4.9316406347109201</v>
      </c>
      <c r="I494">
        <f>VLOOKUP(C494,'[1]phenotypes-895'!$A$2:$G$896,7,FALSE)</f>
        <v>98</v>
      </c>
    </row>
    <row r="495" spans="1:9" x14ac:dyDescent="0.2">
      <c r="A495">
        <v>494</v>
      </c>
      <c r="B495">
        <v>47</v>
      </c>
      <c r="C495" t="s">
        <v>493</v>
      </c>
      <c r="D495" s="13" t="s">
        <v>912</v>
      </c>
      <c r="E495" s="1">
        <v>3.4443700000000002</v>
      </c>
      <c r="F495" s="1">
        <v>5.3553300000000004</v>
      </c>
      <c r="G495" s="1">
        <v>3.4515141360763799</v>
      </c>
      <c r="H495" s="1">
        <v>5.3662199311339496</v>
      </c>
      <c r="I495">
        <f>VLOOKUP(C495,'[1]phenotypes-895'!$A$2:$G$896,7,FALSE)</f>
        <v>90</v>
      </c>
    </row>
    <row r="496" spans="1:9" x14ac:dyDescent="0.2">
      <c r="A496">
        <v>495</v>
      </c>
      <c r="B496">
        <v>50</v>
      </c>
      <c r="C496" t="s">
        <v>494</v>
      </c>
      <c r="D496" s="13" t="s">
        <v>912</v>
      </c>
      <c r="E496" s="1">
        <v>2.88815</v>
      </c>
      <c r="F496" s="1">
        <v>1.6649799999999999</v>
      </c>
      <c r="G496" s="1">
        <v>2.8340845972953601</v>
      </c>
      <c r="H496" s="1">
        <v>1.6051601945359699</v>
      </c>
      <c r="I496">
        <f>VLOOKUP(C496,'[1]phenotypes-895'!$A$2:$G$896,7,FALSE)</f>
        <v>57</v>
      </c>
    </row>
    <row r="497" spans="1:9" x14ac:dyDescent="0.2">
      <c r="A497">
        <v>496</v>
      </c>
      <c r="B497">
        <v>45</v>
      </c>
      <c r="C497" t="s">
        <v>495</v>
      </c>
      <c r="D497" s="13" t="s">
        <v>912</v>
      </c>
      <c r="E497" s="1">
        <v>-0.21127099999999999</v>
      </c>
      <c r="F497" s="1">
        <v>-0.54146399999999995</v>
      </c>
      <c r="G497" s="1">
        <v>-0.25480490982102599</v>
      </c>
      <c r="H497" s="1">
        <v>-0.56798589332496097</v>
      </c>
      <c r="I497">
        <f>VLOOKUP(C497,'[1]phenotypes-895'!$A$2:$G$896,7,FALSE)</f>
        <v>74</v>
      </c>
    </row>
    <row r="498" spans="1:9" x14ac:dyDescent="0.2">
      <c r="A498">
        <v>497</v>
      </c>
      <c r="B498">
        <v>54</v>
      </c>
      <c r="C498" t="s">
        <v>496</v>
      </c>
      <c r="D498" s="13" t="s">
        <v>912</v>
      </c>
      <c r="E498" s="1">
        <v>4.3685999999999998</v>
      </c>
      <c r="F498" s="1">
        <v>2.1710799999999999</v>
      </c>
      <c r="G498" s="1">
        <v>4.3204311391964101</v>
      </c>
      <c r="H498" s="1">
        <v>2.1195281546848501</v>
      </c>
      <c r="I498">
        <f>VLOOKUP(C498,'[1]phenotypes-895'!$A$2:$G$896,7,FALSE)</f>
        <v>98</v>
      </c>
    </row>
    <row r="499" spans="1:9" x14ac:dyDescent="0.2">
      <c r="A499">
        <v>498</v>
      </c>
      <c r="B499">
        <v>49</v>
      </c>
      <c r="C499" t="s">
        <v>497</v>
      </c>
      <c r="D499" s="13" t="s">
        <v>912</v>
      </c>
      <c r="E499" s="1">
        <v>2.55864</v>
      </c>
      <c r="F499" s="1">
        <v>2.9462000000000002</v>
      </c>
      <c r="G499" s="1">
        <v>2.5268509974441198</v>
      </c>
      <c r="H499" s="1">
        <v>2.9124507230915802</v>
      </c>
      <c r="I499">
        <f>VLOOKUP(C499,'[1]phenotypes-895'!$A$2:$G$896,7,FALSE)</f>
        <v>98</v>
      </c>
    </row>
    <row r="500" spans="1:9" x14ac:dyDescent="0.2">
      <c r="A500">
        <v>499</v>
      </c>
      <c r="B500">
        <v>53</v>
      </c>
      <c r="C500" t="s">
        <v>498</v>
      </c>
      <c r="D500" s="13" t="s">
        <v>912</v>
      </c>
      <c r="E500" s="1">
        <v>-0.34317300000000001</v>
      </c>
      <c r="F500" s="1">
        <v>-1.6107499999999999</v>
      </c>
      <c r="G500" s="1">
        <v>-0.33798921877667198</v>
      </c>
      <c r="H500" s="1">
        <v>-1.5978810730041599</v>
      </c>
      <c r="I500">
        <f>VLOOKUP(C500,'[1]phenotypes-895'!$A$2:$G$896,7,FALSE)</f>
        <v>98</v>
      </c>
    </row>
    <row r="501" spans="1:9" x14ac:dyDescent="0.2">
      <c r="A501">
        <v>500</v>
      </c>
      <c r="B501">
        <v>36</v>
      </c>
      <c r="C501" t="s">
        <v>499</v>
      </c>
      <c r="D501" s="13" t="s">
        <v>913</v>
      </c>
      <c r="E501" s="1">
        <v>-4.2677899999999998</v>
      </c>
      <c r="F501" s="1">
        <v>-3.1256300000000001</v>
      </c>
      <c r="G501" s="1">
        <v>-4.2718752151044903</v>
      </c>
      <c r="H501" s="1">
        <v>-3.1475682028977698</v>
      </c>
      <c r="I501">
        <f>VLOOKUP(C501,'[1]phenotypes-895'!$A$2:$G$896,7,FALSE)</f>
        <v>55</v>
      </c>
    </row>
    <row r="502" spans="1:9" x14ac:dyDescent="0.2">
      <c r="A502">
        <v>501</v>
      </c>
      <c r="B502">
        <v>49</v>
      </c>
      <c r="C502" t="s">
        <v>500</v>
      </c>
      <c r="D502" s="13" t="s">
        <v>912</v>
      </c>
      <c r="E502" s="1">
        <v>4.2464000000000004</v>
      </c>
      <c r="F502" s="1">
        <v>3.4479099999999998</v>
      </c>
      <c r="G502" s="1">
        <v>4.2361655504589901</v>
      </c>
      <c r="H502" s="1">
        <v>3.4393455467195699</v>
      </c>
      <c r="I502">
        <f>VLOOKUP(C502,'[1]phenotypes-895'!$A$2:$G$896,7,FALSE)</f>
        <v>98</v>
      </c>
    </row>
    <row r="503" spans="1:9" x14ac:dyDescent="0.2">
      <c r="A503">
        <v>502</v>
      </c>
      <c r="B503">
        <v>42</v>
      </c>
      <c r="C503" t="s">
        <v>501</v>
      </c>
      <c r="D503" s="13" t="s">
        <v>912</v>
      </c>
      <c r="E503" s="1">
        <v>0.31741599999999998</v>
      </c>
      <c r="F503" s="1">
        <v>-0.89603699999999997</v>
      </c>
      <c r="G503" s="1">
        <v>0.36435519391301102</v>
      </c>
      <c r="H503" s="1">
        <v>-0.84868296705217094</v>
      </c>
      <c r="I503">
        <f>VLOOKUP(C503,'[1]phenotypes-895'!$A$2:$G$896,7,FALSE)</f>
        <v>74</v>
      </c>
    </row>
    <row r="504" spans="1:9" x14ac:dyDescent="0.2">
      <c r="A504">
        <v>503</v>
      </c>
      <c r="B504">
        <v>52</v>
      </c>
      <c r="C504" t="s">
        <v>502</v>
      </c>
      <c r="D504" s="13" t="s">
        <v>912</v>
      </c>
      <c r="E504" s="1">
        <v>4.4537800000000001</v>
      </c>
      <c r="F504" s="1">
        <v>3.7345299999999999</v>
      </c>
      <c r="G504" s="1">
        <v>4.4407835854763604</v>
      </c>
      <c r="H504" s="1">
        <v>3.7223836878641801</v>
      </c>
      <c r="I504">
        <f>VLOOKUP(C504,'[1]phenotypes-895'!$A$2:$G$896,7,FALSE)</f>
        <v>83</v>
      </c>
    </row>
    <row r="505" spans="1:9" x14ac:dyDescent="0.2">
      <c r="A505">
        <v>504</v>
      </c>
      <c r="B505">
        <v>50</v>
      </c>
      <c r="C505" t="s">
        <v>503</v>
      </c>
      <c r="D505" s="13" t="s">
        <v>912</v>
      </c>
      <c r="E505" s="1">
        <v>4.6416700000000004</v>
      </c>
      <c r="F505" s="1">
        <v>4.5592899999999998</v>
      </c>
      <c r="G505" s="1">
        <v>4.6354367727122296</v>
      </c>
      <c r="H505" s="1">
        <v>4.5496471014022797</v>
      </c>
      <c r="I505">
        <f>VLOOKUP(C505,'[1]phenotypes-895'!$A$2:$G$896,7,FALSE)</f>
        <v>98</v>
      </c>
    </row>
    <row r="506" spans="1:9" x14ac:dyDescent="0.2">
      <c r="A506">
        <v>505</v>
      </c>
      <c r="B506">
        <v>44</v>
      </c>
      <c r="C506" t="s">
        <v>504</v>
      </c>
      <c r="D506" s="13" t="s">
        <v>912</v>
      </c>
      <c r="E506" s="1">
        <v>1.7531399999999999</v>
      </c>
      <c r="F506" s="1">
        <v>1.83082E-2</v>
      </c>
      <c r="G506" s="1">
        <v>1.7215802115200001</v>
      </c>
      <c r="H506" s="1">
        <v>-1.1682398804470501E-2</v>
      </c>
      <c r="I506">
        <f>VLOOKUP(C506,'[1]phenotypes-895'!$A$2:$G$896,7,FALSE)</f>
        <v>98</v>
      </c>
    </row>
    <row r="507" spans="1:9" x14ac:dyDescent="0.2">
      <c r="A507">
        <v>506</v>
      </c>
      <c r="B507">
        <v>42</v>
      </c>
      <c r="C507" t="s">
        <v>505</v>
      </c>
      <c r="D507" s="13" t="s">
        <v>912</v>
      </c>
      <c r="E507" s="1">
        <v>5.5582000000000003</v>
      </c>
      <c r="F507" s="1">
        <v>7.5070800000000002</v>
      </c>
      <c r="G507" s="1">
        <v>5.5667560635529698</v>
      </c>
      <c r="H507" s="1">
        <v>7.5193862836718202</v>
      </c>
      <c r="I507">
        <f>VLOOKUP(C507,'[1]phenotypes-895'!$A$2:$G$896,7,FALSE)</f>
        <v>98</v>
      </c>
    </row>
    <row r="508" spans="1:9" x14ac:dyDescent="0.2">
      <c r="A508">
        <v>507</v>
      </c>
      <c r="B508">
        <v>46</v>
      </c>
      <c r="C508" t="s">
        <v>506</v>
      </c>
      <c r="D508" s="13" t="s">
        <v>912</v>
      </c>
      <c r="E508" s="1">
        <v>1.8643000000000001</v>
      </c>
      <c r="F508" s="1">
        <v>3.19326</v>
      </c>
      <c r="G508" s="1">
        <v>1.85385045795458</v>
      </c>
      <c r="H508" s="1">
        <v>3.18660662793588</v>
      </c>
      <c r="I508">
        <f>VLOOKUP(C508,'[1]phenotypes-895'!$A$2:$G$896,7,FALSE)</f>
        <v>75</v>
      </c>
    </row>
    <row r="509" spans="1:9" x14ac:dyDescent="0.2">
      <c r="A509">
        <v>508</v>
      </c>
      <c r="B509">
        <v>50</v>
      </c>
      <c r="C509" t="s">
        <v>507</v>
      </c>
      <c r="D509" s="13" t="s">
        <v>912</v>
      </c>
      <c r="E509" s="1">
        <v>0.75910999999999995</v>
      </c>
      <c r="F509" s="1">
        <v>-0.21106</v>
      </c>
      <c r="G509" s="1">
        <v>0.75809691521908895</v>
      </c>
      <c r="H509" s="1">
        <v>-0.21247889017213301</v>
      </c>
      <c r="I509">
        <f>VLOOKUP(C509,'[1]phenotypes-895'!$A$2:$G$896,7,FALSE)</f>
        <v>62</v>
      </c>
    </row>
    <row r="510" spans="1:9" x14ac:dyDescent="0.2">
      <c r="A510">
        <v>509</v>
      </c>
      <c r="B510">
        <v>45</v>
      </c>
      <c r="C510" t="s">
        <v>508</v>
      </c>
      <c r="D510" s="13" t="s">
        <v>912</v>
      </c>
      <c r="E510" s="1">
        <v>-1.85355</v>
      </c>
      <c r="F510" s="1">
        <v>-2.4374400000000001</v>
      </c>
      <c r="G510" s="1">
        <v>-1.9189480040915201</v>
      </c>
      <c r="H510" s="1">
        <v>-2.4906391124415102</v>
      </c>
      <c r="I510">
        <f>VLOOKUP(C510,'[1]phenotypes-895'!$A$2:$G$896,7,FALSE)</f>
        <v>41</v>
      </c>
    </row>
    <row r="511" spans="1:9" x14ac:dyDescent="0.2">
      <c r="A511">
        <v>510</v>
      </c>
      <c r="B511">
        <v>49</v>
      </c>
      <c r="C511" t="s">
        <v>509</v>
      </c>
      <c r="D511" s="13" t="s">
        <v>912</v>
      </c>
      <c r="E511" s="1">
        <v>4.5418500000000002</v>
      </c>
      <c r="F511" s="1">
        <v>6.3788299999999998</v>
      </c>
      <c r="G511" s="1">
        <v>4.5531704751623696</v>
      </c>
      <c r="H511" s="1">
        <v>6.3950130270424497</v>
      </c>
      <c r="I511">
        <f>VLOOKUP(C511,'[1]phenotypes-895'!$A$2:$G$896,7,FALSE)</f>
        <v>98</v>
      </c>
    </row>
    <row r="512" spans="1:9" x14ac:dyDescent="0.2">
      <c r="A512">
        <v>511</v>
      </c>
      <c r="B512">
        <v>54</v>
      </c>
      <c r="C512" t="s">
        <v>510</v>
      </c>
      <c r="D512" s="13" t="s">
        <v>912</v>
      </c>
      <c r="E512" s="1">
        <v>-3.3871899999999999</v>
      </c>
      <c r="F512" s="1">
        <v>-5.5740999999999996</v>
      </c>
      <c r="G512" s="1">
        <v>-3.42968072757566</v>
      </c>
      <c r="H512" s="1">
        <v>-5.6281027763256999</v>
      </c>
      <c r="I512">
        <f>VLOOKUP(C512,'[1]phenotypes-895'!$A$2:$G$896,7,FALSE)</f>
        <v>98</v>
      </c>
    </row>
    <row r="513" spans="1:9" x14ac:dyDescent="0.2">
      <c r="A513">
        <v>512</v>
      </c>
      <c r="B513">
        <v>50</v>
      </c>
      <c r="C513" t="s">
        <v>511</v>
      </c>
      <c r="D513" s="13" t="s">
        <v>912</v>
      </c>
      <c r="E513" s="1">
        <v>-7.59565</v>
      </c>
      <c r="F513" s="1">
        <v>-6.2466400000000002</v>
      </c>
      <c r="G513" s="1">
        <v>-7.6233397526601001</v>
      </c>
      <c r="H513" s="1">
        <v>-6.2783689344140496</v>
      </c>
      <c r="I513">
        <f>VLOOKUP(C513,'[1]phenotypes-895'!$A$2:$G$896,7,FALSE)</f>
        <v>44</v>
      </c>
    </row>
    <row r="514" spans="1:9" x14ac:dyDescent="0.2">
      <c r="A514">
        <v>513</v>
      </c>
      <c r="B514">
        <v>42</v>
      </c>
      <c r="C514" t="s">
        <v>512</v>
      </c>
      <c r="D514" s="13" t="s">
        <v>912</v>
      </c>
      <c r="E514" s="1">
        <v>-0.47287499999999999</v>
      </c>
      <c r="F514" s="1">
        <v>1.1732400000000001</v>
      </c>
      <c r="G514" s="1">
        <v>-0.48500627263835</v>
      </c>
      <c r="H514" s="1">
        <v>1.16755117291009</v>
      </c>
      <c r="I514">
        <f>VLOOKUP(C514,'[1]phenotypes-895'!$A$2:$G$896,7,FALSE)</f>
        <v>98</v>
      </c>
    </row>
    <row r="515" spans="1:9" x14ac:dyDescent="0.2">
      <c r="A515">
        <v>514</v>
      </c>
      <c r="B515">
        <v>50</v>
      </c>
      <c r="C515" t="s">
        <v>513</v>
      </c>
      <c r="D515" s="13" t="s">
        <v>912</v>
      </c>
      <c r="E515" s="1">
        <v>5.9580399999999996</v>
      </c>
      <c r="F515" s="1">
        <v>5.5158800000000001</v>
      </c>
      <c r="G515" s="1">
        <v>5.9549293914254102</v>
      </c>
      <c r="H515" s="1">
        <v>5.5097643616288501</v>
      </c>
      <c r="I515">
        <f>VLOOKUP(C515,'[1]phenotypes-895'!$A$2:$G$896,7,FALSE)</f>
        <v>74</v>
      </c>
    </row>
    <row r="516" spans="1:9" x14ac:dyDescent="0.2">
      <c r="A516">
        <v>515</v>
      </c>
      <c r="B516">
        <v>54</v>
      </c>
      <c r="C516" t="s">
        <v>514</v>
      </c>
      <c r="D516" s="13" t="s">
        <v>912</v>
      </c>
      <c r="E516" s="1">
        <v>7.2894600000000001</v>
      </c>
      <c r="F516" s="1">
        <v>7.8507499999999997</v>
      </c>
      <c r="G516" s="1">
        <v>7.2277164120395598</v>
      </c>
      <c r="H516" s="1">
        <v>7.7945317770549698</v>
      </c>
      <c r="I516">
        <f>VLOOKUP(C516,'[1]phenotypes-895'!$A$2:$G$896,7,FALSE)</f>
        <v>81</v>
      </c>
    </row>
    <row r="517" spans="1:9" x14ac:dyDescent="0.2">
      <c r="A517">
        <v>516</v>
      </c>
      <c r="B517">
        <v>44</v>
      </c>
      <c r="C517" t="s">
        <v>515</v>
      </c>
      <c r="D517" s="13" t="s">
        <v>912</v>
      </c>
      <c r="E517" s="1">
        <v>3.4984899999999999</v>
      </c>
      <c r="F517" s="1">
        <v>2.6683400000000002</v>
      </c>
      <c r="G517" s="1">
        <v>3.47903111224934</v>
      </c>
      <c r="H517" s="1">
        <v>2.6595889522745599</v>
      </c>
      <c r="I517">
        <f>VLOOKUP(C517,'[1]phenotypes-895'!$A$2:$G$896,7,FALSE)</f>
        <v>98</v>
      </c>
    </row>
    <row r="518" spans="1:9" x14ac:dyDescent="0.2">
      <c r="A518">
        <v>517</v>
      </c>
      <c r="B518">
        <v>49</v>
      </c>
      <c r="C518" t="s">
        <v>516</v>
      </c>
      <c r="D518" s="13" t="s">
        <v>912</v>
      </c>
      <c r="E518" s="1">
        <v>3.3042199999999999</v>
      </c>
      <c r="F518" s="1">
        <v>2.1713300000000002</v>
      </c>
      <c r="G518" s="1">
        <v>3.35562449948547</v>
      </c>
      <c r="H518" s="1">
        <v>2.2363585552521101</v>
      </c>
      <c r="I518">
        <f>VLOOKUP(C518,'[1]phenotypes-895'!$A$2:$G$896,7,FALSE)</f>
        <v>98</v>
      </c>
    </row>
    <row r="519" spans="1:9" x14ac:dyDescent="0.2">
      <c r="A519">
        <v>518</v>
      </c>
      <c r="B519">
        <v>53</v>
      </c>
      <c r="C519" t="s">
        <v>517</v>
      </c>
      <c r="D519" s="13" t="s">
        <v>912</v>
      </c>
      <c r="E519" s="1">
        <v>0.62024100000000004</v>
      </c>
      <c r="F519" s="1">
        <v>2.9301300000000001</v>
      </c>
      <c r="G519" s="1">
        <v>0.614376097379848</v>
      </c>
      <c r="H519" s="1">
        <v>2.9477614912544099</v>
      </c>
      <c r="I519">
        <f>VLOOKUP(C519,'[1]phenotypes-895'!$A$2:$G$896,7,FALSE)</f>
        <v>98</v>
      </c>
    </row>
    <row r="520" spans="1:9" x14ac:dyDescent="0.2">
      <c r="A520">
        <v>519</v>
      </c>
      <c r="B520">
        <v>16</v>
      </c>
      <c r="C520" t="s">
        <v>518</v>
      </c>
      <c r="D520" s="12" t="s">
        <v>912</v>
      </c>
      <c r="E520" s="1">
        <v>-9.8275100000000002</v>
      </c>
      <c r="F520" s="1">
        <v>-10.1524</v>
      </c>
      <c r="G520" s="1">
        <v>-9.9362592678821304</v>
      </c>
      <c r="H520" s="1">
        <v>-10.2663625564514</v>
      </c>
      <c r="I520">
        <f>VLOOKUP(C520,'[1]phenotypes-895'!$A$2:$G$896,7,FALSE)</f>
        <v>44</v>
      </c>
    </row>
    <row r="521" spans="1:9" x14ac:dyDescent="0.2">
      <c r="A521">
        <v>520</v>
      </c>
      <c r="B521">
        <v>3</v>
      </c>
      <c r="C521" t="s">
        <v>519</v>
      </c>
      <c r="D521" s="12" t="s">
        <v>913</v>
      </c>
      <c r="E521" s="1">
        <v>-1.5284</v>
      </c>
      <c r="F521" s="1">
        <v>-4.3743999999999996</v>
      </c>
      <c r="G521" s="1">
        <v>-1.5398924414126101</v>
      </c>
      <c r="H521" s="1">
        <v>-4.3833542048599599</v>
      </c>
      <c r="I521">
        <f>VLOOKUP(C521,'[1]phenotypes-895'!$A$2:$G$896,7,FALSE)</f>
        <v>72</v>
      </c>
    </row>
    <row r="522" spans="1:9" x14ac:dyDescent="0.2">
      <c r="A522">
        <v>521</v>
      </c>
      <c r="B522">
        <v>21</v>
      </c>
      <c r="C522" t="s">
        <v>520</v>
      </c>
      <c r="D522" s="13" t="s">
        <v>913</v>
      </c>
      <c r="E522" s="1">
        <v>-1.2894000000000001</v>
      </c>
      <c r="F522" s="1">
        <v>-2.8228399999999998</v>
      </c>
      <c r="G522" s="1">
        <v>-1.31198832078897</v>
      </c>
      <c r="H522" s="1">
        <v>-2.85762769764515</v>
      </c>
      <c r="I522">
        <f>VLOOKUP(C522,'[1]phenotypes-895'!$A$2:$G$896,7,FALSE)</f>
        <v>49</v>
      </c>
    </row>
    <row r="523" spans="1:9" x14ac:dyDescent="0.2">
      <c r="A523">
        <v>522</v>
      </c>
      <c r="B523">
        <v>3</v>
      </c>
      <c r="C523" t="s">
        <v>521</v>
      </c>
      <c r="D523" s="12" t="s">
        <v>913</v>
      </c>
      <c r="E523" s="1">
        <v>1.4111199999999999</v>
      </c>
      <c r="F523" s="1">
        <v>-1.35192</v>
      </c>
      <c r="G523" s="1">
        <v>1.4003134197198399</v>
      </c>
      <c r="H523" s="1">
        <v>-1.3811308462845</v>
      </c>
      <c r="I523">
        <f>VLOOKUP(C523,'[1]phenotypes-895'!$A$2:$G$896,7,FALSE)</f>
        <v>98</v>
      </c>
    </row>
    <row r="524" spans="1:9" x14ac:dyDescent="0.2">
      <c r="A524">
        <v>523</v>
      </c>
      <c r="B524">
        <v>3</v>
      </c>
      <c r="C524" t="s">
        <v>522</v>
      </c>
      <c r="D524" s="12" t="s">
        <v>913</v>
      </c>
      <c r="E524" s="1">
        <v>-1.1389199999999999</v>
      </c>
      <c r="F524" s="1">
        <v>-3.5863100000000001</v>
      </c>
      <c r="G524" s="1">
        <v>-1.2105119789649501</v>
      </c>
      <c r="H524" s="1">
        <v>-3.6729505265884002</v>
      </c>
      <c r="I524">
        <f>VLOOKUP(C524,'[1]phenotypes-895'!$A$2:$G$896,7,FALSE)</f>
        <v>74</v>
      </c>
    </row>
    <row r="525" spans="1:9" x14ac:dyDescent="0.2">
      <c r="A525">
        <v>524</v>
      </c>
      <c r="B525">
        <v>30</v>
      </c>
      <c r="C525" t="s">
        <v>523</v>
      </c>
      <c r="D525" s="13" t="s">
        <v>913</v>
      </c>
      <c r="E525" s="1">
        <v>2.70147</v>
      </c>
      <c r="F525" s="1">
        <v>1.1914400000000001</v>
      </c>
      <c r="G525" s="1">
        <v>2.6728353831270399</v>
      </c>
      <c r="H525" s="1">
        <v>1.1725958548248101</v>
      </c>
      <c r="I525">
        <f>VLOOKUP(C525,'[1]phenotypes-895'!$A$2:$G$896,7,FALSE)</f>
        <v>98</v>
      </c>
    </row>
    <row r="526" spans="1:9" x14ac:dyDescent="0.2">
      <c r="A526">
        <v>525</v>
      </c>
      <c r="B526">
        <v>24</v>
      </c>
      <c r="C526" t="s">
        <v>524</v>
      </c>
      <c r="D526" s="13" t="s">
        <v>913</v>
      </c>
      <c r="E526" s="1">
        <v>-1.7510699999999999</v>
      </c>
      <c r="F526" s="1">
        <v>-3.4190299999999998</v>
      </c>
      <c r="G526" s="1">
        <v>-1.80149000436861</v>
      </c>
      <c r="H526" s="1">
        <v>-3.47927342433533</v>
      </c>
      <c r="I526">
        <f>VLOOKUP(C526,'[1]phenotypes-895'!$A$2:$G$896,7,FALSE)</f>
        <v>62</v>
      </c>
    </row>
    <row r="527" spans="1:9" x14ac:dyDescent="0.2">
      <c r="A527">
        <v>526</v>
      </c>
      <c r="B527">
        <v>30</v>
      </c>
      <c r="C527" t="s">
        <v>525</v>
      </c>
      <c r="D527" s="13" t="s">
        <v>913</v>
      </c>
      <c r="E527" s="1">
        <v>1.0531699999999999</v>
      </c>
      <c r="F527" s="1">
        <v>-0.115991</v>
      </c>
      <c r="G527" s="1">
        <v>1.01428011372379</v>
      </c>
      <c r="H527" s="1">
        <v>-0.155468468972148</v>
      </c>
      <c r="I527">
        <f>VLOOKUP(C527,'[1]phenotypes-895'!$A$2:$G$896,7,FALSE)</f>
        <v>98</v>
      </c>
    </row>
    <row r="528" spans="1:9" x14ac:dyDescent="0.2">
      <c r="A528">
        <v>527</v>
      </c>
      <c r="B528">
        <v>26</v>
      </c>
      <c r="C528" t="s">
        <v>526</v>
      </c>
      <c r="D528" s="13" t="s">
        <v>913</v>
      </c>
      <c r="E528" s="1">
        <v>4.9606700000000004</v>
      </c>
      <c r="F528" s="1">
        <v>4.1878500000000001</v>
      </c>
      <c r="G528" s="1">
        <v>4.9736785885558197</v>
      </c>
      <c r="H528" s="1">
        <v>4.1965279835073801</v>
      </c>
      <c r="I528">
        <f>VLOOKUP(C528,'[1]phenotypes-895'!$A$2:$G$896,7,FALSE)</f>
        <v>68</v>
      </c>
    </row>
    <row r="529" spans="1:9" x14ac:dyDescent="0.2">
      <c r="A529">
        <v>528</v>
      </c>
      <c r="B529">
        <v>49</v>
      </c>
      <c r="C529" t="s">
        <v>527</v>
      </c>
      <c r="D529" s="13" t="s">
        <v>912</v>
      </c>
      <c r="E529" s="1">
        <v>1.20912</v>
      </c>
      <c r="F529" s="1">
        <v>3.5979299999999999</v>
      </c>
      <c r="G529" s="1">
        <v>1.1845489042742301</v>
      </c>
      <c r="H529" s="1">
        <v>3.5902727512180501</v>
      </c>
      <c r="I529">
        <f>VLOOKUP(C529,'[1]phenotypes-895'!$A$2:$G$896,7,FALSE)</f>
        <v>78</v>
      </c>
    </row>
    <row r="530" spans="1:9" x14ac:dyDescent="0.2">
      <c r="A530">
        <v>529</v>
      </c>
      <c r="B530">
        <v>49</v>
      </c>
      <c r="C530" t="s">
        <v>528</v>
      </c>
      <c r="D530" s="13" t="s">
        <v>912</v>
      </c>
      <c r="E530" s="1">
        <v>2.4010600000000002</v>
      </c>
      <c r="F530" s="1">
        <v>4.4188900000000002</v>
      </c>
      <c r="G530" s="1">
        <v>2.3863333381898699</v>
      </c>
      <c r="H530" s="1">
        <v>4.4170684992710996</v>
      </c>
      <c r="I530">
        <f>VLOOKUP(C530,'[1]phenotypes-895'!$A$2:$G$896,7,FALSE)</f>
        <v>72</v>
      </c>
    </row>
    <row r="531" spans="1:9" x14ac:dyDescent="0.2">
      <c r="A531">
        <v>530</v>
      </c>
      <c r="B531">
        <v>33</v>
      </c>
      <c r="C531" t="s">
        <v>529</v>
      </c>
      <c r="D531" s="13" t="s">
        <v>913</v>
      </c>
      <c r="E531" s="1">
        <v>-1.82972</v>
      </c>
      <c r="F531" s="1">
        <v>-2.3907799999999999</v>
      </c>
      <c r="G531" s="1">
        <v>-1.7897059291978601</v>
      </c>
      <c r="H531" s="1">
        <v>-2.3469078940897901</v>
      </c>
      <c r="I531">
        <f>VLOOKUP(C531,'[1]phenotypes-895'!$A$2:$G$896,7,FALSE)</f>
        <v>75</v>
      </c>
    </row>
    <row r="532" spans="1:9" x14ac:dyDescent="0.2">
      <c r="A532">
        <v>531</v>
      </c>
      <c r="B532">
        <v>34</v>
      </c>
      <c r="C532" t="s">
        <v>530</v>
      </c>
      <c r="D532" s="13" t="s">
        <v>913</v>
      </c>
      <c r="E532" s="1">
        <v>-3.6718299999999999</v>
      </c>
      <c r="F532" s="1">
        <v>-3.7749299999999999</v>
      </c>
      <c r="G532" s="1">
        <v>-3.67184674720249</v>
      </c>
      <c r="H532" s="1">
        <v>-3.7837424141395699</v>
      </c>
      <c r="I532">
        <f>VLOOKUP(C532,'[1]phenotypes-895'!$A$2:$G$896,7,FALSE)</f>
        <v>58</v>
      </c>
    </row>
    <row r="533" spans="1:9" x14ac:dyDescent="0.2">
      <c r="A533">
        <v>532</v>
      </c>
      <c r="B533">
        <v>44</v>
      </c>
      <c r="C533" t="s">
        <v>531</v>
      </c>
      <c r="D533" s="13" t="s">
        <v>912</v>
      </c>
      <c r="E533" s="1">
        <v>-2.3035999999999999</v>
      </c>
      <c r="F533" s="1">
        <v>0.46106000000000003</v>
      </c>
      <c r="G533" s="1">
        <v>-2.3131396875452199</v>
      </c>
      <c r="H533" s="1">
        <v>0.45694769785332301</v>
      </c>
      <c r="I533">
        <f>VLOOKUP(C533,'[1]phenotypes-895'!$A$2:$G$896,7,FALSE)</f>
        <v>77</v>
      </c>
    </row>
    <row r="534" spans="1:9" x14ac:dyDescent="0.2">
      <c r="A534">
        <v>533</v>
      </c>
      <c r="B534">
        <v>42</v>
      </c>
      <c r="C534" t="s">
        <v>532</v>
      </c>
      <c r="D534" s="13" t="s">
        <v>912</v>
      </c>
      <c r="E534" s="1">
        <v>-2.6052399999999998</v>
      </c>
      <c r="F534" s="1">
        <v>9.2672900000000002E-2</v>
      </c>
      <c r="G534" s="1">
        <v>-2.6622507658951</v>
      </c>
      <c r="H534" s="1">
        <v>4.3046184559469201E-2</v>
      </c>
      <c r="I534">
        <f>VLOOKUP(C534,'[1]phenotypes-895'!$A$2:$G$896,7,FALSE)</f>
        <v>40</v>
      </c>
    </row>
    <row r="535" spans="1:9" x14ac:dyDescent="0.2">
      <c r="A535">
        <v>534</v>
      </c>
      <c r="B535">
        <v>31</v>
      </c>
      <c r="C535" t="s">
        <v>533</v>
      </c>
      <c r="D535" s="13" t="s">
        <v>913</v>
      </c>
      <c r="E535" s="1">
        <v>0.52198</v>
      </c>
      <c r="F535" s="1">
        <v>0.20145299999999999</v>
      </c>
      <c r="G535" s="1">
        <v>0.54053022543913298</v>
      </c>
      <c r="H535" s="1">
        <v>0.223294179710604</v>
      </c>
      <c r="I535">
        <f>VLOOKUP(C535,'[1]phenotypes-895'!$A$2:$G$896,7,FALSE)</f>
        <v>64</v>
      </c>
    </row>
    <row r="536" spans="1:9" x14ac:dyDescent="0.2">
      <c r="A536">
        <v>535</v>
      </c>
      <c r="B536">
        <v>36</v>
      </c>
      <c r="C536" t="s">
        <v>534</v>
      </c>
      <c r="D536" s="13" t="s">
        <v>913</v>
      </c>
      <c r="E536" s="1">
        <v>3.4720900000000001</v>
      </c>
      <c r="F536" s="1">
        <v>4.5901699999999996</v>
      </c>
      <c r="G536" s="1">
        <v>3.4538347727361298</v>
      </c>
      <c r="H536" s="1">
        <v>4.5653816744090099</v>
      </c>
      <c r="I536">
        <f>VLOOKUP(C536,'[1]phenotypes-895'!$A$2:$G$896,7,FALSE)</f>
        <v>98</v>
      </c>
    </row>
    <row r="537" spans="1:9" x14ac:dyDescent="0.2">
      <c r="A537">
        <v>536</v>
      </c>
      <c r="B537">
        <v>40</v>
      </c>
      <c r="C537" t="s">
        <v>535</v>
      </c>
      <c r="D537" s="13" t="s">
        <v>913</v>
      </c>
      <c r="E537" s="1">
        <v>-1.6312</v>
      </c>
      <c r="F537" s="1">
        <v>-2.2634099999999999</v>
      </c>
      <c r="G537" s="1">
        <v>-1.65469228192447</v>
      </c>
      <c r="H537" s="1">
        <v>-2.2851626637579399</v>
      </c>
      <c r="I537">
        <f>VLOOKUP(C537,'[1]phenotypes-895'!$A$2:$G$896,7,FALSE)</f>
        <v>68</v>
      </c>
    </row>
    <row r="538" spans="1:9" x14ac:dyDescent="0.2">
      <c r="A538">
        <v>537</v>
      </c>
      <c r="B538">
        <v>26</v>
      </c>
      <c r="C538" t="s">
        <v>536</v>
      </c>
      <c r="D538" s="13" t="s">
        <v>913</v>
      </c>
      <c r="E538" s="1">
        <v>4.5863899999999997</v>
      </c>
      <c r="F538" s="1">
        <v>3.71252</v>
      </c>
      <c r="G538" s="1">
        <v>4.6176089494121602</v>
      </c>
      <c r="H538" s="1">
        <v>3.7483434304190699</v>
      </c>
      <c r="I538">
        <f>VLOOKUP(C538,'[1]phenotypes-895'!$A$2:$G$896,7,FALSE)</f>
        <v>85</v>
      </c>
    </row>
    <row r="539" spans="1:9" x14ac:dyDescent="0.2">
      <c r="A539">
        <v>538</v>
      </c>
      <c r="B539">
        <v>25</v>
      </c>
      <c r="C539" t="s">
        <v>537</v>
      </c>
      <c r="D539" s="13" t="s">
        <v>913</v>
      </c>
      <c r="E539" s="1">
        <v>7.12507</v>
      </c>
      <c r="F539" s="1">
        <v>6.7565600000000003</v>
      </c>
      <c r="G539" s="1">
        <v>7.1643470800156503</v>
      </c>
      <c r="H539" s="1">
        <v>6.8053087210185197</v>
      </c>
      <c r="I539">
        <f>VLOOKUP(C539,'[1]phenotypes-895'!$A$2:$G$896,7,FALSE)</f>
        <v>98</v>
      </c>
    </row>
    <row r="540" spans="1:9" x14ac:dyDescent="0.2">
      <c r="A540">
        <v>539</v>
      </c>
      <c r="B540">
        <v>49</v>
      </c>
      <c r="C540" t="s">
        <v>538</v>
      </c>
      <c r="D540" s="13" t="s">
        <v>912</v>
      </c>
      <c r="E540" s="1">
        <v>-0.60607900000000003</v>
      </c>
      <c r="F540" s="1">
        <v>1.55894</v>
      </c>
      <c r="G540" s="1">
        <v>-0.66127970457393703</v>
      </c>
      <c r="H540" s="1">
        <v>1.51340943431523</v>
      </c>
      <c r="I540">
        <f>VLOOKUP(C540,'[1]phenotypes-895'!$A$2:$G$896,7,FALSE)</f>
        <v>56</v>
      </c>
    </row>
    <row r="541" spans="1:9" x14ac:dyDescent="0.2">
      <c r="A541">
        <v>540</v>
      </c>
      <c r="B541">
        <v>26</v>
      </c>
      <c r="C541" t="s">
        <v>539</v>
      </c>
      <c r="D541" s="13" t="s">
        <v>913</v>
      </c>
      <c r="E541" s="1">
        <v>5.2370900000000002</v>
      </c>
      <c r="F541" s="1">
        <v>4.4063499999999998</v>
      </c>
      <c r="G541" s="1">
        <v>5.2068829097124896</v>
      </c>
      <c r="H541" s="1">
        <v>4.3706928684611297</v>
      </c>
      <c r="I541">
        <f>VLOOKUP(C541,'[1]phenotypes-895'!$A$2:$G$896,7,FALSE)</f>
        <v>67</v>
      </c>
    </row>
    <row r="542" spans="1:9" x14ac:dyDescent="0.2">
      <c r="A542">
        <v>541</v>
      </c>
      <c r="B542">
        <v>45</v>
      </c>
      <c r="C542" t="s">
        <v>540</v>
      </c>
      <c r="D542" s="13" t="s">
        <v>912</v>
      </c>
      <c r="E542" s="1">
        <v>0.96209500000000003</v>
      </c>
      <c r="F542" s="1">
        <v>3.0051299999999999</v>
      </c>
      <c r="G542" s="1">
        <v>0.93384182826250905</v>
      </c>
      <c r="H542" s="1">
        <v>2.9793041428901401</v>
      </c>
      <c r="I542">
        <f>VLOOKUP(C542,'[1]phenotypes-895'!$A$2:$G$896,7,FALSE)</f>
        <v>65</v>
      </c>
    </row>
    <row r="543" spans="1:9" x14ac:dyDescent="0.2">
      <c r="A543">
        <v>542</v>
      </c>
      <c r="B543">
        <v>53</v>
      </c>
      <c r="C543" t="s">
        <v>541</v>
      </c>
      <c r="D543" s="13" t="s">
        <v>912</v>
      </c>
      <c r="E543" s="1">
        <v>0.22178500000000001</v>
      </c>
      <c r="F543" s="1">
        <v>1.5316399999999999</v>
      </c>
      <c r="G543" s="1">
        <v>0.19284501086317701</v>
      </c>
      <c r="H543" s="1">
        <v>1.5162455803757799</v>
      </c>
      <c r="I543">
        <f>VLOOKUP(C543,'[1]phenotypes-895'!$A$2:$G$896,7,FALSE)</f>
        <v>70</v>
      </c>
    </row>
    <row r="544" spans="1:9" x14ac:dyDescent="0.2">
      <c r="A544">
        <v>543</v>
      </c>
      <c r="B544">
        <v>53</v>
      </c>
      <c r="C544" t="s">
        <v>542</v>
      </c>
      <c r="D544" s="13" t="s">
        <v>912</v>
      </c>
      <c r="E544" s="1">
        <v>5.5727700000000002</v>
      </c>
      <c r="F544" s="1">
        <v>7.9142999999999999</v>
      </c>
      <c r="G544" s="1">
        <v>5.5475893693265697</v>
      </c>
      <c r="H544" s="1">
        <v>7.9071991003221402</v>
      </c>
      <c r="I544">
        <f>VLOOKUP(C544,'[1]phenotypes-895'!$A$2:$G$896,7,FALSE)</f>
        <v>98</v>
      </c>
    </row>
    <row r="545" spans="1:9" x14ac:dyDescent="0.2">
      <c r="A545">
        <v>544</v>
      </c>
      <c r="B545">
        <v>39</v>
      </c>
      <c r="C545" t="s">
        <v>543</v>
      </c>
      <c r="D545" s="13" t="s">
        <v>913</v>
      </c>
      <c r="E545" s="1">
        <v>7.2683900000000001</v>
      </c>
      <c r="F545" s="1">
        <v>6.9169299999999998</v>
      </c>
      <c r="G545" s="1">
        <v>7.2932048808349297</v>
      </c>
      <c r="H545" s="1">
        <v>6.9389648876650396</v>
      </c>
      <c r="I545">
        <f>VLOOKUP(C545,'[1]phenotypes-895'!$A$2:$G$896,7,FALSE)</f>
        <v>98</v>
      </c>
    </row>
    <row r="546" spans="1:9" x14ac:dyDescent="0.2">
      <c r="A546">
        <v>545</v>
      </c>
      <c r="B546">
        <v>28</v>
      </c>
      <c r="C546" t="s">
        <v>544</v>
      </c>
      <c r="D546" s="13" t="s">
        <v>913</v>
      </c>
      <c r="E546" s="1">
        <v>-7.59931</v>
      </c>
      <c r="F546" s="1">
        <v>-9.9453700000000005</v>
      </c>
      <c r="G546" s="1">
        <v>-7.6130127268063896</v>
      </c>
      <c r="H546" s="1">
        <v>-9.97579027624937</v>
      </c>
      <c r="I546">
        <f>VLOOKUP(C546,'[1]phenotypes-895'!$A$2:$G$896,7,FALSE)</f>
        <v>62</v>
      </c>
    </row>
    <row r="547" spans="1:9" x14ac:dyDescent="0.2">
      <c r="A547">
        <v>546</v>
      </c>
      <c r="B547">
        <v>54</v>
      </c>
      <c r="C547" t="s">
        <v>545</v>
      </c>
      <c r="D547" s="13" t="s">
        <v>912</v>
      </c>
      <c r="E547" s="1">
        <v>-0.31006499999999998</v>
      </c>
      <c r="F547" s="1">
        <v>1.67493</v>
      </c>
      <c r="G547" s="1">
        <v>-0.36465949357743699</v>
      </c>
      <c r="H547" s="1">
        <v>1.6259243303495701</v>
      </c>
      <c r="I547">
        <f>VLOOKUP(C547,'[1]phenotypes-895'!$A$2:$G$896,7,FALSE)</f>
        <v>98</v>
      </c>
    </row>
    <row r="548" spans="1:9" x14ac:dyDescent="0.2">
      <c r="A548">
        <v>547</v>
      </c>
      <c r="B548">
        <v>45</v>
      </c>
      <c r="C548" t="s">
        <v>546</v>
      </c>
      <c r="D548" s="13" t="s">
        <v>912</v>
      </c>
      <c r="E548" s="1">
        <v>2.5877599999999998</v>
      </c>
      <c r="F548" s="1">
        <v>4.9174300000000004</v>
      </c>
      <c r="G548" s="1">
        <v>2.5859107768188498</v>
      </c>
      <c r="H548" s="1">
        <v>4.9220427131690503</v>
      </c>
      <c r="I548">
        <f>VLOOKUP(C548,'[1]phenotypes-895'!$A$2:$G$896,7,FALSE)</f>
        <v>77</v>
      </c>
    </row>
    <row r="549" spans="1:9" x14ac:dyDescent="0.2">
      <c r="A549">
        <v>548</v>
      </c>
      <c r="B549">
        <v>44</v>
      </c>
      <c r="C549" t="s">
        <v>547</v>
      </c>
      <c r="D549" s="13" t="s">
        <v>912</v>
      </c>
      <c r="E549" s="1">
        <v>2.4674100000000001</v>
      </c>
      <c r="F549" s="1">
        <v>4.6287900000000004</v>
      </c>
      <c r="G549" s="1">
        <v>2.4300064926369198</v>
      </c>
      <c r="H549" s="1">
        <v>4.5941887452426702</v>
      </c>
      <c r="I549">
        <f>VLOOKUP(C549,'[1]phenotypes-895'!$A$2:$G$896,7,FALSE)</f>
        <v>54</v>
      </c>
    </row>
    <row r="550" spans="1:9" x14ac:dyDescent="0.2">
      <c r="A550">
        <v>549</v>
      </c>
      <c r="B550">
        <v>39</v>
      </c>
      <c r="C550" t="s">
        <v>548</v>
      </c>
      <c r="D550" s="13" t="s">
        <v>913</v>
      </c>
      <c r="E550" s="1">
        <v>2.8680699999999999</v>
      </c>
      <c r="F550" s="1">
        <v>4.1734900000000001</v>
      </c>
      <c r="G550" s="1">
        <v>2.8868558965041</v>
      </c>
      <c r="H550" s="1">
        <v>4.1897235313970302</v>
      </c>
      <c r="I550">
        <f>VLOOKUP(C550,'[1]phenotypes-895'!$A$2:$G$896,7,FALSE)</f>
        <v>98</v>
      </c>
    </row>
    <row r="551" spans="1:9" x14ac:dyDescent="0.2">
      <c r="A551">
        <v>550</v>
      </c>
      <c r="B551">
        <v>44</v>
      </c>
      <c r="C551" t="s">
        <v>549</v>
      </c>
      <c r="D551" s="13" t="s">
        <v>912</v>
      </c>
      <c r="E551" s="1">
        <v>3.9354699999999999E-2</v>
      </c>
      <c r="F551" s="1">
        <v>2.4026800000000001</v>
      </c>
      <c r="G551" s="1">
        <v>1.36714535002074E-2</v>
      </c>
      <c r="H551" s="1">
        <v>2.3841696554731202</v>
      </c>
      <c r="I551">
        <f>VLOOKUP(C551,'[1]phenotypes-895'!$A$2:$G$896,7,FALSE)</f>
        <v>45</v>
      </c>
    </row>
    <row r="552" spans="1:9" x14ac:dyDescent="0.2">
      <c r="A552">
        <v>551</v>
      </c>
      <c r="B552">
        <v>33</v>
      </c>
      <c r="C552" t="s">
        <v>550</v>
      </c>
      <c r="D552" s="13" t="s">
        <v>913</v>
      </c>
      <c r="E552" s="1">
        <v>-3.8136000000000001</v>
      </c>
      <c r="F552" s="1">
        <v>-3.8964099999999999</v>
      </c>
      <c r="G552" s="1">
        <v>-3.8671705248054602</v>
      </c>
      <c r="H552" s="1">
        <v>-3.9601241446543098</v>
      </c>
      <c r="I552">
        <f>VLOOKUP(C552,'[1]phenotypes-895'!$A$2:$G$896,7,FALSE)</f>
        <v>63</v>
      </c>
    </row>
    <row r="553" spans="1:9" x14ac:dyDescent="0.2">
      <c r="A553">
        <v>552</v>
      </c>
      <c r="B553">
        <v>50</v>
      </c>
      <c r="C553" t="s">
        <v>551</v>
      </c>
      <c r="D553" s="13" t="s">
        <v>912</v>
      </c>
      <c r="E553" s="1">
        <v>-2.37473</v>
      </c>
      <c r="F553" s="1">
        <v>-0.223967</v>
      </c>
      <c r="G553" s="1">
        <v>-2.3933695121478999</v>
      </c>
      <c r="H553" s="1">
        <v>-0.24207369576146001</v>
      </c>
      <c r="I553">
        <f>VLOOKUP(C553,'[1]phenotypes-895'!$A$2:$G$896,7,FALSE)</f>
        <v>48</v>
      </c>
    </row>
    <row r="554" spans="1:9" x14ac:dyDescent="0.2">
      <c r="A554">
        <v>553</v>
      </c>
      <c r="B554">
        <v>25</v>
      </c>
      <c r="C554" t="s">
        <v>552</v>
      </c>
      <c r="D554" s="13" t="s">
        <v>913</v>
      </c>
      <c r="E554" s="1">
        <v>0.31051000000000001</v>
      </c>
      <c r="F554" s="1">
        <v>1.4279500000000001</v>
      </c>
      <c r="G554" s="1">
        <v>0.31762818209747601</v>
      </c>
      <c r="H554" s="1">
        <v>1.44648920431384</v>
      </c>
      <c r="I554">
        <f>VLOOKUP(C554,'[1]phenotypes-895'!$A$2:$G$896,7,FALSE)</f>
        <v>98</v>
      </c>
    </row>
    <row r="555" spans="1:9" x14ac:dyDescent="0.2">
      <c r="A555">
        <v>554</v>
      </c>
      <c r="B555">
        <v>33</v>
      </c>
      <c r="C555" t="s">
        <v>553</v>
      </c>
      <c r="D555" s="13" t="s">
        <v>913</v>
      </c>
      <c r="E555" s="1">
        <v>2.0415899999999998</v>
      </c>
      <c r="F555" s="1">
        <v>1.9914000000000001</v>
      </c>
      <c r="G555" s="1">
        <v>2.0372515924252701</v>
      </c>
      <c r="H555" s="1">
        <v>1.99663257935795</v>
      </c>
      <c r="I555">
        <f>VLOOKUP(C555,'[1]phenotypes-895'!$A$2:$G$896,7,FALSE)</f>
        <v>83</v>
      </c>
    </row>
    <row r="556" spans="1:9" x14ac:dyDescent="0.2">
      <c r="A556">
        <v>555</v>
      </c>
      <c r="B556">
        <v>39</v>
      </c>
      <c r="C556" t="s">
        <v>554</v>
      </c>
      <c r="D556" s="13" t="s">
        <v>913</v>
      </c>
      <c r="E556" s="1">
        <v>1.54758</v>
      </c>
      <c r="F556" s="1">
        <v>2.7856700000000001</v>
      </c>
      <c r="G556" s="1">
        <v>1.5261674691167799</v>
      </c>
      <c r="H556" s="1">
        <v>2.7594194007610202</v>
      </c>
      <c r="I556">
        <f>VLOOKUP(C556,'[1]phenotypes-895'!$A$2:$G$896,7,FALSE)</f>
        <v>98</v>
      </c>
    </row>
    <row r="557" spans="1:9" x14ac:dyDescent="0.2">
      <c r="A557">
        <v>556</v>
      </c>
      <c r="B557">
        <v>42</v>
      </c>
      <c r="C557" t="s">
        <v>555</v>
      </c>
      <c r="D557" s="13" t="s">
        <v>912</v>
      </c>
      <c r="E557" s="1">
        <v>-7.45221</v>
      </c>
      <c r="F557" s="1">
        <v>-5.7715699999999996</v>
      </c>
      <c r="G557" s="1">
        <v>-7.5073363097677897</v>
      </c>
      <c r="H557" s="1">
        <v>-5.8267324715167303</v>
      </c>
      <c r="I557">
        <f>VLOOKUP(C557,'[1]phenotypes-895'!$A$2:$G$896,7,FALSE)</f>
        <v>62</v>
      </c>
    </row>
    <row r="558" spans="1:9" x14ac:dyDescent="0.2">
      <c r="A558">
        <v>557</v>
      </c>
      <c r="B558">
        <v>33</v>
      </c>
      <c r="C558" t="s">
        <v>556</v>
      </c>
      <c r="D558" s="13" t="s">
        <v>913</v>
      </c>
      <c r="E558" s="1">
        <v>4.4994300000000003</v>
      </c>
      <c r="F558" s="1">
        <v>2.9396900000000001</v>
      </c>
      <c r="G558" s="1">
        <v>4.5130547489919604</v>
      </c>
      <c r="H558" s="1">
        <v>2.9425819472698498</v>
      </c>
      <c r="I558">
        <f>VLOOKUP(C558,'[1]phenotypes-895'!$A$2:$G$896,7,FALSE)</f>
        <v>98</v>
      </c>
    </row>
    <row r="559" spans="1:9" x14ac:dyDescent="0.2">
      <c r="A559">
        <v>558</v>
      </c>
      <c r="B559">
        <v>39</v>
      </c>
      <c r="C559" t="s">
        <v>557</v>
      </c>
      <c r="D559" s="13" t="s">
        <v>913</v>
      </c>
      <c r="E559" s="1">
        <v>4.0183799999999996</v>
      </c>
      <c r="F559" s="1">
        <v>3.0712000000000002</v>
      </c>
      <c r="G559" s="1">
        <v>3.98773908564158</v>
      </c>
      <c r="H559" s="1">
        <v>3.0302426325419498</v>
      </c>
      <c r="I559">
        <f>VLOOKUP(C559,'[1]phenotypes-895'!$A$2:$G$896,7,FALSE)</f>
        <v>78</v>
      </c>
    </row>
    <row r="560" spans="1:9" x14ac:dyDescent="0.2">
      <c r="A560">
        <v>559</v>
      </c>
      <c r="B560">
        <v>26</v>
      </c>
      <c r="C560" t="s">
        <v>558</v>
      </c>
      <c r="D560" s="13" t="s">
        <v>913</v>
      </c>
      <c r="E560" s="1">
        <v>1.2428999999999999</v>
      </c>
      <c r="F560" s="1">
        <v>2.3157899999999998</v>
      </c>
      <c r="G560" s="1">
        <v>1.2143389415350301</v>
      </c>
      <c r="H560" s="1">
        <v>2.2836169043650099</v>
      </c>
      <c r="I560">
        <f>VLOOKUP(C560,'[1]phenotypes-895'!$A$2:$G$896,7,FALSE)</f>
        <v>98</v>
      </c>
    </row>
    <row r="561" spans="1:9" x14ac:dyDescent="0.2">
      <c r="A561">
        <v>560</v>
      </c>
      <c r="B561">
        <v>32</v>
      </c>
      <c r="C561" t="s">
        <v>559</v>
      </c>
      <c r="D561" s="13" t="s">
        <v>913</v>
      </c>
      <c r="E561" s="1">
        <v>5.9000300000000001</v>
      </c>
      <c r="F561" s="1">
        <v>5.0162300000000002</v>
      </c>
      <c r="G561" s="1">
        <v>5.87785431555481</v>
      </c>
      <c r="H561" s="1">
        <v>4.9813977901263096</v>
      </c>
      <c r="I561">
        <f>VLOOKUP(C561,'[1]phenotypes-895'!$A$2:$G$896,7,FALSE)</f>
        <v>98</v>
      </c>
    </row>
    <row r="562" spans="1:9" x14ac:dyDescent="0.2">
      <c r="A562">
        <v>561</v>
      </c>
      <c r="B562">
        <v>23</v>
      </c>
      <c r="C562" t="s">
        <v>560</v>
      </c>
      <c r="D562" s="13" t="s">
        <v>913</v>
      </c>
      <c r="E562" s="1">
        <v>4.7444300000000004</v>
      </c>
      <c r="F562" s="1">
        <v>3.3889900000000002</v>
      </c>
      <c r="G562" s="1">
        <v>4.7567843078127199</v>
      </c>
      <c r="H562" s="1">
        <v>3.40047865353282</v>
      </c>
      <c r="I562">
        <f>VLOOKUP(C562,'[1]phenotypes-895'!$A$2:$G$896,7,FALSE)</f>
        <v>98</v>
      </c>
    </row>
    <row r="563" spans="1:9" x14ac:dyDescent="0.2">
      <c r="A563">
        <v>562</v>
      </c>
      <c r="B563">
        <v>39</v>
      </c>
      <c r="C563" t="s">
        <v>561</v>
      </c>
      <c r="D563" s="13" t="s">
        <v>913</v>
      </c>
      <c r="E563" s="1">
        <v>1.3498399999999999</v>
      </c>
      <c r="F563" s="1">
        <v>2.7282600000000001</v>
      </c>
      <c r="G563" s="1">
        <v>1.38453649771368</v>
      </c>
      <c r="H563" s="1">
        <v>2.7589137926348699</v>
      </c>
      <c r="I563">
        <f>VLOOKUP(C563,'[1]phenotypes-895'!$A$2:$G$896,7,FALSE)</f>
        <v>98</v>
      </c>
    </row>
    <row r="564" spans="1:9" x14ac:dyDescent="0.2">
      <c r="A564">
        <v>563</v>
      </c>
      <c r="B564">
        <v>26</v>
      </c>
      <c r="C564" t="s">
        <v>562</v>
      </c>
      <c r="D564" s="13" t="s">
        <v>913</v>
      </c>
      <c r="E564" s="1">
        <v>0.668296</v>
      </c>
      <c r="F564" s="1">
        <v>-1.6912</v>
      </c>
      <c r="G564" s="1">
        <v>0.65662738806814902</v>
      </c>
      <c r="H564" s="1">
        <v>-1.70262206691758</v>
      </c>
      <c r="I564">
        <f>VLOOKUP(C564,'[1]phenotypes-895'!$A$2:$G$896,7,FALSE)</f>
        <v>98</v>
      </c>
    </row>
    <row r="565" spans="1:9" x14ac:dyDescent="0.2">
      <c r="A565">
        <v>564</v>
      </c>
      <c r="B565">
        <v>34</v>
      </c>
      <c r="C565" t="s">
        <v>563</v>
      </c>
      <c r="D565" s="13" t="s">
        <v>913</v>
      </c>
      <c r="E565" s="1">
        <v>5.52407</v>
      </c>
      <c r="F565" s="1">
        <v>5.1414400000000002</v>
      </c>
      <c r="G565" s="1">
        <v>5.5429880634010598</v>
      </c>
      <c r="H565" s="1">
        <v>5.1581726766441296</v>
      </c>
      <c r="I565">
        <f>VLOOKUP(C565,'[1]phenotypes-895'!$A$2:$G$896,7,FALSE)</f>
        <v>98</v>
      </c>
    </row>
    <row r="566" spans="1:9" x14ac:dyDescent="0.2">
      <c r="A566">
        <v>565</v>
      </c>
      <c r="B566">
        <v>32</v>
      </c>
      <c r="C566" t="s">
        <v>564</v>
      </c>
      <c r="D566" s="13" t="s">
        <v>913</v>
      </c>
      <c r="E566" s="1">
        <v>-1.5259799999999999</v>
      </c>
      <c r="F566" s="1">
        <v>-0.78651899999999997</v>
      </c>
      <c r="G566" s="1">
        <v>-1.55604966924766</v>
      </c>
      <c r="H566" s="1">
        <v>-0.82012750498841702</v>
      </c>
      <c r="I566">
        <f>VLOOKUP(C566,'[1]phenotypes-895'!$A$2:$G$896,7,FALSE)</f>
        <v>98</v>
      </c>
    </row>
    <row r="567" spans="1:9" x14ac:dyDescent="0.2">
      <c r="A567">
        <v>566</v>
      </c>
      <c r="B567">
        <v>21</v>
      </c>
      <c r="C567" t="s">
        <v>565</v>
      </c>
      <c r="D567" s="13" t="s">
        <v>913</v>
      </c>
      <c r="E567" s="1">
        <v>2.9886900000000001</v>
      </c>
      <c r="F567" s="1">
        <v>1.96801</v>
      </c>
      <c r="G567" s="1">
        <v>2.9904453393413801</v>
      </c>
      <c r="H567" s="1">
        <v>1.96060719234855</v>
      </c>
      <c r="I567">
        <f>VLOOKUP(C567,'[1]phenotypes-895'!$A$2:$G$896,7,FALSE)</f>
        <v>85</v>
      </c>
    </row>
    <row r="568" spans="1:9" x14ac:dyDescent="0.2">
      <c r="A568">
        <v>567</v>
      </c>
      <c r="B568">
        <v>35</v>
      </c>
      <c r="C568" t="s">
        <v>566</v>
      </c>
      <c r="D568" s="13" t="s">
        <v>913</v>
      </c>
      <c r="E568" s="1">
        <v>1.9368399999999999</v>
      </c>
      <c r="F568" s="1">
        <v>4.4009799999999997</v>
      </c>
      <c r="G568" s="1">
        <v>1.93374846029326</v>
      </c>
      <c r="H568" s="1">
        <v>4.41449767901294</v>
      </c>
      <c r="I568">
        <f>VLOOKUP(C568,'[1]phenotypes-895'!$A$2:$G$896,7,FALSE)</f>
        <v>98</v>
      </c>
    </row>
    <row r="569" spans="1:9" x14ac:dyDescent="0.2">
      <c r="A569">
        <v>568</v>
      </c>
      <c r="B569">
        <v>40</v>
      </c>
      <c r="C569" t="s">
        <v>567</v>
      </c>
      <c r="D569" s="13" t="s">
        <v>913</v>
      </c>
      <c r="E569" s="1">
        <v>2.4024100000000002</v>
      </c>
      <c r="F569" s="1">
        <v>2.0385800000000001</v>
      </c>
      <c r="G569" s="1">
        <v>2.3813256799374098</v>
      </c>
      <c r="H569" s="1">
        <v>2.01084074835576</v>
      </c>
      <c r="I569">
        <f>VLOOKUP(C569,'[1]phenotypes-895'!$A$2:$G$896,7,FALSE)</f>
        <v>98</v>
      </c>
    </row>
    <row r="570" spans="1:9" x14ac:dyDescent="0.2">
      <c r="A570">
        <v>569</v>
      </c>
      <c r="B570">
        <v>40</v>
      </c>
      <c r="C570" t="s">
        <v>568</v>
      </c>
      <c r="D570" s="13" t="s">
        <v>913</v>
      </c>
      <c r="E570" s="1">
        <v>4.8605400000000003</v>
      </c>
      <c r="F570" s="1">
        <v>4.2392799999999999</v>
      </c>
      <c r="G570" s="1">
        <v>4.7999807386093298</v>
      </c>
      <c r="H570" s="1">
        <v>4.1734343101936799</v>
      </c>
      <c r="I570">
        <f>VLOOKUP(C570,'[1]phenotypes-895'!$A$2:$G$896,7,FALSE)</f>
        <v>98</v>
      </c>
    </row>
    <row r="571" spans="1:9" x14ac:dyDescent="0.2">
      <c r="A571">
        <v>570</v>
      </c>
      <c r="B571">
        <v>33</v>
      </c>
      <c r="C571" t="s">
        <v>569</v>
      </c>
      <c r="D571" s="13" t="s">
        <v>913</v>
      </c>
      <c r="E571" s="1">
        <v>5.7439799999999996</v>
      </c>
      <c r="F571" s="1">
        <v>5.8866899999999998</v>
      </c>
      <c r="G571" s="1">
        <v>5.78309201182637</v>
      </c>
      <c r="H571" s="1">
        <v>5.9221783754397803</v>
      </c>
      <c r="I571">
        <f>VLOOKUP(C571,'[1]phenotypes-895'!$A$2:$G$896,7,FALSE)</f>
        <v>98</v>
      </c>
    </row>
    <row r="572" spans="1:9" x14ac:dyDescent="0.2">
      <c r="A572">
        <v>571</v>
      </c>
      <c r="B572">
        <v>41</v>
      </c>
      <c r="C572" t="s">
        <v>570</v>
      </c>
      <c r="D572" s="13" t="s">
        <v>912</v>
      </c>
      <c r="E572" s="1">
        <v>1.8094399999999999</v>
      </c>
      <c r="F572" s="1">
        <v>4.5834999999999999</v>
      </c>
      <c r="G572" s="1">
        <v>1.78883282969052</v>
      </c>
      <c r="H572" s="1">
        <v>4.5872765566026796</v>
      </c>
      <c r="I572">
        <f>VLOOKUP(C572,'[1]phenotypes-895'!$A$2:$G$896,7,FALSE)</f>
        <v>98</v>
      </c>
    </row>
    <row r="573" spans="1:9" x14ac:dyDescent="0.2">
      <c r="A573">
        <v>572</v>
      </c>
      <c r="B573">
        <v>23</v>
      </c>
      <c r="C573" t="s">
        <v>571</v>
      </c>
      <c r="D573" s="13" t="s">
        <v>913</v>
      </c>
      <c r="E573" s="1">
        <v>2.06385</v>
      </c>
      <c r="F573" s="1">
        <v>1.95597</v>
      </c>
      <c r="G573" s="1">
        <v>2.0582427989144199</v>
      </c>
      <c r="H573" s="1">
        <v>1.9620952948264001</v>
      </c>
      <c r="I573">
        <f>VLOOKUP(C573,'[1]phenotypes-895'!$A$2:$G$896,7,FALSE)</f>
        <v>98</v>
      </c>
    </row>
    <row r="574" spans="1:9" x14ac:dyDescent="0.2">
      <c r="A574">
        <v>573</v>
      </c>
      <c r="B574">
        <v>45</v>
      </c>
      <c r="C574" t="s">
        <v>572</v>
      </c>
      <c r="D574" s="13" t="s">
        <v>912</v>
      </c>
      <c r="E574" s="1">
        <v>3.8300299999999998</v>
      </c>
      <c r="F574" s="1">
        <v>6.2249600000000003</v>
      </c>
      <c r="G574" s="1">
        <v>3.8213209038812699</v>
      </c>
      <c r="H574" s="1">
        <v>6.2209696562644101</v>
      </c>
      <c r="I574">
        <f>VLOOKUP(C574,'[1]phenotypes-895'!$A$2:$G$896,7,FALSE)</f>
        <v>98</v>
      </c>
    </row>
    <row r="575" spans="1:9" x14ac:dyDescent="0.2">
      <c r="A575">
        <v>574</v>
      </c>
      <c r="B575">
        <v>54</v>
      </c>
      <c r="C575" t="s">
        <v>573</v>
      </c>
      <c r="D575" s="13" t="s">
        <v>912</v>
      </c>
      <c r="E575" s="1">
        <v>-1.3849499999999999</v>
      </c>
      <c r="F575" s="1">
        <v>-0.121711</v>
      </c>
      <c r="G575" s="1">
        <v>-1.41835275242901</v>
      </c>
      <c r="H575" s="1">
        <v>-0.14739190693658999</v>
      </c>
      <c r="I575">
        <f>VLOOKUP(C575,'[1]phenotypes-895'!$A$2:$G$896,7,FALSE)</f>
        <v>63</v>
      </c>
    </row>
    <row r="576" spans="1:9" x14ac:dyDescent="0.2">
      <c r="A576">
        <v>575</v>
      </c>
      <c r="B576">
        <v>54</v>
      </c>
      <c r="C576" t="s">
        <v>574</v>
      </c>
      <c r="D576" s="13" t="s">
        <v>912</v>
      </c>
      <c r="E576" s="1">
        <v>-1.3635600000000001</v>
      </c>
      <c r="F576" s="1">
        <v>0.57362800000000003</v>
      </c>
      <c r="G576" s="1">
        <v>-1.4291585057137299</v>
      </c>
      <c r="H576" s="1">
        <v>0.50969443733673503</v>
      </c>
      <c r="I576">
        <f>VLOOKUP(C576,'[1]phenotypes-895'!$A$2:$G$896,7,FALSE)</f>
        <v>65</v>
      </c>
    </row>
    <row r="577" spans="1:9" x14ac:dyDescent="0.2">
      <c r="A577">
        <v>576</v>
      </c>
      <c r="B577">
        <v>49</v>
      </c>
      <c r="C577" t="s">
        <v>575</v>
      </c>
      <c r="D577" s="13" t="s">
        <v>912</v>
      </c>
      <c r="E577" s="1">
        <v>-0.45672499999999999</v>
      </c>
      <c r="F577" s="1">
        <v>1.87273</v>
      </c>
      <c r="G577" s="1">
        <v>-0.47066868094781</v>
      </c>
      <c r="H577" s="1">
        <v>1.8713588877312599</v>
      </c>
      <c r="I577">
        <f>VLOOKUP(C577,'[1]phenotypes-895'!$A$2:$G$896,7,FALSE)</f>
        <v>60</v>
      </c>
    </row>
    <row r="578" spans="1:9" x14ac:dyDescent="0.2">
      <c r="A578">
        <v>577</v>
      </c>
      <c r="B578">
        <v>42</v>
      </c>
      <c r="C578" t="s">
        <v>576</v>
      </c>
      <c r="D578" s="13" t="s">
        <v>912</v>
      </c>
      <c r="E578" s="1">
        <v>-1.50404</v>
      </c>
      <c r="F578" s="1">
        <v>0.96293799999999996</v>
      </c>
      <c r="G578" s="1">
        <v>-1.5447678041896</v>
      </c>
      <c r="H578" s="1">
        <v>0.92476001871170399</v>
      </c>
      <c r="I578">
        <f>VLOOKUP(C578,'[1]phenotypes-895'!$A$2:$G$896,7,FALSE)</f>
        <v>67</v>
      </c>
    </row>
    <row r="579" spans="1:9" x14ac:dyDescent="0.2">
      <c r="A579">
        <v>578</v>
      </c>
      <c r="B579">
        <v>34</v>
      </c>
      <c r="C579" t="s">
        <v>577</v>
      </c>
      <c r="D579" s="13" t="s">
        <v>913</v>
      </c>
      <c r="E579" s="1">
        <v>-0.67926600000000004</v>
      </c>
      <c r="F579" s="1">
        <v>-0.57516800000000001</v>
      </c>
      <c r="G579" s="1">
        <v>-0.69976898037683999</v>
      </c>
      <c r="H579" s="1">
        <v>-0.59431806308050295</v>
      </c>
      <c r="I579">
        <f>VLOOKUP(C579,'[1]phenotypes-895'!$A$2:$G$896,7,FALSE)</f>
        <v>98</v>
      </c>
    </row>
    <row r="580" spans="1:9" x14ac:dyDescent="0.2">
      <c r="A580">
        <v>579</v>
      </c>
      <c r="B580">
        <v>42</v>
      </c>
      <c r="C580" t="s">
        <v>578</v>
      </c>
      <c r="D580" s="13" t="s">
        <v>912</v>
      </c>
      <c r="E580" s="1">
        <v>0.62449299999999996</v>
      </c>
      <c r="F580" s="1">
        <v>2.8256100000000002</v>
      </c>
      <c r="G580" s="1">
        <v>0.62626434318753499</v>
      </c>
      <c r="H580" s="1">
        <v>2.8515567163438802</v>
      </c>
      <c r="I580">
        <f>VLOOKUP(C580,'[1]phenotypes-895'!$A$2:$G$896,7,FALSE)</f>
        <v>98</v>
      </c>
    </row>
    <row r="581" spans="1:9" x14ac:dyDescent="0.2">
      <c r="A581">
        <v>580</v>
      </c>
      <c r="B581">
        <v>34</v>
      </c>
      <c r="C581" t="s">
        <v>579</v>
      </c>
      <c r="D581" s="13" t="s">
        <v>913</v>
      </c>
      <c r="E581" s="1">
        <v>-1.718</v>
      </c>
      <c r="F581" s="1">
        <v>-2.5154800000000002</v>
      </c>
      <c r="G581" s="1">
        <v>-1.74148723551767</v>
      </c>
      <c r="H581" s="1">
        <v>-2.5370793186577498</v>
      </c>
      <c r="I581">
        <f>VLOOKUP(C581,'[1]phenotypes-895'!$A$2:$G$896,7,FALSE)</f>
        <v>58</v>
      </c>
    </row>
    <row r="582" spans="1:9" x14ac:dyDescent="0.2">
      <c r="A582">
        <v>581</v>
      </c>
      <c r="B582">
        <v>53</v>
      </c>
      <c r="C582" t="s">
        <v>580</v>
      </c>
      <c r="D582" s="13" t="s">
        <v>912</v>
      </c>
      <c r="E582" s="1">
        <v>-2.8426099999999999E-2</v>
      </c>
      <c r="F582" s="1">
        <v>2.2824399999999998</v>
      </c>
      <c r="G582" s="1">
        <v>-8.6757456295188898E-2</v>
      </c>
      <c r="H582" s="1">
        <v>2.2302186739013101</v>
      </c>
      <c r="I582">
        <f>VLOOKUP(C582,'[1]phenotypes-895'!$A$2:$G$896,7,FALSE)</f>
        <v>63</v>
      </c>
    </row>
    <row r="583" spans="1:9" x14ac:dyDescent="0.2">
      <c r="A583">
        <v>582</v>
      </c>
      <c r="B583">
        <v>49</v>
      </c>
      <c r="C583" t="s">
        <v>581</v>
      </c>
      <c r="D583" s="13" t="s">
        <v>912</v>
      </c>
      <c r="E583" s="1">
        <v>0.36072100000000001</v>
      </c>
      <c r="F583" s="1">
        <v>2.8447200000000001</v>
      </c>
      <c r="G583" s="1">
        <v>0.31241107409118302</v>
      </c>
      <c r="H583" s="1">
        <v>2.7959055382776801</v>
      </c>
      <c r="I583">
        <f>VLOOKUP(C583,'[1]phenotypes-895'!$A$2:$G$896,7,FALSE)</f>
        <v>98</v>
      </c>
    </row>
    <row r="584" spans="1:9" x14ac:dyDescent="0.2">
      <c r="A584">
        <v>583</v>
      </c>
      <c r="B584">
        <v>44</v>
      </c>
      <c r="C584" t="s">
        <v>582</v>
      </c>
      <c r="D584" s="13" t="s">
        <v>912</v>
      </c>
      <c r="E584" s="1">
        <v>7.8053600000000001E-2</v>
      </c>
      <c r="F584" s="1">
        <v>1.3593</v>
      </c>
      <c r="G584" s="1">
        <v>5.8789361101911901E-2</v>
      </c>
      <c r="H584" s="1">
        <v>1.3462037712214501</v>
      </c>
      <c r="I584">
        <f>VLOOKUP(C584,'[1]phenotypes-895'!$A$2:$G$896,7,FALSE)</f>
        <v>81</v>
      </c>
    </row>
    <row r="585" spans="1:9" x14ac:dyDescent="0.2">
      <c r="A585">
        <v>584</v>
      </c>
      <c r="B585">
        <v>46</v>
      </c>
      <c r="C585" t="s">
        <v>583</v>
      </c>
      <c r="D585" s="13" t="s">
        <v>912</v>
      </c>
      <c r="E585" s="1">
        <v>0.863958</v>
      </c>
      <c r="F585" s="1">
        <v>3.7347399999999999</v>
      </c>
      <c r="G585" s="1">
        <v>0.84866411643798201</v>
      </c>
      <c r="H585" s="1">
        <v>3.7426088280110799</v>
      </c>
      <c r="I585">
        <f>VLOOKUP(C585,'[1]phenotypes-895'!$A$2:$G$896,7,FALSE)</f>
        <v>98</v>
      </c>
    </row>
    <row r="586" spans="1:9" x14ac:dyDescent="0.2">
      <c r="A586">
        <v>585</v>
      </c>
      <c r="B586">
        <v>34</v>
      </c>
      <c r="C586" t="s">
        <v>584</v>
      </c>
      <c r="D586" s="13" t="s">
        <v>913</v>
      </c>
      <c r="E586" s="1">
        <v>0.11841699999999999</v>
      </c>
      <c r="F586" s="1">
        <v>0.130414</v>
      </c>
      <c r="G586" s="1">
        <v>0.134360934016623</v>
      </c>
      <c r="H586" s="1">
        <v>0.150394731190401</v>
      </c>
      <c r="I586">
        <f>VLOOKUP(C586,'[1]phenotypes-895'!$A$2:$G$896,7,FALSE)</f>
        <v>63</v>
      </c>
    </row>
    <row r="587" spans="1:9" x14ac:dyDescent="0.2">
      <c r="A587">
        <v>586</v>
      </c>
      <c r="B587">
        <v>45</v>
      </c>
      <c r="C587" t="s">
        <v>585</v>
      </c>
      <c r="D587" s="13" t="s">
        <v>912</v>
      </c>
      <c r="E587" s="1">
        <v>2.5710799999999998</v>
      </c>
      <c r="F587" s="1">
        <v>4.8720999999999997</v>
      </c>
      <c r="G587" s="1">
        <v>2.5226501093190299</v>
      </c>
      <c r="H587" s="1">
        <v>4.8327041634128598</v>
      </c>
      <c r="I587">
        <f>VLOOKUP(C587,'[1]phenotypes-895'!$A$2:$G$896,7,FALSE)</f>
        <v>53</v>
      </c>
    </row>
    <row r="588" spans="1:9" x14ac:dyDescent="0.2">
      <c r="A588">
        <v>587</v>
      </c>
      <c r="B588">
        <v>44</v>
      </c>
      <c r="C588" t="s">
        <v>586</v>
      </c>
      <c r="D588" s="13" t="s">
        <v>912</v>
      </c>
      <c r="E588" s="1">
        <v>4.9012900000000004</v>
      </c>
      <c r="F588" s="1">
        <v>7.4601800000000003</v>
      </c>
      <c r="G588" s="1">
        <v>4.89965749509535</v>
      </c>
      <c r="H588" s="1">
        <v>7.4713330893419601</v>
      </c>
      <c r="I588">
        <f>VLOOKUP(C588,'[1]phenotypes-895'!$A$2:$G$896,7,FALSE)</f>
        <v>98</v>
      </c>
    </row>
    <row r="589" spans="1:9" x14ac:dyDescent="0.2">
      <c r="A589">
        <v>588</v>
      </c>
      <c r="B589">
        <v>37</v>
      </c>
      <c r="C589" t="s">
        <v>587</v>
      </c>
      <c r="D589" s="13" t="s">
        <v>913</v>
      </c>
      <c r="E589" s="1">
        <v>4.6614599999999999</v>
      </c>
      <c r="F589" s="1">
        <v>3.9739599999999999</v>
      </c>
      <c r="G589" s="1">
        <v>4.6206751161469999</v>
      </c>
      <c r="H589" s="1">
        <v>3.92708474630111</v>
      </c>
      <c r="I589">
        <f>VLOOKUP(C589,'[1]phenotypes-895'!$A$2:$G$896,7,FALSE)</f>
        <v>50</v>
      </c>
    </row>
    <row r="590" spans="1:9" x14ac:dyDescent="0.2">
      <c r="A590">
        <v>589</v>
      </c>
      <c r="B590">
        <v>50</v>
      </c>
      <c r="C590" t="s">
        <v>588</v>
      </c>
      <c r="D590" s="13" t="s">
        <v>912</v>
      </c>
      <c r="E590" s="1">
        <v>1.50498</v>
      </c>
      <c r="F590" s="1">
        <v>4.5306100000000002</v>
      </c>
      <c r="G590" s="1">
        <v>1.51445636246926</v>
      </c>
      <c r="H590" s="1">
        <v>4.5448455828238901</v>
      </c>
      <c r="I590">
        <f>VLOOKUP(C590,'[1]phenotypes-895'!$A$2:$G$896,7,FALSE)</f>
        <v>70</v>
      </c>
    </row>
    <row r="591" spans="1:9" x14ac:dyDescent="0.2">
      <c r="A591">
        <v>590</v>
      </c>
      <c r="B591">
        <v>42</v>
      </c>
      <c r="C591" t="s">
        <v>589</v>
      </c>
      <c r="D591" s="13" t="s">
        <v>912</v>
      </c>
      <c r="E591" s="1">
        <v>-1.7178800000000001E-2</v>
      </c>
      <c r="F591" s="1">
        <v>2.9397799999999998</v>
      </c>
      <c r="G591" s="1">
        <v>-2.3565743601248398E-2</v>
      </c>
      <c r="H591" s="1">
        <v>2.94163918206171</v>
      </c>
      <c r="I591">
        <f>VLOOKUP(C591,'[1]phenotypes-895'!$A$2:$G$896,7,FALSE)</f>
        <v>72</v>
      </c>
    </row>
    <row r="592" spans="1:9" x14ac:dyDescent="0.2">
      <c r="A592">
        <v>591</v>
      </c>
      <c r="B592">
        <v>42</v>
      </c>
      <c r="C592" t="s">
        <v>590</v>
      </c>
      <c r="D592" s="13" t="s">
        <v>912</v>
      </c>
      <c r="E592" s="1">
        <v>2.0575399999999999</v>
      </c>
      <c r="F592" s="1">
        <v>5.1842199999999998</v>
      </c>
      <c r="G592" s="1">
        <v>2.1001350106500198</v>
      </c>
      <c r="H592" s="1">
        <v>5.2421701361236703</v>
      </c>
      <c r="I592">
        <f>VLOOKUP(C592,'[1]phenotypes-895'!$A$2:$G$896,7,FALSE)</f>
        <v>98</v>
      </c>
    </row>
    <row r="593" spans="1:9" x14ac:dyDescent="0.2">
      <c r="A593">
        <v>592</v>
      </c>
      <c r="B593">
        <v>38</v>
      </c>
      <c r="C593" t="s">
        <v>591</v>
      </c>
      <c r="D593" s="13" t="s">
        <v>913</v>
      </c>
      <c r="E593" s="1">
        <v>8.68079</v>
      </c>
      <c r="F593" s="1">
        <v>8.7981700000000007</v>
      </c>
      <c r="G593" s="1">
        <v>8.7057691199656695</v>
      </c>
      <c r="H593" s="1">
        <v>8.8299318960929103</v>
      </c>
      <c r="I593">
        <f>VLOOKUP(C593,'[1]phenotypes-895'!$A$2:$G$896,7,FALSE)</f>
        <v>93</v>
      </c>
    </row>
    <row r="594" spans="1:9" x14ac:dyDescent="0.2">
      <c r="A594">
        <v>593</v>
      </c>
      <c r="B594">
        <v>45</v>
      </c>
      <c r="C594" t="s">
        <v>592</v>
      </c>
      <c r="D594" s="13" t="s">
        <v>912</v>
      </c>
      <c r="E594" s="1">
        <v>2.1209899999999999</v>
      </c>
      <c r="F594" s="1">
        <v>4.1179500000000004</v>
      </c>
      <c r="G594" s="1">
        <v>2.1255791499530501</v>
      </c>
      <c r="H594" s="1">
        <v>4.1292034318860296</v>
      </c>
      <c r="I594">
        <f>VLOOKUP(C594,'[1]phenotypes-895'!$A$2:$G$896,7,FALSE)</f>
        <v>81</v>
      </c>
    </row>
    <row r="595" spans="1:9" x14ac:dyDescent="0.2">
      <c r="A595">
        <v>594</v>
      </c>
      <c r="B595">
        <v>25</v>
      </c>
      <c r="C595" t="s">
        <v>593</v>
      </c>
      <c r="D595" s="13" t="s">
        <v>913</v>
      </c>
      <c r="E595" s="1">
        <v>1.8901600000000001</v>
      </c>
      <c r="F595" s="1">
        <v>0.50850200000000001</v>
      </c>
      <c r="G595" s="1">
        <v>1.85983252464529</v>
      </c>
      <c r="H595" s="1">
        <v>0.46673933785166499</v>
      </c>
      <c r="I595">
        <f>VLOOKUP(C595,'[1]phenotypes-895'!$A$2:$G$896,7,FALSE)</f>
        <v>51</v>
      </c>
    </row>
    <row r="596" spans="1:9" x14ac:dyDescent="0.2">
      <c r="A596">
        <v>595</v>
      </c>
      <c r="B596">
        <v>25</v>
      </c>
      <c r="C596" t="s">
        <v>594</v>
      </c>
      <c r="D596" s="13" t="s">
        <v>913</v>
      </c>
      <c r="E596" s="1">
        <v>5.1861699999999997</v>
      </c>
      <c r="F596" s="1">
        <v>4.0755600000000003</v>
      </c>
      <c r="G596" s="1">
        <v>5.2341247252837899</v>
      </c>
      <c r="H596" s="1">
        <v>4.11596195426183</v>
      </c>
      <c r="I596">
        <f>VLOOKUP(C596,'[1]phenotypes-895'!$A$2:$G$896,7,FALSE)</f>
        <v>98</v>
      </c>
    </row>
    <row r="597" spans="1:9" x14ac:dyDescent="0.2">
      <c r="A597">
        <v>596</v>
      </c>
      <c r="B597">
        <v>32</v>
      </c>
      <c r="C597" t="s">
        <v>595</v>
      </c>
      <c r="D597" s="13" t="s">
        <v>913</v>
      </c>
      <c r="E597" s="1">
        <v>3.66987</v>
      </c>
      <c r="F597" s="1">
        <v>2.7436500000000001</v>
      </c>
      <c r="G597" s="1">
        <v>3.74827939354061</v>
      </c>
      <c r="H597" s="1">
        <v>2.8343282887975199</v>
      </c>
      <c r="I597">
        <f>VLOOKUP(C597,'[1]phenotypes-895'!$A$2:$G$896,7,FALSE)</f>
        <v>98</v>
      </c>
    </row>
    <row r="598" spans="1:9" x14ac:dyDescent="0.2">
      <c r="A598">
        <v>597</v>
      </c>
      <c r="B598">
        <v>38</v>
      </c>
      <c r="C598" t="s">
        <v>596</v>
      </c>
      <c r="D598" s="13" t="s">
        <v>913</v>
      </c>
      <c r="E598" s="1">
        <v>-1.4607300000000001</v>
      </c>
      <c r="F598" s="1">
        <v>-0.77446599999999999</v>
      </c>
      <c r="G598" s="1">
        <v>-1.4768010304397701</v>
      </c>
      <c r="H598" s="1">
        <v>-0.79092289566359697</v>
      </c>
      <c r="I598">
        <f>VLOOKUP(C598,'[1]phenotypes-895'!$A$2:$G$896,7,FALSE)</f>
        <v>98</v>
      </c>
    </row>
    <row r="599" spans="1:9" x14ac:dyDescent="0.2">
      <c r="A599">
        <v>598</v>
      </c>
      <c r="B599">
        <v>25</v>
      </c>
      <c r="C599" t="s">
        <v>597</v>
      </c>
      <c r="D599" s="13" t="s">
        <v>913</v>
      </c>
      <c r="E599" s="1">
        <v>2.5743399999999999</v>
      </c>
      <c r="F599" s="1">
        <v>1.01295</v>
      </c>
      <c r="G599" s="1">
        <v>2.52414812960065</v>
      </c>
      <c r="H599" s="1">
        <v>0.953866007143789</v>
      </c>
      <c r="I599">
        <f>VLOOKUP(C599,'[1]phenotypes-895'!$A$2:$G$896,7,FALSE)</f>
        <v>56</v>
      </c>
    </row>
    <row r="600" spans="1:9" x14ac:dyDescent="0.2">
      <c r="A600">
        <v>599</v>
      </c>
      <c r="B600">
        <v>33</v>
      </c>
      <c r="C600" t="s">
        <v>598</v>
      </c>
      <c r="D600" s="13" t="s">
        <v>913</v>
      </c>
      <c r="E600" s="1">
        <v>8.8247599999999995</v>
      </c>
      <c r="F600" s="1">
        <v>8.8973499999999994</v>
      </c>
      <c r="G600" s="1">
        <v>8.8599838967896396</v>
      </c>
      <c r="H600" s="1">
        <v>8.9311385798117904</v>
      </c>
      <c r="I600">
        <f>VLOOKUP(C600,'[1]phenotypes-895'!$A$2:$G$896,7,FALSE)</f>
        <v>98</v>
      </c>
    </row>
    <row r="601" spans="1:9" x14ac:dyDescent="0.2">
      <c r="A601">
        <v>600</v>
      </c>
      <c r="B601">
        <v>36</v>
      </c>
      <c r="C601" t="s">
        <v>599</v>
      </c>
      <c r="D601" s="13" t="s">
        <v>913</v>
      </c>
      <c r="E601" s="1">
        <v>5.10459</v>
      </c>
      <c r="F601" s="1">
        <v>6.0722399999999999</v>
      </c>
      <c r="G601" s="1">
        <v>5.1137716625826304</v>
      </c>
      <c r="H601" s="1">
        <v>6.0777076736721698</v>
      </c>
      <c r="I601">
        <f>VLOOKUP(C601,'[1]phenotypes-895'!$A$2:$G$896,7,FALSE)</f>
        <v>76</v>
      </c>
    </row>
    <row r="602" spans="1:9" x14ac:dyDescent="0.2">
      <c r="A602">
        <v>601</v>
      </c>
      <c r="B602">
        <v>38</v>
      </c>
      <c r="C602" t="s">
        <v>600</v>
      </c>
      <c r="D602" s="13" t="s">
        <v>913</v>
      </c>
      <c r="E602" s="1">
        <v>-0.52219300000000002</v>
      </c>
      <c r="F602" s="1">
        <v>0.56344700000000003</v>
      </c>
      <c r="G602" s="1">
        <v>-0.51415726358407898</v>
      </c>
      <c r="H602" s="1">
        <v>0.57429740590005396</v>
      </c>
      <c r="I602">
        <f>VLOOKUP(C602,'[1]phenotypes-895'!$A$2:$G$896,7,FALSE)</f>
        <v>98</v>
      </c>
    </row>
    <row r="603" spans="1:9" x14ac:dyDescent="0.2">
      <c r="A603">
        <v>602</v>
      </c>
      <c r="B603">
        <v>49</v>
      </c>
      <c r="C603" t="s">
        <v>601</v>
      </c>
      <c r="D603" s="13" t="s">
        <v>912</v>
      </c>
      <c r="E603" s="1">
        <v>-2.7387299999999999</v>
      </c>
      <c r="F603" s="1">
        <v>0.17553199999999999</v>
      </c>
      <c r="G603" s="1">
        <v>-2.79979439429898</v>
      </c>
      <c r="H603" s="1">
        <v>0.12710054910802099</v>
      </c>
      <c r="I603">
        <f>VLOOKUP(C603,'[1]phenotypes-895'!$A$2:$G$896,7,FALSE)</f>
        <v>63</v>
      </c>
    </row>
    <row r="604" spans="1:9" x14ac:dyDescent="0.2">
      <c r="A604">
        <v>603</v>
      </c>
      <c r="B604">
        <v>34</v>
      </c>
      <c r="C604" t="s">
        <v>602</v>
      </c>
      <c r="D604" s="13" t="s">
        <v>913</v>
      </c>
      <c r="E604" s="1">
        <v>4.6226500000000001</v>
      </c>
      <c r="F604" s="1">
        <v>6.3989799999999999</v>
      </c>
      <c r="G604" s="1">
        <v>4.6386538353012403</v>
      </c>
      <c r="H604" s="1">
        <v>6.4192772143555201</v>
      </c>
      <c r="I604">
        <f>VLOOKUP(C604,'[1]phenotypes-895'!$A$2:$G$896,7,FALSE)</f>
        <v>98</v>
      </c>
    </row>
    <row r="605" spans="1:9" x14ac:dyDescent="0.2">
      <c r="A605">
        <v>604</v>
      </c>
      <c r="B605">
        <v>34</v>
      </c>
      <c r="C605" t="s">
        <v>603</v>
      </c>
      <c r="D605" s="13" t="s">
        <v>913</v>
      </c>
      <c r="E605" s="1">
        <v>2.1591300000000002</v>
      </c>
      <c r="F605" s="1">
        <v>3.3331900000000001</v>
      </c>
      <c r="G605" s="1">
        <v>2.1476093416317701</v>
      </c>
      <c r="H605" s="1">
        <v>3.3255745227436799</v>
      </c>
      <c r="I605">
        <f>VLOOKUP(C605,'[1]phenotypes-895'!$A$2:$G$896,7,FALSE)</f>
        <v>72</v>
      </c>
    </row>
    <row r="606" spans="1:9" x14ac:dyDescent="0.2">
      <c r="A606">
        <v>605</v>
      </c>
      <c r="B606">
        <v>40</v>
      </c>
      <c r="C606" t="s">
        <v>604</v>
      </c>
      <c r="D606" s="13" t="s">
        <v>913</v>
      </c>
      <c r="E606" s="1">
        <v>6.4981</v>
      </c>
      <c r="F606" s="1">
        <v>5.3249899999999997</v>
      </c>
      <c r="G606" s="1">
        <v>6.5236257244172302</v>
      </c>
      <c r="H606" s="1">
        <v>5.34791934192328</v>
      </c>
      <c r="I606">
        <f>VLOOKUP(C606,'[1]phenotypes-895'!$A$2:$G$896,7,FALSE)</f>
        <v>98</v>
      </c>
    </row>
    <row r="607" spans="1:9" x14ac:dyDescent="0.2">
      <c r="A607">
        <v>606</v>
      </c>
      <c r="B607">
        <v>21</v>
      </c>
      <c r="C607" t="s">
        <v>605</v>
      </c>
      <c r="D607" s="13" t="s">
        <v>913</v>
      </c>
      <c r="E607" s="1">
        <v>4.5479599999999998</v>
      </c>
      <c r="F607" s="1">
        <v>3.2659600000000002</v>
      </c>
      <c r="G607" s="1">
        <v>4.5607384620478904</v>
      </c>
      <c r="H607" s="1">
        <v>3.2712946219757399</v>
      </c>
      <c r="I607">
        <f>VLOOKUP(C607,'[1]phenotypes-895'!$A$2:$G$896,7,FALSE)</f>
        <v>98</v>
      </c>
    </row>
    <row r="608" spans="1:9" x14ac:dyDescent="0.2">
      <c r="A608">
        <v>607</v>
      </c>
      <c r="B608">
        <v>34</v>
      </c>
      <c r="C608" t="s">
        <v>606</v>
      </c>
      <c r="D608" s="13" t="s">
        <v>913</v>
      </c>
      <c r="E608" s="1">
        <v>4.2099099999999998</v>
      </c>
      <c r="F608" s="1">
        <v>1.9576199999999999</v>
      </c>
      <c r="G608" s="1">
        <v>4.1854909482621503</v>
      </c>
      <c r="H608" s="1">
        <v>1.9324070449978099</v>
      </c>
      <c r="I608">
        <f>VLOOKUP(C608,'[1]phenotypes-895'!$A$2:$G$896,7,FALSE)</f>
        <v>98</v>
      </c>
    </row>
    <row r="609" spans="1:9" x14ac:dyDescent="0.2">
      <c r="A609">
        <v>608</v>
      </c>
      <c r="B609">
        <v>36</v>
      </c>
      <c r="C609" t="s">
        <v>607</v>
      </c>
      <c r="D609" s="13" t="s">
        <v>913</v>
      </c>
      <c r="E609" s="1">
        <v>2.6758299999999999</v>
      </c>
      <c r="F609" s="1">
        <v>4.0641400000000001</v>
      </c>
      <c r="G609" s="1">
        <v>2.7085345847634201</v>
      </c>
      <c r="H609" s="1">
        <v>4.0881081368638696</v>
      </c>
      <c r="I609">
        <f>VLOOKUP(C609,'[1]phenotypes-895'!$A$2:$G$896,7,FALSE)</f>
        <v>98</v>
      </c>
    </row>
    <row r="610" spans="1:9" x14ac:dyDescent="0.2">
      <c r="A610">
        <v>609</v>
      </c>
      <c r="B610">
        <v>37</v>
      </c>
      <c r="C610" t="s">
        <v>608</v>
      </c>
      <c r="D610" s="13" t="s">
        <v>913</v>
      </c>
      <c r="E610" s="1">
        <v>5.7140000000000004</v>
      </c>
      <c r="F610" s="1">
        <v>5.0319700000000003</v>
      </c>
      <c r="G610" s="1">
        <v>5.7464806820054104</v>
      </c>
      <c r="H610" s="1">
        <v>5.0814887064335901</v>
      </c>
      <c r="I610">
        <f>VLOOKUP(C610,'[1]phenotypes-895'!$A$2:$G$896,7,FALSE)</f>
        <v>98</v>
      </c>
    </row>
    <row r="611" spans="1:9" x14ac:dyDescent="0.2">
      <c r="A611">
        <v>610</v>
      </c>
      <c r="B611">
        <v>32</v>
      </c>
      <c r="C611" t="s">
        <v>609</v>
      </c>
      <c r="D611" s="13" t="s">
        <v>913</v>
      </c>
      <c r="E611" s="1">
        <v>0.32580399999999998</v>
      </c>
      <c r="F611" s="1">
        <v>1.41252</v>
      </c>
      <c r="G611" s="1">
        <v>0.29000267050948297</v>
      </c>
      <c r="H611" s="1">
        <v>1.37449527026604</v>
      </c>
      <c r="I611">
        <f>VLOOKUP(C611,'[1]phenotypes-895'!$A$2:$G$896,7,FALSE)</f>
        <v>48</v>
      </c>
    </row>
    <row r="612" spans="1:9" x14ac:dyDescent="0.2">
      <c r="A612">
        <v>611</v>
      </c>
      <c r="B612">
        <v>21</v>
      </c>
      <c r="C612" t="s">
        <v>610</v>
      </c>
      <c r="D612" s="13" t="s">
        <v>913</v>
      </c>
      <c r="E612" s="1">
        <v>1.78714</v>
      </c>
      <c r="F612" s="1">
        <v>1.8670899999999999</v>
      </c>
      <c r="G612" s="1">
        <v>1.77873547622087</v>
      </c>
      <c r="H612" s="1">
        <v>1.8598357742207099</v>
      </c>
      <c r="I612">
        <f>VLOOKUP(C612,'[1]phenotypes-895'!$A$2:$G$896,7,FALSE)</f>
        <v>98</v>
      </c>
    </row>
    <row r="613" spans="1:9" x14ac:dyDescent="0.2">
      <c r="A613">
        <v>612</v>
      </c>
      <c r="B613">
        <v>29</v>
      </c>
      <c r="C613" t="s">
        <v>611</v>
      </c>
      <c r="D613" s="13" t="s">
        <v>913</v>
      </c>
      <c r="E613" s="1">
        <v>-2.58866</v>
      </c>
      <c r="F613" s="1">
        <v>-3.6880199999999999</v>
      </c>
      <c r="G613" s="1">
        <v>-2.58045732637492</v>
      </c>
      <c r="H613" s="1">
        <v>-3.6812137118810702</v>
      </c>
      <c r="I613">
        <f>VLOOKUP(C613,'[1]phenotypes-895'!$A$2:$G$896,7,FALSE)</f>
        <v>76</v>
      </c>
    </row>
    <row r="614" spans="1:9" x14ac:dyDescent="0.2">
      <c r="A614">
        <v>613</v>
      </c>
      <c r="B614">
        <v>27</v>
      </c>
      <c r="C614" t="s">
        <v>612</v>
      </c>
      <c r="D614" s="13" t="s">
        <v>913</v>
      </c>
      <c r="E614" s="1">
        <v>-0.12192699999999999</v>
      </c>
      <c r="F614" s="1">
        <v>2.35575</v>
      </c>
      <c r="G614" s="1">
        <v>-0.12040270400877</v>
      </c>
      <c r="H614" s="1">
        <v>2.3555378521047201</v>
      </c>
      <c r="I614">
        <f>VLOOKUP(C614,'[1]phenotypes-895'!$A$2:$G$896,7,FALSE)</f>
        <v>98</v>
      </c>
    </row>
    <row r="615" spans="1:9" x14ac:dyDescent="0.2">
      <c r="A615">
        <v>614</v>
      </c>
      <c r="B615">
        <v>23</v>
      </c>
      <c r="C615" t="s">
        <v>613</v>
      </c>
      <c r="D615" s="13" t="s">
        <v>913</v>
      </c>
      <c r="E615" s="1">
        <v>5.1734400000000003</v>
      </c>
      <c r="F615" s="1">
        <v>4.6788699999999999</v>
      </c>
      <c r="G615" s="1">
        <v>5.1856778599365301</v>
      </c>
      <c r="H615" s="1">
        <v>4.6792735871337801</v>
      </c>
      <c r="I615">
        <f>VLOOKUP(C615,'[1]phenotypes-895'!$A$2:$G$896,7,FALSE)</f>
        <v>98</v>
      </c>
    </row>
    <row r="616" spans="1:9" x14ac:dyDescent="0.2">
      <c r="A616">
        <v>615</v>
      </c>
      <c r="B616">
        <v>35</v>
      </c>
      <c r="C616" t="s">
        <v>614</v>
      </c>
      <c r="D616" s="13" t="s">
        <v>913</v>
      </c>
      <c r="E616" s="1">
        <v>1.1180699999999999</v>
      </c>
      <c r="F616" s="1">
        <v>3.2743000000000002</v>
      </c>
      <c r="G616" s="1">
        <v>1.1188095786074299</v>
      </c>
      <c r="H616" s="1">
        <v>3.2840894155397402</v>
      </c>
      <c r="I616">
        <f>VLOOKUP(C616,'[1]phenotypes-895'!$A$2:$G$896,7,FALSE)</f>
        <v>98</v>
      </c>
    </row>
    <row r="617" spans="1:9" x14ac:dyDescent="0.2">
      <c r="A617">
        <v>616</v>
      </c>
      <c r="B617">
        <v>40</v>
      </c>
      <c r="C617" t="s">
        <v>615</v>
      </c>
      <c r="D617" s="13" t="s">
        <v>913</v>
      </c>
      <c r="E617" s="1">
        <v>1.6344799999999999</v>
      </c>
      <c r="F617" s="1">
        <v>1.46645</v>
      </c>
      <c r="G617" s="1">
        <v>1.6025360710607699</v>
      </c>
      <c r="H617" s="1">
        <v>1.4317793965690699</v>
      </c>
      <c r="I617">
        <f>VLOOKUP(C617,'[1]phenotypes-895'!$A$2:$G$896,7,FALSE)</f>
        <v>77</v>
      </c>
    </row>
    <row r="618" spans="1:9" x14ac:dyDescent="0.2">
      <c r="A618">
        <v>617</v>
      </c>
      <c r="B618">
        <v>21</v>
      </c>
      <c r="C618" t="s">
        <v>616</v>
      </c>
      <c r="D618" s="13" t="s">
        <v>913</v>
      </c>
      <c r="E618" s="1">
        <v>2.62276</v>
      </c>
      <c r="F618" s="1">
        <v>1.4813700000000001</v>
      </c>
      <c r="G618" s="1">
        <v>2.5933679751580998</v>
      </c>
      <c r="H618" s="1">
        <v>1.4547823522238501</v>
      </c>
      <c r="I618">
        <f>VLOOKUP(C618,'[1]phenotypes-895'!$A$2:$G$896,7,FALSE)</f>
        <v>98</v>
      </c>
    </row>
    <row r="619" spans="1:9" x14ac:dyDescent="0.2">
      <c r="A619">
        <v>618</v>
      </c>
      <c r="B619">
        <v>42</v>
      </c>
      <c r="C619" t="s">
        <v>617</v>
      </c>
      <c r="D619" s="13" t="s">
        <v>912</v>
      </c>
      <c r="E619" s="1">
        <v>-0.88353400000000004</v>
      </c>
      <c r="F619" s="1">
        <v>0.78427199999999997</v>
      </c>
      <c r="G619" s="1">
        <v>-0.86272976180727701</v>
      </c>
      <c r="H619" s="1">
        <v>0.80915765913900095</v>
      </c>
      <c r="I619">
        <f>VLOOKUP(C619,'[1]phenotypes-895'!$A$2:$G$896,7,FALSE)</f>
        <v>86</v>
      </c>
    </row>
    <row r="620" spans="1:9" x14ac:dyDescent="0.2">
      <c r="A620">
        <v>619</v>
      </c>
      <c r="B620">
        <v>33</v>
      </c>
      <c r="C620" t="s">
        <v>618</v>
      </c>
      <c r="D620" s="13" t="s">
        <v>913</v>
      </c>
      <c r="E620" s="1">
        <v>0.25509599999999999</v>
      </c>
      <c r="F620" s="1">
        <v>-0.46750700000000001</v>
      </c>
      <c r="G620" s="1">
        <v>0.201550560148264</v>
      </c>
      <c r="H620" s="1">
        <v>-0.52076523075827996</v>
      </c>
      <c r="I620">
        <f>VLOOKUP(C620,'[1]phenotypes-895'!$A$2:$G$896,7,FALSE)</f>
        <v>98</v>
      </c>
    </row>
    <row r="621" spans="1:9" x14ac:dyDescent="0.2">
      <c r="A621">
        <v>620</v>
      </c>
      <c r="B621">
        <v>38</v>
      </c>
      <c r="C621" t="s">
        <v>619</v>
      </c>
      <c r="D621" s="13" t="s">
        <v>913</v>
      </c>
      <c r="E621" s="1">
        <v>2.55199</v>
      </c>
      <c r="F621" s="1">
        <v>2.8752300000000002</v>
      </c>
      <c r="G621" s="1">
        <v>2.55639655641806</v>
      </c>
      <c r="H621" s="1">
        <v>2.8682251964484702</v>
      </c>
      <c r="I621">
        <f>VLOOKUP(C621,'[1]phenotypes-895'!$A$2:$G$896,7,FALSE)</f>
        <v>95</v>
      </c>
    </row>
    <row r="622" spans="1:9" x14ac:dyDescent="0.2">
      <c r="A622">
        <v>621</v>
      </c>
      <c r="B622">
        <v>25</v>
      </c>
      <c r="C622" t="s">
        <v>620</v>
      </c>
      <c r="D622" s="13" t="s">
        <v>913</v>
      </c>
      <c r="E622" s="1">
        <v>4.4154</v>
      </c>
      <c r="F622" s="1">
        <v>3.9862799999999998</v>
      </c>
      <c r="G622" s="1">
        <v>4.4239950818857299</v>
      </c>
      <c r="H622" s="1">
        <v>3.9917592289895198</v>
      </c>
      <c r="I622">
        <f>VLOOKUP(C622,'[1]phenotypes-895'!$A$2:$G$896,7,FALSE)</f>
        <v>94</v>
      </c>
    </row>
    <row r="623" spans="1:9" x14ac:dyDescent="0.2">
      <c r="A623">
        <v>622</v>
      </c>
      <c r="B623">
        <v>40</v>
      </c>
      <c r="C623" t="s">
        <v>621</v>
      </c>
      <c r="D623" s="13" t="s">
        <v>913</v>
      </c>
      <c r="E623" s="1">
        <v>-0.40504000000000001</v>
      </c>
      <c r="F623" s="1">
        <v>-1.11439</v>
      </c>
      <c r="G623" s="1">
        <v>-0.414636282745875</v>
      </c>
      <c r="H623" s="1">
        <v>-1.1252083427674999</v>
      </c>
      <c r="I623">
        <f>VLOOKUP(C623,'[1]phenotypes-895'!$A$2:$G$896,7,FALSE)</f>
        <v>98</v>
      </c>
    </row>
    <row r="624" spans="1:9" x14ac:dyDescent="0.2">
      <c r="A624">
        <v>623</v>
      </c>
      <c r="B624">
        <v>23</v>
      </c>
      <c r="C624" t="s">
        <v>622</v>
      </c>
      <c r="D624" s="13" t="s">
        <v>913</v>
      </c>
      <c r="E624" s="1">
        <v>3.3072599999999999</v>
      </c>
      <c r="F624" s="1">
        <v>3.0961500000000002</v>
      </c>
      <c r="G624" s="1">
        <v>3.2784674089828498</v>
      </c>
      <c r="H624" s="1">
        <v>3.0655183822296301</v>
      </c>
      <c r="I624">
        <f>VLOOKUP(C624,'[1]phenotypes-895'!$A$2:$G$896,7,FALSE)</f>
        <v>98</v>
      </c>
    </row>
    <row r="625" spans="1:9" x14ac:dyDescent="0.2">
      <c r="A625">
        <v>624</v>
      </c>
      <c r="B625">
        <v>27</v>
      </c>
      <c r="C625" t="s">
        <v>623</v>
      </c>
      <c r="D625" s="13" t="s">
        <v>913</v>
      </c>
      <c r="E625" s="1">
        <v>3.41472</v>
      </c>
      <c r="F625" s="1">
        <v>1.58789</v>
      </c>
      <c r="G625" s="1">
        <v>3.3770014391737</v>
      </c>
      <c r="H625" s="1">
        <v>1.53179503584347</v>
      </c>
      <c r="I625">
        <f>VLOOKUP(C625,'[1]phenotypes-895'!$A$2:$G$896,7,FALSE)</f>
        <v>58</v>
      </c>
    </row>
    <row r="626" spans="1:9" x14ac:dyDescent="0.2">
      <c r="A626">
        <v>625</v>
      </c>
      <c r="B626">
        <v>30</v>
      </c>
      <c r="C626" t="s">
        <v>624</v>
      </c>
      <c r="D626" s="13" t="s">
        <v>913</v>
      </c>
      <c r="E626" s="1">
        <v>2.4342899999999998</v>
      </c>
      <c r="F626" s="1">
        <v>1.0860300000000001</v>
      </c>
      <c r="G626" s="1">
        <v>2.39405775893918</v>
      </c>
      <c r="H626" s="1">
        <v>1.0370870191408299</v>
      </c>
      <c r="I626">
        <f>VLOOKUP(C626,'[1]phenotypes-895'!$A$2:$G$896,7,FALSE)</f>
        <v>98</v>
      </c>
    </row>
    <row r="627" spans="1:9" x14ac:dyDescent="0.2">
      <c r="A627">
        <v>626</v>
      </c>
      <c r="B627">
        <v>27</v>
      </c>
      <c r="C627" t="s">
        <v>625</v>
      </c>
      <c r="D627" s="13" t="s">
        <v>913</v>
      </c>
      <c r="E627" s="1">
        <v>4.5733800000000002</v>
      </c>
      <c r="F627" s="1">
        <v>4.0839699999999999</v>
      </c>
      <c r="G627" s="1">
        <v>4.5608465193971197</v>
      </c>
      <c r="H627" s="1">
        <v>4.0647574000649298</v>
      </c>
      <c r="I627">
        <f>VLOOKUP(C627,'[1]phenotypes-895'!$A$2:$G$896,7,FALSE)</f>
        <v>70</v>
      </c>
    </row>
    <row r="628" spans="1:9" x14ac:dyDescent="0.2">
      <c r="A628">
        <v>627</v>
      </c>
      <c r="B628">
        <v>32</v>
      </c>
      <c r="C628" t="s">
        <v>626</v>
      </c>
      <c r="D628" s="13" t="s">
        <v>913</v>
      </c>
      <c r="E628" s="1">
        <v>-0.48260199999999998</v>
      </c>
      <c r="F628" s="1">
        <v>-1.4600599999999999</v>
      </c>
      <c r="G628" s="1">
        <v>-0.444383003885086</v>
      </c>
      <c r="H628" s="1">
        <v>-1.42717277608208</v>
      </c>
      <c r="I628">
        <f>VLOOKUP(C628,'[1]phenotypes-895'!$A$2:$G$896,7,FALSE)</f>
        <v>60</v>
      </c>
    </row>
    <row r="629" spans="1:9" x14ac:dyDescent="0.2">
      <c r="A629">
        <v>628</v>
      </c>
      <c r="B629">
        <v>40</v>
      </c>
      <c r="C629" t="s">
        <v>627</v>
      </c>
      <c r="D629" s="13" t="s">
        <v>913</v>
      </c>
      <c r="E629" s="1">
        <v>-0.15412100000000001</v>
      </c>
      <c r="F629" s="1">
        <v>-0.96479899999999996</v>
      </c>
      <c r="G629" s="1">
        <v>-0.16224421833323799</v>
      </c>
      <c r="H629" s="1">
        <v>-0.97887692045181396</v>
      </c>
      <c r="I629">
        <f>VLOOKUP(C629,'[1]phenotypes-895'!$A$2:$G$896,7,FALSE)</f>
        <v>74</v>
      </c>
    </row>
    <row r="630" spans="1:9" x14ac:dyDescent="0.2">
      <c r="A630">
        <v>629</v>
      </c>
      <c r="B630">
        <v>27</v>
      </c>
      <c r="C630" t="s">
        <v>628</v>
      </c>
      <c r="D630" s="13" t="s">
        <v>913</v>
      </c>
      <c r="E630" s="1">
        <v>5.1405399999999997</v>
      </c>
      <c r="F630" s="1">
        <v>5.3181700000000003</v>
      </c>
      <c r="G630" s="1">
        <v>5.1599088549608103</v>
      </c>
      <c r="H630" s="1">
        <v>5.3320016061782702</v>
      </c>
      <c r="I630">
        <f>VLOOKUP(C630,'[1]phenotypes-895'!$A$2:$G$896,7,FALSE)</f>
        <v>98</v>
      </c>
    </row>
    <row r="631" spans="1:9" x14ac:dyDescent="0.2">
      <c r="A631">
        <v>630</v>
      </c>
      <c r="B631">
        <v>36</v>
      </c>
      <c r="C631" t="s">
        <v>629</v>
      </c>
      <c r="D631" s="13" t="s">
        <v>913</v>
      </c>
      <c r="E631" s="1">
        <v>1.73227</v>
      </c>
      <c r="F631" s="1">
        <v>2.1019000000000001</v>
      </c>
      <c r="G631" s="1">
        <v>1.7466657714648399</v>
      </c>
      <c r="H631" s="1">
        <v>2.10741230187628</v>
      </c>
      <c r="I631">
        <f>VLOOKUP(C631,'[1]phenotypes-895'!$A$2:$G$896,7,FALSE)</f>
        <v>65</v>
      </c>
    </row>
    <row r="632" spans="1:9" x14ac:dyDescent="0.2">
      <c r="A632">
        <v>631</v>
      </c>
      <c r="B632">
        <v>28</v>
      </c>
      <c r="C632" t="s">
        <v>630</v>
      </c>
      <c r="D632" s="13" t="s">
        <v>913</v>
      </c>
      <c r="E632" s="1">
        <v>3.8953000000000002</v>
      </c>
      <c r="F632" s="1">
        <v>2.9991599999999998</v>
      </c>
      <c r="G632" s="1">
        <v>3.8549067807019401</v>
      </c>
      <c r="H632" s="1">
        <v>2.9487085564432101</v>
      </c>
      <c r="I632">
        <f>VLOOKUP(C632,'[1]phenotypes-895'!$A$2:$G$896,7,FALSE)</f>
        <v>98</v>
      </c>
    </row>
    <row r="633" spans="1:9" x14ac:dyDescent="0.2">
      <c r="A633">
        <v>632</v>
      </c>
      <c r="B633">
        <v>29</v>
      </c>
      <c r="C633" t="s">
        <v>631</v>
      </c>
      <c r="D633" s="13" t="s">
        <v>913</v>
      </c>
      <c r="E633" s="1">
        <v>-3.6265900000000002</v>
      </c>
      <c r="F633" s="1">
        <v>-5.4124800000000004</v>
      </c>
      <c r="G633" s="1">
        <v>-3.6902216879554399</v>
      </c>
      <c r="H633" s="1">
        <v>-5.4907373581129999</v>
      </c>
      <c r="I633">
        <f>VLOOKUP(C633,'[1]phenotypes-895'!$A$2:$G$896,7,FALSE)</f>
        <v>44</v>
      </c>
    </row>
    <row r="634" spans="1:9" x14ac:dyDescent="0.2">
      <c r="A634">
        <v>633</v>
      </c>
      <c r="B634">
        <v>23</v>
      </c>
      <c r="C634" t="s">
        <v>632</v>
      </c>
      <c r="D634" s="13" t="s">
        <v>913</v>
      </c>
      <c r="E634" s="1">
        <v>4.1872699999999998</v>
      </c>
      <c r="F634" s="1">
        <v>3.77786</v>
      </c>
      <c r="G634" s="1">
        <v>4.1479442200408503</v>
      </c>
      <c r="H634" s="1">
        <v>3.7428032902188799</v>
      </c>
      <c r="I634">
        <f>VLOOKUP(C634,'[1]phenotypes-895'!$A$2:$G$896,7,FALSE)</f>
        <v>98</v>
      </c>
    </row>
    <row r="635" spans="1:9" x14ac:dyDescent="0.2">
      <c r="A635">
        <v>634</v>
      </c>
      <c r="B635">
        <v>26</v>
      </c>
      <c r="C635" t="s">
        <v>633</v>
      </c>
      <c r="D635" s="13" t="s">
        <v>913</v>
      </c>
      <c r="E635" s="1">
        <v>5.0433500000000002</v>
      </c>
      <c r="F635" s="1">
        <v>4.7276999999999996</v>
      </c>
      <c r="G635" s="1">
        <v>5.0417337602759602</v>
      </c>
      <c r="H635" s="1">
        <v>4.7246109646440697</v>
      </c>
      <c r="I635">
        <f>VLOOKUP(C635,'[1]phenotypes-895'!$A$2:$G$896,7,FALSE)</f>
        <v>76</v>
      </c>
    </row>
    <row r="636" spans="1:9" x14ac:dyDescent="0.2">
      <c r="A636">
        <v>635</v>
      </c>
      <c r="B636">
        <v>50</v>
      </c>
      <c r="C636" t="s">
        <v>634</v>
      </c>
      <c r="D636" s="13" t="s">
        <v>912</v>
      </c>
      <c r="E636" s="1">
        <v>-1.28938</v>
      </c>
      <c r="F636" s="1">
        <v>-0.31759199999999999</v>
      </c>
      <c r="G636" s="1">
        <v>-1.30261122587746</v>
      </c>
      <c r="H636" s="1">
        <v>-0.32596360447651102</v>
      </c>
      <c r="I636">
        <f>VLOOKUP(C636,'[1]phenotypes-895'!$A$2:$G$896,7,FALSE)</f>
        <v>72</v>
      </c>
    </row>
    <row r="637" spans="1:9" x14ac:dyDescent="0.2">
      <c r="A637">
        <v>636</v>
      </c>
      <c r="B637">
        <v>40</v>
      </c>
      <c r="C637" t="s">
        <v>635</v>
      </c>
      <c r="D637" s="13" t="s">
        <v>913</v>
      </c>
      <c r="E637" s="1">
        <v>0.69623199999999996</v>
      </c>
      <c r="F637" s="1">
        <v>0.138679</v>
      </c>
      <c r="G637" s="1">
        <v>0.636032462535707</v>
      </c>
      <c r="H637" s="1">
        <v>7.4666782322520595E-2</v>
      </c>
      <c r="I637">
        <f>VLOOKUP(C637,'[1]phenotypes-895'!$A$2:$G$896,7,FALSE)</f>
        <v>70</v>
      </c>
    </row>
    <row r="638" spans="1:9" x14ac:dyDescent="0.2">
      <c r="A638">
        <v>637</v>
      </c>
      <c r="B638">
        <v>46</v>
      </c>
      <c r="C638" t="s">
        <v>636</v>
      </c>
      <c r="D638" s="13" t="s">
        <v>912</v>
      </c>
      <c r="E638" s="1">
        <v>0.19558</v>
      </c>
      <c r="F638" s="1">
        <v>3.17828</v>
      </c>
      <c r="G638" s="1">
        <v>0.20140689146818899</v>
      </c>
      <c r="H638" s="1">
        <v>3.2037962769934998</v>
      </c>
      <c r="I638">
        <f>VLOOKUP(C638,'[1]phenotypes-895'!$A$2:$G$896,7,FALSE)</f>
        <v>98</v>
      </c>
    </row>
    <row r="639" spans="1:9" x14ac:dyDescent="0.2">
      <c r="A639">
        <v>638</v>
      </c>
      <c r="B639">
        <v>22</v>
      </c>
      <c r="C639" t="s">
        <v>637</v>
      </c>
      <c r="D639" s="13" t="s">
        <v>913</v>
      </c>
      <c r="E639" s="1">
        <v>1.4499899999999999</v>
      </c>
      <c r="F639" s="1">
        <v>1.77721</v>
      </c>
      <c r="G639" s="1">
        <v>1.41014025872058</v>
      </c>
      <c r="H639" s="1">
        <v>1.7304312731867</v>
      </c>
      <c r="I639">
        <f>VLOOKUP(C639,'[1]phenotypes-895'!$A$2:$G$896,7,FALSE)</f>
        <v>60</v>
      </c>
    </row>
    <row r="640" spans="1:9" x14ac:dyDescent="0.2">
      <c r="A640">
        <v>639</v>
      </c>
      <c r="B640">
        <v>34</v>
      </c>
      <c r="C640" t="s">
        <v>638</v>
      </c>
      <c r="D640" s="13" t="s">
        <v>913</v>
      </c>
      <c r="E640" s="1">
        <v>1.5629200000000001</v>
      </c>
      <c r="F640" s="1">
        <v>1.35436</v>
      </c>
      <c r="G640" s="1">
        <v>1.54218993071834</v>
      </c>
      <c r="H640" s="1">
        <v>1.34110684709838</v>
      </c>
      <c r="I640">
        <f>VLOOKUP(C640,'[1]phenotypes-895'!$A$2:$G$896,7,FALSE)</f>
        <v>75</v>
      </c>
    </row>
    <row r="641" spans="1:9" x14ac:dyDescent="0.2">
      <c r="A641">
        <v>640</v>
      </c>
      <c r="B641">
        <v>40</v>
      </c>
      <c r="C641" t="s">
        <v>639</v>
      </c>
      <c r="D641" s="13" t="s">
        <v>913</v>
      </c>
      <c r="E641" s="1">
        <v>-3.0696300000000001</v>
      </c>
      <c r="F641" s="1">
        <v>-4.31928</v>
      </c>
      <c r="G641" s="1">
        <v>-3.1322646892197898</v>
      </c>
      <c r="H641" s="1">
        <v>-4.3970119822444396</v>
      </c>
      <c r="I641">
        <f>VLOOKUP(C641,'[1]phenotypes-895'!$A$2:$G$896,7,FALSE)</f>
        <v>65</v>
      </c>
    </row>
    <row r="642" spans="1:9" x14ac:dyDescent="0.2">
      <c r="A642">
        <v>641</v>
      </c>
      <c r="B642">
        <v>21</v>
      </c>
      <c r="C642" t="s">
        <v>640</v>
      </c>
      <c r="D642" s="13" t="s">
        <v>913</v>
      </c>
      <c r="E642" s="1">
        <v>2.0995400000000002</v>
      </c>
      <c r="F642" s="1">
        <v>3.94842</v>
      </c>
      <c r="G642" s="1">
        <v>2.1171969351331001</v>
      </c>
      <c r="H642" s="1">
        <v>3.9808432481913698</v>
      </c>
      <c r="I642">
        <f>VLOOKUP(C642,'[1]phenotypes-895'!$A$2:$G$896,7,FALSE)</f>
        <v>98</v>
      </c>
    </row>
    <row r="643" spans="1:9" x14ac:dyDescent="0.2">
      <c r="A643">
        <v>642</v>
      </c>
      <c r="B643">
        <v>29</v>
      </c>
      <c r="C643" t="s">
        <v>641</v>
      </c>
      <c r="D643" s="13" t="s">
        <v>913</v>
      </c>
      <c r="E643" s="1">
        <v>1.6285799999999999</v>
      </c>
      <c r="F643" s="1">
        <v>0.41936800000000002</v>
      </c>
      <c r="G643" s="1">
        <v>1.55362062831314</v>
      </c>
      <c r="H643" s="1">
        <v>0.336502742224768</v>
      </c>
      <c r="I643">
        <f>VLOOKUP(C643,'[1]phenotypes-895'!$A$2:$G$896,7,FALSE)</f>
        <v>70</v>
      </c>
    </row>
    <row r="644" spans="1:9" x14ac:dyDescent="0.2">
      <c r="A644">
        <v>643</v>
      </c>
      <c r="B644">
        <v>22</v>
      </c>
      <c r="C644" t="s">
        <v>642</v>
      </c>
      <c r="D644" s="13" t="s">
        <v>913</v>
      </c>
      <c r="E644" s="1">
        <v>3.5539999999999998</v>
      </c>
      <c r="F644" s="1">
        <v>3.7389999999999999</v>
      </c>
      <c r="G644" s="1">
        <v>3.54714076585595</v>
      </c>
      <c r="H644" s="1">
        <v>3.7367509435660802</v>
      </c>
      <c r="I644">
        <f>VLOOKUP(C644,'[1]phenotypes-895'!$A$2:$G$896,7,FALSE)</f>
        <v>98</v>
      </c>
    </row>
    <row r="645" spans="1:9" x14ac:dyDescent="0.2">
      <c r="A645">
        <v>644</v>
      </c>
      <c r="B645">
        <v>26</v>
      </c>
      <c r="C645" t="s">
        <v>643</v>
      </c>
      <c r="D645" s="13" t="s">
        <v>913</v>
      </c>
      <c r="E645" s="1">
        <v>7.3523399999999999</v>
      </c>
      <c r="F645" s="1">
        <v>6.2332200000000002</v>
      </c>
      <c r="G645" s="1">
        <v>7.3365452501364503</v>
      </c>
      <c r="H645" s="1">
        <v>6.2052655922406403</v>
      </c>
      <c r="I645">
        <f>VLOOKUP(C645,'[1]phenotypes-895'!$A$2:$G$896,7,FALSE)</f>
        <v>98</v>
      </c>
    </row>
    <row r="646" spans="1:9" x14ac:dyDescent="0.2">
      <c r="A646">
        <v>645</v>
      </c>
      <c r="B646">
        <v>52</v>
      </c>
      <c r="C646" t="s">
        <v>644</v>
      </c>
      <c r="D646" s="13" t="s">
        <v>912</v>
      </c>
      <c r="E646" s="1">
        <v>-0.96261600000000003</v>
      </c>
      <c r="F646" s="1">
        <v>1.1524099999999999</v>
      </c>
      <c r="G646" s="1">
        <v>-0.96476212791795002</v>
      </c>
      <c r="H646" s="1">
        <v>1.1505907368475501</v>
      </c>
      <c r="I646">
        <f>VLOOKUP(C646,'[1]phenotypes-895'!$A$2:$G$896,7,FALSE)</f>
        <v>79</v>
      </c>
    </row>
    <row r="647" spans="1:9" x14ac:dyDescent="0.2">
      <c r="A647">
        <v>646</v>
      </c>
      <c r="B647">
        <v>26</v>
      </c>
      <c r="C647" t="s">
        <v>645</v>
      </c>
      <c r="D647" s="13" t="s">
        <v>913</v>
      </c>
      <c r="E647" s="1">
        <v>2.2330100000000002</v>
      </c>
      <c r="F647" s="1">
        <v>3.2842600000000002</v>
      </c>
      <c r="G647" s="1">
        <v>2.2158620907873701</v>
      </c>
      <c r="H647" s="1">
        <v>3.26730769790408</v>
      </c>
      <c r="I647">
        <f>VLOOKUP(C647,'[1]phenotypes-895'!$A$2:$G$896,7,FALSE)</f>
        <v>88</v>
      </c>
    </row>
    <row r="648" spans="1:9" x14ac:dyDescent="0.2">
      <c r="A648">
        <v>647</v>
      </c>
      <c r="B648">
        <v>31</v>
      </c>
      <c r="C648" t="s">
        <v>646</v>
      </c>
      <c r="D648" s="13" t="s">
        <v>913</v>
      </c>
      <c r="E648" s="1">
        <v>3.37602</v>
      </c>
      <c r="F648" s="1">
        <v>2.7104200000000001</v>
      </c>
      <c r="G648" s="1">
        <v>3.37589241972772</v>
      </c>
      <c r="H648" s="1">
        <v>2.7112705724356601</v>
      </c>
      <c r="I648">
        <f>VLOOKUP(C648,'[1]phenotypes-895'!$A$2:$G$896,7,FALSE)</f>
        <v>84</v>
      </c>
    </row>
    <row r="649" spans="1:9" x14ac:dyDescent="0.2">
      <c r="A649">
        <v>648</v>
      </c>
      <c r="B649">
        <v>30</v>
      </c>
      <c r="C649" t="s">
        <v>647</v>
      </c>
      <c r="D649" s="13" t="s">
        <v>913</v>
      </c>
      <c r="E649" s="1">
        <v>2.0429499999999998</v>
      </c>
      <c r="F649" s="1">
        <v>-6.5151499999999999E-3</v>
      </c>
      <c r="G649" s="1">
        <v>1.9815997090592301</v>
      </c>
      <c r="H649" s="1">
        <v>-7.9085418168125601E-2</v>
      </c>
      <c r="I649">
        <f>VLOOKUP(C649,'[1]phenotypes-895'!$A$2:$G$896,7,FALSE)</f>
        <v>98</v>
      </c>
    </row>
    <row r="650" spans="1:9" x14ac:dyDescent="0.2">
      <c r="A650">
        <v>649</v>
      </c>
      <c r="B650">
        <v>39</v>
      </c>
      <c r="C650" t="s">
        <v>648</v>
      </c>
      <c r="D650" s="13" t="s">
        <v>913</v>
      </c>
      <c r="E650" s="1">
        <v>5.4150799999999997</v>
      </c>
      <c r="F650" s="1">
        <v>4.0120899999999997</v>
      </c>
      <c r="G650" s="1">
        <v>5.4315951113172698</v>
      </c>
      <c r="H650" s="1">
        <v>4.0239232972541403</v>
      </c>
      <c r="I650">
        <f>VLOOKUP(C650,'[1]phenotypes-895'!$A$2:$G$896,7,FALSE)</f>
        <v>98</v>
      </c>
    </row>
    <row r="651" spans="1:9" x14ac:dyDescent="0.2">
      <c r="A651">
        <v>650</v>
      </c>
      <c r="B651">
        <v>31</v>
      </c>
      <c r="C651" t="s">
        <v>649</v>
      </c>
      <c r="D651" s="13" t="s">
        <v>913</v>
      </c>
      <c r="E651" s="1">
        <v>3.9041199999999998</v>
      </c>
      <c r="F651" s="1">
        <v>2.5794100000000002</v>
      </c>
      <c r="G651" s="1">
        <v>3.93701062101022</v>
      </c>
      <c r="H651" s="1">
        <v>2.6225811329376301</v>
      </c>
      <c r="I651">
        <f>VLOOKUP(C651,'[1]phenotypes-895'!$A$2:$G$896,7,FALSE)</f>
        <v>98</v>
      </c>
    </row>
    <row r="652" spans="1:9" x14ac:dyDescent="0.2">
      <c r="A652">
        <v>651</v>
      </c>
      <c r="B652">
        <v>27</v>
      </c>
      <c r="C652" t="s">
        <v>650</v>
      </c>
      <c r="D652" s="13" t="s">
        <v>913</v>
      </c>
      <c r="E652" s="1">
        <v>-1.29281</v>
      </c>
      <c r="F652" s="1">
        <v>-2.2093600000000002</v>
      </c>
      <c r="G652" s="1">
        <v>-1.3275855938034</v>
      </c>
      <c r="H652" s="1">
        <v>-2.24781566225032</v>
      </c>
      <c r="I652">
        <f>VLOOKUP(C652,'[1]phenotypes-895'!$A$2:$G$896,7,FALSE)</f>
        <v>78</v>
      </c>
    </row>
    <row r="653" spans="1:9" x14ac:dyDescent="0.2">
      <c r="A653">
        <v>652</v>
      </c>
      <c r="B653">
        <v>23</v>
      </c>
      <c r="C653" t="s">
        <v>651</v>
      </c>
      <c r="D653" s="13" t="s">
        <v>913</v>
      </c>
      <c r="E653" s="1">
        <v>-5.1769599999999999E-2</v>
      </c>
      <c r="F653" s="1">
        <v>1.1055299999999999</v>
      </c>
      <c r="G653" s="1">
        <v>-8.1424846880177204E-2</v>
      </c>
      <c r="H653" s="1">
        <v>1.07997586484136</v>
      </c>
      <c r="I653">
        <f>VLOOKUP(C653,'[1]phenotypes-895'!$A$2:$G$896,7,FALSE)</f>
        <v>98</v>
      </c>
    </row>
    <row r="654" spans="1:9" x14ac:dyDescent="0.2">
      <c r="A654">
        <v>653</v>
      </c>
      <c r="B654">
        <v>23</v>
      </c>
      <c r="C654" t="s">
        <v>652</v>
      </c>
      <c r="D654" s="13" t="s">
        <v>913</v>
      </c>
      <c r="E654" s="1">
        <v>2.4825200000000001</v>
      </c>
      <c r="F654" s="1">
        <v>4.0616099999999999</v>
      </c>
      <c r="G654" s="1">
        <v>2.4777014512406099</v>
      </c>
      <c r="H654" s="1">
        <v>4.0549588146336397</v>
      </c>
      <c r="I654">
        <f>VLOOKUP(C654,'[1]phenotypes-895'!$A$2:$G$896,7,FALSE)</f>
        <v>98</v>
      </c>
    </row>
    <row r="655" spans="1:9" x14ac:dyDescent="0.2">
      <c r="A655">
        <v>654</v>
      </c>
      <c r="B655">
        <v>39</v>
      </c>
      <c r="C655" t="s">
        <v>653</v>
      </c>
      <c r="D655" s="13" t="s">
        <v>913</v>
      </c>
      <c r="E655" s="1">
        <v>5.93912</v>
      </c>
      <c r="F655" s="1">
        <v>5.3467900000000004</v>
      </c>
      <c r="G655" s="1">
        <v>5.9403253884537301</v>
      </c>
      <c r="H655" s="1">
        <v>5.3567910527112996</v>
      </c>
      <c r="I655">
        <f>VLOOKUP(C655,'[1]phenotypes-895'!$A$2:$G$896,7,FALSE)</f>
        <v>98</v>
      </c>
    </row>
    <row r="656" spans="1:9" x14ac:dyDescent="0.2">
      <c r="A656">
        <v>655</v>
      </c>
      <c r="B656">
        <v>27</v>
      </c>
      <c r="C656" t="s">
        <v>654</v>
      </c>
      <c r="D656" s="13" t="s">
        <v>913</v>
      </c>
      <c r="E656" s="1">
        <v>1.37191</v>
      </c>
      <c r="F656" s="1">
        <v>2.13897</v>
      </c>
      <c r="G656" s="1">
        <v>1.3625531473921999</v>
      </c>
      <c r="H656" s="1">
        <v>2.1327545218156598</v>
      </c>
      <c r="I656">
        <f>VLOOKUP(C656,'[1]phenotypes-895'!$A$2:$G$896,7,FALSE)</f>
        <v>73</v>
      </c>
    </row>
    <row r="657" spans="1:9" x14ac:dyDescent="0.2">
      <c r="A657">
        <v>656</v>
      </c>
      <c r="B657">
        <v>26</v>
      </c>
      <c r="C657" t="s">
        <v>655</v>
      </c>
      <c r="D657" s="13" t="s">
        <v>913</v>
      </c>
      <c r="E657" s="1">
        <v>0.29356500000000002</v>
      </c>
      <c r="F657" s="1">
        <v>0.77666199999999996</v>
      </c>
      <c r="G657" s="1">
        <v>0.30245957488110398</v>
      </c>
      <c r="H657" s="1">
        <v>0.78516203681102703</v>
      </c>
      <c r="I657">
        <f>VLOOKUP(C657,'[1]phenotypes-895'!$A$2:$G$896,7,FALSE)</f>
        <v>98</v>
      </c>
    </row>
    <row r="658" spans="1:9" x14ac:dyDescent="0.2">
      <c r="A658">
        <v>657</v>
      </c>
      <c r="B658">
        <v>36</v>
      </c>
      <c r="C658" t="s">
        <v>656</v>
      </c>
      <c r="D658" s="13" t="s">
        <v>913</v>
      </c>
      <c r="E658" s="1">
        <v>1.30206</v>
      </c>
      <c r="F658" s="1">
        <v>0.42535000000000001</v>
      </c>
      <c r="G658" s="1">
        <v>1.2616917877918199</v>
      </c>
      <c r="H658" s="1">
        <v>0.37332882275467899</v>
      </c>
      <c r="I658">
        <f>VLOOKUP(C658,'[1]phenotypes-895'!$A$2:$G$896,7,FALSE)</f>
        <v>68</v>
      </c>
    </row>
    <row r="659" spans="1:9" x14ac:dyDescent="0.2">
      <c r="A659">
        <v>658</v>
      </c>
      <c r="B659">
        <v>32</v>
      </c>
      <c r="C659" t="s">
        <v>657</v>
      </c>
      <c r="D659" s="13" t="s">
        <v>913</v>
      </c>
      <c r="E659" s="1">
        <v>2.4082400000000002</v>
      </c>
      <c r="F659" s="1">
        <v>3.8849100000000001</v>
      </c>
      <c r="G659" s="1">
        <v>2.3866920068514701</v>
      </c>
      <c r="H659" s="1">
        <v>3.8694428386644901</v>
      </c>
      <c r="I659">
        <f>VLOOKUP(C659,'[1]phenotypes-895'!$A$2:$G$896,7,FALSE)</f>
        <v>98</v>
      </c>
    </row>
    <row r="660" spans="1:9" x14ac:dyDescent="0.2">
      <c r="A660">
        <v>659</v>
      </c>
      <c r="B660">
        <v>36</v>
      </c>
      <c r="C660" t="s">
        <v>658</v>
      </c>
      <c r="D660" s="13" t="s">
        <v>913</v>
      </c>
      <c r="E660" s="1">
        <v>6.6074299999999999</v>
      </c>
      <c r="F660" s="1">
        <v>8.2319600000000008</v>
      </c>
      <c r="G660" s="1">
        <v>6.6554803109762499</v>
      </c>
      <c r="H660" s="1">
        <v>8.2886637615912608</v>
      </c>
      <c r="I660">
        <f>VLOOKUP(C660,'[1]phenotypes-895'!$A$2:$G$896,7,FALSE)</f>
        <v>98</v>
      </c>
    </row>
    <row r="661" spans="1:9" x14ac:dyDescent="0.2">
      <c r="A661">
        <v>660</v>
      </c>
      <c r="B661">
        <v>34</v>
      </c>
      <c r="C661" t="s">
        <v>659</v>
      </c>
      <c r="D661" s="13" t="s">
        <v>913</v>
      </c>
      <c r="E661" s="1">
        <v>3.4619800000000001</v>
      </c>
      <c r="F661" s="1">
        <v>5.0200199999999997</v>
      </c>
      <c r="G661" s="1">
        <v>3.49182271317212</v>
      </c>
      <c r="H661" s="1">
        <v>5.0556350388606202</v>
      </c>
      <c r="I661">
        <f>VLOOKUP(C661,'[1]phenotypes-895'!$A$2:$G$896,7,FALSE)</f>
        <v>98</v>
      </c>
    </row>
    <row r="662" spans="1:9" x14ac:dyDescent="0.2">
      <c r="A662">
        <v>661</v>
      </c>
      <c r="B662">
        <v>37</v>
      </c>
      <c r="C662" t="s">
        <v>660</v>
      </c>
      <c r="D662" s="13" t="s">
        <v>913</v>
      </c>
      <c r="E662" s="1">
        <v>7.86693</v>
      </c>
      <c r="F662" s="1">
        <v>8.1926699999999997</v>
      </c>
      <c r="G662" s="1">
        <v>7.8419203788977603</v>
      </c>
      <c r="H662" s="1">
        <v>8.1721230235748497</v>
      </c>
      <c r="I662">
        <f>VLOOKUP(C662,'[1]phenotypes-895'!$A$2:$G$896,7,FALSE)</f>
        <v>98</v>
      </c>
    </row>
    <row r="663" spans="1:9" x14ac:dyDescent="0.2">
      <c r="A663">
        <v>662</v>
      </c>
      <c r="B663">
        <v>39</v>
      </c>
      <c r="C663" t="s">
        <v>661</v>
      </c>
      <c r="D663" s="13" t="s">
        <v>913</v>
      </c>
      <c r="E663" s="1">
        <v>5.5843499999999997</v>
      </c>
      <c r="F663" s="1">
        <v>4.82714</v>
      </c>
      <c r="G663" s="1">
        <v>5.6091602197204198</v>
      </c>
      <c r="H663" s="1">
        <v>4.8403535559270896</v>
      </c>
      <c r="I663">
        <f>VLOOKUP(C663,'[1]phenotypes-895'!$A$2:$G$896,7,FALSE)</f>
        <v>98</v>
      </c>
    </row>
    <row r="664" spans="1:9" x14ac:dyDescent="0.2">
      <c r="A664">
        <v>663</v>
      </c>
      <c r="B664">
        <v>42</v>
      </c>
      <c r="C664" t="s">
        <v>662</v>
      </c>
      <c r="D664" s="13" t="s">
        <v>912</v>
      </c>
      <c r="E664" s="1">
        <v>1.9521900000000001</v>
      </c>
      <c r="F664" s="1">
        <v>4.1634399999999996</v>
      </c>
      <c r="G664" s="1">
        <v>1.94842292172364</v>
      </c>
      <c r="H664" s="1">
        <v>4.1701195353703504</v>
      </c>
      <c r="I664">
        <f>VLOOKUP(C664,'[1]phenotypes-895'!$A$2:$G$896,7,FALSE)</f>
        <v>98</v>
      </c>
    </row>
    <row r="665" spans="1:9" x14ac:dyDescent="0.2">
      <c r="A665">
        <v>664</v>
      </c>
      <c r="B665">
        <v>42</v>
      </c>
      <c r="C665" t="s">
        <v>663</v>
      </c>
      <c r="D665" s="13" t="s">
        <v>912</v>
      </c>
      <c r="E665" s="1">
        <v>-0.77395000000000003</v>
      </c>
      <c r="F665" s="1">
        <v>1.2716799999999999</v>
      </c>
      <c r="G665" s="1">
        <v>-0.726487570544471</v>
      </c>
      <c r="H665" s="1">
        <v>1.32664311201606</v>
      </c>
      <c r="I665">
        <f>VLOOKUP(C665,'[1]phenotypes-895'!$A$2:$G$896,7,FALSE)</f>
        <v>98</v>
      </c>
    </row>
    <row r="666" spans="1:9" x14ac:dyDescent="0.2">
      <c r="A666">
        <v>665</v>
      </c>
      <c r="B666">
        <v>46</v>
      </c>
      <c r="C666" t="s">
        <v>664</v>
      </c>
      <c r="D666" s="13" t="s">
        <v>912</v>
      </c>
      <c r="E666" s="1">
        <v>-0.887235</v>
      </c>
      <c r="F666" s="1">
        <v>1.3569899999999999</v>
      </c>
      <c r="G666" s="1">
        <v>-0.88478055264690902</v>
      </c>
      <c r="H666" s="1">
        <v>1.3853698194798001</v>
      </c>
      <c r="I666">
        <f>VLOOKUP(C666,'[1]phenotypes-895'!$A$2:$G$896,7,FALSE)</f>
        <v>74</v>
      </c>
    </row>
    <row r="667" spans="1:9" x14ac:dyDescent="0.2">
      <c r="A667">
        <v>666</v>
      </c>
      <c r="B667">
        <v>54</v>
      </c>
      <c r="C667" t="s">
        <v>665</v>
      </c>
      <c r="D667" s="13" t="s">
        <v>912</v>
      </c>
      <c r="E667" s="1">
        <v>-1.5683499999999999</v>
      </c>
      <c r="F667" s="1">
        <v>0.17955599999999999</v>
      </c>
      <c r="G667" s="1">
        <v>-1.59810836598271</v>
      </c>
      <c r="H667" s="1">
        <v>0.163578934741543</v>
      </c>
      <c r="I667">
        <f>VLOOKUP(C667,'[1]phenotypes-895'!$A$2:$G$896,7,FALSE)</f>
        <v>63</v>
      </c>
    </row>
    <row r="668" spans="1:9" x14ac:dyDescent="0.2">
      <c r="A668">
        <v>667</v>
      </c>
      <c r="B668">
        <v>51</v>
      </c>
      <c r="C668" t="s">
        <v>666</v>
      </c>
      <c r="D668" s="13" t="s">
        <v>912</v>
      </c>
      <c r="E668" s="1">
        <v>2.6774900000000001</v>
      </c>
      <c r="F668" s="1">
        <v>5.2402300000000004</v>
      </c>
      <c r="G668" s="1">
        <v>2.66668162322522</v>
      </c>
      <c r="H668" s="1">
        <v>5.2458238963512596</v>
      </c>
      <c r="I668">
        <f>VLOOKUP(C668,'[1]phenotypes-895'!$A$2:$G$896,7,FALSE)</f>
        <v>98</v>
      </c>
    </row>
    <row r="669" spans="1:9" x14ac:dyDescent="0.2">
      <c r="A669">
        <v>668</v>
      </c>
      <c r="B669">
        <v>32</v>
      </c>
      <c r="C669" t="s">
        <v>667</v>
      </c>
      <c r="D669" s="13" t="s">
        <v>913</v>
      </c>
      <c r="E669" s="1">
        <v>2.8407499999999999</v>
      </c>
      <c r="F669" s="1">
        <v>2.2021899999999999</v>
      </c>
      <c r="G669" s="1">
        <v>2.7851648853159201</v>
      </c>
      <c r="H669" s="1">
        <v>2.1340441872670199</v>
      </c>
      <c r="I669">
        <f>VLOOKUP(C669,'[1]phenotypes-895'!$A$2:$G$896,7,FALSE)</f>
        <v>65</v>
      </c>
    </row>
    <row r="670" spans="1:9" x14ac:dyDescent="0.2">
      <c r="A670">
        <v>669</v>
      </c>
      <c r="B670">
        <v>50</v>
      </c>
      <c r="C670" t="s">
        <v>668</v>
      </c>
      <c r="D670" s="13" t="s">
        <v>912</v>
      </c>
      <c r="E670" s="1">
        <v>2.6375199999999999</v>
      </c>
      <c r="F670" s="1">
        <v>5.8360700000000003</v>
      </c>
      <c r="G670" s="1">
        <v>2.65812349702763</v>
      </c>
      <c r="H670" s="1">
        <v>5.8688963462004198</v>
      </c>
      <c r="I670">
        <f>VLOOKUP(C670,'[1]phenotypes-895'!$A$2:$G$896,7,FALSE)</f>
        <v>98</v>
      </c>
    </row>
    <row r="671" spans="1:9" x14ac:dyDescent="0.2">
      <c r="A671">
        <v>670</v>
      </c>
      <c r="B671">
        <v>42</v>
      </c>
      <c r="C671" t="s">
        <v>669</v>
      </c>
      <c r="D671" s="13" t="s">
        <v>912</v>
      </c>
      <c r="E671" s="1">
        <v>-1.7149099999999999</v>
      </c>
      <c r="F671" s="1">
        <v>0.74717900000000004</v>
      </c>
      <c r="G671" s="1">
        <v>-1.6957890500202599</v>
      </c>
      <c r="H671" s="1">
        <v>0.77463730758801097</v>
      </c>
      <c r="I671">
        <f>VLOOKUP(C671,'[1]phenotypes-895'!$A$2:$G$896,7,FALSE)</f>
        <v>65</v>
      </c>
    </row>
    <row r="672" spans="1:9" x14ac:dyDescent="0.2">
      <c r="A672">
        <v>671</v>
      </c>
      <c r="B672">
        <v>22</v>
      </c>
      <c r="C672" t="s">
        <v>670</v>
      </c>
      <c r="D672" s="13" t="s">
        <v>913</v>
      </c>
      <c r="E672" s="1">
        <v>5.5454100000000004</v>
      </c>
      <c r="F672" s="1">
        <v>5.7554800000000004</v>
      </c>
      <c r="G672" s="1">
        <v>5.5653907046646696</v>
      </c>
      <c r="H672" s="1">
        <v>5.7746902113398502</v>
      </c>
      <c r="I672">
        <f>VLOOKUP(C672,'[1]phenotypes-895'!$A$2:$G$896,7,FALSE)</f>
        <v>98</v>
      </c>
    </row>
    <row r="673" spans="1:9" x14ac:dyDescent="0.2">
      <c r="A673">
        <v>672</v>
      </c>
      <c r="B673">
        <v>49</v>
      </c>
      <c r="C673" t="s">
        <v>671</v>
      </c>
      <c r="D673" s="13" t="s">
        <v>912</v>
      </c>
      <c r="E673" s="1">
        <v>2.0442300000000002</v>
      </c>
      <c r="F673" s="1">
        <v>4.0007799999999998</v>
      </c>
      <c r="G673" s="1">
        <v>2.0471683531638498</v>
      </c>
      <c r="H673" s="1">
        <v>4.0264801322807902</v>
      </c>
      <c r="I673">
        <f>VLOOKUP(C673,'[1]phenotypes-895'!$A$2:$G$896,7,FALSE)</f>
        <v>98</v>
      </c>
    </row>
    <row r="674" spans="1:9" x14ac:dyDescent="0.2">
      <c r="A674">
        <v>673</v>
      </c>
      <c r="B674">
        <v>29</v>
      </c>
      <c r="C674" t="s">
        <v>672</v>
      </c>
      <c r="D674" s="13" t="s">
        <v>913</v>
      </c>
      <c r="E674" s="1">
        <v>0.55161199999999999</v>
      </c>
      <c r="F674" s="1">
        <v>-0.75724800000000003</v>
      </c>
      <c r="G674" s="1">
        <v>0.42183257536005903</v>
      </c>
      <c r="H674" s="1">
        <v>-0.89919234562016104</v>
      </c>
      <c r="I674">
        <f>VLOOKUP(C674,'[1]phenotypes-895'!$A$2:$G$896,7,FALSE)</f>
        <v>63</v>
      </c>
    </row>
    <row r="675" spans="1:9" x14ac:dyDescent="0.2">
      <c r="A675">
        <v>674</v>
      </c>
      <c r="B675">
        <v>40</v>
      </c>
      <c r="C675" t="s">
        <v>673</v>
      </c>
      <c r="D675" s="13" t="s">
        <v>913</v>
      </c>
      <c r="E675" s="1">
        <v>-4.45967</v>
      </c>
      <c r="F675" s="1">
        <v>-5.0623500000000003</v>
      </c>
      <c r="G675" s="1">
        <v>-4.5574875925115403</v>
      </c>
      <c r="H675" s="1">
        <v>-5.1676515718999596</v>
      </c>
      <c r="I675">
        <f>VLOOKUP(C675,'[1]phenotypes-895'!$A$2:$G$896,7,FALSE)</f>
        <v>63</v>
      </c>
    </row>
    <row r="676" spans="1:9" x14ac:dyDescent="0.2">
      <c r="A676">
        <v>675</v>
      </c>
      <c r="B676">
        <v>25</v>
      </c>
      <c r="C676" t="s">
        <v>674</v>
      </c>
      <c r="D676" s="13" t="s">
        <v>913</v>
      </c>
      <c r="E676" s="1">
        <v>6.17598</v>
      </c>
      <c r="F676" s="1">
        <v>5.4150900000000002</v>
      </c>
      <c r="G676" s="1">
        <v>6.1515584339028004</v>
      </c>
      <c r="H676" s="1">
        <v>5.3899249187697</v>
      </c>
      <c r="I676">
        <f>VLOOKUP(C676,'[1]phenotypes-895'!$A$2:$G$896,7,FALSE)</f>
        <v>98</v>
      </c>
    </row>
    <row r="677" spans="1:9" x14ac:dyDescent="0.2">
      <c r="A677">
        <v>676</v>
      </c>
      <c r="B677">
        <v>31</v>
      </c>
      <c r="C677" t="s">
        <v>675</v>
      </c>
      <c r="D677" s="13" t="s">
        <v>913</v>
      </c>
      <c r="E677" s="1">
        <v>2.9239999999999999</v>
      </c>
      <c r="F677" s="1">
        <v>1.8583799999999999</v>
      </c>
      <c r="G677" s="1">
        <v>2.92397762901932</v>
      </c>
      <c r="H677" s="1">
        <v>1.8701488841792799</v>
      </c>
      <c r="I677">
        <f>VLOOKUP(C677,'[1]phenotypes-895'!$A$2:$G$896,7,FALSE)</f>
        <v>98</v>
      </c>
    </row>
    <row r="678" spans="1:9" x14ac:dyDescent="0.2">
      <c r="A678">
        <v>677</v>
      </c>
      <c r="B678">
        <v>31</v>
      </c>
      <c r="C678" t="s">
        <v>676</v>
      </c>
      <c r="D678" s="13" t="s">
        <v>913</v>
      </c>
      <c r="E678" s="1">
        <v>4.2513300000000003</v>
      </c>
      <c r="F678" s="1">
        <v>3.8673899999999999</v>
      </c>
      <c r="G678" s="1">
        <v>4.1849199610878101</v>
      </c>
      <c r="H678" s="1">
        <v>3.7746753089588299</v>
      </c>
      <c r="I678">
        <f>VLOOKUP(C678,'[1]phenotypes-895'!$A$2:$G$896,7,FALSE)</f>
        <v>86</v>
      </c>
    </row>
    <row r="679" spans="1:9" x14ac:dyDescent="0.2">
      <c r="A679">
        <v>678</v>
      </c>
      <c r="B679">
        <v>52</v>
      </c>
      <c r="C679" t="s">
        <v>677</v>
      </c>
      <c r="D679" s="13" t="s">
        <v>912</v>
      </c>
      <c r="E679" s="1">
        <v>-3.19781</v>
      </c>
      <c r="F679" s="1">
        <v>-1.32301</v>
      </c>
      <c r="G679" s="1">
        <v>-3.21885583647859</v>
      </c>
      <c r="H679" s="1">
        <v>-1.3499016620386901</v>
      </c>
      <c r="I679">
        <f>VLOOKUP(C679,'[1]phenotypes-895'!$A$2:$G$896,7,FALSE)</f>
        <v>45</v>
      </c>
    </row>
    <row r="680" spans="1:9" x14ac:dyDescent="0.2">
      <c r="A680">
        <v>679</v>
      </c>
      <c r="B680">
        <v>51</v>
      </c>
      <c r="C680" t="s">
        <v>678</v>
      </c>
      <c r="D680" s="13" t="s">
        <v>912</v>
      </c>
      <c r="E680" s="1">
        <v>-1.4608000000000001</v>
      </c>
      <c r="F680" s="1">
        <v>1.3755599999999999</v>
      </c>
      <c r="G680" s="1">
        <v>-1.5344206783437</v>
      </c>
      <c r="H680" s="1">
        <v>1.29835345267749</v>
      </c>
      <c r="I680">
        <f>VLOOKUP(C680,'[1]phenotypes-895'!$A$2:$G$896,7,FALSE)</f>
        <v>54</v>
      </c>
    </row>
    <row r="681" spans="1:9" x14ac:dyDescent="0.2">
      <c r="A681">
        <v>680</v>
      </c>
      <c r="B681">
        <v>35</v>
      </c>
      <c r="C681" t="s">
        <v>679</v>
      </c>
      <c r="D681" s="13" t="s">
        <v>913</v>
      </c>
      <c r="E681" s="1">
        <v>3.5855600000000001</v>
      </c>
      <c r="F681" s="1">
        <v>4.0586500000000001</v>
      </c>
      <c r="G681" s="1">
        <v>3.6073165697479701</v>
      </c>
      <c r="H681" s="1">
        <v>4.08389893259484</v>
      </c>
      <c r="I681">
        <f>VLOOKUP(C681,'[1]phenotypes-895'!$A$2:$G$896,7,FALSE)</f>
        <v>98</v>
      </c>
    </row>
    <row r="682" spans="1:9" x14ac:dyDescent="0.2">
      <c r="A682">
        <v>681</v>
      </c>
      <c r="B682">
        <v>38</v>
      </c>
      <c r="C682" t="s">
        <v>680</v>
      </c>
      <c r="D682" s="13" t="s">
        <v>913</v>
      </c>
      <c r="E682" s="1">
        <v>5.9306299999999998</v>
      </c>
      <c r="F682" s="1">
        <v>6.6042500000000004</v>
      </c>
      <c r="G682" s="1">
        <v>6.00341497709947</v>
      </c>
      <c r="H682" s="1">
        <v>6.6786829012297302</v>
      </c>
      <c r="I682">
        <f>VLOOKUP(C682,'[1]phenotypes-895'!$A$2:$G$896,7,FALSE)</f>
        <v>98</v>
      </c>
    </row>
    <row r="683" spans="1:9" x14ac:dyDescent="0.2">
      <c r="A683">
        <v>682</v>
      </c>
      <c r="B683">
        <v>35</v>
      </c>
      <c r="C683" t="s">
        <v>681</v>
      </c>
      <c r="D683" s="13" t="s">
        <v>913</v>
      </c>
      <c r="E683" s="1">
        <v>2.6796899999999999</v>
      </c>
      <c r="F683" s="1">
        <v>2.6802700000000002</v>
      </c>
      <c r="G683" s="1">
        <v>2.6958419901439101</v>
      </c>
      <c r="H683" s="1">
        <v>2.69550590029385</v>
      </c>
      <c r="I683">
        <f>VLOOKUP(C683,'[1]phenotypes-895'!$A$2:$G$896,7,FALSE)</f>
        <v>75</v>
      </c>
    </row>
    <row r="684" spans="1:9" x14ac:dyDescent="0.2">
      <c r="A684">
        <v>683</v>
      </c>
      <c r="B684">
        <v>42</v>
      </c>
      <c r="C684" t="s">
        <v>682</v>
      </c>
      <c r="D684" s="13" t="s">
        <v>912</v>
      </c>
      <c r="E684" s="1">
        <v>1.77159</v>
      </c>
      <c r="F684" s="1">
        <v>3.56752</v>
      </c>
      <c r="G684" s="1">
        <v>1.77734131820049</v>
      </c>
      <c r="H684" s="1">
        <v>3.58388523373472</v>
      </c>
      <c r="I684">
        <f>VLOOKUP(C684,'[1]phenotypes-895'!$A$2:$G$896,7,FALSE)</f>
        <v>58</v>
      </c>
    </row>
    <row r="685" spans="1:9" x14ac:dyDescent="0.2">
      <c r="A685">
        <v>684</v>
      </c>
      <c r="B685">
        <v>24</v>
      </c>
      <c r="C685" t="s">
        <v>683</v>
      </c>
      <c r="D685" s="13" t="s">
        <v>913</v>
      </c>
      <c r="E685" s="1">
        <v>-2.5853199999999998</v>
      </c>
      <c r="F685" s="1">
        <v>-4.0126999999999997</v>
      </c>
      <c r="G685" s="1">
        <v>-2.6149871904331601</v>
      </c>
      <c r="H685" s="1">
        <v>-4.0576977196269297</v>
      </c>
      <c r="I685">
        <f>VLOOKUP(C685,'[1]phenotypes-895'!$A$2:$G$896,7,FALSE)</f>
        <v>65</v>
      </c>
    </row>
    <row r="686" spans="1:9" x14ac:dyDescent="0.2">
      <c r="A686">
        <v>685</v>
      </c>
      <c r="B686">
        <v>30</v>
      </c>
      <c r="C686" t="s">
        <v>684</v>
      </c>
      <c r="D686" s="13" t="s">
        <v>913</v>
      </c>
      <c r="E686" s="1">
        <v>-1.2909900000000001</v>
      </c>
      <c r="F686" s="1">
        <v>-3.1107999999999998</v>
      </c>
      <c r="G686" s="1">
        <v>-1.3269915684682501</v>
      </c>
      <c r="H686" s="1">
        <v>-3.1531975925334699</v>
      </c>
      <c r="I686">
        <f>VLOOKUP(C686,'[1]phenotypes-895'!$A$2:$G$896,7,FALSE)</f>
        <v>51</v>
      </c>
    </row>
    <row r="687" spans="1:9" x14ac:dyDescent="0.2">
      <c r="A687">
        <v>686</v>
      </c>
      <c r="B687">
        <v>35</v>
      </c>
      <c r="C687" t="s">
        <v>685</v>
      </c>
      <c r="D687" s="13" t="s">
        <v>913</v>
      </c>
      <c r="E687" s="1">
        <v>0.85514699999999999</v>
      </c>
      <c r="F687" s="1">
        <v>1.4882200000000001</v>
      </c>
      <c r="G687" s="1">
        <v>0.85474298791719705</v>
      </c>
      <c r="H687" s="1">
        <v>1.49412581218142</v>
      </c>
      <c r="I687">
        <f>VLOOKUP(C687,'[1]phenotypes-895'!$A$2:$G$896,7,FALSE)</f>
        <v>92</v>
      </c>
    </row>
    <row r="688" spans="1:9" x14ac:dyDescent="0.2">
      <c r="A688">
        <v>687</v>
      </c>
      <c r="B688">
        <v>44</v>
      </c>
      <c r="C688" t="s">
        <v>686</v>
      </c>
      <c r="D688" s="13" t="s">
        <v>912</v>
      </c>
      <c r="E688" s="1">
        <v>4.37554</v>
      </c>
      <c r="F688" s="1">
        <v>6.6838899999999999</v>
      </c>
      <c r="G688" s="1">
        <v>4.3728865909896699</v>
      </c>
      <c r="H688" s="1">
        <v>6.6995568928147504</v>
      </c>
      <c r="I688">
        <f>VLOOKUP(C688,'[1]phenotypes-895'!$A$2:$G$896,7,FALSE)</f>
        <v>62</v>
      </c>
    </row>
    <row r="689" spans="1:9" x14ac:dyDescent="0.2">
      <c r="A689">
        <v>688</v>
      </c>
      <c r="B689">
        <v>33</v>
      </c>
      <c r="C689" t="s">
        <v>687</v>
      </c>
      <c r="D689" s="13" t="s">
        <v>913</v>
      </c>
      <c r="E689" s="1">
        <v>2.31087</v>
      </c>
      <c r="F689" s="1">
        <v>1.17523</v>
      </c>
      <c r="G689" s="1">
        <v>2.3224286158898102</v>
      </c>
      <c r="H689" s="1">
        <v>1.1733475900316801</v>
      </c>
      <c r="I689">
        <f>VLOOKUP(C689,'[1]phenotypes-895'!$A$2:$G$896,7,FALSE)</f>
        <v>74</v>
      </c>
    </row>
    <row r="690" spans="1:9" x14ac:dyDescent="0.2">
      <c r="A690">
        <v>689</v>
      </c>
      <c r="B690">
        <v>50</v>
      </c>
      <c r="C690" t="s">
        <v>688</v>
      </c>
      <c r="D690" s="13" t="s">
        <v>912</v>
      </c>
      <c r="E690" s="1">
        <v>1.7098199999999999</v>
      </c>
      <c r="F690" s="1">
        <v>4.3631399999999996</v>
      </c>
      <c r="G690" s="1">
        <v>1.73007409378625</v>
      </c>
      <c r="H690" s="1">
        <v>4.3860513393269303</v>
      </c>
      <c r="I690">
        <f>VLOOKUP(C690,'[1]phenotypes-895'!$A$2:$G$896,7,FALSE)</f>
        <v>59</v>
      </c>
    </row>
    <row r="691" spans="1:9" x14ac:dyDescent="0.2">
      <c r="A691">
        <v>690</v>
      </c>
      <c r="B691">
        <v>37</v>
      </c>
      <c r="C691" t="s">
        <v>689</v>
      </c>
      <c r="D691" s="13" t="s">
        <v>913</v>
      </c>
      <c r="E691" s="1">
        <v>0.83994999999999997</v>
      </c>
      <c r="F691" s="1">
        <v>2.0119600000000002</v>
      </c>
      <c r="G691" s="1">
        <v>0.84227349968298004</v>
      </c>
      <c r="H691" s="1">
        <v>2.0166992184243102</v>
      </c>
      <c r="I691">
        <f>VLOOKUP(C691,'[1]phenotypes-895'!$A$2:$G$896,7,FALSE)</f>
        <v>98</v>
      </c>
    </row>
    <row r="692" spans="1:9" x14ac:dyDescent="0.2">
      <c r="A692">
        <v>691</v>
      </c>
      <c r="B692">
        <v>48</v>
      </c>
      <c r="C692" t="s">
        <v>690</v>
      </c>
      <c r="D692" s="13" t="s">
        <v>912</v>
      </c>
      <c r="E692" s="1">
        <v>-1.00746</v>
      </c>
      <c r="F692" s="1">
        <v>0.40187899999999999</v>
      </c>
      <c r="G692" s="1">
        <v>-1.06293263719433</v>
      </c>
      <c r="H692" s="1">
        <v>0.35052217790958901</v>
      </c>
      <c r="I692">
        <f>VLOOKUP(C692,'[1]phenotypes-895'!$A$2:$G$896,7,FALSE)</f>
        <v>48</v>
      </c>
    </row>
    <row r="693" spans="1:9" x14ac:dyDescent="0.2">
      <c r="A693">
        <v>692</v>
      </c>
      <c r="B693">
        <v>37</v>
      </c>
      <c r="C693" t="s">
        <v>691</v>
      </c>
      <c r="D693" s="13" t="s">
        <v>913</v>
      </c>
      <c r="E693" s="1">
        <v>4.5808600000000004</v>
      </c>
      <c r="F693" s="1">
        <v>6.4187000000000003</v>
      </c>
      <c r="G693" s="1">
        <v>4.6059650274209503</v>
      </c>
      <c r="H693" s="1">
        <v>6.4448045434425598</v>
      </c>
      <c r="I693">
        <f>VLOOKUP(C693,'[1]phenotypes-895'!$A$2:$G$896,7,FALSE)</f>
        <v>98</v>
      </c>
    </row>
    <row r="694" spans="1:9" x14ac:dyDescent="0.2">
      <c r="A694">
        <v>693</v>
      </c>
      <c r="B694">
        <v>47</v>
      </c>
      <c r="C694" t="s">
        <v>692</v>
      </c>
      <c r="D694" s="13" t="s">
        <v>912</v>
      </c>
      <c r="E694" s="1">
        <v>1.71563</v>
      </c>
      <c r="F694" s="1">
        <v>3.36429</v>
      </c>
      <c r="G694" s="1">
        <v>1.7261149481412099</v>
      </c>
      <c r="H694" s="1">
        <v>3.4203989203263401</v>
      </c>
      <c r="I694">
        <f>VLOOKUP(C694,'[1]phenotypes-895'!$A$2:$G$896,7,FALSE)</f>
        <v>78</v>
      </c>
    </row>
    <row r="695" spans="1:9" x14ac:dyDescent="0.2">
      <c r="A695">
        <v>694</v>
      </c>
      <c r="B695">
        <v>30</v>
      </c>
      <c r="C695" t="s">
        <v>693</v>
      </c>
      <c r="D695" s="13" t="s">
        <v>913</v>
      </c>
      <c r="E695" s="1">
        <v>-1.05444</v>
      </c>
      <c r="F695" s="1">
        <v>-0.76741199999999998</v>
      </c>
      <c r="G695" s="1">
        <v>-1.1004974919222299</v>
      </c>
      <c r="H695" s="1">
        <v>-0.81421642895813395</v>
      </c>
      <c r="I695">
        <f>VLOOKUP(C695,'[1]phenotypes-895'!$A$2:$G$896,7,FALSE)</f>
        <v>98</v>
      </c>
    </row>
    <row r="696" spans="1:9" x14ac:dyDescent="0.2">
      <c r="A696">
        <v>695</v>
      </c>
      <c r="B696">
        <v>23</v>
      </c>
      <c r="C696" t="s">
        <v>694</v>
      </c>
      <c r="D696" s="13" t="s">
        <v>913</v>
      </c>
      <c r="E696" s="1">
        <v>6.1721899999999996</v>
      </c>
      <c r="F696" s="1">
        <v>4.9540100000000002</v>
      </c>
      <c r="G696" s="1">
        <v>6.1285989287022504</v>
      </c>
      <c r="H696" s="1">
        <v>4.8983506570177502</v>
      </c>
      <c r="I696">
        <f>VLOOKUP(C696,'[1]phenotypes-895'!$A$2:$G$896,7,FALSE)</f>
        <v>73</v>
      </c>
    </row>
    <row r="697" spans="1:9" x14ac:dyDescent="0.2">
      <c r="A697">
        <v>696</v>
      </c>
      <c r="B697">
        <v>23</v>
      </c>
      <c r="C697" t="s">
        <v>695</v>
      </c>
      <c r="D697" s="13" t="s">
        <v>913</v>
      </c>
      <c r="E697" s="1">
        <v>0.3054</v>
      </c>
      <c r="F697" s="1">
        <v>0.302956</v>
      </c>
      <c r="G697" s="1">
        <v>0.276540120692014</v>
      </c>
      <c r="H697" s="1">
        <v>0.277325321615426</v>
      </c>
      <c r="I697">
        <f>VLOOKUP(C697,'[1]phenotypes-895'!$A$2:$G$896,7,FALSE)</f>
        <v>98</v>
      </c>
    </row>
    <row r="698" spans="1:9" x14ac:dyDescent="0.2">
      <c r="A698">
        <v>697</v>
      </c>
      <c r="B698">
        <v>39</v>
      </c>
      <c r="C698" t="s">
        <v>696</v>
      </c>
      <c r="D698" s="13" t="s">
        <v>913</v>
      </c>
      <c r="E698" s="1">
        <v>5.3234700000000004</v>
      </c>
      <c r="F698" s="1">
        <v>3.9760300000000002</v>
      </c>
      <c r="G698" s="1">
        <v>5.3274406481817804</v>
      </c>
      <c r="H698" s="1">
        <v>3.9832383286831301</v>
      </c>
      <c r="I698">
        <f>VLOOKUP(C698,'[1]phenotypes-895'!$A$2:$G$896,7,FALSE)</f>
        <v>98</v>
      </c>
    </row>
    <row r="699" spans="1:9" x14ac:dyDescent="0.2">
      <c r="A699">
        <v>698</v>
      </c>
      <c r="B699">
        <v>27</v>
      </c>
      <c r="C699" t="s">
        <v>697</v>
      </c>
      <c r="D699" s="13" t="s">
        <v>913</v>
      </c>
      <c r="E699" s="1">
        <v>2.5340699999999998</v>
      </c>
      <c r="F699" s="1">
        <v>4.2733299999999996</v>
      </c>
      <c r="G699" s="1">
        <v>2.51988159154938</v>
      </c>
      <c r="H699" s="1">
        <v>4.2626206397946298</v>
      </c>
      <c r="I699">
        <f>VLOOKUP(C699,'[1]phenotypes-895'!$A$2:$G$896,7,FALSE)</f>
        <v>98</v>
      </c>
    </row>
    <row r="700" spans="1:9" x14ac:dyDescent="0.2">
      <c r="A700">
        <v>699</v>
      </c>
      <c r="B700">
        <v>25</v>
      </c>
      <c r="C700" t="s">
        <v>698</v>
      </c>
      <c r="D700" s="13" t="s">
        <v>913</v>
      </c>
      <c r="E700" s="1">
        <v>1.73132</v>
      </c>
      <c r="F700" s="1">
        <v>0.302757</v>
      </c>
      <c r="G700" s="1">
        <v>1.7391767004342999</v>
      </c>
      <c r="H700" s="1">
        <v>0.299209475203286</v>
      </c>
      <c r="I700">
        <f>VLOOKUP(C700,'[1]phenotypes-895'!$A$2:$G$896,7,FALSE)</f>
        <v>76</v>
      </c>
    </row>
    <row r="701" spans="1:9" x14ac:dyDescent="0.2">
      <c r="A701">
        <v>700</v>
      </c>
      <c r="B701">
        <v>23</v>
      </c>
      <c r="C701" t="s">
        <v>699</v>
      </c>
      <c r="D701" s="13" t="s">
        <v>913</v>
      </c>
      <c r="E701" s="1">
        <v>5.8881800000000002</v>
      </c>
      <c r="F701" s="1">
        <v>5.1642900000000003</v>
      </c>
      <c r="G701" s="1">
        <v>5.8951259140555896</v>
      </c>
      <c r="H701" s="1">
        <v>5.1619705187699401</v>
      </c>
      <c r="I701">
        <f>VLOOKUP(C701,'[1]phenotypes-895'!$A$2:$G$896,7,FALSE)</f>
        <v>98</v>
      </c>
    </row>
    <row r="702" spans="1:9" x14ac:dyDescent="0.2">
      <c r="A702">
        <v>701</v>
      </c>
      <c r="B702">
        <v>30</v>
      </c>
      <c r="C702" t="s">
        <v>700</v>
      </c>
      <c r="D702" s="13" t="s">
        <v>913</v>
      </c>
      <c r="E702" s="1">
        <v>4.65822</v>
      </c>
      <c r="F702" s="1">
        <v>3.3677999999999999</v>
      </c>
      <c r="G702" s="1">
        <v>4.6635702131035002</v>
      </c>
      <c r="H702" s="1">
        <v>3.3615890138436302</v>
      </c>
      <c r="I702">
        <f>VLOOKUP(C702,'[1]phenotypes-895'!$A$2:$G$896,7,FALSE)</f>
        <v>80</v>
      </c>
    </row>
    <row r="703" spans="1:9" x14ac:dyDescent="0.2">
      <c r="A703">
        <v>702</v>
      </c>
      <c r="B703">
        <v>24</v>
      </c>
      <c r="C703" t="s">
        <v>701</v>
      </c>
      <c r="D703" s="13" t="s">
        <v>913</v>
      </c>
      <c r="E703" s="1">
        <v>1.59707</v>
      </c>
      <c r="F703" s="1">
        <v>2.97485</v>
      </c>
      <c r="G703" s="1">
        <v>1.61449379408662</v>
      </c>
      <c r="H703" s="1">
        <v>2.99084648898554</v>
      </c>
      <c r="I703">
        <f>VLOOKUP(C703,'[1]phenotypes-895'!$A$2:$G$896,7,FALSE)</f>
        <v>98</v>
      </c>
    </row>
    <row r="704" spans="1:9" x14ac:dyDescent="0.2">
      <c r="A704">
        <v>703</v>
      </c>
      <c r="B704">
        <v>26</v>
      </c>
      <c r="C704" t="s">
        <v>702</v>
      </c>
      <c r="D704" s="13" t="s">
        <v>913</v>
      </c>
      <c r="E704" s="1">
        <v>2.1754899999999999</v>
      </c>
      <c r="F704" s="1">
        <v>3.19252</v>
      </c>
      <c r="G704" s="1">
        <v>2.2029560288397598</v>
      </c>
      <c r="H704" s="1">
        <v>3.2243223866078501</v>
      </c>
      <c r="I704">
        <f>VLOOKUP(C704,'[1]phenotypes-895'!$A$2:$G$896,7,FALSE)</f>
        <v>98</v>
      </c>
    </row>
    <row r="705" spans="1:9" x14ac:dyDescent="0.2">
      <c r="A705">
        <v>704</v>
      </c>
      <c r="B705">
        <v>26</v>
      </c>
      <c r="C705" t="s">
        <v>703</v>
      </c>
      <c r="D705" s="13" t="s">
        <v>913</v>
      </c>
      <c r="E705" s="1">
        <v>-2.0583200000000001</v>
      </c>
      <c r="F705" s="1">
        <v>-4.53728</v>
      </c>
      <c r="G705" s="1">
        <v>-2.0745963757585701</v>
      </c>
      <c r="H705" s="1">
        <v>-4.5642801930798997</v>
      </c>
      <c r="I705">
        <f>VLOOKUP(C705,'[1]phenotypes-895'!$A$2:$G$896,7,FALSE)</f>
        <v>83</v>
      </c>
    </row>
    <row r="706" spans="1:9" x14ac:dyDescent="0.2">
      <c r="A706">
        <v>705</v>
      </c>
      <c r="B706">
        <v>25</v>
      </c>
      <c r="C706" t="s">
        <v>704</v>
      </c>
      <c r="D706" s="13" t="s">
        <v>913</v>
      </c>
      <c r="E706" s="1">
        <v>1.58036</v>
      </c>
      <c r="F706" s="1">
        <v>2.7904499999999999</v>
      </c>
      <c r="G706" s="1">
        <v>1.5414641981038899</v>
      </c>
      <c r="H706" s="1">
        <v>2.7482247756065599</v>
      </c>
      <c r="I706">
        <f>VLOOKUP(C706,'[1]phenotypes-895'!$A$2:$G$896,7,FALSE)</f>
        <v>63</v>
      </c>
    </row>
    <row r="707" spans="1:9" x14ac:dyDescent="0.2">
      <c r="A707">
        <v>706</v>
      </c>
      <c r="B707">
        <v>31</v>
      </c>
      <c r="C707" t="s">
        <v>705</v>
      </c>
      <c r="D707" s="13" t="s">
        <v>913</v>
      </c>
      <c r="E707" s="1">
        <v>2.4872100000000001</v>
      </c>
      <c r="F707" s="1">
        <v>1.4675400000000001</v>
      </c>
      <c r="G707" s="1">
        <v>2.49329431370845</v>
      </c>
      <c r="H707" s="1">
        <v>1.4683584020390199</v>
      </c>
      <c r="I707">
        <f>VLOOKUP(C707,'[1]phenotypes-895'!$A$2:$G$896,7,FALSE)</f>
        <v>74</v>
      </c>
    </row>
    <row r="708" spans="1:9" x14ac:dyDescent="0.2">
      <c r="A708">
        <v>707</v>
      </c>
      <c r="B708">
        <v>50</v>
      </c>
      <c r="C708" t="s">
        <v>706</v>
      </c>
      <c r="D708" s="13" t="s">
        <v>912</v>
      </c>
      <c r="E708" s="1">
        <v>4.7879800000000001</v>
      </c>
      <c r="F708" s="1">
        <v>7.1370500000000003</v>
      </c>
      <c r="G708" s="1">
        <v>4.80687082992646</v>
      </c>
      <c r="H708" s="1">
        <v>7.1641591301378602</v>
      </c>
      <c r="I708">
        <f>VLOOKUP(C708,'[1]phenotypes-895'!$A$2:$G$896,7,FALSE)</f>
        <v>98</v>
      </c>
    </row>
    <row r="709" spans="1:9" x14ac:dyDescent="0.2">
      <c r="A709">
        <v>708</v>
      </c>
      <c r="B709">
        <v>44</v>
      </c>
      <c r="C709" t="s">
        <v>707</v>
      </c>
      <c r="D709" s="13" t="s">
        <v>912</v>
      </c>
      <c r="E709" s="1">
        <v>2.5146700000000002</v>
      </c>
      <c r="F709" s="1">
        <v>4.9237200000000003</v>
      </c>
      <c r="G709" s="1">
        <v>2.4907438934387498</v>
      </c>
      <c r="H709" s="1">
        <v>4.9079350340310999</v>
      </c>
      <c r="I709">
        <f>VLOOKUP(C709,'[1]phenotypes-895'!$A$2:$G$896,7,FALSE)</f>
        <v>98</v>
      </c>
    </row>
    <row r="710" spans="1:9" x14ac:dyDescent="0.2">
      <c r="A710">
        <v>709</v>
      </c>
      <c r="B710">
        <v>36</v>
      </c>
      <c r="C710" t="s">
        <v>708</v>
      </c>
      <c r="D710" s="13" t="s">
        <v>913</v>
      </c>
      <c r="E710" s="1">
        <v>5.3334900000000003</v>
      </c>
      <c r="F710" s="1">
        <v>6.8935700000000004</v>
      </c>
      <c r="G710" s="1">
        <v>5.3442944599139697</v>
      </c>
      <c r="H710" s="1">
        <v>6.9034256170206296</v>
      </c>
      <c r="I710">
        <f>VLOOKUP(C710,'[1]phenotypes-895'!$A$2:$G$896,7,FALSE)</f>
        <v>98</v>
      </c>
    </row>
    <row r="711" spans="1:9" x14ac:dyDescent="0.2">
      <c r="A711">
        <v>710</v>
      </c>
      <c r="B711">
        <v>22</v>
      </c>
      <c r="C711" t="s">
        <v>709</v>
      </c>
      <c r="D711" s="13" t="s">
        <v>913</v>
      </c>
      <c r="E711" s="1">
        <v>0.27310099999999998</v>
      </c>
      <c r="F711" s="1">
        <v>-0.22357399999999999</v>
      </c>
      <c r="G711" s="1">
        <v>0.20900997381091199</v>
      </c>
      <c r="H711" s="1">
        <v>-0.29096501128241298</v>
      </c>
      <c r="I711">
        <f>VLOOKUP(C711,'[1]phenotypes-895'!$A$2:$G$896,7,FALSE)</f>
        <v>56</v>
      </c>
    </row>
    <row r="712" spans="1:9" x14ac:dyDescent="0.2">
      <c r="A712">
        <v>711</v>
      </c>
      <c r="B712">
        <v>26</v>
      </c>
      <c r="C712" t="s">
        <v>710</v>
      </c>
      <c r="D712" s="13" t="s">
        <v>913</v>
      </c>
      <c r="E712" s="1">
        <v>5.6330600000000004</v>
      </c>
      <c r="F712" s="1">
        <v>5.2951499999999996</v>
      </c>
      <c r="G712" s="1">
        <v>5.66499194386558</v>
      </c>
      <c r="H712" s="1">
        <v>5.3234347678605296</v>
      </c>
      <c r="I712">
        <f>VLOOKUP(C712,'[1]phenotypes-895'!$A$2:$G$896,7,FALSE)</f>
        <v>98</v>
      </c>
    </row>
    <row r="713" spans="1:9" x14ac:dyDescent="0.2">
      <c r="A713">
        <v>712</v>
      </c>
      <c r="B713">
        <v>50</v>
      </c>
      <c r="C713" t="s">
        <v>711</v>
      </c>
      <c r="D713" s="13" t="s">
        <v>912</v>
      </c>
      <c r="E713" s="1">
        <v>2.8702700000000001</v>
      </c>
      <c r="F713" s="1">
        <v>6.2254199999999997</v>
      </c>
      <c r="G713" s="1">
        <v>2.8832087021974901</v>
      </c>
      <c r="H713" s="1">
        <v>6.2473285402154</v>
      </c>
      <c r="I713">
        <f>VLOOKUP(C713,'[1]phenotypes-895'!$A$2:$G$896,7,FALSE)</f>
        <v>98</v>
      </c>
    </row>
    <row r="714" spans="1:9" x14ac:dyDescent="0.2">
      <c r="A714">
        <v>713</v>
      </c>
      <c r="B714">
        <v>35</v>
      </c>
      <c r="C714" t="s">
        <v>712</v>
      </c>
      <c r="D714" s="13" t="s">
        <v>913</v>
      </c>
      <c r="E714" s="1">
        <v>3.0560399999999999</v>
      </c>
      <c r="F714" s="1">
        <v>3.3168799999999998</v>
      </c>
      <c r="G714" s="1">
        <v>3.07296612185853</v>
      </c>
      <c r="H714" s="1">
        <v>3.3313943126108598</v>
      </c>
      <c r="I714">
        <f>VLOOKUP(C714,'[1]phenotypes-895'!$A$2:$G$896,7,FALSE)</f>
        <v>98</v>
      </c>
    </row>
    <row r="715" spans="1:9" x14ac:dyDescent="0.2">
      <c r="A715">
        <v>714</v>
      </c>
      <c r="B715">
        <v>50</v>
      </c>
      <c r="C715" t="s">
        <v>713</v>
      </c>
      <c r="D715" s="13" t="s">
        <v>912</v>
      </c>
      <c r="E715" s="1">
        <v>-1.50559</v>
      </c>
      <c r="F715" s="1">
        <v>-0.54500099999999996</v>
      </c>
      <c r="G715" s="1">
        <v>-1.5258782522659999</v>
      </c>
      <c r="H715" s="1">
        <v>-0.564029955592115</v>
      </c>
      <c r="I715">
        <f>VLOOKUP(C715,'[1]phenotypes-895'!$A$2:$G$896,7,FALSE)</f>
        <v>59</v>
      </c>
    </row>
    <row r="716" spans="1:9" x14ac:dyDescent="0.2">
      <c r="A716">
        <v>715</v>
      </c>
      <c r="B716">
        <v>31</v>
      </c>
      <c r="C716" t="s">
        <v>714</v>
      </c>
      <c r="D716" s="13" t="s">
        <v>913</v>
      </c>
      <c r="E716" s="1">
        <v>2.0529600000000001</v>
      </c>
      <c r="F716" s="1">
        <v>1.56993</v>
      </c>
      <c r="G716" s="1">
        <v>2.0944137407697898</v>
      </c>
      <c r="H716" s="1">
        <v>1.61555220230829</v>
      </c>
      <c r="I716">
        <f>VLOOKUP(C716,'[1]phenotypes-895'!$A$2:$G$896,7,FALSE)</f>
        <v>98</v>
      </c>
    </row>
    <row r="717" spans="1:9" x14ac:dyDescent="0.2">
      <c r="A717">
        <v>716</v>
      </c>
      <c r="B717">
        <v>50</v>
      </c>
      <c r="C717" t="s">
        <v>715</v>
      </c>
      <c r="D717" s="13" t="s">
        <v>912</v>
      </c>
      <c r="E717" s="1">
        <v>3.9087999999999998</v>
      </c>
      <c r="F717" s="1">
        <v>6.8823299999999996</v>
      </c>
      <c r="G717" s="1">
        <v>3.8825961825921702</v>
      </c>
      <c r="H717" s="1">
        <v>6.8725379514086899</v>
      </c>
      <c r="I717">
        <f>VLOOKUP(C717,'[1]phenotypes-895'!$A$2:$G$896,7,FALSE)</f>
        <v>98</v>
      </c>
    </row>
    <row r="718" spans="1:9" x14ac:dyDescent="0.2">
      <c r="A718">
        <v>717</v>
      </c>
      <c r="B718">
        <v>49</v>
      </c>
      <c r="C718" t="s">
        <v>716</v>
      </c>
      <c r="D718" s="13" t="s">
        <v>912</v>
      </c>
      <c r="E718" s="1">
        <v>1.65222</v>
      </c>
      <c r="F718" s="1">
        <v>3.4421599999999999</v>
      </c>
      <c r="G718" s="1">
        <v>1.5937606631510799</v>
      </c>
      <c r="H718" s="1">
        <v>3.39873620816679</v>
      </c>
      <c r="I718">
        <f>VLOOKUP(C718,'[1]phenotypes-895'!$A$2:$G$896,7,FALSE)</f>
        <v>63</v>
      </c>
    </row>
    <row r="719" spans="1:9" x14ac:dyDescent="0.2">
      <c r="A719">
        <v>718</v>
      </c>
      <c r="B719">
        <v>50</v>
      </c>
      <c r="C719" t="s">
        <v>717</v>
      </c>
      <c r="D719" s="13" t="s">
        <v>912</v>
      </c>
      <c r="E719" s="1">
        <v>-4.8315499999999997E-2</v>
      </c>
      <c r="F719" s="1">
        <v>2.3417500000000002</v>
      </c>
      <c r="G719" s="1">
        <v>-6.2584238462204303E-2</v>
      </c>
      <c r="H719" s="1">
        <v>2.32875144677763</v>
      </c>
      <c r="I719">
        <f>VLOOKUP(C719,'[1]phenotypes-895'!$A$2:$G$896,7,FALSE)</f>
        <v>59</v>
      </c>
    </row>
    <row r="720" spans="1:9" x14ac:dyDescent="0.2">
      <c r="A720">
        <v>719</v>
      </c>
      <c r="B720">
        <v>50</v>
      </c>
      <c r="C720" t="s">
        <v>718</v>
      </c>
      <c r="D720" s="13" t="s">
        <v>912</v>
      </c>
      <c r="E720" s="1">
        <v>0.99177400000000004</v>
      </c>
      <c r="F720" s="1">
        <v>3.3677000000000001</v>
      </c>
      <c r="G720" s="1">
        <v>0.93195707438937403</v>
      </c>
      <c r="H720" s="1">
        <v>3.29041282769583</v>
      </c>
      <c r="I720">
        <f>VLOOKUP(C720,'[1]phenotypes-895'!$A$2:$G$896,7,FALSE)</f>
        <v>65</v>
      </c>
    </row>
    <row r="721" spans="1:9" x14ac:dyDescent="0.2">
      <c r="A721">
        <v>720</v>
      </c>
      <c r="B721">
        <v>39</v>
      </c>
      <c r="C721" t="s">
        <v>719</v>
      </c>
      <c r="D721" s="13" t="s">
        <v>913</v>
      </c>
      <c r="E721" s="1">
        <v>1.7985199999999999</v>
      </c>
      <c r="F721" s="1">
        <v>0.62703600000000004</v>
      </c>
      <c r="G721" s="1">
        <v>1.80674549702573</v>
      </c>
      <c r="H721" s="1">
        <v>0.631928469442119</v>
      </c>
      <c r="I721">
        <f>VLOOKUP(C721,'[1]phenotypes-895'!$A$2:$G$896,7,FALSE)</f>
        <v>51</v>
      </c>
    </row>
    <row r="722" spans="1:9" x14ac:dyDescent="0.2">
      <c r="A722">
        <v>721</v>
      </c>
      <c r="B722">
        <v>46</v>
      </c>
      <c r="C722" t="s">
        <v>720</v>
      </c>
      <c r="D722" s="13" t="s">
        <v>912</v>
      </c>
      <c r="E722" s="1">
        <v>-1.1712899999999999</v>
      </c>
      <c r="F722" s="1">
        <v>1.6894100000000001</v>
      </c>
      <c r="G722" s="1">
        <v>-1.1799816007983699</v>
      </c>
      <c r="H722" s="1">
        <v>1.6957803468536901</v>
      </c>
      <c r="I722">
        <f>VLOOKUP(C722,'[1]phenotypes-895'!$A$2:$G$896,7,FALSE)</f>
        <v>74</v>
      </c>
    </row>
    <row r="723" spans="1:9" x14ac:dyDescent="0.2">
      <c r="A723">
        <v>722</v>
      </c>
      <c r="B723">
        <v>35</v>
      </c>
      <c r="C723" t="s">
        <v>721</v>
      </c>
      <c r="D723" s="13" t="s">
        <v>913</v>
      </c>
      <c r="E723" s="1">
        <v>0.941913</v>
      </c>
      <c r="F723" s="1">
        <v>1.3222499999999999</v>
      </c>
      <c r="G723" s="1">
        <v>0.94905228733062597</v>
      </c>
      <c r="H723" s="1">
        <v>1.32038516251083</v>
      </c>
      <c r="I723">
        <f>VLOOKUP(C723,'[1]phenotypes-895'!$A$2:$G$896,7,FALSE)</f>
        <v>77</v>
      </c>
    </row>
    <row r="724" spans="1:9" x14ac:dyDescent="0.2">
      <c r="A724">
        <v>723</v>
      </c>
      <c r="B724">
        <v>53</v>
      </c>
      <c r="C724" t="s">
        <v>722</v>
      </c>
      <c r="D724" s="13" t="s">
        <v>912</v>
      </c>
      <c r="E724" s="1">
        <v>3.8466100000000001</v>
      </c>
      <c r="F724" s="1">
        <v>5.4751300000000001</v>
      </c>
      <c r="G724" s="1">
        <v>3.8512339508192599</v>
      </c>
      <c r="H724" s="1">
        <v>5.4975027689279603</v>
      </c>
      <c r="I724">
        <f>VLOOKUP(C724,'[1]phenotypes-895'!$A$2:$G$896,7,FALSE)</f>
        <v>98</v>
      </c>
    </row>
    <row r="725" spans="1:9" x14ac:dyDescent="0.2">
      <c r="A725">
        <v>724</v>
      </c>
      <c r="B725">
        <v>50</v>
      </c>
      <c r="C725" t="s">
        <v>723</v>
      </c>
      <c r="D725" s="13" t="s">
        <v>912</v>
      </c>
      <c r="E725" s="1">
        <v>-4.2821499999999997</v>
      </c>
      <c r="F725" s="1">
        <v>-2.5397400000000001</v>
      </c>
      <c r="G725" s="1">
        <v>-4.3210757909220598</v>
      </c>
      <c r="H725" s="1">
        <v>-2.57547298610866</v>
      </c>
      <c r="I725">
        <f>VLOOKUP(C725,'[1]phenotypes-895'!$A$2:$G$896,7,FALSE)</f>
        <v>63</v>
      </c>
    </row>
    <row r="726" spans="1:9" x14ac:dyDescent="0.2">
      <c r="A726">
        <v>725</v>
      </c>
      <c r="B726">
        <v>50</v>
      </c>
      <c r="C726" t="s">
        <v>724</v>
      </c>
      <c r="D726" s="13" t="s">
        <v>912</v>
      </c>
      <c r="E726" s="1">
        <v>0.85052799999999995</v>
      </c>
      <c r="F726" s="1">
        <v>2.8288500000000001</v>
      </c>
      <c r="G726" s="1">
        <v>0.86591593245271803</v>
      </c>
      <c r="H726" s="1">
        <v>2.8483492484160999</v>
      </c>
      <c r="I726">
        <f>VLOOKUP(C726,'[1]phenotypes-895'!$A$2:$G$896,7,FALSE)</f>
        <v>80</v>
      </c>
    </row>
    <row r="727" spans="1:9" x14ac:dyDescent="0.2">
      <c r="A727">
        <v>726</v>
      </c>
      <c r="B727">
        <v>26</v>
      </c>
      <c r="C727" t="s">
        <v>725</v>
      </c>
      <c r="D727" s="13" t="s">
        <v>913</v>
      </c>
      <c r="E727" s="1">
        <v>6.8049200000000001</v>
      </c>
      <c r="F727" s="1">
        <v>6.5834900000000003</v>
      </c>
      <c r="G727" s="1">
        <v>6.8307175125048403</v>
      </c>
      <c r="H727" s="1">
        <v>6.6151261254476097</v>
      </c>
      <c r="I727">
        <f>VLOOKUP(C727,'[1]phenotypes-895'!$A$2:$G$896,7,FALSE)</f>
        <v>98</v>
      </c>
    </row>
    <row r="728" spans="1:9" x14ac:dyDescent="0.2">
      <c r="A728">
        <v>727</v>
      </c>
      <c r="B728">
        <v>37</v>
      </c>
      <c r="C728" t="s">
        <v>726</v>
      </c>
      <c r="D728" s="13" t="s">
        <v>913</v>
      </c>
      <c r="E728" s="1">
        <v>5.6975600000000002</v>
      </c>
      <c r="F728" s="1">
        <v>5.39086</v>
      </c>
      <c r="G728" s="1">
        <v>5.6879823032273098</v>
      </c>
      <c r="H728" s="1">
        <v>5.3770987623908004</v>
      </c>
      <c r="I728">
        <f>VLOOKUP(C728,'[1]phenotypes-895'!$A$2:$G$896,7,FALSE)</f>
        <v>92</v>
      </c>
    </row>
    <row r="729" spans="1:9" x14ac:dyDescent="0.2">
      <c r="A729">
        <v>728</v>
      </c>
      <c r="B729">
        <v>23</v>
      </c>
      <c r="C729" t="s">
        <v>727</v>
      </c>
      <c r="D729" s="13" t="s">
        <v>913</v>
      </c>
      <c r="E729" s="1">
        <v>2.76946</v>
      </c>
      <c r="F729" s="1">
        <v>2.3165399999999998</v>
      </c>
      <c r="G729" s="1">
        <v>2.7397019702881198</v>
      </c>
      <c r="H729" s="1">
        <v>2.2855045400353302</v>
      </c>
      <c r="I729">
        <f>VLOOKUP(C729,'[1]phenotypes-895'!$A$2:$G$896,7,FALSE)</f>
        <v>91</v>
      </c>
    </row>
    <row r="730" spans="1:9" x14ac:dyDescent="0.2">
      <c r="A730">
        <v>729</v>
      </c>
      <c r="B730">
        <v>21</v>
      </c>
      <c r="C730" t="s">
        <v>728</v>
      </c>
      <c r="D730" s="13" t="s">
        <v>913</v>
      </c>
      <c r="E730" s="1">
        <v>2.31562</v>
      </c>
      <c r="F730" s="1">
        <v>1.14025</v>
      </c>
      <c r="G730" s="1">
        <v>2.2934897732567698</v>
      </c>
      <c r="H730" s="1">
        <v>1.1123676111054199</v>
      </c>
      <c r="I730">
        <f>VLOOKUP(C730,'[1]phenotypes-895'!$A$2:$G$896,7,FALSE)</f>
        <v>95</v>
      </c>
    </row>
    <row r="731" spans="1:9" x14ac:dyDescent="0.2">
      <c r="A731">
        <v>730</v>
      </c>
      <c r="B731">
        <v>25</v>
      </c>
      <c r="C731" t="s">
        <v>729</v>
      </c>
      <c r="D731" s="13" t="s">
        <v>913</v>
      </c>
      <c r="E731" s="1">
        <v>4.2568400000000004</v>
      </c>
      <c r="F731" s="1">
        <v>2.7235499999999999</v>
      </c>
      <c r="G731" s="1">
        <v>4.2316964621861901</v>
      </c>
      <c r="H731" s="1">
        <v>2.6886187992112398</v>
      </c>
      <c r="I731">
        <f>VLOOKUP(C731,'[1]phenotypes-895'!$A$2:$G$896,7,FALSE)</f>
        <v>77</v>
      </c>
    </row>
    <row r="732" spans="1:9" x14ac:dyDescent="0.2">
      <c r="A732">
        <v>731</v>
      </c>
      <c r="B732">
        <v>46</v>
      </c>
      <c r="C732" t="s">
        <v>730</v>
      </c>
      <c r="D732" s="13" t="s">
        <v>912</v>
      </c>
      <c r="E732" s="1">
        <v>-1.55002</v>
      </c>
      <c r="F732" s="1">
        <v>1.2057199999999999</v>
      </c>
      <c r="G732" s="1">
        <v>-1.56712486140328</v>
      </c>
      <c r="H732" s="1">
        <v>1.2066237357657901</v>
      </c>
      <c r="I732">
        <f>VLOOKUP(C732,'[1]phenotypes-895'!$A$2:$G$896,7,FALSE)</f>
        <v>51</v>
      </c>
    </row>
    <row r="733" spans="1:9" x14ac:dyDescent="0.2">
      <c r="A733">
        <v>732</v>
      </c>
      <c r="B733">
        <v>30</v>
      </c>
      <c r="C733" t="s">
        <v>731</v>
      </c>
      <c r="D733" s="13" t="s">
        <v>913</v>
      </c>
      <c r="E733" s="1">
        <v>1.2800499999999999</v>
      </c>
      <c r="F733" s="1">
        <v>2.1401300000000001</v>
      </c>
      <c r="G733" s="1">
        <v>1.2644045147020599</v>
      </c>
      <c r="H733" s="1">
        <v>2.1263926066963701</v>
      </c>
      <c r="I733">
        <f>VLOOKUP(C733,'[1]phenotypes-895'!$A$2:$G$896,7,FALSE)</f>
        <v>85</v>
      </c>
    </row>
    <row r="734" spans="1:9" x14ac:dyDescent="0.2">
      <c r="A734">
        <v>733</v>
      </c>
      <c r="B734">
        <v>39</v>
      </c>
      <c r="C734" t="s">
        <v>732</v>
      </c>
      <c r="D734" s="13" t="s">
        <v>913</v>
      </c>
      <c r="E734" s="1">
        <v>5.6144100000000003</v>
      </c>
      <c r="F734" s="1">
        <v>5.6857699999999998</v>
      </c>
      <c r="G734" s="1">
        <v>5.6628072377420899</v>
      </c>
      <c r="H734" s="1">
        <v>5.7366738786606302</v>
      </c>
      <c r="I734">
        <f>VLOOKUP(C734,'[1]phenotypes-895'!$A$2:$G$896,7,FALSE)</f>
        <v>98</v>
      </c>
    </row>
    <row r="735" spans="1:9" x14ac:dyDescent="0.2">
      <c r="A735">
        <v>734</v>
      </c>
      <c r="B735">
        <v>24</v>
      </c>
      <c r="C735" t="s">
        <v>733</v>
      </c>
      <c r="D735" s="13" t="s">
        <v>913</v>
      </c>
      <c r="E735" s="1">
        <v>3.1410300000000002</v>
      </c>
      <c r="F735" s="1">
        <v>2.0520900000000002</v>
      </c>
      <c r="G735" s="1">
        <v>3.1570612945841101</v>
      </c>
      <c r="H735" s="1">
        <v>2.06719566212981</v>
      </c>
      <c r="I735">
        <f>VLOOKUP(C735,'[1]phenotypes-895'!$A$2:$G$896,7,FALSE)</f>
        <v>98</v>
      </c>
    </row>
    <row r="736" spans="1:9" x14ac:dyDescent="0.2">
      <c r="A736">
        <v>735</v>
      </c>
      <c r="B736">
        <v>32</v>
      </c>
      <c r="C736" t="s">
        <v>734</v>
      </c>
      <c r="D736" s="13" t="s">
        <v>913</v>
      </c>
      <c r="E736" s="1">
        <v>-0.99246199999999996</v>
      </c>
      <c r="F736" s="1">
        <v>-2.0420199999999999</v>
      </c>
      <c r="G736" s="1">
        <v>-1.0049867182944201</v>
      </c>
      <c r="H736" s="1">
        <v>-2.0617894892333801</v>
      </c>
      <c r="I736">
        <f>VLOOKUP(C736,'[1]phenotypes-895'!$A$2:$G$896,7,FALSE)</f>
        <v>64</v>
      </c>
    </row>
    <row r="737" spans="1:9" x14ac:dyDescent="0.2">
      <c r="A737">
        <v>736</v>
      </c>
      <c r="B737">
        <v>29</v>
      </c>
      <c r="C737" t="s">
        <v>735</v>
      </c>
      <c r="D737" s="13" t="s">
        <v>913</v>
      </c>
      <c r="E737" s="1">
        <v>3.8206699999999998</v>
      </c>
      <c r="F737" s="1">
        <v>5.8396499999999998</v>
      </c>
      <c r="G737" s="1">
        <v>3.8349441234017001</v>
      </c>
      <c r="H737" s="1">
        <v>5.8576964331179404</v>
      </c>
      <c r="I737">
        <f>VLOOKUP(C737,'[1]phenotypes-895'!$A$2:$G$896,7,FALSE)</f>
        <v>98</v>
      </c>
    </row>
    <row r="738" spans="1:9" x14ac:dyDescent="0.2">
      <c r="A738">
        <v>737</v>
      </c>
      <c r="B738">
        <v>52</v>
      </c>
      <c r="C738" t="s">
        <v>736</v>
      </c>
      <c r="D738" s="13" t="s">
        <v>912</v>
      </c>
      <c r="E738" s="1">
        <v>-3.5799099999999999</v>
      </c>
      <c r="F738" s="1">
        <v>-1.62616</v>
      </c>
      <c r="G738" s="1">
        <v>-3.5892280339890701</v>
      </c>
      <c r="H738" s="1">
        <v>-1.63925780867198</v>
      </c>
      <c r="I738">
        <f>VLOOKUP(C738,'[1]phenotypes-895'!$A$2:$G$896,7,FALSE)</f>
        <v>52</v>
      </c>
    </row>
    <row r="739" spans="1:9" x14ac:dyDescent="0.2">
      <c r="A739">
        <v>738</v>
      </c>
      <c r="B739">
        <v>22</v>
      </c>
      <c r="C739" t="s">
        <v>737</v>
      </c>
      <c r="D739" s="13" t="s">
        <v>913</v>
      </c>
      <c r="E739" s="1">
        <v>-1.2190099999999999</v>
      </c>
      <c r="F739" s="1">
        <v>-0.69570900000000002</v>
      </c>
      <c r="G739" s="1">
        <v>-1.2515750816662099</v>
      </c>
      <c r="H739" s="1">
        <v>-0.73576542020938396</v>
      </c>
      <c r="I739">
        <f>VLOOKUP(C739,'[1]phenotypes-895'!$A$2:$G$896,7,FALSE)</f>
        <v>57</v>
      </c>
    </row>
    <row r="740" spans="1:9" x14ac:dyDescent="0.2">
      <c r="A740">
        <v>739</v>
      </c>
      <c r="B740">
        <v>49</v>
      </c>
      <c r="C740" t="s">
        <v>738</v>
      </c>
      <c r="D740" s="13" t="s">
        <v>912</v>
      </c>
      <c r="E740" s="1">
        <v>-1.9653400000000001</v>
      </c>
      <c r="F740" s="1">
        <v>-0.72179099999999996</v>
      </c>
      <c r="G740" s="1">
        <v>-2.00721949233803</v>
      </c>
      <c r="H740" s="1">
        <v>-0.76237941981641</v>
      </c>
      <c r="I740">
        <f>VLOOKUP(C740,'[1]phenotypes-895'!$A$2:$G$896,7,FALSE)</f>
        <v>62</v>
      </c>
    </row>
    <row r="741" spans="1:9" x14ac:dyDescent="0.2">
      <c r="A741">
        <v>740</v>
      </c>
      <c r="B741">
        <v>38</v>
      </c>
      <c r="C741" t="s">
        <v>739</v>
      </c>
      <c r="D741" s="13" t="s">
        <v>913</v>
      </c>
      <c r="E741" s="1">
        <v>1.06227</v>
      </c>
      <c r="F741" s="1">
        <v>1.1737899999999999</v>
      </c>
      <c r="G741" s="1">
        <v>1.0565002876088201</v>
      </c>
      <c r="H741" s="1">
        <v>1.15971560580254</v>
      </c>
      <c r="I741">
        <f>VLOOKUP(C741,'[1]phenotypes-895'!$A$2:$G$896,7,FALSE)</f>
        <v>98</v>
      </c>
    </row>
    <row r="742" spans="1:9" x14ac:dyDescent="0.2">
      <c r="A742">
        <v>741</v>
      </c>
      <c r="B742">
        <v>33</v>
      </c>
      <c r="C742" t="s">
        <v>740</v>
      </c>
      <c r="D742" s="13" t="s">
        <v>913</v>
      </c>
      <c r="E742" s="1">
        <v>3.0575100000000002</v>
      </c>
      <c r="F742" s="1">
        <v>3.45241</v>
      </c>
      <c r="G742" s="1">
        <v>3.0634118616870101</v>
      </c>
      <c r="H742" s="1">
        <v>3.4570717660713099</v>
      </c>
      <c r="I742">
        <f>VLOOKUP(C742,'[1]phenotypes-895'!$A$2:$G$896,7,FALSE)</f>
        <v>98</v>
      </c>
    </row>
    <row r="743" spans="1:9" x14ac:dyDescent="0.2">
      <c r="A743">
        <v>742</v>
      </c>
      <c r="B743">
        <v>35</v>
      </c>
      <c r="C743" t="s">
        <v>741</v>
      </c>
      <c r="D743" s="13" t="s">
        <v>913</v>
      </c>
      <c r="E743" s="1">
        <v>3.1188899999999999</v>
      </c>
      <c r="F743" s="1">
        <v>2.9723700000000002</v>
      </c>
      <c r="G743" s="1">
        <v>3.0944668988822799</v>
      </c>
      <c r="H743" s="1">
        <v>2.9441562088477902</v>
      </c>
      <c r="I743">
        <f>VLOOKUP(C743,'[1]phenotypes-895'!$A$2:$G$896,7,FALSE)</f>
        <v>98</v>
      </c>
    </row>
    <row r="744" spans="1:9" x14ac:dyDescent="0.2">
      <c r="A744">
        <v>743</v>
      </c>
      <c r="B744">
        <v>25</v>
      </c>
      <c r="C744" t="s">
        <v>742</v>
      </c>
      <c r="D744" s="13" t="s">
        <v>913</v>
      </c>
      <c r="E744" s="1">
        <v>3.1259100000000002</v>
      </c>
      <c r="F744" s="1">
        <v>3.18845</v>
      </c>
      <c r="G744" s="1">
        <v>3.0845981408154302</v>
      </c>
      <c r="H744" s="1">
        <v>3.1435543748935699</v>
      </c>
      <c r="I744">
        <f>VLOOKUP(C744,'[1]phenotypes-895'!$A$2:$G$896,7,FALSE)</f>
        <v>98</v>
      </c>
    </row>
    <row r="745" spans="1:9" x14ac:dyDescent="0.2">
      <c r="A745">
        <v>744</v>
      </c>
      <c r="B745">
        <v>24</v>
      </c>
      <c r="C745" t="s">
        <v>743</v>
      </c>
      <c r="D745" s="13" t="s">
        <v>913</v>
      </c>
      <c r="E745" s="1">
        <v>-2.70201</v>
      </c>
      <c r="F745" s="1">
        <v>-4.0231899999999996</v>
      </c>
      <c r="G745" s="1">
        <v>-2.6946768665553398</v>
      </c>
      <c r="H745" s="1">
        <v>-4.0218585575396197</v>
      </c>
      <c r="I745">
        <f>VLOOKUP(C745,'[1]phenotypes-895'!$A$2:$G$896,7,FALSE)</f>
        <v>69</v>
      </c>
    </row>
    <row r="746" spans="1:9" x14ac:dyDescent="0.2">
      <c r="A746">
        <v>745</v>
      </c>
      <c r="B746">
        <v>23</v>
      </c>
      <c r="C746" t="s">
        <v>744</v>
      </c>
      <c r="D746" s="13" t="s">
        <v>913</v>
      </c>
      <c r="E746" s="1">
        <v>4.2297000000000002</v>
      </c>
      <c r="F746" s="1">
        <v>4.4644500000000003</v>
      </c>
      <c r="G746" s="1">
        <v>4.2109793984427997</v>
      </c>
      <c r="H746" s="1">
        <v>4.4558632696179696</v>
      </c>
      <c r="I746">
        <f>VLOOKUP(C746,'[1]phenotypes-895'!$A$2:$G$896,7,FALSE)</f>
        <v>98</v>
      </c>
    </row>
    <row r="747" spans="1:9" x14ac:dyDescent="0.2">
      <c r="A747">
        <v>746</v>
      </c>
      <c r="B747">
        <v>21</v>
      </c>
      <c r="C747" t="s">
        <v>745</v>
      </c>
      <c r="D747" s="13" t="s">
        <v>913</v>
      </c>
      <c r="E747" s="1">
        <v>2.4756200000000002</v>
      </c>
      <c r="F747" s="1">
        <v>3.4283399999999999</v>
      </c>
      <c r="G747" s="1">
        <v>2.4847188920508598</v>
      </c>
      <c r="H747" s="1">
        <v>3.4318311797327699</v>
      </c>
      <c r="I747">
        <f>VLOOKUP(C747,'[1]phenotypes-895'!$A$2:$G$896,7,FALSE)</f>
        <v>98</v>
      </c>
    </row>
    <row r="748" spans="1:9" x14ac:dyDescent="0.2">
      <c r="A748">
        <v>747</v>
      </c>
      <c r="B748">
        <v>22</v>
      </c>
      <c r="C748" t="s">
        <v>746</v>
      </c>
      <c r="D748" s="13" t="s">
        <v>913</v>
      </c>
      <c r="E748" s="1">
        <v>5.4758100000000001</v>
      </c>
      <c r="F748" s="1">
        <v>4.2058900000000001</v>
      </c>
      <c r="G748" s="1">
        <v>5.4782983795923199</v>
      </c>
      <c r="H748" s="1">
        <v>4.1988628347237897</v>
      </c>
      <c r="I748">
        <f>VLOOKUP(C748,'[1]phenotypes-895'!$A$2:$G$896,7,FALSE)</f>
        <v>98</v>
      </c>
    </row>
    <row r="749" spans="1:9" x14ac:dyDescent="0.2">
      <c r="A749">
        <v>748</v>
      </c>
      <c r="B749">
        <v>33</v>
      </c>
      <c r="C749" t="s">
        <v>747</v>
      </c>
      <c r="D749" s="13" t="s">
        <v>913</v>
      </c>
      <c r="E749" s="1">
        <v>7.3866899999999998</v>
      </c>
      <c r="F749" s="1">
        <v>8.7322799999999994</v>
      </c>
      <c r="G749" s="1">
        <v>7.3808221850333799</v>
      </c>
      <c r="H749" s="1">
        <v>8.7314327750031602</v>
      </c>
      <c r="I749">
        <f>VLOOKUP(C749,'[1]phenotypes-895'!$A$2:$G$896,7,FALSE)</f>
        <v>98</v>
      </c>
    </row>
    <row r="750" spans="1:9" x14ac:dyDescent="0.2">
      <c r="A750">
        <v>749</v>
      </c>
      <c r="B750">
        <v>30</v>
      </c>
      <c r="C750" t="s">
        <v>748</v>
      </c>
      <c r="D750" s="13" t="s">
        <v>913</v>
      </c>
      <c r="E750" s="1">
        <v>4.6031300000000002</v>
      </c>
      <c r="F750" s="1">
        <v>2.7582900000000001</v>
      </c>
      <c r="G750" s="1">
        <v>4.5829117079225403</v>
      </c>
      <c r="H750" s="1">
        <v>2.7169513602011599</v>
      </c>
      <c r="I750">
        <f>VLOOKUP(C750,'[1]phenotypes-895'!$A$2:$G$896,7,FALSE)</f>
        <v>98</v>
      </c>
    </row>
    <row r="751" spans="1:9" x14ac:dyDescent="0.2">
      <c r="A751">
        <v>750</v>
      </c>
      <c r="B751">
        <v>22</v>
      </c>
      <c r="C751" t="s">
        <v>749</v>
      </c>
      <c r="D751" s="13" t="s">
        <v>913</v>
      </c>
      <c r="E751" s="1">
        <v>5.7115900000000002</v>
      </c>
      <c r="F751" s="1">
        <v>5.3979400000000002</v>
      </c>
      <c r="G751" s="1">
        <v>5.7430258110536698</v>
      </c>
      <c r="H751" s="1">
        <v>5.4311498644157599</v>
      </c>
      <c r="I751">
        <f>VLOOKUP(C751,'[1]phenotypes-895'!$A$2:$G$896,7,FALSE)</f>
        <v>98</v>
      </c>
    </row>
    <row r="752" spans="1:9" x14ac:dyDescent="0.2">
      <c r="A752">
        <v>751</v>
      </c>
      <c r="B752">
        <v>25</v>
      </c>
      <c r="C752" t="s">
        <v>750</v>
      </c>
      <c r="D752" s="13" t="s">
        <v>913</v>
      </c>
      <c r="E752" s="1">
        <v>1.1249800000000001</v>
      </c>
      <c r="F752" s="1">
        <v>0.23730999999999999</v>
      </c>
      <c r="G752" s="1">
        <v>1.07210554680029</v>
      </c>
      <c r="H752" s="1">
        <v>0.18359954810781001</v>
      </c>
      <c r="I752">
        <f>VLOOKUP(C752,'[1]phenotypes-895'!$A$2:$G$896,7,FALSE)</f>
        <v>98</v>
      </c>
    </row>
    <row r="753" spans="1:9" x14ac:dyDescent="0.2">
      <c r="A753">
        <v>752</v>
      </c>
      <c r="B753">
        <v>32</v>
      </c>
      <c r="C753" t="s">
        <v>751</v>
      </c>
      <c r="D753" s="13" t="s">
        <v>913</v>
      </c>
      <c r="E753" s="1">
        <v>1.7771999999999999</v>
      </c>
      <c r="F753" s="1">
        <v>1.0237499999999999</v>
      </c>
      <c r="G753" s="1">
        <v>1.71305691460565</v>
      </c>
      <c r="H753" s="1">
        <v>0.94554839333212004</v>
      </c>
      <c r="I753">
        <f>VLOOKUP(C753,'[1]phenotypes-895'!$A$2:$G$896,7,FALSE)</f>
        <v>63</v>
      </c>
    </row>
    <row r="754" spans="1:9" x14ac:dyDescent="0.2">
      <c r="A754">
        <v>753</v>
      </c>
      <c r="B754">
        <v>30</v>
      </c>
      <c r="C754" t="s">
        <v>752</v>
      </c>
      <c r="D754" s="13" t="s">
        <v>913</v>
      </c>
      <c r="E754" s="1">
        <v>3.1997300000000002</v>
      </c>
      <c r="F754" s="1">
        <v>1.9171100000000001</v>
      </c>
      <c r="G754" s="1">
        <v>3.1790922321976698</v>
      </c>
      <c r="H754" s="1">
        <v>1.89121480791519</v>
      </c>
      <c r="I754">
        <f>VLOOKUP(C754,'[1]phenotypes-895'!$A$2:$G$896,7,FALSE)</f>
        <v>70</v>
      </c>
    </row>
    <row r="755" spans="1:9" x14ac:dyDescent="0.2">
      <c r="A755">
        <v>754</v>
      </c>
      <c r="B755">
        <v>29</v>
      </c>
      <c r="C755" t="s">
        <v>753</v>
      </c>
      <c r="D755" s="13" t="s">
        <v>913</v>
      </c>
      <c r="E755" s="1">
        <v>8.3283900000000006</v>
      </c>
      <c r="F755" s="1">
        <v>7.7445700000000004</v>
      </c>
      <c r="G755" s="1">
        <v>8.3622635481224208</v>
      </c>
      <c r="H755" s="1">
        <v>7.7766094230607701</v>
      </c>
      <c r="I755">
        <f>VLOOKUP(C755,'[1]phenotypes-895'!$A$2:$G$896,7,FALSE)</f>
        <v>98</v>
      </c>
    </row>
    <row r="756" spans="1:9" x14ac:dyDescent="0.2">
      <c r="A756">
        <v>755</v>
      </c>
      <c r="B756">
        <v>50</v>
      </c>
      <c r="C756" t="s">
        <v>754</v>
      </c>
      <c r="D756" s="13" t="s">
        <v>912</v>
      </c>
      <c r="E756" s="1">
        <v>1.3504100000000001</v>
      </c>
      <c r="F756" s="1">
        <v>2.7841200000000002</v>
      </c>
      <c r="G756" s="1">
        <v>1.3746703099947499</v>
      </c>
      <c r="H756" s="1">
        <v>2.8257950516652999</v>
      </c>
      <c r="I756">
        <f>VLOOKUP(C756,'[1]phenotypes-895'!$A$2:$G$896,7,FALSE)</f>
        <v>98</v>
      </c>
    </row>
    <row r="757" spans="1:9" x14ac:dyDescent="0.2">
      <c r="A757">
        <v>756</v>
      </c>
      <c r="B757">
        <v>37</v>
      </c>
      <c r="C757" t="s">
        <v>755</v>
      </c>
      <c r="D757" s="13" t="s">
        <v>913</v>
      </c>
      <c r="E757" s="1">
        <v>4.2851299999999997</v>
      </c>
      <c r="F757" s="1">
        <v>5.1316899999999999</v>
      </c>
      <c r="G757" s="1">
        <v>4.31982421831359</v>
      </c>
      <c r="H757" s="1">
        <v>5.17559089143045</v>
      </c>
      <c r="I757">
        <f>VLOOKUP(C757,'[1]phenotypes-895'!$A$2:$G$896,7,FALSE)</f>
        <v>98</v>
      </c>
    </row>
    <row r="758" spans="1:9" x14ac:dyDescent="0.2">
      <c r="A758">
        <v>757</v>
      </c>
      <c r="B758">
        <v>35</v>
      </c>
      <c r="C758" t="s">
        <v>756</v>
      </c>
      <c r="D758" s="13" t="s">
        <v>913</v>
      </c>
      <c r="E758" s="1">
        <v>5.2645299999999997</v>
      </c>
      <c r="F758" s="1">
        <v>5.9542099999999998</v>
      </c>
      <c r="G758" s="1">
        <v>5.2613404368236303</v>
      </c>
      <c r="H758" s="1">
        <v>5.9459116229045001</v>
      </c>
      <c r="I758">
        <f>VLOOKUP(C758,'[1]phenotypes-895'!$A$2:$G$896,7,FALSE)</f>
        <v>98</v>
      </c>
    </row>
    <row r="759" spans="1:9" x14ac:dyDescent="0.2">
      <c r="A759">
        <v>758</v>
      </c>
      <c r="B759">
        <v>51</v>
      </c>
      <c r="C759" t="s">
        <v>757</v>
      </c>
      <c r="D759" s="13" t="s">
        <v>912</v>
      </c>
      <c r="E759" s="1">
        <v>4.2940100000000001</v>
      </c>
      <c r="F759" s="1">
        <v>7.2532300000000003</v>
      </c>
      <c r="G759" s="1">
        <v>4.2911540428392998</v>
      </c>
      <c r="H759" s="1">
        <v>7.2653241393763901</v>
      </c>
      <c r="I759">
        <f>VLOOKUP(C759,'[1]phenotypes-895'!$A$2:$G$896,7,FALSE)</f>
        <v>98</v>
      </c>
    </row>
    <row r="760" spans="1:9" x14ac:dyDescent="0.2">
      <c r="A760">
        <v>759</v>
      </c>
      <c r="B760">
        <v>24</v>
      </c>
      <c r="C760" t="s">
        <v>758</v>
      </c>
      <c r="D760" s="13" t="s">
        <v>913</v>
      </c>
      <c r="E760" s="1">
        <v>-2.5642900000000002</v>
      </c>
      <c r="F760" s="1">
        <v>-4.8510499999999999</v>
      </c>
      <c r="G760" s="1">
        <v>-2.5913541563654601</v>
      </c>
      <c r="H760" s="1">
        <v>-4.8853107608525601</v>
      </c>
      <c r="I760">
        <f>VLOOKUP(C760,'[1]phenotypes-895'!$A$2:$G$896,7,FALSE)</f>
        <v>98</v>
      </c>
    </row>
    <row r="761" spans="1:9" x14ac:dyDescent="0.2">
      <c r="A761">
        <v>760</v>
      </c>
      <c r="B761">
        <v>22</v>
      </c>
      <c r="C761" t="s">
        <v>759</v>
      </c>
      <c r="D761" s="13" t="s">
        <v>913</v>
      </c>
      <c r="E761" s="1">
        <v>-0.61384899999999998</v>
      </c>
      <c r="F761" s="1">
        <v>-1.17109</v>
      </c>
      <c r="G761" s="1">
        <v>-0.65641978178319205</v>
      </c>
      <c r="H761" s="1">
        <v>-1.21807843487584</v>
      </c>
      <c r="I761">
        <f>VLOOKUP(C761,'[1]phenotypes-895'!$A$2:$G$896,7,FALSE)</f>
        <v>67</v>
      </c>
    </row>
    <row r="762" spans="1:9" x14ac:dyDescent="0.2">
      <c r="A762">
        <v>761</v>
      </c>
      <c r="B762">
        <v>30</v>
      </c>
      <c r="C762" t="s">
        <v>760</v>
      </c>
      <c r="D762" s="13" t="s">
        <v>913</v>
      </c>
      <c r="E762" s="1">
        <v>-1.3847799999999999</v>
      </c>
      <c r="F762" s="1">
        <v>-3.2359900000000001</v>
      </c>
      <c r="G762" s="1">
        <v>-1.40644586356351</v>
      </c>
      <c r="H762" s="1">
        <v>-3.2497669542812901</v>
      </c>
      <c r="I762">
        <f>VLOOKUP(C762,'[1]phenotypes-895'!$A$2:$G$896,7,FALSE)</f>
        <v>98</v>
      </c>
    </row>
    <row r="763" spans="1:9" x14ac:dyDescent="0.2">
      <c r="A763">
        <v>762</v>
      </c>
      <c r="B763">
        <v>44</v>
      </c>
      <c r="C763" t="s">
        <v>761</v>
      </c>
      <c r="D763" s="13" t="s">
        <v>912</v>
      </c>
      <c r="E763" s="1">
        <v>1.02471</v>
      </c>
      <c r="F763" s="1">
        <v>3.5085000000000002</v>
      </c>
      <c r="G763" s="1">
        <v>0.97191250428488696</v>
      </c>
      <c r="H763" s="1">
        <v>3.4625274586285602</v>
      </c>
      <c r="I763">
        <f>VLOOKUP(C763,'[1]phenotypes-895'!$A$2:$G$896,7,FALSE)</f>
        <v>68</v>
      </c>
    </row>
    <row r="764" spans="1:9" x14ac:dyDescent="0.2">
      <c r="A764">
        <v>763</v>
      </c>
      <c r="B764">
        <v>49</v>
      </c>
      <c r="C764" t="s">
        <v>762</v>
      </c>
      <c r="D764" s="13" t="s">
        <v>912</v>
      </c>
      <c r="E764" s="1">
        <v>1.9723299999999999</v>
      </c>
      <c r="F764" s="1">
        <v>3.8045399999999998</v>
      </c>
      <c r="G764" s="1">
        <v>1.9483658048441099</v>
      </c>
      <c r="H764" s="1">
        <v>3.7889246400130898</v>
      </c>
      <c r="I764">
        <f>VLOOKUP(C764,'[1]phenotypes-895'!$A$2:$G$896,7,FALSE)</f>
        <v>71</v>
      </c>
    </row>
    <row r="765" spans="1:9" x14ac:dyDescent="0.2">
      <c r="A765">
        <v>764</v>
      </c>
      <c r="B765">
        <v>40</v>
      </c>
      <c r="C765" t="s">
        <v>763</v>
      </c>
      <c r="D765" s="13" t="s">
        <v>913</v>
      </c>
      <c r="E765" s="1">
        <v>-2.8733499999999998</v>
      </c>
      <c r="F765" s="1">
        <v>-3.3749899999999999</v>
      </c>
      <c r="G765" s="1">
        <v>-2.94170596147285</v>
      </c>
      <c r="H765" s="1">
        <v>-3.4445410161897798</v>
      </c>
      <c r="I765">
        <f>VLOOKUP(C765,'[1]phenotypes-895'!$A$2:$G$896,7,FALSE)</f>
        <v>64</v>
      </c>
    </row>
    <row r="766" spans="1:9" x14ac:dyDescent="0.2">
      <c r="A766">
        <v>765</v>
      </c>
      <c r="B766">
        <v>26</v>
      </c>
      <c r="C766" t="s">
        <v>764</v>
      </c>
      <c r="D766" s="13" t="s">
        <v>913</v>
      </c>
      <c r="E766" s="1">
        <v>4.1588700000000003</v>
      </c>
      <c r="F766" s="1">
        <v>3.5676999999999999</v>
      </c>
      <c r="G766" s="1">
        <v>4.1367334447853796</v>
      </c>
      <c r="H766" s="1">
        <v>3.5517481958058599</v>
      </c>
      <c r="I766">
        <f>VLOOKUP(C766,'[1]phenotypes-895'!$A$2:$G$896,7,FALSE)</f>
        <v>71</v>
      </c>
    </row>
    <row r="767" spans="1:9" x14ac:dyDescent="0.2">
      <c r="A767">
        <v>766</v>
      </c>
      <c r="B767">
        <v>42</v>
      </c>
      <c r="C767" t="s">
        <v>765</v>
      </c>
      <c r="D767" s="13" t="s">
        <v>912</v>
      </c>
      <c r="E767" s="1">
        <v>-0.14876700000000001</v>
      </c>
      <c r="F767" s="1">
        <v>2.9795699999999998</v>
      </c>
      <c r="G767" s="1">
        <v>-0.13903125245535899</v>
      </c>
      <c r="H767" s="1">
        <v>2.9954609101480401</v>
      </c>
      <c r="I767">
        <f>VLOOKUP(C767,'[1]phenotypes-895'!$A$2:$G$896,7,FALSE)</f>
        <v>98</v>
      </c>
    </row>
    <row r="768" spans="1:9" x14ac:dyDescent="0.2">
      <c r="A768">
        <v>767</v>
      </c>
      <c r="B768">
        <v>33</v>
      </c>
      <c r="C768" t="s">
        <v>766</v>
      </c>
      <c r="D768" s="13" t="s">
        <v>913</v>
      </c>
      <c r="E768" s="1">
        <v>-3.3872499999999999</v>
      </c>
      <c r="F768" s="1">
        <v>-3.6071300000000002</v>
      </c>
      <c r="G768" s="1">
        <v>-3.4065150114404901</v>
      </c>
      <c r="H768" s="1">
        <v>-3.6183524717213502</v>
      </c>
      <c r="I768">
        <f>VLOOKUP(C768,'[1]phenotypes-895'!$A$2:$G$896,7,FALSE)</f>
        <v>51</v>
      </c>
    </row>
    <row r="769" spans="1:9" x14ac:dyDescent="0.2">
      <c r="A769">
        <v>768</v>
      </c>
      <c r="B769">
        <v>50</v>
      </c>
      <c r="C769" t="s">
        <v>767</v>
      </c>
      <c r="D769" s="13" t="s">
        <v>912</v>
      </c>
      <c r="E769" s="1">
        <v>-1.7309399999999999</v>
      </c>
      <c r="F769" s="1">
        <v>-0.74101899999999998</v>
      </c>
      <c r="G769" s="1">
        <v>-1.7314321555049501</v>
      </c>
      <c r="H769" s="1">
        <v>-0.74155926305342501</v>
      </c>
      <c r="I769">
        <f>VLOOKUP(C769,'[1]phenotypes-895'!$A$2:$G$896,7,FALSE)</f>
        <v>59</v>
      </c>
    </row>
    <row r="770" spans="1:9" x14ac:dyDescent="0.2">
      <c r="A770">
        <v>769</v>
      </c>
      <c r="B770">
        <v>45</v>
      </c>
      <c r="C770" t="s">
        <v>768</v>
      </c>
      <c r="D770" s="13" t="s">
        <v>912</v>
      </c>
      <c r="E770" s="1">
        <v>1.6255299999999999</v>
      </c>
      <c r="F770" s="1">
        <v>3.8043900000000002</v>
      </c>
      <c r="G770" s="1">
        <v>1.55804953393447</v>
      </c>
      <c r="H770" s="1">
        <v>3.7306367146553199</v>
      </c>
      <c r="I770">
        <f>VLOOKUP(C770,'[1]phenotypes-895'!$A$2:$G$896,7,FALSE)</f>
        <v>47</v>
      </c>
    </row>
    <row r="771" spans="1:9" x14ac:dyDescent="0.2">
      <c r="A771">
        <v>770</v>
      </c>
      <c r="B771">
        <v>50</v>
      </c>
      <c r="C771" t="s">
        <v>769</v>
      </c>
      <c r="D771" s="13" t="s">
        <v>912</v>
      </c>
      <c r="E771" s="1">
        <v>0.117135</v>
      </c>
      <c r="F771" s="1">
        <v>1.7280199999999999</v>
      </c>
      <c r="G771" s="1">
        <v>4.9258807977246702E-2</v>
      </c>
      <c r="H771" s="1">
        <v>1.65506961471992</v>
      </c>
      <c r="I771">
        <f>VLOOKUP(C771,'[1]phenotypes-895'!$A$2:$G$896,7,FALSE)</f>
        <v>45</v>
      </c>
    </row>
    <row r="772" spans="1:9" x14ac:dyDescent="0.2">
      <c r="A772">
        <v>771</v>
      </c>
      <c r="B772">
        <v>21</v>
      </c>
      <c r="C772" t="s">
        <v>770</v>
      </c>
      <c r="D772" s="13" t="s">
        <v>913</v>
      </c>
      <c r="E772" s="1">
        <v>1.7248000000000001</v>
      </c>
      <c r="F772" s="1">
        <v>0.70842400000000005</v>
      </c>
      <c r="G772" s="1">
        <v>1.7054820304362099</v>
      </c>
      <c r="H772" s="1">
        <v>0.712858032803519</v>
      </c>
      <c r="I772">
        <f>VLOOKUP(C772,'[1]phenotypes-895'!$A$2:$G$896,7,FALSE)</f>
        <v>98</v>
      </c>
    </row>
    <row r="773" spans="1:9" x14ac:dyDescent="0.2">
      <c r="A773">
        <v>772</v>
      </c>
      <c r="B773">
        <v>29</v>
      </c>
      <c r="C773" t="s">
        <v>771</v>
      </c>
      <c r="D773" s="13" t="s">
        <v>913</v>
      </c>
      <c r="E773" s="1">
        <v>-3.5633699999999999</v>
      </c>
      <c r="F773" s="1">
        <v>-5.4008200000000004</v>
      </c>
      <c r="G773" s="1">
        <v>-3.6120556246322599</v>
      </c>
      <c r="H773" s="1">
        <v>-5.4471860536375596</v>
      </c>
      <c r="I773">
        <f>VLOOKUP(C773,'[1]phenotypes-895'!$A$2:$G$896,7,FALSE)</f>
        <v>60</v>
      </c>
    </row>
    <row r="774" spans="1:9" x14ac:dyDescent="0.2">
      <c r="A774">
        <v>773</v>
      </c>
      <c r="B774">
        <v>30</v>
      </c>
      <c r="C774" t="s">
        <v>772</v>
      </c>
      <c r="D774" s="13" t="s">
        <v>913</v>
      </c>
      <c r="E774" s="1">
        <v>-4.5561999999999996</v>
      </c>
      <c r="F774" s="1">
        <v>-6.7337300000000004</v>
      </c>
      <c r="G774" s="1">
        <v>-4.6108448605442396</v>
      </c>
      <c r="H774" s="1">
        <v>-6.7976793104608202</v>
      </c>
      <c r="I774">
        <f>VLOOKUP(C774,'[1]phenotypes-895'!$A$2:$G$896,7,FALSE)</f>
        <v>70</v>
      </c>
    </row>
    <row r="775" spans="1:9" x14ac:dyDescent="0.2">
      <c r="A775">
        <v>774</v>
      </c>
      <c r="B775">
        <v>26</v>
      </c>
      <c r="C775" t="s">
        <v>773</v>
      </c>
      <c r="D775" s="13" t="s">
        <v>913</v>
      </c>
      <c r="E775" s="1">
        <v>6.5275600000000003</v>
      </c>
      <c r="F775" s="1">
        <v>6.0783699999999996</v>
      </c>
      <c r="G775" s="1">
        <v>6.5640084206432396</v>
      </c>
      <c r="H775" s="1">
        <v>6.1212769634794197</v>
      </c>
      <c r="I775">
        <f>VLOOKUP(C775,'[1]phenotypes-895'!$A$2:$G$896,7,FALSE)</f>
        <v>98</v>
      </c>
    </row>
    <row r="776" spans="1:9" x14ac:dyDescent="0.2">
      <c r="A776">
        <v>775</v>
      </c>
      <c r="B776">
        <v>21</v>
      </c>
      <c r="C776" t="s">
        <v>774</v>
      </c>
      <c r="D776" s="13" t="s">
        <v>913</v>
      </c>
      <c r="E776" s="1">
        <v>3.9901599999999999</v>
      </c>
      <c r="F776" s="1">
        <v>3.1663100000000002</v>
      </c>
      <c r="G776" s="1">
        <v>3.9552463230602499</v>
      </c>
      <c r="H776" s="1">
        <v>3.1314742263592801</v>
      </c>
      <c r="I776">
        <f>VLOOKUP(C776,'[1]phenotypes-895'!$A$2:$G$896,7,FALSE)</f>
        <v>98</v>
      </c>
    </row>
    <row r="777" spans="1:9" x14ac:dyDescent="0.2">
      <c r="A777">
        <v>776</v>
      </c>
      <c r="B777">
        <v>23</v>
      </c>
      <c r="C777" t="s">
        <v>775</v>
      </c>
      <c r="D777" s="13" t="s">
        <v>913</v>
      </c>
      <c r="E777" s="1">
        <v>0.89632800000000001</v>
      </c>
      <c r="F777" s="1">
        <v>0.61068599999999995</v>
      </c>
      <c r="G777" s="1">
        <v>0.86189656970012796</v>
      </c>
      <c r="H777" s="1">
        <v>0.57574677934123797</v>
      </c>
      <c r="I777">
        <f>VLOOKUP(C777,'[1]phenotypes-895'!$A$2:$G$896,7,FALSE)</f>
        <v>77</v>
      </c>
    </row>
    <row r="778" spans="1:9" x14ac:dyDescent="0.2">
      <c r="A778">
        <v>777</v>
      </c>
      <c r="B778">
        <v>39</v>
      </c>
      <c r="C778" t="s">
        <v>776</v>
      </c>
      <c r="D778" s="13" t="s">
        <v>913</v>
      </c>
      <c r="E778" s="1">
        <v>4.4502899999999999</v>
      </c>
      <c r="F778" s="1">
        <v>4.2517500000000004</v>
      </c>
      <c r="G778" s="1">
        <v>4.4507370903114403</v>
      </c>
      <c r="H778" s="1">
        <v>4.2491681670174</v>
      </c>
      <c r="I778">
        <f>VLOOKUP(C778,'[1]phenotypes-895'!$A$2:$G$896,7,FALSE)</f>
        <v>98</v>
      </c>
    </row>
    <row r="779" spans="1:9" x14ac:dyDescent="0.2">
      <c r="A779">
        <v>778</v>
      </c>
      <c r="B779">
        <v>39</v>
      </c>
      <c r="C779" t="s">
        <v>777</v>
      </c>
      <c r="D779" s="13" t="s">
        <v>913</v>
      </c>
      <c r="E779" s="1">
        <v>4.85595</v>
      </c>
      <c r="F779" s="1">
        <v>4.5475500000000002</v>
      </c>
      <c r="G779" s="1">
        <v>4.8440981143233</v>
      </c>
      <c r="H779" s="1">
        <v>4.5322309388345197</v>
      </c>
      <c r="I779">
        <f>VLOOKUP(C779,'[1]phenotypes-895'!$A$2:$G$896,7,FALSE)</f>
        <v>81</v>
      </c>
    </row>
    <row r="780" spans="1:9" x14ac:dyDescent="0.2">
      <c r="A780">
        <v>779</v>
      </c>
      <c r="B780">
        <v>28</v>
      </c>
      <c r="C780" t="s">
        <v>778</v>
      </c>
      <c r="D780" s="13" t="s">
        <v>913</v>
      </c>
      <c r="E780" s="1">
        <v>-6.0996899999999998</v>
      </c>
      <c r="F780" s="1">
        <v>-8.5890799999999992</v>
      </c>
      <c r="G780" s="1">
        <v>-6.1736690373643599</v>
      </c>
      <c r="H780" s="1">
        <v>-8.6865011706803603</v>
      </c>
      <c r="I780">
        <f>VLOOKUP(C780,'[1]phenotypes-895'!$A$2:$G$896,7,FALSE)</f>
        <v>63</v>
      </c>
    </row>
    <row r="781" spans="1:9" x14ac:dyDescent="0.2">
      <c r="A781">
        <v>780</v>
      </c>
      <c r="B781">
        <v>35</v>
      </c>
      <c r="C781" t="s">
        <v>779</v>
      </c>
      <c r="D781" s="13" t="s">
        <v>913</v>
      </c>
      <c r="E781" s="1">
        <v>-0.22178999999999999</v>
      </c>
      <c r="F781" s="1">
        <v>-2.5359799999999999</v>
      </c>
      <c r="G781" s="1">
        <v>-0.26069079230344</v>
      </c>
      <c r="H781" s="1">
        <v>-2.5926047423745802</v>
      </c>
      <c r="I781">
        <f>VLOOKUP(C781,'[1]phenotypes-895'!$A$2:$G$896,7,FALSE)</f>
        <v>98</v>
      </c>
    </row>
    <row r="782" spans="1:9" x14ac:dyDescent="0.2">
      <c r="A782">
        <v>781</v>
      </c>
      <c r="B782">
        <v>44</v>
      </c>
      <c r="C782" t="s">
        <v>780</v>
      </c>
      <c r="D782" s="13" t="s">
        <v>912</v>
      </c>
      <c r="E782" s="1">
        <v>-3.6043599999999998</v>
      </c>
      <c r="F782" s="1">
        <v>-1.7334099999999999</v>
      </c>
      <c r="G782" s="1">
        <v>-3.6565570373301099</v>
      </c>
      <c r="H782" s="1">
        <v>-1.7771577656943101</v>
      </c>
      <c r="I782">
        <f>VLOOKUP(C782,'[1]phenotypes-895'!$A$2:$G$896,7,FALSE)</f>
        <v>44</v>
      </c>
    </row>
    <row r="783" spans="1:9" x14ac:dyDescent="0.2">
      <c r="A783">
        <v>782</v>
      </c>
      <c r="B783">
        <v>24</v>
      </c>
      <c r="C783" t="s">
        <v>781</v>
      </c>
      <c r="D783" s="13" t="s">
        <v>913</v>
      </c>
      <c r="E783" s="1">
        <v>2.3066300000000002</v>
      </c>
      <c r="F783" s="1">
        <v>1.1491</v>
      </c>
      <c r="G783" s="1">
        <v>2.2806103566889799</v>
      </c>
      <c r="H783" s="1">
        <v>1.11028074111247</v>
      </c>
      <c r="I783">
        <f>VLOOKUP(C783,'[1]phenotypes-895'!$A$2:$G$896,7,FALSE)</f>
        <v>72</v>
      </c>
    </row>
    <row r="784" spans="1:9" x14ac:dyDescent="0.2">
      <c r="A784">
        <v>783</v>
      </c>
      <c r="B784">
        <v>46</v>
      </c>
      <c r="C784" t="s">
        <v>782</v>
      </c>
      <c r="D784" s="13" t="s">
        <v>912</v>
      </c>
      <c r="E784" s="1">
        <v>-0.33967399999999998</v>
      </c>
      <c r="F784" s="1">
        <v>2.3584299999999998</v>
      </c>
      <c r="G784" s="1">
        <v>-0.370338723188056</v>
      </c>
      <c r="H784" s="1">
        <v>2.3444887075207399</v>
      </c>
      <c r="I784">
        <f>VLOOKUP(C784,'[1]phenotypes-895'!$A$2:$G$896,7,FALSE)</f>
        <v>59</v>
      </c>
    </row>
    <row r="785" spans="1:9" x14ac:dyDescent="0.2">
      <c r="A785">
        <v>784</v>
      </c>
      <c r="B785">
        <v>37</v>
      </c>
      <c r="C785" t="s">
        <v>783</v>
      </c>
      <c r="D785" s="13" t="s">
        <v>913</v>
      </c>
      <c r="E785" s="1">
        <v>0.79220199999999996</v>
      </c>
      <c r="F785" s="1">
        <v>0.55174299999999998</v>
      </c>
      <c r="G785" s="1">
        <v>0.77276368629454395</v>
      </c>
      <c r="H785" s="1">
        <v>0.519761976175387</v>
      </c>
      <c r="I785">
        <f>VLOOKUP(C785,'[1]phenotypes-895'!$A$2:$G$896,7,FALSE)</f>
        <v>98</v>
      </c>
    </row>
    <row r="786" spans="1:9" x14ac:dyDescent="0.2">
      <c r="A786">
        <v>785</v>
      </c>
      <c r="B786">
        <v>54</v>
      </c>
      <c r="C786" t="s">
        <v>784</v>
      </c>
      <c r="D786" s="13" t="s">
        <v>912</v>
      </c>
      <c r="E786" s="1">
        <v>-1.60643</v>
      </c>
      <c r="F786" s="1">
        <v>-0.36217899999999997</v>
      </c>
      <c r="G786" s="1">
        <v>-1.6388925089591899</v>
      </c>
      <c r="H786" s="1">
        <v>-0.39255670726071501</v>
      </c>
      <c r="I786">
        <f>VLOOKUP(C786,'[1]phenotypes-895'!$A$2:$G$896,7,FALSE)</f>
        <v>51</v>
      </c>
    </row>
    <row r="787" spans="1:9" x14ac:dyDescent="0.2">
      <c r="A787">
        <v>786</v>
      </c>
      <c r="B787">
        <v>31</v>
      </c>
      <c r="C787" t="s">
        <v>785</v>
      </c>
      <c r="D787" s="13" t="s">
        <v>913</v>
      </c>
      <c r="E787" s="1">
        <v>1.20313</v>
      </c>
      <c r="F787" s="1">
        <v>-0.43975500000000001</v>
      </c>
      <c r="G787" s="1">
        <v>1.17891525865696</v>
      </c>
      <c r="H787" s="1">
        <v>-0.46979562365272098</v>
      </c>
      <c r="I787">
        <f>VLOOKUP(C787,'[1]phenotypes-895'!$A$2:$G$896,7,FALSE)</f>
        <v>98</v>
      </c>
    </row>
    <row r="788" spans="1:9" x14ac:dyDescent="0.2">
      <c r="A788">
        <v>787</v>
      </c>
      <c r="B788">
        <v>42</v>
      </c>
      <c r="C788" t="s">
        <v>786</v>
      </c>
      <c r="D788" s="13" t="s">
        <v>912</v>
      </c>
      <c r="E788" s="1">
        <v>-2.0971700000000002</v>
      </c>
      <c r="F788" s="1">
        <v>-0.141515</v>
      </c>
      <c r="G788" s="1">
        <v>-2.0874223930872402</v>
      </c>
      <c r="H788" s="1">
        <v>-0.11810885847080201</v>
      </c>
      <c r="I788">
        <f>VLOOKUP(C788,'[1]phenotypes-895'!$A$2:$G$896,7,FALSE)</f>
        <v>82</v>
      </c>
    </row>
    <row r="789" spans="1:9" x14ac:dyDescent="0.2">
      <c r="A789">
        <v>788</v>
      </c>
      <c r="B789">
        <v>33</v>
      </c>
      <c r="C789" t="s">
        <v>787</v>
      </c>
      <c r="D789" s="13" t="s">
        <v>913</v>
      </c>
      <c r="E789" s="1">
        <v>-0.95559700000000003</v>
      </c>
      <c r="F789" s="1">
        <v>-0.20353599999999999</v>
      </c>
      <c r="G789" s="1">
        <v>-0.99150398035968701</v>
      </c>
      <c r="H789" s="1">
        <v>-0.23196694897793901</v>
      </c>
      <c r="I789">
        <f>VLOOKUP(C789,'[1]phenotypes-895'!$A$2:$G$896,7,FALSE)</f>
        <v>98</v>
      </c>
    </row>
    <row r="790" spans="1:9" x14ac:dyDescent="0.2">
      <c r="A790">
        <v>789</v>
      </c>
      <c r="B790">
        <v>37</v>
      </c>
      <c r="C790" t="s">
        <v>788</v>
      </c>
      <c r="D790" s="13" t="s">
        <v>913</v>
      </c>
      <c r="E790" s="1">
        <v>5.6040200000000002</v>
      </c>
      <c r="F790" s="1">
        <v>4.5289400000000004</v>
      </c>
      <c r="G790" s="1">
        <v>5.6166950179906303</v>
      </c>
      <c r="H790" s="1">
        <v>4.5528200345288896</v>
      </c>
      <c r="I790">
        <f>VLOOKUP(C790,'[1]phenotypes-895'!$A$2:$G$896,7,FALSE)</f>
        <v>98</v>
      </c>
    </row>
    <row r="791" spans="1:9" x14ac:dyDescent="0.2">
      <c r="A791">
        <v>790</v>
      </c>
      <c r="B791">
        <v>39</v>
      </c>
      <c r="C791" t="s">
        <v>789</v>
      </c>
      <c r="D791" s="13" t="s">
        <v>913</v>
      </c>
      <c r="E791" s="1">
        <v>6.7778700000000001</v>
      </c>
      <c r="F791" s="1">
        <v>4.5537299999999998</v>
      </c>
      <c r="G791" s="1">
        <v>6.7342409613653</v>
      </c>
      <c r="H791" s="1">
        <v>4.5053479107874601</v>
      </c>
      <c r="I791">
        <f>VLOOKUP(C791,'[1]phenotypes-895'!$A$2:$G$896,7,FALSE)</f>
        <v>98</v>
      </c>
    </row>
    <row r="792" spans="1:9" x14ac:dyDescent="0.2">
      <c r="A792">
        <v>791</v>
      </c>
      <c r="B792">
        <v>25</v>
      </c>
      <c r="C792" t="s">
        <v>790</v>
      </c>
      <c r="D792" s="13" t="s">
        <v>913</v>
      </c>
      <c r="E792" s="1">
        <v>4.2380599999999999</v>
      </c>
      <c r="F792" s="1">
        <v>4.04467</v>
      </c>
      <c r="G792" s="1">
        <v>4.2289158718849302</v>
      </c>
      <c r="H792" s="1">
        <v>4.0300089923045599</v>
      </c>
      <c r="I792">
        <f>VLOOKUP(C792,'[1]phenotypes-895'!$A$2:$G$896,7,FALSE)</f>
        <v>98</v>
      </c>
    </row>
    <row r="793" spans="1:9" x14ac:dyDescent="0.2">
      <c r="A793">
        <v>792</v>
      </c>
      <c r="B793">
        <v>34</v>
      </c>
      <c r="C793" t="s">
        <v>791</v>
      </c>
      <c r="D793" s="13" t="s">
        <v>913</v>
      </c>
      <c r="E793" s="1">
        <v>0.99760400000000005</v>
      </c>
      <c r="F793" s="1">
        <v>1.7624200000000001</v>
      </c>
      <c r="G793" s="1">
        <v>0.99005271977001097</v>
      </c>
      <c r="H793" s="1">
        <v>1.7477612805540299</v>
      </c>
      <c r="I793">
        <f>VLOOKUP(C793,'[1]phenotypes-895'!$A$2:$G$896,7,FALSE)</f>
        <v>98</v>
      </c>
    </row>
    <row r="794" spans="1:9" x14ac:dyDescent="0.2">
      <c r="A794">
        <v>793</v>
      </c>
      <c r="B794">
        <v>30</v>
      </c>
      <c r="C794" t="s">
        <v>792</v>
      </c>
      <c r="D794" s="13" t="s">
        <v>913</v>
      </c>
      <c r="E794" s="1">
        <v>2.4599899999999999</v>
      </c>
      <c r="F794" s="1">
        <v>3.1284200000000002</v>
      </c>
      <c r="G794" s="1">
        <v>2.4277873895234401</v>
      </c>
      <c r="H794" s="1">
        <v>3.0969537796040298</v>
      </c>
      <c r="I794">
        <f>VLOOKUP(C794,'[1]phenotypes-895'!$A$2:$G$896,7,FALSE)</f>
        <v>98</v>
      </c>
    </row>
    <row r="795" spans="1:9" x14ac:dyDescent="0.2">
      <c r="A795">
        <v>794</v>
      </c>
      <c r="B795">
        <v>35</v>
      </c>
      <c r="C795" t="s">
        <v>793</v>
      </c>
      <c r="D795" s="13" t="s">
        <v>913</v>
      </c>
      <c r="E795" s="1">
        <v>3.1269200000000001</v>
      </c>
      <c r="F795" s="1">
        <v>2.08711</v>
      </c>
      <c r="G795" s="1">
        <v>3.14795566057765</v>
      </c>
      <c r="H795" s="1">
        <v>2.1112299031080202</v>
      </c>
      <c r="I795">
        <f>VLOOKUP(C795,'[1]phenotypes-895'!$A$2:$G$896,7,FALSE)</f>
        <v>98</v>
      </c>
    </row>
    <row r="796" spans="1:9" x14ac:dyDescent="0.2">
      <c r="A796">
        <v>795</v>
      </c>
      <c r="B796">
        <v>28</v>
      </c>
      <c r="C796" t="s">
        <v>794</v>
      </c>
      <c r="D796" s="13" t="s">
        <v>913</v>
      </c>
      <c r="E796" s="1">
        <v>4.7113899999999997</v>
      </c>
      <c r="F796" s="1">
        <v>5.0161100000000003</v>
      </c>
      <c r="G796" s="1">
        <v>4.7144027353215101</v>
      </c>
      <c r="H796" s="1">
        <v>5.0122039476283602</v>
      </c>
      <c r="I796">
        <f>VLOOKUP(C796,'[1]phenotypes-895'!$A$2:$G$896,7,FALSE)</f>
        <v>98</v>
      </c>
    </row>
    <row r="797" spans="1:9" x14ac:dyDescent="0.2">
      <c r="A797">
        <v>796</v>
      </c>
      <c r="B797">
        <v>31</v>
      </c>
      <c r="C797" t="s">
        <v>795</v>
      </c>
      <c r="D797" s="13" t="s">
        <v>913</v>
      </c>
      <c r="E797" s="1">
        <v>1.0877699999999999</v>
      </c>
      <c r="F797" s="1">
        <v>0.82614699999999996</v>
      </c>
      <c r="G797" s="1">
        <v>1.1244739412060001</v>
      </c>
      <c r="H797" s="1">
        <v>0.87098188485841699</v>
      </c>
      <c r="I797">
        <f>VLOOKUP(C797,'[1]phenotypes-895'!$A$2:$G$896,7,FALSE)</f>
        <v>98</v>
      </c>
    </row>
    <row r="798" spans="1:9" x14ac:dyDescent="0.2">
      <c r="A798">
        <v>797</v>
      </c>
      <c r="B798">
        <v>21</v>
      </c>
      <c r="C798" t="s">
        <v>796</v>
      </c>
      <c r="D798" s="13" t="s">
        <v>913</v>
      </c>
      <c r="E798" s="1">
        <v>4.5364000000000004</v>
      </c>
      <c r="F798" s="1">
        <v>4.0305900000000001</v>
      </c>
      <c r="G798" s="1">
        <v>4.5491566693590002</v>
      </c>
      <c r="H798" s="1">
        <v>4.0362047543390602</v>
      </c>
      <c r="I798">
        <f>VLOOKUP(C798,'[1]phenotypes-895'!$A$2:$G$896,7,FALSE)</f>
        <v>98</v>
      </c>
    </row>
    <row r="799" spans="1:9" x14ac:dyDescent="0.2">
      <c r="A799">
        <v>798</v>
      </c>
      <c r="B799">
        <v>40</v>
      </c>
      <c r="C799" t="s">
        <v>797</v>
      </c>
      <c r="D799" s="13" t="s">
        <v>913</v>
      </c>
      <c r="E799" s="1">
        <v>-1.68729</v>
      </c>
      <c r="F799" s="1">
        <v>0.38546900000000001</v>
      </c>
      <c r="G799" s="1">
        <v>-1.69651307592503</v>
      </c>
      <c r="H799" s="1">
        <v>0.37203492770009</v>
      </c>
      <c r="I799">
        <f>VLOOKUP(C799,'[1]phenotypes-895'!$A$2:$G$896,7,FALSE)</f>
        <v>51</v>
      </c>
    </row>
    <row r="800" spans="1:9" x14ac:dyDescent="0.2">
      <c r="A800">
        <v>799</v>
      </c>
      <c r="B800">
        <v>32</v>
      </c>
      <c r="C800" t="s">
        <v>798</v>
      </c>
      <c r="D800" s="13" t="s">
        <v>913</v>
      </c>
      <c r="E800" s="1">
        <v>4.6498100000000004</v>
      </c>
      <c r="F800" s="1">
        <v>3.8895200000000001</v>
      </c>
      <c r="G800" s="1">
        <v>4.6716735345931903</v>
      </c>
      <c r="H800" s="1">
        <v>3.90493000640395</v>
      </c>
      <c r="I800">
        <f>VLOOKUP(C800,'[1]phenotypes-895'!$A$2:$G$896,7,FALSE)</f>
        <v>98</v>
      </c>
    </row>
    <row r="801" spans="1:9" x14ac:dyDescent="0.2">
      <c r="A801">
        <v>800</v>
      </c>
      <c r="B801">
        <v>39</v>
      </c>
      <c r="C801" t="s">
        <v>799</v>
      </c>
      <c r="D801" s="13" t="s">
        <v>913</v>
      </c>
      <c r="E801" s="1">
        <v>3.54122</v>
      </c>
      <c r="F801" s="1">
        <v>2.9738600000000002</v>
      </c>
      <c r="G801" s="1">
        <v>3.5259918364785601</v>
      </c>
      <c r="H801" s="1">
        <v>2.9543887127196098</v>
      </c>
      <c r="I801">
        <f>VLOOKUP(C801,'[1]phenotypes-895'!$A$2:$G$896,7,FALSE)</f>
        <v>98</v>
      </c>
    </row>
    <row r="802" spans="1:9" x14ac:dyDescent="0.2">
      <c r="A802">
        <v>801</v>
      </c>
      <c r="B802">
        <v>24</v>
      </c>
      <c r="C802" t="s">
        <v>800</v>
      </c>
      <c r="D802" s="13" t="s">
        <v>913</v>
      </c>
      <c r="E802" s="1">
        <v>-4.2868899999999996</v>
      </c>
      <c r="F802" s="1">
        <v>-6.6501700000000001</v>
      </c>
      <c r="G802" s="1">
        <v>-4.3283444874845296</v>
      </c>
      <c r="H802" s="1">
        <v>-6.7080067871265197</v>
      </c>
      <c r="I802">
        <f>VLOOKUP(C802,'[1]phenotypes-895'!$A$2:$G$896,7,FALSE)</f>
        <v>60</v>
      </c>
    </row>
    <row r="803" spans="1:9" x14ac:dyDescent="0.2">
      <c r="A803">
        <v>802</v>
      </c>
      <c r="B803">
        <v>34</v>
      </c>
      <c r="C803" t="s">
        <v>801</v>
      </c>
      <c r="D803" s="13" t="s">
        <v>913</v>
      </c>
      <c r="E803" s="1">
        <v>2.3582200000000002</v>
      </c>
      <c r="F803" s="1">
        <v>2.65584</v>
      </c>
      <c r="G803" s="1">
        <v>2.3295772388417899</v>
      </c>
      <c r="H803" s="1">
        <v>2.6301918873630399</v>
      </c>
      <c r="I803">
        <f>VLOOKUP(C803,'[1]phenotypes-895'!$A$2:$G$896,7,FALSE)</f>
        <v>98</v>
      </c>
    </row>
    <row r="804" spans="1:9" x14ac:dyDescent="0.2">
      <c r="A804">
        <v>803</v>
      </c>
      <c r="B804">
        <v>48</v>
      </c>
      <c r="C804" t="s">
        <v>802</v>
      </c>
      <c r="D804" s="13" t="s">
        <v>912</v>
      </c>
      <c r="E804" s="1">
        <v>1.81166</v>
      </c>
      <c r="F804" s="1">
        <v>3.7035200000000001</v>
      </c>
      <c r="G804" s="1">
        <v>1.8206916568754099</v>
      </c>
      <c r="H804" s="1">
        <v>3.7269135512755902</v>
      </c>
      <c r="I804">
        <f>VLOOKUP(C804,'[1]phenotypes-895'!$A$2:$G$896,7,FALSE)</f>
        <v>98</v>
      </c>
    </row>
    <row r="805" spans="1:9" x14ac:dyDescent="0.2">
      <c r="A805">
        <v>804</v>
      </c>
      <c r="B805">
        <v>53</v>
      </c>
      <c r="C805" t="s">
        <v>803</v>
      </c>
      <c r="D805" s="13" t="s">
        <v>912</v>
      </c>
      <c r="E805" s="1">
        <v>5.3147900000000003</v>
      </c>
      <c r="F805" s="1">
        <v>6.4957000000000003</v>
      </c>
      <c r="G805" s="1">
        <v>5.2974680847822198</v>
      </c>
      <c r="H805" s="1">
        <v>6.4797879104081701</v>
      </c>
      <c r="I805">
        <f>VLOOKUP(C805,'[1]phenotypes-895'!$A$2:$G$896,7,FALSE)</f>
        <v>98</v>
      </c>
    </row>
    <row r="806" spans="1:9" x14ac:dyDescent="0.2">
      <c r="A806">
        <v>805</v>
      </c>
      <c r="B806">
        <v>48</v>
      </c>
      <c r="C806" t="s">
        <v>804</v>
      </c>
      <c r="D806" s="13" t="s">
        <v>912</v>
      </c>
      <c r="E806" s="1">
        <v>1.2225200000000001</v>
      </c>
      <c r="F806" s="1">
        <v>3.1306699999999998</v>
      </c>
      <c r="G806" s="1">
        <v>1.2198591147069999</v>
      </c>
      <c r="H806" s="1">
        <v>3.1447947685225</v>
      </c>
      <c r="I806">
        <f>VLOOKUP(C806,'[1]phenotypes-895'!$A$2:$G$896,7,FALSE)</f>
        <v>98</v>
      </c>
    </row>
    <row r="807" spans="1:9" x14ac:dyDescent="0.2">
      <c r="A807">
        <v>806</v>
      </c>
      <c r="B807">
        <v>27</v>
      </c>
      <c r="C807" t="s">
        <v>805</v>
      </c>
      <c r="D807" s="13" t="s">
        <v>913</v>
      </c>
      <c r="E807" s="1">
        <v>4.89628</v>
      </c>
      <c r="F807" s="1">
        <v>2.49539</v>
      </c>
      <c r="G807" s="1">
        <v>4.8567013802882002</v>
      </c>
      <c r="H807" s="1">
        <v>2.4457335678431198</v>
      </c>
      <c r="I807">
        <f>VLOOKUP(C807,'[1]phenotypes-895'!$A$2:$G$896,7,FALSE)</f>
        <v>94</v>
      </c>
    </row>
    <row r="808" spans="1:9" x14ac:dyDescent="0.2">
      <c r="A808">
        <v>807</v>
      </c>
      <c r="B808">
        <v>54</v>
      </c>
      <c r="C808" t="s">
        <v>806</v>
      </c>
      <c r="D808" s="13" t="s">
        <v>912</v>
      </c>
      <c r="E808" s="1">
        <v>-1.11619</v>
      </c>
      <c r="F808" s="1">
        <v>4.5158000000000004E-3</v>
      </c>
      <c r="G808" s="1">
        <v>-1.1554963703042</v>
      </c>
      <c r="H808" s="1">
        <v>-2.60104283741068E-2</v>
      </c>
      <c r="I808">
        <f>VLOOKUP(C808,'[1]phenotypes-895'!$A$2:$G$896,7,FALSE)</f>
        <v>51</v>
      </c>
    </row>
    <row r="809" spans="1:9" x14ac:dyDescent="0.2">
      <c r="A809">
        <v>808</v>
      </c>
      <c r="B809">
        <v>49</v>
      </c>
      <c r="C809" t="s">
        <v>807</v>
      </c>
      <c r="D809" s="13" t="s">
        <v>912</v>
      </c>
      <c r="E809" s="1">
        <v>1.99665</v>
      </c>
      <c r="F809" s="1">
        <v>3.82029</v>
      </c>
      <c r="G809" s="1">
        <v>1.9656332927644</v>
      </c>
      <c r="H809" s="1">
        <v>3.7988908838844702</v>
      </c>
      <c r="I809">
        <f>VLOOKUP(C809,'[1]phenotypes-895'!$A$2:$G$896,7,FALSE)</f>
        <v>98</v>
      </c>
    </row>
    <row r="810" spans="1:9" x14ac:dyDescent="0.2">
      <c r="A810">
        <v>809</v>
      </c>
      <c r="B810">
        <v>24</v>
      </c>
      <c r="C810" t="s">
        <v>808</v>
      </c>
      <c r="D810" s="13" t="s">
        <v>913</v>
      </c>
      <c r="E810" s="1">
        <v>-2.2718099999999999</v>
      </c>
      <c r="F810" s="1">
        <v>-3.9503300000000001</v>
      </c>
      <c r="G810" s="1">
        <v>-2.3417526244030999</v>
      </c>
      <c r="H810" s="1">
        <v>-4.0268783050465604</v>
      </c>
      <c r="I810">
        <f>VLOOKUP(C810,'[1]phenotypes-895'!$A$2:$G$896,7,FALSE)</f>
        <v>52</v>
      </c>
    </row>
    <row r="811" spans="1:9" x14ac:dyDescent="0.2">
      <c r="A811">
        <v>810</v>
      </c>
      <c r="B811">
        <v>24</v>
      </c>
      <c r="C811" t="s">
        <v>809</v>
      </c>
      <c r="D811" s="13" t="s">
        <v>913</v>
      </c>
      <c r="E811" s="1">
        <v>-1.9101999999999999</v>
      </c>
      <c r="F811" s="1">
        <v>-3.0390999999999999</v>
      </c>
      <c r="G811" s="1">
        <v>-1.94932063741426</v>
      </c>
      <c r="H811" s="1">
        <v>-3.0875857129276301</v>
      </c>
      <c r="I811">
        <f>VLOOKUP(C811,'[1]phenotypes-895'!$A$2:$G$896,7,FALSE)</f>
        <v>98</v>
      </c>
    </row>
    <row r="812" spans="1:9" x14ac:dyDescent="0.2">
      <c r="A812">
        <v>811</v>
      </c>
      <c r="B812">
        <v>41</v>
      </c>
      <c r="C812" t="s">
        <v>810</v>
      </c>
      <c r="D812" s="13" t="s">
        <v>912</v>
      </c>
      <c r="E812" s="1">
        <v>-5.4845499999999996</v>
      </c>
      <c r="F812" s="1">
        <v>-3.4404499999999998</v>
      </c>
      <c r="G812" s="1">
        <v>-5.5476692396607303</v>
      </c>
      <c r="H812" s="1">
        <v>-3.49904667909879</v>
      </c>
      <c r="I812">
        <f>VLOOKUP(C812,'[1]phenotypes-895'!$A$2:$G$896,7,FALSE)</f>
        <v>58</v>
      </c>
    </row>
    <row r="813" spans="1:9" x14ac:dyDescent="0.2">
      <c r="A813">
        <v>812</v>
      </c>
      <c r="B813">
        <v>29</v>
      </c>
      <c r="C813" t="s">
        <v>811</v>
      </c>
      <c r="D813" s="13" t="s">
        <v>913</v>
      </c>
      <c r="E813" s="1">
        <v>-1.14093</v>
      </c>
      <c r="F813" s="1">
        <v>-3.19808</v>
      </c>
      <c r="G813" s="1">
        <v>-1.22736669602752</v>
      </c>
      <c r="H813" s="1">
        <v>-3.2938172168016102</v>
      </c>
      <c r="I813">
        <f>VLOOKUP(C813,'[1]phenotypes-895'!$A$2:$G$896,7,FALSE)</f>
        <v>65</v>
      </c>
    </row>
    <row r="814" spans="1:9" x14ac:dyDescent="0.2">
      <c r="A814">
        <v>813</v>
      </c>
      <c r="B814">
        <v>23</v>
      </c>
      <c r="C814" t="s">
        <v>812</v>
      </c>
      <c r="D814" s="13" t="s">
        <v>913</v>
      </c>
      <c r="E814" s="1">
        <v>3.9564900000000001</v>
      </c>
      <c r="F814" s="1">
        <v>3.9544299999999999</v>
      </c>
      <c r="G814" s="1">
        <v>3.9189538498796299</v>
      </c>
      <c r="H814" s="1">
        <v>3.9073680675667499</v>
      </c>
      <c r="I814">
        <f>VLOOKUP(C814,'[1]phenotypes-895'!$A$2:$G$896,7,FALSE)</f>
        <v>89</v>
      </c>
    </row>
    <row r="815" spans="1:9" x14ac:dyDescent="0.2">
      <c r="A815">
        <v>814</v>
      </c>
      <c r="B815">
        <v>50</v>
      </c>
      <c r="C815" t="s">
        <v>813</v>
      </c>
      <c r="D815" s="13" t="s">
        <v>912</v>
      </c>
      <c r="E815" s="1">
        <v>1.51193</v>
      </c>
      <c r="F815" s="1">
        <v>4.1239999999999997</v>
      </c>
      <c r="G815" s="1">
        <v>1.5355540555075999</v>
      </c>
      <c r="H815" s="1">
        <v>4.1554979244961601</v>
      </c>
      <c r="I815">
        <f>VLOOKUP(C815,'[1]phenotypes-895'!$A$2:$G$896,7,FALSE)</f>
        <v>79</v>
      </c>
    </row>
    <row r="816" spans="1:9" x14ac:dyDescent="0.2">
      <c r="A816">
        <v>815</v>
      </c>
      <c r="B816">
        <v>33</v>
      </c>
      <c r="C816" t="s">
        <v>814</v>
      </c>
      <c r="D816" s="13" t="s">
        <v>913</v>
      </c>
      <c r="E816" s="1">
        <v>-3.9495800000000001</v>
      </c>
      <c r="F816" s="1">
        <v>-4.2512800000000004</v>
      </c>
      <c r="G816" s="1">
        <v>-4.0193599856567799</v>
      </c>
      <c r="H816" s="1">
        <v>-4.3330896930102298</v>
      </c>
      <c r="I816">
        <f>VLOOKUP(C816,'[1]phenotypes-895'!$A$2:$G$896,7,FALSE)</f>
        <v>44</v>
      </c>
    </row>
    <row r="817" spans="1:9" x14ac:dyDescent="0.2">
      <c r="A817">
        <v>816</v>
      </c>
      <c r="B817">
        <v>33</v>
      </c>
      <c r="C817" t="s">
        <v>815</v>
      </c>
      <c r="D817" s="13" t="s">
        <v>913</v>
      </c>
      <c r="E817" s="1">
        <v>2.5345800000000001</v>
      </c>
      <c r="F817" s="1">
        <v>3.17753</v>
      </c>
      <c r="G817" s="1">
        <v>2.4924280966495398</v>
      </c>
      <c r="H817" s="1">
        <v>3.14430708665699</v>
      </c>
      <c r="I817">
        <f>VLOOKUP(C817,'[1]phenotypes-895'!$A$2:$G$896,7,FALSE)</f>
        <v>73</v>
      </c>
    </row>
    <row r="818" spans="1:9" x14ac:dyDescent="0.2">
      <c r="A818">
        <v>817</v>
      </c>
      <c r="B818">
        <v>40</v>
      </c>
      <c r="C818" t="s">
        <v>816</v>
      </c>
      <c r="D818" s="13" t="s">
        <v>913</v>
      </c>
      <c r="E818" s="1">
        <v>-0.232654</v>
      </c>
      <c r="F818" s="1">
        <v>-1.0369699999999999</v>
      </c>
      <c r="G818" s="1">
        <v>-0.26863884652529701</v>
      </c>
      <c r="H818" s="1">
        <v>-1.07619743463452</v>
      </c>
      <c r="I818">
        <f>VLOOKUP(C818,'[1]phenotypes-895'!$A$2:$G$896,7,FALSE)</f>
        <v>71</v>
      </c>
    </row>
    <row r="819" spans="1:9" x14ac:dyDescent="0.2">
      <c r="A819">
        <v>818</v>
      </c>
      <c r="B819">
        <v>48</v>
      </c>
      <c r="C819" t="s">
        <v>817</v>
      </c>
      <c r="D819" s="13" t="s">
        <v>912</v>
      </c>
      <c r="E819" s="1">
        <v>1.30196</v>
      </c>
      <c r="F819" s="1">
        <v>3.03464</v>
      </c>
      <c r="G819" s="1">
        <v>1.27670976712224</v>
      </c>
      <c r="H819" s="1">
        <v>3.0130186691182201</v>
      </c>
      <c r="I819">
        <f>VLOOKUP(C819,'[1]phenotypes-895'!$A$2:$G$896,7,FALSE)</f>
        <v>63</v>
      </c>
    </row>
    <row r="820" spans="1:9" x14ac:dyDescent="0.2">
      <c r="A820">
        <v>819</v>
      </c>
      <c r="B820">
        <v>42</v>
      </c>
      <c r="C820" t="s">
        <v>818</v>
      </c>
      <c r="D820" s="13" t="s">
        <v>912</v>
      </c>
      <c r="E820" s="1">
        <v>-0.66193299999999999</v>
      </c>
      <c r="F820" s="1">
        <v>1.46679</v>
      </c>
      <c r="G820" s="1">
        <v>-0.64407193844196398</v>
      </c>
      <c r="H820" s="1">
        <v>1.48844544047342</v>
      </c>
      <c r="I820">
        <f>VLOOKUP(C820,'[1]phenotypes-895'!$A$2:$G$896,7,FALSE)</f>
        <v>76</v>
      </c>
    </row>
    <row r="821" spans="1:9" x14ac:dyDescent="0.2">
      <c r="A821">
        <v>820</v>
      </c>
      <c r="B821">
        <v>49</v>
      </c>
      <c r="C821" t="s">
        <v>819</v>
      </c>
      <c r="D821" s="13" t="s">
        <v>912</v>
      </c>
      <c r="E821" s="1">
        <v>1.1989799999999999</v>
      </c>
      <c r="F821" s="1">
        <v>2.76423</v>
      </c>
      <c r="G821" s="1">
        <v>1.2014078133327499</v>
      </c>
      <c r="H821" s="1">
        <v>2.7803209684116701</v>
      </c>
      <c r="I821">
        <f>VLOOKUP(C821,'[1]phenotypes-895'!$A$2:$G$896,7,FALSE)</f>
        <v>65</v>
      </c>
    </row>
    <row r="822" spans="1:9" x14ac:dyDescent="0.2">
      <c r="A822">
        <v>821</v>
      </c>
      <c r="B822">
        <v>46</v>
      </c>
      <c r="C822" t="s">
        <v>820</v>
      </c>
      <c r="D822" s="13" t="s">
        <v>912</v>
      </c>
      <c r="E822" s="1">
        <v>-0.75326499999999996</v>
      </c>
      <c r="F822" s="1">
        <v>1.7712699999999999</v>
      </c>
      <c r="G822" s="1">
        <v>-0.75958088431189197</v>
      </c>
      <c r="H822" s="1">
        <v>1.7922319421661099</v>
      </c>
      <c r="I822">
        <f>VLOOKUP(C822,'[1]phenotypes-895'!$A$2:$G$896,7,FALSE)</f>
        <v>62</v>
      </c>
    </row>
    <row r="823" spans="1:9" x14ac:dyDescent="0.2">
      <c r="A823">
        <v>822</v>
      </c>
      <c r="B823">
        <v>50</v>
      </c>
      <c r="C823" t="s">
        <v>821</v>
      </c>
      <c r="D823" s="13" t="s">
        <v>912</v>
      </c>
      <c r="E823" s="1">
        <v>-1.01308</v>
      </c>
      <c r="F823" s="1">
        <v>0.635409</v>
      </c>
      <c r="G823" s="1">
        <v>-1.01810474177253</v>
      </c>
      <c r="H823" s="1">
        <v>0.63531466579318197</v>
      </c>
      <c r="I823">
        <f>VLOOKUP(C823,'[1]phenotypes-895'!$A$2:$G$896,7,FALSE)</f>
        <v>81</v>
      </c>
    </row>
    <row r="824" spans="1:9" x14ac:dyDescent="0.2">
      <c r="A824">
        <v>823</v>
      </c>
      <c r="B824">
        <v>29</v>
      </c>
      <c r="C824" t="s">
        <v>822</v>
      </c>
      <c r="D824" s="13" t="s">
        <v>913</v>
      </c>
      <c r="E824" s="1">
        <v>-1.4944</v>
      </c>
      <c r="F824" s="1">
        <v>-3.8058800000000002</v>
      </c>
      <c r="G824" s="1">
        <v>-1.5529346552160701</v>
      </c>
      <c r="H824" s="1">
        <v>-3.8698625994893199</v>
      </c>
      <c r="I824">
        <f>VLOOKUP(C824,'[1]phenotypes-895'!$A$2:$G$896,7,FALSE)</f>
        <v>64</v>
      </c>
    </row>
    <row r="825" spans="1:9" x14ac:dyDescent="0.2">
      <c r="A825">
        <v>824</v>
      </c>
      <c r="B825">
        <v>49</v>
      </c>
      <c r="C825" t="s">
        <v>823</v>
      </c>
      <c r="D825" s="13" t="s">
        <v>912</v>
      </c>
      <c r="E825" s="1">
        <v>0.86965000000000003</v>
      </c>
      <c r="F825" s="1">
        <v>2.6747800000000002</v>
      </c>
      <c r="G825" s="1">
        <v>0.79036351803914195</v>
      </c>
      <c r="H825" s="1">
        <v>2.59774818472737</v>
      </c>
      <c r="I825">
        <f>VLOOKUP(C825,'[1]phenotypes-895'!$A$2:$G$896,7,FALSE)</f>
        <v>67</v>
      </c>
    </row>
    <row r="826" spans="1:9" x14ac:dyDescent="0.2">
      <c r="A826">
        <v>825</v>
      </c>
      <c r="B826">
        <v>35</v>
      </c>
      <c r="C826" t="s">
        <v>824</v>
      </c>
      <c r="D826" s="13" t="s">
        <v>913</v>
      </c>
      <c r="E826" s="1">
        <v>0.69800399999999996</v>
      </c>
      <c r="F826" s="1">
        <v>0.82406299999999999</v>
      </c>
      <c r="G826" s="1">
        <v>0.65146277591115498</v>
      </c>
      <c r="H826" s="1">
        <v>0.76983496546413799</v>
      </c>
      <c r="I826">
        <f>VLOOKUP(C826,'[1]phenotypes-895'!$A$2:$G$896,7,FALSE)</f>
        <v>63</v>
      </c>
    </row>
    <row r="827" spans="1:9" x14ac:dyDescent="0.2">
      <c r="A827">
        <v>826</v>
      </c>
      <c r="B827">
        <v>49</v>
      </c>
      <c r="C827" t="s">
        <v>825</v>
      </c>
      <c r="D827" s="13" t="s">
        <v>912</v>
      </c>
      <c r="E827" s="1">
        <v>4.1237899999999996</v>
      </c>
      <c r="F827" s="1">
        <v>5.8746799999999997</v>
      </c>
      <c r="G827" s="1">
        <v>4.0905006010057701</v>
      </c>
      <c r="H827" s="1">
        <v>5.8606530529788703</v>
      </c>
      <c r="I827">
        <f>VLOOKUP(C827,'[1]phenotypes-895'!$A$2:$G$896,7,FALSE)</f>
        <v>98</v>
      </c>
    </row>
    <row r="828" spans="1:9" x14ac:dyDescent="0.2">
      <c r="A828">
        <v>827</v>
      </c>
      <c r="B828">
        <v>28</v>
      </c>
      <c r="C828" t="s">
        <v>826</v>
      </c>
      <c r="D828" s="13" t="s">
        <v>913</v>
      </c>
      <c r="E828" s="1">
        <v>2.4945900000000001</v>
      </c>
      <c r="F828" s="1">
        <v>2.32362</v>
      </c>
      <c r="G828" s="1">
        <v>2.4964958855601398</v>
      </c>
      <c r="H828" s="1">
        <v>2.3270272064359698</v>
      </c>
      <c r="I828">
        <f>VLOOKUP(C828,'[1]phenotypes-895'!$A$2:$G$896,7,FALSE)</f>
        <v>98</v>
      </c>
    </row>
    <row r="829" spans="1:9" x14ac:dyDescent="0.2">
      <c r="A829">
        <v>828</v>
      </c>
      <c r="B829">
        <v>42</v>
      </c>
      <c r="C829" t="s">
        <v>827</v>
      </c>
      <c r="D829" s="13" t="s">
        <v>912</v>
      </c>
      <c r="E829" s="1">
        <v>0.50805299999999998</v>
      </c>
      <c r="F829" s="1">
        <v>3.2917800000000002</v>
      </c>
      <c r="G829" s="1">
        <v>0.498715461310554</v>
      </c>
      <c r="H829" s="1">
        <v>3.2885040370496901</v>
      </c>
      <c r="I829">
        <f>VLOOKUP(C829,'[1]phenotypes-895'!$A$2:$G$896,7,FALSE)</f>
        <v>98</v>
      </c>
    </row>
    <row r="830" spans="1:9" x14ac:dyDescent="0.2">
      <c r="A830">
        <v>829</v>
      </c>
      <c r="B830">
        <v>31</v>
      </c>
      <c r="C830" t="s">
        <v>828</v>
      </c>
      <c r="D830" s="13" t="s">
        <v>913</v>
      </c>
      <c r="E830" s="1">
        <v>-0.51635699999999995</v>
      </c>
      <c r="F830" s="1">
        <v>-0.80820099999999995</v>
      </c>
      <c r="G830" s="1">
        <v>-0.49135681974914103</v>
      </c>
      <c r="H830" s="1">
        <v>-0.77754031476880103</v>
      </c>
      <c r="I830">
        <f>VLOOKUP(C830,'[1]phenotypes-895'!$A$2:$G$896,7,FALSE)</f>
        <v>98</v>
      </c>
    </row>
    <row r="831" spans="1:9" x14ac:dyDescent="0.2">
      <c r="A831">
        <v>830</v>
      </c>
      <c r="B831">
        <v>35</v>
      </c>
      <c r="C831" t="s">
        <v>829</v>
      </c>
      <c r="D831" s="13" t="s">
        <v>913</v>
      </c>
      <c r="E831" s="1">
        <v>2.9226100000000002</v>
      </c>
      <c r="F831" s="1">
        <v>3.0986500000000001</v>
      </c>
      <c r="G831" s="1">
        <v>2.8873192815113802</v>
      </c>
      <c r="H831" s="1">
        <v>3.0575220127240201</v>
      </c>
      <c r="I831">
        <f>VLOOKUP(C831,'[1]phenotypes-895'!$A$2:$G$896,7,FALSE)</f>
        <v>35</v>
      </c>
    </row>
    <row r="832" spans="1:9" x14ac:dyDescent="0.2">
      <c r="A832">
        <v>831</v>
      </c>
      <c r="B832">
        <v>40</v>
      </c>
      <c r="C832" t="s">
        <v>830</v>
      </c>
      <c r="D832" s="13" t="s">
        <v>913</v>
      </c>
      <c r="E832" s="1">
        <v>-0.30305700000000002</v>
      </c>
      <c r="F832" s="1">
        <v>1.4112</v>
      </c>
      <c r="G832" s="1">
        <v>-0.28603049521908602</v>
      </c>
      <c r="H832" s="1">
        <v>1.43123602509583</v>
      </c>
      <c r="I832">
        <f>VLOOKUP(C832,'[1]phenotypes-895'!$A$2:$G$896,7,FALSE)</f>
        <v>98</v>
      </c>
    </row>
    <row r="833" spans="1:9" x14ac:dyDescent="0.2">
      <c r="A833">
        <v>832</v>
      </c>
      <c r="B833">
        <v>53</v>
      </c>
      <c r="C833" t="s">
        <v>831</v>
      </c>
      <c r="D833" s="13" t="s">
        <v>912</v>
      </c>
      <c r="E833" s="1">
        <v>2.9218199999999999</v>
      </c>
      <c r="F833" s="1">
        <v>5.00943</v>
      </c>
      <c r="G833" s="1">
        <v>2.9150750805425298</v>
      </c>
      <c r="H833" s="1">
        <v>5.0075175717962797</v>
      </c>
      <c r="I833">
        <f>VLOOKUP(C833,'[1]phenotypes-895'!$A$2:$G$896,7,FALSE)</f>
        <v>82</v>
      </c>
    </row>
    <row r="834" spans="1:9" x14ac:dyDescent="0.2">
      <c r="A834">
        <v>833</v>
      </c>
      <c r="B834">
        <v>25</v>
      </c>
      <c r="C834" t="s">
        <v>832</v>
      </c>
      <c r="D834" s="13" t="s">
        <v>913</v>
      </c>
      <c r="E834" s="1">
        <v>1.84917</v>
      </c>
      <c r="F834" s="1">
        <v>0.61322500000000002</v>
      </c>
      <c r="G834" s="1">
        <v>1.8759022749377099</v>
      </c>
      <c r="H834" s="1">
        <v>0.63737329064150905</v>
      </c>
      <c r="I834">
        <f>VLOOKUP(C834,'[1]phenotypes-895'!$A$2:$G$896,7,FALSE)</f>
        <v>98</v>
      </c>
    </row>
    <row r="835" spans="1:9" x14ac:dyDescent="0.2">
      <c r="A835">
        <v>834</v>
      </c>
      <c r="B835">
        <v>42</v>
      </c>
      <c r="C835" t="s">
        <v>833</v>
      </c>
      <c r="D835" s="13" t="s">
        <v>912</v>
      </c>
      <c r="E835" s="1">
        <v>-3.88043</v>
      </c>
      <c r="F835" s="1">
        <v>-1.24776</v>
      </c>
      <c r="G835" s="1">
        <v>-3.8936339266878801</v>
      </c>
      <c r="H835" s="1">
        <v>-1.25444885642811</v>
      </c>
      <c r="I835">
        <f>VLOOKUP(C835,'[1]phenotypes-895'!$A$2:$G$896,7,FALSE)</f>
        <v>63</v>
      </c>
    </row>
    <row r="836" spans="1:9" x14ac:dyDescent="0.2">
      <c r="A836">
        <v>835</v>
      </c>
      <c r="B836">
        <v>27</v>
      </c>
      <c r="C836" t="s">
        <v>834</v>
      </c>
      <c r="D836" s="13" t="s">
        <v>913</v>
      </c>
      <c r="E836" s="1">
        <v>-9.8137299999999996</v>
      </c>
      <c r="F836" s="1">
        <v>-13.2584</v>
      </c>
      <c r="G836" s="1">
        <v>-9.9343812583524596</v>
      </c>
      <c r="H836" s="1">
        <v>-13.4071161422061</v>
      </c>
      <c r="I836">
        <f>VLOOKUP(C836,'[1]phenotypes-895'!$A$2:$G$896,7,FALSE)</f>
        <v>58</v>
      </c>
    </row>
    <row r="837" spans="1:9" x14ac:dyDescent="0.2">
      <c r="A837">
        <v>836</v>
      </c>
      <c r="B837">
        <v>29</v>
      </c>
      <c r="C837" t="s">
        <v>835</v>
      </c>
      <c r="D837" s="13" t="s">
        <v>913</v>
      </c>
      <c r="E837" s="1">
        <v>0.827067</v>
      </c>
      <c r="F837" s="1">
        <v>-0.48003699999999999</v>
      </c>
      <c r="G837" s="1">
        <v>0.83912092198328603</v>
      </c>
      <c r="H837" s="1">
        <v>-0.47424205317662399</v>
      </c>
      <c r="I837">
        <f>VLOOKUP(C837,'[1]phenotypes-895'!$A$2:$G$896,7,FALSE)</f>
        <v>98</v>
      </c>
    </row>
    <row r="838" spans="1:9" x14ac:dyDescent="0.2">
      <c r="A838">
        <v>837</v>
      </c>
      <c r="B838">
        <v>28</v>
      </c>
      <c r="C838" t="s">
        <v>836</v>
      </c>
      <c r="D838" s="13" t="s">
        <v>913</v>
      </c>
      <c r="E838" s="1">
        <v>0.67523999999999995</v>
      </c>
      <c r="F838" s="1">
        <v>1.2621100000000001</v>
      </c>
      <c r="G838" s="1">
        <v>0.56388042672374405</v>
      </c>
      <c r="H838" s="1">
        <v>1.0909658610669299</v>
      </c>
      <c r="I838">
        <f>VLOOKUP(C838,'[1]phenotypes-895'!$A$2:$G$896,7,FALSE)</f>
        <v>65</v>
      </c>
    </row>
    <row r="839" spans="1:9" x14ac:dyDescent="0.2">
      <c r="A839">
        <v>838</v>
      </c>
      <c r="B839">
        <v>33</v>
      </c>
      <c r="C839" t="s">
        <v>837</v>
      </c>
      <c r="D839" s="13" t="s">
        <v>913</v>
      </c>
      <c r="E839" s="1">
        <v>-0.63301200000000002</v>
      </c>
      <c r="F839" s="1">
        <v>1.2560899999999999</v>
      </c>
      <c r="G839" s="1">
        <v>-0.63075246720756295</v>
      </c>
      <c r="H839" s="1">
        <v>1.25594300322648</v>
      </c>
      <c r="I839">
        <f>VLOOKUP(C839,'[1]phenotypes-895'!$A$2:$G$896,7,FALSE)</f>
        <v>95</v>
      </c>
    </row>
    <row r="840" spans="1:9" x14ac:dyDescent="0.2">
      <c r="A840">
        <v>839</v>
      </c>
      <c r="B840">
        <v>37</v>
      </c>
      <c r="C840" t="s">
        <v>838</v>
      </c>
      <c r="D840" s="13" t="s">
        <v>913</v>
      </c>
      <c r="E840" s="1">
        <v>4.1339499999999996</v>
      </c>
      <c r="F840" s="1">
        <v>4.3318599999999998</v>
      </c>
      <c r="G840" s="1">
        <v>4.1498698358368999</v>
      </c>
      <c r="H840" s="1">
        <v>4.3579975165664999</v>
      </c>
      <c r="I840">
        <f>VLOOKUP(C840,'[1]phenotypes-895'!$A$2:$G$896,7,FALSE)</f>
        <v>98</v>
      </c>
    </row>
    <row r="841" spans="1:9" x14ac:dyDescent="0.2">
      <c r="A841">
        <v>840</v>
      </c>
      <c r="B841">
        <v>39</v>
      </c>
      <c r="C841" t="s">
        <v>839</v>
      </c>
      <c r="D841" s="13" t="s">
        <v>913</v>
      </c>
      <c r="E841" s="1">
        <v>-2.2471299999999998</v>
      </c>
      <c r="F841" s="1">
        <v>-2.2966000000000002</v>
      </c>
      <c r="G841" s="1">
        <v>-2.23877447224943</v>
      </c>
      <c r="H841" s="1">
        <v>-2.2929491223534</v>
      </c>
      <c r="I841">
        <f>VLOOKUP(C841,'[1]phenotypes-895'!$A$2:$G$896,7,FALSE)</f>
        <v>98</v>
      </c>
    </row>
    <row r="842" spans="1:9" x14ac:dyDescent="0.2">
      <c r="A842">
        <v>841</v>
      </c>
      <c r="B842">
        <v>34</v>
      </c>
      <c r="C842" t="s">
        <v>840</v>
      </c>
      <c r="D842" s="13" t="s">
        <v>913</v>
      </c>
      <c r="E842" s="1">
        <v>0.44478499999999999</v>
      </c>
      <c r="F842" s="1">
        <v>2.6332399999999998</v>
      </c>
      <c r="G842" s="1">
        <v>0.42353931589351801</v>
      </c>
      <c r="H842" s="1">
        <v>2.6013797778282299</v>
      </c>
      <c r="I842">
        <f>VLOOKUP(C842,'[1]phenotypes-895'!$A$2:$G$896,7,FALSE)</f>
        <v>98</v>
      </c>
    </row>
    <row r="843" spans="1:9" x14ac:dyDescent="0.2">
      <c r="A843">
        <v>842</v>
      </c>
      <c r="B843">
        <v>37</v>
      </c>
      <c r="C843" t="s">
        <v>841</v>
      </c>
      <c r="D843" s="13" t="s">
        <v>913</v>
      </c>
      <c r="E843" s="1">
        <v>6.3965500000000004</v>
      </c>
      <c r="F843" s="1">
        <v>5.95655</v>
      </c>
      <c r="G843" s="1">
        <v>6.39161436906749</v>
      </c>
      <c r="H843" s="1">
        <v>5.9491441355691501</v>
      </c>
      <c r="I843">
        <f>VLOOKUP(C843,'[1]phenotypes-895'!$A$2:$G$896,7,FALSE)</f>
        <v>98</v>
      </c>
    </row>
    <row r="844" spans="1:9" x14ac:dyDescent="0.2">
      <c r="A844">
        <v>843</v>
      </c>
      <c r="B844">
        <v>35</v>
      </c>
      <c r="C844" t="s">
        <v>842</v>
      </c>
      <c r="D844" s="13" t="s">
        <v>913</v>
      </c>
      <c r="E844" s="1">
        <v>1.7452700000000001</v>
      </c>
      <c r="F844" s="1">
        <v>2.8580399999999999E-2</v>
      </c>
      <c r="G844" s="1">
        <v>1.68809580160839</v>
      </c>
      <c r="H844" s="1">
        <v>-3.68872523171924E-2</v>
      </c>
      <c r="I844">
        <f>VLOOKUP(C844,'[1]phenotypes-895'!$A$2:$G$896,7,FALSE)</f>
        <v>98</v>
      </c>
    </row>
    <row r="845" spans="1:9" x14ac:dyDescent="0.2">
      <c r="A845">
        <v>844</v>
      </c>
      <c r="B845">
        <v>27</v>
      </c>
      <c r="C845" t="s">
        <v>843</v>
      </c>
      <c r="D845" s="13" t="s">
        <v>913</v>
      </c>
      <c r="E845" s="1">
        <v>1.14845</v>
      </c>
      <c r="F845" s="1">
        <v>0.23840500000000001</v>
      </c>
      <c r="G845" s="1">
        <v>1.12153696279121</v>
      </c>
      <c r="H845" s="1">
        <v>0.20138932489098099</v>
      </c>
      <c r="I845">
        <f>VLOOKUP(C845,'[1]phenotypes-895'!$A$2:$G$896,7,FALSE)</f>
        <v>84</v>
      </c>
    </row>
    <row r="846" spans="1:9" x14ac:dyDescent="0.2">
      <c r="A846">
        <v>845</v>
      </c>
      <c r="B846">
        <v>29</v>
      </c>
      <c r="C846" t="s">
        <v>844</v>
      </c>
      <c r="D846" s="13" t="s">
        <v>913</v>
      </c>
      <c r="E846" s="1">
        <v>0.93960900000000003</v>
      </c>
      <c r="F846" s="1">
        <v>-0.62313200000000002</v>
      </c>
      <c r="G846" s="1">
        <v>0.90579945907363102</v>
      </c>
      <c r="H846" s="1">
        <v>-0.65952956006667596</v>
      </c>
      <c r="I846">
        <f>VLOOKUP(C846,'[1]phenotypes-895'!$A$2:$G$896,7,FALSE)</f>
        <v>91</v>
      </c>
    </row>
    <row r="847" spans="1:9" x14ac:dyDescent="0.2">
      <c r="A847">
        <v>846</v>
      </c>
      <c r="B847">
        <v>33</v>
      </c>
      <c r="C847" t="s">
        <v>845</v>
      </c>
      <c r="D847" s="13" t="s">
        <v>913</v>
      </c>
      <c r="E847" s="1">
        <v>5.2485499999999998</v>
      </c>
      <c r="F847" s="1">
        <v>7.08047</v>
      </c>
      <c r="G847" s="1">
        <v>5.2173893451162403</v>
      </c>
      <c r="H847" s="1">
        <v>7.0549917838479699</v>
      </c>
      <c r="I847">
        <f>VLOOKUP(C847,'[1]phenotypes-895'!$A$2:$G$896,7,FALSE)</f>
        <v>98</v>
      </c>
    </row>
    <row r="848" spans="1:9" x14ac:dyDescent="0.2">
      <c r="A848">
        <v>847</v>
      </c>
      <c r="B848">
        <v>40</v>
      </c>
      <c r="C848" t="s">
        <v>846</v>
      </c>
      <c r="D848" s="13" t="s">
        <v>913</v>
      </c>
      <c r="E848" s="1">
        <v>2.8799399999999999</v>
      </c>
      <c r="F848" s="1">
        <v>0.379135</v>
      </c>
      <c r="G848" s="1">
        <v>2.8462758237685502</v>
      </c>
      <c r="H848" s="1">
        <v>0.33720382913629598</v>
      </c>
      <c r="I848">
        <f>VLOOKUP(C848,'[1]phenotypes-895'!$A$2:$G$896,7,FALSE)</f>
        <v>74</v>
      </c>
    </row>
    <row r="849" spans="1:9" x14ac:dyDescent="0.2">
      <c r="A849">
        <v>848</v>
      </c>
      <c r="B849">
        <v>22</v>
      </c>
      <c r="C849" t="s">
        <v>847</v>
      </c>
      <c r="D849" s="13" t="s">
        <v>913</v>
      </c>
      <c r="E849" s="1">
        <v>0.55181000000000002</v>
      </c>
      <c r="F849" s="1">
        <v>1.98383</v>
      </c>
      <c r="G849" s="1">
        <v>0.55719142761754703</v>
      </c>
      <c r="H849" s="1">
        <v>1.9983038471224699</v>
      </c>
      <c r="I849">
        <f>VLOOKUP(C849,'[1]phenotypes-895'!$A$2:$G$896,7,FALSE)</f>
        <v>98</v>
      </c>
    </row>
    <row r="850" spans="1:9" x14ac:dyDescent="0.2">
      <c r="A850">
        <v>849</v>
      </c>
      <c r="B850">
        <v>35</v>
      </c>
      <c r="C850" t="s">
        <v>848</v>
      </c>
      <c r="D850" s="13" t="s">
        <v>913</v>
      </c>
      <c r="E850" s="1">
        <v>1.9375100000000001</v>
      </c>
      <c r="F850" s="1">
        <v>3.2010299999999998</v>
      </c>
      <c r="G850" s="1">
        <v>1.91399174701174</v>
      </c>
      <c r="H850" s="1">
        <v>3.1817599136999002</v>
      </c>
      <c r="I850">
        <f>VLOOKUP(C850,'[1]phenotypes-895'!$A$2:$G$896,7,FALSE)</f>
        <v>98</v>
      </c>
    </row>
    <row r="851" spans="1:9" x14ac:dyDescent="0.2">
      <c r="A851">
        <v>850</v>
      </c>
      <c r="B851">
        <v>22</v>
      </c>
      <c r="C851" t="s">
        <v>849</v>
      </c>
      <c r="D851" s="13" t="s">
        <v>913</v>
      </c>
      <c r="E851" s="1">
        <v>2.9589500000000002</v>
      </c>
      <c r="F851" s="1">
        <v>2.6982499999999998</v>
      </c>
      <c r="G851" s="1">
        <v>2.9509366002108801</v>
      </c>
      <c r="H851" s="1">
        <v>2.6888128140984402</v>
      </c>
      <c r="I851">
        <f>VLOOKUP(C851,'[1]phenotypes-895'!$A$2:$G$896,7,FALSE)</f>
        <v>98</v>
      </c>
    </row>
    <row r="852" spans="1:9" x14ac:dyDescent="0.2">
      <c r="A852">
        <v>851</v>
      </c>
      <c r="B852">
        <v>52</v>
      </c>
      <c r="C852" t="s">
        <v>850</v>
      </c>
      <c r="D852" s="13" t="s">
        <v>912</v>
      </c>
      <c r="E852" s="1">
        <v>0.30678899999999998</v>
      </c>
      <c r="F852" s="1">
        <v>2.5752199999999998</v>
      </c>
      <c r="G852" s="1">
        <v>0.33262889331497603</v>
      </c>
      <c r="H852" s="1">
        <v>2.6032919325356398</v>
      </c>
      <c r="I852">
        <f>VLOOKUP(C852,'[1]phenotypes-895'!$A$2:$G$896,7,FALSE)</f>
        <v>98</v>
      </c>
    </row>
    <row r="853" spans="1:9" x14ac:dyDescent="0.2">
      <c r="A853">
        <v>852</v>
      </c>
      <c r="B853">
        <v>49</v>
      </c>
      <c r="C853" t="s">
        <v>851</v>
      </c>
      <c r="D853" s="13" t="s">
        <v>912</v>
      </c>
      <c r="E853" s="1">
        <v>-1.60053</v>
      </c>
      <c r="F853" s="1">
        <v>-0.53768099999999996</v>
      </c>
      <c r="G853" s="1">
        <v>-1.6108979264419701</v>
      </c>
      <c r="H853" s="1">
        <v>-0.53764311365020101</v>
      </c>
      <c r="I853">
        <f>VLOOKUP(C853,'[1]phenotypes-895'!$A$2:$G$896,7,FALSE)</f>
        <v>67</v>
      </c>
    </row>
    <row r="854" spans="1:9" x14ac:dyDescent="0.2">
      <c r="A854">
        <v>853</v>
      </c>
      <c r="B854">
        <v>30</v>
      </c>
      <c r="C854" t="s">
        <v>852</v>
      </c>
      <c r="D854" s="13" t="s">
        <v>913</v>
      </c>
      <c r="E854" s="1">
        <v>1.45642</v>
      </c>
      <c r="F854" s="1">
        <v>0.22700200000000001</v>
      </c>
      <c r="G854" s="1">
        <v>1.4168973617440299</v>
      </c>
      <c r="H854" s="1">
        <v>0.18523372741942001</v>
      </c>
      <c r="I854">
        <f>VLOOKUP(C854,'[1]phenotypes-895'!$A$2:$G$896,7,FALSE)</f>
        <v>98</v>
      </c>
    </row>
    <row r="855" spans="1:9" x14ac:dyDescent="0.2">
      <c r="A855">
        <v>854</v>
      </c>
      <c r="B855">
        <v>35</v>
      </c>
      <c r="C855" t="s">
        <v>853</v>
      </c>
      <c r="D855" s="13" t="s">
        <v>913</v>
      </c>
      <c r="E855" s="1">
        <v>2.8157299999999998</v>
      </c>
      <c r="F855" s="1">
        <v>3.3853</v>
      </c>
      <c r="G855" s="1">
        <v>2.79281971758672</v>
      </c>
      <c r="H855" s="1">
        <v>3.3558123132753699</v>
      </c>
      <c r="I855">
        <f>VLOOKUP(C855,'[1]phenotypes-895'!$A$2:$G$896,7,FALSE)</f>
        <v>76</v>
      </c>
    </row>
    <row r="856" spans="1:9" x14ac:dyDescent="0.2">
      <c r="A856">
        <v>855</v>
      </c>
      <c r="B856">
        <v>46</v>
      </c>
      <c r="C856" t="s">
        <v>854</v>
      </c>
      <c r="D856" s="13" t="s">
        <v>912</v>
      </c>
      <c r="E856" s="1">
        <v>-4.7708800000000003E-2</v>
      </c>
      <c r="F856" s="1">
        <v>2.5680700000000001</v>
      </c>
      <c r="G856" s="1">
        <v>-7.1629110446053898E-2</v>
      </c>
      <c r="H856" s="1">
        <v>2.5629234970507202</v>
      </c>
      <c r="I856">
        <f>VLOOKUP(C856,'[1]phenotypes-895'!$A$2:$G$896,7,FALSE)</f>
        <v>70</v>
      </c>
    </row>
    <row r="857" spans="1:9" x14ac:dyDescent="0.2">
      <c r="A857">
        <v>856</v>
      </c>
      <c r="B857">
        <v>38</v>
      </c>
      <c r="C857" t="s">
        <v>855</v>
      </c>
      <c r="D857" s="13" t="s">
        <v>913</v>
      </c>
      <c r="E857" s="1">
        <v>8.9545300000000001</v>
      </c>
      <c r="F857" s="1">
        <v>8.9384300000000003</v>
      </c>
      <c r="G857" s="1">
        <v>8.9492103144948896</v>
      </c>
      <c r="H857" s="1">
        <v>8.9315335012721508</v>
      </c>
      <c r="I857">
        <f>VLOOKUP(C857,'[1]phenotypes-895'!$A$2:$G$896,7,FALSE)</f>
        <v>98</v>
      </c>
    </row>
    <row r="858" spans="1:9" x14ac:dyDescent="0.2">
      <c r="A858">
        <v>857</v>
      </c>
      <c r="B858">
        <v>35</v>
      </c>
      <c r="C858" t="s">
        <v>856</v>
      </c>
      <c r="D858" s="13" t="s">
        <v>913</v>
      </c>
      <c r="E858" s="1">
        <v>1.41696</v>
      </c>
      <c r="F858" s="1">
        <v>1.5906899999999999</v>
      </c>
      <c r="G858" s="1">
        <v>1.3880729000930301</v>
      </c>
      <c r="H858" s="1">
        <v>1.5542678858160699</v>
      </c>
      <c r="I858">
        <f>VLOOKUP(C858,'[1]phenotypes-895'!$A$2:$G$896,7,FALSE)</f>
        <v>71</v>
      </c>
    </row>
    <row r="859" spans="1:9" x14ac:dyDescent="0.2">
      <c r="A859">
        <v>858</v>
      </c>
      <c r="B859">
        <v>32</v>
      </c>
      <c r="C859" t="s">
        <v>857</v>
      </c>
      <c r="D859" s="13" t="s">
        <v>913</v>
      </c>
      <c r="E859" s="1">
        <v>1.2993600000000001</v>
      </c>
      <c r="F859" s="1">
        <v>1.0394600000000001</v>
      </c>
      <c r="G859" s="1">
        <v>1.25092646304569</v>
      </c>
      <c r="H859" s="1">
        <v>0.98233546718481901</v>
      </c>
      <c r="I859">
        <f>VLOOKUP(C859,'[1]phenotypes-895'!$A$2:$G$896,7,FALSE)</f>
        <v>49</v>
      </c>
    </row>
    <row r="860" spans="1:9" x14ac:dyDescent="0.2">
      <c r="A860">
        <v>859</v>
      </c>
      <c r="B860">
        <v>54</v>
      </c>
      <c r="C860" t="s">
        <v>858</v>
      </c>
      <c r="D860" s="13" t="s">
        <v>912</v>
      </c>
      <c r="E860" s="1">
        <v>-1.6513899999999999</v>
      </c>
      <c r="F860" s="1">
        <v>0.35</v>
      </c>
      <c r="G860" s="1">
        <v>-1.6965413402381599</v>
      </c>
      <c r="H860" s="1">
        <v>0.32042670848147797</v>
      </c>
      <c r="I860">
        <f>VLOOKUP(C860,'[1]phenotypes-895'!$A$2:$G$896,7,FALSE)</f>
        <v>67</v>
      </c>
    </row>
    <row r="861" spans="1:9" x14ac:dyDescent="0.2">
      <c r="A861">
        <v>860</v>
      </c>
      <c r="B861">
        <v>36</v>
      </c>
      <c r="C861" t="s">
        <v>859</v>
      </c>
      <c r="D861" s="13" t="s">
        <v>913</v>
      </c>
      <c r="E861" s="1">
        <v>1.42133</v>
      </c>
      <c r="F861" s="1">
        <v>2.4120599999999999</v>
      </c>
      <c r="G861" s="1">
        <v>1.4132954625445999</v>
      </c>
      <c r="H861" s="1">
        <v>2.4100769067224999</v>
      </c>
      <c r="I861">
        <f>VLOOKUP(C861,'[1]phenotypes-895'!$A$2:$G$896,7,FALSE)</f>
        <v>63</v>
      </c>
    </row>
    <row r="862" spans="1:9" x14ac:dyDescent="0.2">
      <c r="A862">
        <v>861</v>
      </c>
      <c r="B862">
        <v>51</v>
      </c>
      <c r="C862" t="s">
        <v>860</v>
      </c>
      <c r="D862" s="13" t="s">
        <v>912</v>
      </c>
      <c r="E862" s="1">
        <v>1.5568599999999999</v>
      </c>
      <c r="F862" s="1">
        <v>4.3946899999999998</v>
      </c>
      <c r="G862" s="1">
        <v>1.5234596459325001</v>
      </c>
      <c r="H862" s="1">
        <v>4.3817965408132196</v>
      </c>
      <c r="I862">
        <f>VLOOKUP(C862,'[1]phenotypes-895'!$A$2:$G$896,7,FALSE)</f>
        <v>98</v>
      </c>
    </row>
    <row r="863" spans="1:9" x14ac:dyDescent="0.2">
      <c r="A863">
        <v>862</v>
      </c>
      <c r="B863">
        <v>40</v>
      </c>
      <c r="C863" t="s">
        <v>861</v>
      </c>
      <c r="D863" s="13" t="s">
        <v>913</v>
      </c>
      <c r="E863" s="1">
        <v>-0.96375699999999997</v>
      </c>
      <c r="F863" s="1">
        <v>-1.7057899999999999</v>
      </c>
      <c r="G863" s="1">
        <v>-1.01046936530119</v>
      </c>
      <c r="H863" s="1">
        <v>-1.7615918367722301</v>
      </c>
      <c r="I863">
        <f>VLOOKUP(C863,'[1]phenotypes-895'!$A$2:$G$896,7,FALSE)</f>
        <v>63</v>
      </c>
    </row>
    <row r="864" spans="1:9" x14ac:dyDescent="0.2">
      <c r="A864">
        <v>863</v>
      </c>
      <c r="B864">
        <v>31</v>
      </c>
      <c r="C864" t="s">
        <v>862</v>
      </c>
      <c r="D864" s="13" t="s">
        <v>913</v>
      </c>
      <c r="E864" s="1">
        <v>2.2305100000000002</v>
      </c>
      <c r="F864" s="1">
        <v>1.7371000000000001</v>
      </c>
      <c r="G864" s="1">
        <v>2.2755062750358799</v>
      </c>
      <c r="H864" s="1">
        <v>1.78622838353715</v>
      </c>
      <c r="I864">
        <f>VLOOKUP(C864,'[1]phenotypes-895'!$A$2:$G$896,7,FALSE)</f>
        <v>68</v>
      </c>
    </row>
    <row r="865" spans="1:9" x14ac:dyDescent="0.2">
      <c r="A865">
        <v>864</v>
      </c>
      <c r="B865">
        <v>50</v>
      </c>
      <c r="C865" t="s">
        <v>863</v>
      </c>
      <c r="D865" s="13" t="s">
        <v>912</v>
      </c>
      <c r="E865" s="1">
        <v>2.07816</v>
      </c>
      <c r="F865" s="1">
        <v>4.4295499999999999</v>
      </c>
      <c r="G865" s="1">
        <v>2.1175037882012102</v>
      </c>
      <c r="H865" s="1">
        <v>4.4812851665632403</v>
      </c>
      <c r="I865">
        <f>VLOOKUP(C865,'[1]phenotypes-895'!$A$2:$G$896,7,FALSE)</f>
        <v>77</v>
      </c>
    </row>
    <row r="866" spans="1:9" x14ac:dyDescent="0.2">
      <c r="A866">
        <v>865</v>
      </c>
      <c r="B866">
        <v>32</v>
      </c>
      <c r="C866" t="s">
        <v>864</v>
      </c>
      <c r="D866" s="13" t="s">
        <v>913</v>
      </c>
      <c r="E866" s="1">
        <v>3.1992799999999999</v>
      </c>
      <c r="F866" s="1">
        <v>2.7092299999999998</v>
      </c>
      <c r="G866" s="1">
        <v>3.1641244195098399</v>
      </c>
      <c r="H866" s="1">
        <v>2.67318991836426</v>
      </c>
      <c r="I866">
        <f>VLOOKUP(C866,'[1]phenotypes-895'!$A$2:$G$896,7,FALSE)</f>
        <v>71</v>
      </c>
    </row>
    <row r="867" spans="1:9" x14ac:dyDescent="0.2">
      <c r="A867">
        <v>866</v>
      </c>
      <c r="B867">
        <v>42</v>
      </c>
      <c r="C867" t="s">
        <v>865</v>
      </c>
      <c r="D867" s="13" t="s">
        <v>912</v>
      </c>
      <c r="E867" s="1">
        <v>-2.0428000000000002</v>
      </c>
      <c r="F867" s="1">
        <v>-3.9565299999999998E-2</v>
      </c>
      <c r="G867" s="1">
        <v>-2.0682248236853198</v>
      </c>
      <c r="H867" s="1">
        <v>-5.23302537120552E-2</v>
      </c>
      <c r="I867">
        <f>VLOOKUP(C867,'[1]phenotypes-895'!$A$2:$G$896,7,FALSE)</f>
        <v>48</v>
      </c>
    </row>
    <row r="868" spans="1:9" x14ac:dyDescent="0.2">
      <c r="A868">
        <v>867</v>
      </c>
      <c r="B868">
        <v>50</v>
      </c>
      <c r="C868" t="s">
        <v>866</v>
      </c>
      <c r="D868" s="13" t="s">
        <v>912</v>
      </c>
      <c r="E868" s="1">
        <v>-0.120931</v>
      </c>
      <c r="F868" s="1">
        <v>3.3538999999999999</v>
      </c>
      <c r="G868" s="1">
        <v>-0.111903897470781</v>
      </c>
      <c r="H868" s="1">
        <v>3.3635669757520601</v>
      </c>
      <c r="I868">
        <f>VLOOKUP(C868,'[1]phenotypes-895'!$A$2:$G$896,7,FALSE)</f>
        <v>65</v>
      </c>
    </row>
    <row r="869" spans="1:9" x14ac:dyDescent="0.2">
      <c r="A869">
        <v>868</v>
      </c>
      <c r="B869">
        <v>38</v>
      </c>
      <c r="C869" t="s">
        <v>867</v>
      </c>
      <c r="D869" s="13" t="s">
        <v>913</v>
      </c>
      <c r="E869" s="1">
        <v>4.9055</v>
      </c>
      <c r="F869" s="1">
        <v>4.5207499999999996</v>
      </c>
      <c r="G869" s="1">
        <v>4.8797354855666404</v>
      </c>
      <c r="H869" s="1">
        <v>4.49247507646953</v>
      </c>
      <c r="I869">
        <f>VLOOKUP(C869,'[1]phenotypes-895'!$A$2:$G$896,7,FALSE)</f>
        <v>98</v>
      </c>
    </row>
    <row r="870" spans="1:9" x14ac:dyDescent="0.2">
      <c r="A870">
        <v>869</v>
      </c>
      <c r="B870">
        <v>52</v>
      </c>
      <c r="C870" t="s">
        <v>868</v>
      </c>
      <c r="D870" s="13" t="s">
        <v>912</v>
      </c>
      <c r="E870" s="1">
        <v>4.0860700000000003</v>
      </c>
      <c r="F870" s="1">
        <v>3.8563999999999998</v>
      </c>
      <c r="G870" s="1">
        <v>4.0683570596656704</v>
      </c>
      <c r="H870" s="1">
        <v>3.85767957765021</v>
      </c>
      <c r="I870">
        <f>VLOOKUP(C870,'[1]phenotypes-895'!$A$2:$G$896,7,FALSE)</f>
        <v>74</v>
      </c>
    </row>
    <row r="871" spans="1:9" x14ac:dyDescent="0.2">
      <c r="A871">
        <v>870</v>
      </c>
      <c r="B871">
        <v>48</v>
      </c>
      <c r="C871" t="s">
        <v>869</v>
      </c>
      <c r="D871" s="13" t="s">
        <v>912</v>
      </c>
      <c r="E871" s="1">
        <v>3.42693</v>
      </c>
      <c r="F871" s="1">
        <v>5.3467900000000004</v>
      </c>
      <c r="G871" s="1">
        <v>3.42835929607807</v>
      </c>
      <c r="H871" s="1">
        <v>5.3610438184343598</v>
      </c>
      <c r="I871">
        <f>VLOOKUP(C871,'[1]phenotypes-895'!$A$2:$G$896,7,FALSE)</f>
        <v>98</v>
      </c>
    </row>
    <row r="872" spans="1:9" x14ac:dyDescent="0.2">
      <c r="A872">
        <v>871</v>
      </c>
      <c r="B872">
        <v>21</v>
      </c>
      <c r="C872" t="s">
        <v>870</v>
      </c>
      <c r="D872" s="13" t="s">
        <v>913</v>
      </c>
      <c r="E872" s="1">
        <v>2.4494500000000001</v>
      </c>
      <c r="F872" s="1">
        <v>1.4736</v>
      </c>
      <c r="G872" s="1">
        <v>2.4943151837788</v>
      </c>
      <c r="H872" s="1">
        <v>1.5266405928268401</v>
      </c>
      <c r="I872">
        <f>VLOOKUP(C872,'[1]phenotypes-895'!$A$2:$G$896,7,FALSE)</f>
        <v>98</v>
      </c>
    </row>
    <row r="873" spans="1:9" x14ac:dyDescent="0.2">
      <c r="A873">
        <v>872</v>
      </c>
      <c r="B873">
        <v>21</v>
      </c>
      <c r="C873" t="s">
        <v>871</v>
      </c>
      <c r="D873" s="13" t="s">
        <v>913</v>
      </c>
      <c r="E873" s="1">
        <v>1.2321800000000001</v>
      </c>
      <c r="F873" s="1">
        <v>0.52477799999999997</v>
      </c>
      <c r="G873" s="1">
        <v>1.18811760238113</v>
      </c>
      <c r="H873" s="1">
        <v>0.47804611641368799</v>
      </c>
      <c r="I873">
        <f>VLOOKUP(C873,'[1]phenotypes-895'!$A$2:$G$896,7,FALSE)</f>
        <v>67</v>
      </c>
    </row>
    <row r="874" spans="1:9" x14ac:dyDescent="0.2">
      <c r="A874">
        <v>873</v>
      </c>
      <c r="B874">
        <v>31</v>
      </c>
      <c r="C874" t="s">
        <v>872</v>
      </c>
      <c r="D874" s="13" t="s">
        <v>913</v>
      </c>
      <c r="E874" s="1">
        <v>4.2472000000000003</v>
      </c>
      <c r="F874" s="1">
        <v>4.0855300000000003</v>
      </c>
      <c r="G874" s="1">
        <v>4.2060871034916198</v>
      </c>
      <c r="H874" s="1">
        <v>4.0372885263542404</v>
      </c>
      <c r="I874">
        <f>VLOOKUP(C874,'[1]phenotypes-895'!$A$2:$G$896,7,FALSE)</f>
        <v>98</v>
      </c>
    </row>
    <row r="875" spans="1:9" x14ac:dyDescent="0.2">
      <c r="A875">
        <v>874</v>
      </c>
      <c r="B875">
        <v>50</v>
      </c>
      <c r="C875" t="s">
        <v>873</v>
      </c>
      <c r="D875" s="13" t="s">
        <v>912</v>
      </c>
      <c r="E875" s="1">
        <v>1.6905699999999999</v>
      </c>
      <c r="F875" s="1">
        <v>3.5905100000000001</v>
      </c>
      <c r="G875" s="1">
        <v>1.6817684247342299</v>
      </c>
      <c r="H875" s="1">
        <v>3.5815874084609098</v>
      </c>
      <c r="I875">
        <f>VLOOKUP(C875,'[1]phenotypes-895'!$A$2:$G$896,7,FALSE)</f>
        <v>80</v>
      </c>
    </row>
    <row r="876" spans="1:9" x14ac:dyDescent="0.2">
      <c r="A876">
        <v>875</v>
      </c>
      <c r="B876">
        <v>35</v>
      </c>
      <c r="C876" t="s">
        <v>874</v>
      </c>
      <c r="D876" s="13" t="s">
        <v>913</v>
      </c>
      <c r="E876" s="1">
        <v>8.2472899999999996</v>
      </c>
      <c r="F876" s="1">
        <v>7.00197</v>
      </c>
      <c r="G876" s="1">
        <v>8.2662754718474307</v>
      </c>
      <c r="H876" s="1">
        <v>7.02396423158803</v>
      </c>
      <c r="I876">
        <f>VLOOKUP(C876,'[1]phenotypes-895'!$A$2:$G$896,7,FALSE)</f>
        <v>98</v>
      </c>
    </row>
    <row r="877" spans="1:9" x14ac:dyDescent="0.2">
      <c r="A877">
        <v>876</v>
      </c>
      <c r="B877">
        <v>38</v>
      </c>
      <c r="C877" t="s">
        <v>875</v>
      </c>
      <c r="D877" s="13" t="s">
        <v>913</v>
      </c>
      <c r="E877" s="1">
        <v>1.8087800000000001</v>
      </c>
      <c r="F877" s="1">
        <v>2.0849500000000001</v>
      </c>
      <c r="G877" s="1">
        <v>1.8415856930138399</v>
      </c>
      <c r="H877" s="1">
        <v>2.1226508982607202</v>
      </c>
      <c r="I877">
        <f>VLOOKUP(C877,'[1]phenotypes-895'!$A$2:$G$896,7,FALSE)</f>
        <v>65</v>
      </c>
    </row>
    <row r="878" spans="1:9" x14ac:dyDescent="0.2">
      <c r="A878">
        <v>877</v>
      </c>
      <c r="B878">
        <v>37</v>
      </c>
      <c r="C878" t="s">
        <v>876</v>
      </c>
      <c r="D878" s="13" t="s">
        <v>913</v>
      </c>
      <c r="E878" s="1">
        <v>0.106738</v>
      </c>
      <c r="F878" s="1">
        <v>1.0040899999999999</v>
      </c>
      <c r="G878" s="1">
        <v>5.8264487502995399E-2</v>
      </c>
      <c r="H878" s="1">
        <v>0.95320154298723203</v>
      </c>
      <c r="I878">
        <f>VLOOKUP(C878,'[1]phenotypes-895'!$A$2:$G$896,7,FALSE)</f>
        <v>64</v>
      </c>
    </row>
    <row r="879" spans="1:9" x14ac:dyDescent="0.2">
      <c r="A879">
        <v>878</v>
      </c>
      <c r="B879">
        <v>44</v>
      </c>
      <c r="C879" t="s">
        <v>877</v>
      </c>
      <c r="D879" s="13" t="s">
        <v>912</v>
      </c>
      <c r="E879" s="1">
        <v>-1.47929</v>
      </c>
      <c r="F879" s="1">
        <v>0.33771299999999999</v>
      </c>
      <c r="G879" s="1">
        <v>-1.50124493152843</v>
      </c>
      <c r="H879" s="1">
        <v>0.32656637399069499</v>
      </c>
      <c r="I879">
        <f>VLOOKUP(C879,'[1]phenotypes-895'!$A$2:$G$896,7,FALSE)</f>
        <v>63</v>
      </c>
    </row>
    <row r="880" spans="1:9" x14ac:dyDescent="0.2">
      <c r="A880">
        <v>879</v>
      </c>
      <c r="B880">
        <v>35</v>
      </c>
      <c r="C880" t="s">
        <v>878</v>
      </c>
      <c r="D880" s="13" t="s">
        <v>913</v>
      </c>
      <c r="E880" s="1">
        <v>-6.0384500000000001E-2</v>
      </c>
      <c r="F880" s="1">
        <v>0.322411</v>
      </c>
      <c r="G880" s="1">
        <v>-4.69849894622687E-2</v>
      </c>
      <c r="H880" s="1">
        <v>0.32985806084226099</v>
      </c>
      <c r="I880">
        <f>VLOOKUP(C880,'[1]phenotypes-895'!$A$2:$G$896,7,FALSE)</f>
        <v>65</v>
      </c>
    </row>
    <row r="881" spans="1:9" x14ac:dyDescent="0.2">
      <c r="A881">
        <v>880</v>
      </c>
      <c r="B881">
        <v>23</v>
      </c>
      <c r="C881" t="s">
        <v>879</v>
      </c>
      <c r="D881" s="13" t="s">
        <v>913</v>
      </c>
      <c r="E881" s="1">
        <v>-0.45019399999999998</v>
      </c>
      <c r="F881" s="1">
        <v>-1.0629500000000001</v>
      </c>
      <c r="G881" s="1">
        <v>-0.50794263510163595</v>
      </c>
      <c r="H881" s="1">
        <v>-1.1352758763059601</v>
      </c>
      <c r="I881">
        <f>VLOOKUP(C881,'[1]phenotypes-895'!$A$2:$G$896,7,FALSE)</f>
        <v>49</v>
      </c>
    </row>
    <row r="882" spans="1:9" x14ac:dyDescent="0.2">
      <c r="A882">
        <v>881</v>
      </c>
      <c r="B882">
        <v>31</v>
      </c>
      <c r="C882" t="s">
        <v>880</v>
      </c>
      <c r="D882" s="13" t="s">
        <v>913</v>
      </c>
      <c r="E882" s="1">
        <v>1.2160899999999999</v>
      </c>
      <c r="F882" s="1">
        <v>-0.176395</v>
      </c>
      <c r="G882" s="1">
        <v>1.1438788825964601</v>
      </c>
      <c r="H882" s="1">
        <v>-0.256794980235453</v>
      </c>
      <c r="I882">
        <f>VLOOKUP(C882,'[1]phenotypes-895'!$A$2:$G$896,7,FALSE)</f>
        <v>63</v>
      </c>
    </row>
    <row r="883" spans="1:9" x14ac:dyDescent="0.2">
      <c r="A883">
        <v>882</v>
      </c>
      <c r="B883">
        <v>54</v>
      </c>
      <c r="C883" t="s">
        <v>881</v>
      </c>
      <c r="D883" s="13" t="s">
        <v>912</v>
      </c>
      <c r="E883" s="1">
        <v>0.45476499999999997</v>
      </c>
      <c r="F883" s="1">
        <v>2.6412200000000001</v>
      </c>
      <c r="G883" s="1">
        <v>0.40120299494459799</v>
      </c>
      <c r="H883" s="1">
        <v>2.5973896771918201</v>
      </c>
      <c r="I883">
        <f>VLOOKUP(C883,'[1]phenotypes-895'!$A$2:$G$896,7,FALSE)</f>
        <v>98</v>
      </c>
    </row>
    <row r="884" spans="1:9" x14ac:dyDescent="0.2">
      <c r="A884">
        <v>883</v>
      </c>
      <c r="B884">
        <v>22</v>
      </c>
      <c r="C884" t="s">
        <v>882</v>
      </c>
      <c r="D884" s="13" t="s">
        <v>913</v>
      </c>
      <c r="E884" s="1">
        <v>0.10574500000000001</v>
      </c>
      <c r="F884" s="1">
        <v>0.92784999999999995</v>
      </c>
      <c r="G884" s="1">
        <v>9.8550904062514794E-2</v>
      </c>
      <c r="H884" s="1">
        <v>0.92316351415480802</v>
      </c>
      <c r="I884">
        <f>VLOOKUP(C884,'[1]phenotypes-895'!$A$2:$G$896,7,FALSE)</f>
        <v>98</v>
      </c>
    </row>
    <row r="885" spans="1:9" x14ac:dyDescent="0.2">
      <c r="A885">
        <v>884</v>
      </c>
      <c r="B885">
        <v>31</v>
      </c>
      <c r="C885" t="s">
        <v>883</v>
      </c>
      <c r="D885" s="13" t="s">
        <v>913</v>
      </c>
      <c r="E885" s="1">
        <v>0.135573</v>
      </c>
      <c r="F885" s="1">
        <v>1.55647</v>
      </c>
      <c r="G885" s="1">
        <v>7.3086512144341406E-2</v>
      </c>
      <c r="H885" s="1">
        <v>1.4862981020582799</v>
      </c>
      <c r="I885">
        <f>VLOOKUP(C885,'[1]phenotypes-895'!$A$2:$G$896,7,FALSE)</f>
        <v>63</v>
      </c>
    </row>
    <row r="886" spans="1:9" x14ac:dyDescent="0.2">
      <c r="A886">
        <v>885</v>
      </c>
      <c r="B886">
        <v>22</v>
      </c>
      <c r="C886" t="s">
        <v>884</v>
      </c>
      <c r="D886" s="13" t="s">
        <v>913</v>
      </c>
      <c r="E886" s="1">
        <v>4.5114299999999998</v>
      </c>
      <c r="F886" s="1">
        <v>6.09145</v>
      </c>
      <c r="G886" s="1">
        <v>4.54626595827441</v>
      </c>
      <c r="H886" s="1">
        <v>6.1340644723576796</v>
      </c>
      <c r="I886">
        <f>VLOOKUP(C886,'[1]phenotypes-895'!$A$2:$G$896,7,FALSE)</f>
        <v>98</v>
      </c>
    </row>
    <row r="887" spans="1:9" x14ac:dyDescent="0.2">
      <c r="A887">
        <v>886</v>
      </c>
      <c r="B887">
        <v>36</v>
      </c>
      <c r="C887" t="s">
        <v>885</v>
      </c>
      <c r="D887" s="13" t="s">
        <v>913</v>
      </c>
      <c r="E887" s="1">
        <v>4.6916799999999999</v>
      </c>
      <c r="F887" s="1">
        <v>1.94191</v>
      </c>
      <c r="G887" s="1">
        <v>4.6226552165190897</v>
      </c>
      <c r="H887" s="1">
        <v>1.8528988156100299</v>
      </c>
      <c r="I887">
        <f>VLOOKUP(C887,'[1]phenotypes-895'!$A$2:$G$896,7,FALSE)</f>
        <v>63</v>
      </c>
    </row>
    <row r="888" spans="1:9" x14ac:dyDescent="0.2">
      <c r="A888">
        <v>887</v>
      </c>
      <c r="B888">
        <v>24</v>
      </c>
      <c r="C888" t="s">
        <v>886</v>
      </c>
      <c r="D888" s="13" t="s">
        <v>913</v>
      </c>
      <c r="E888" s="1">
        <v>0.48676900000000001</v>
      </c>
      <c r="F888" s="1">
        <v>-0.42038399999999998</v>
      </c>
      <c r="G888" s="1">
        <v>0.48336886393742001</v>
      </c>
      <c r="H888" s="1">
        <v>-0.43503150137977797</v>
      </c>
      <c r="I888">
        <f>VLOOKUP(C888,'[1]phenotypes-895'!$A$2:$G$896,7,FALSE)</f>
        <v>98</v>
      </c>
    </row>
    <row r="889" spans="1:9" x14ac:dyDescent="0.2">
      <c r="A889">
        <v>888</v>
      </c>
      <c r="B889">
        <v>29</v>
      </c>
      <c r="C889" t="s">
        <v>887</v>
      </c>
      <c r="D889" s="13" t="s">
        <v>913</v>
      </c>
      <c r="E889" s="1">
        <v>-0.171542</v>
      </c>
      <c r="F889" s="1">
        <v>-2.2071299999999998</v>
      </c>
      <c r="G889" s="1">
        <v>-0.20645983088035</v>
      </c>
      <c r="H889" s="1">
        <v>-2.2503001029695899</v>
      </c>
      <c r="I889">
        <f>VLOOKUP(C889,'[1]phenotypes-895'!$A$2:$G$896,7,FALSE)</f>
        <v>69</v>
      </c>
    </row>
    <row r="890" spans="1:9" x14ac:dyDescent="0.2">
      <c r="A890">
        <v>889</v>
      </c>
      <c r="B890">
        <v>24</v>
      </c>
      <c r="C890" t="s">
        <v>888</v>
      </c>
      <c r="D890" s="13" t="s">
        <v>913</v>
      </c>
      <c r="E890" s="1">
        <v>5.2540100000000001</v>
      </c>
      <c r="F890" s="1">
        <v>4.2791800000000002</v>
      </c>
      <c r="G890" s="1">
        <v>5.1940670170655103</v>
      </c>
      <c r="H890" s="1">
        <v>4.2092591831531703</v>
      </c>
      <c r="I890">
        <f>VLOOKUP(C890,'[1]phenotypes-895'!$A$2:$G$896,7,FALSE)</f>
        <v>80</v>
      </c>
    </row>
    <row r="891" spans="1:9" x14ac:dyDescent="0.2">
      <c r="A891">
        <v>890</v>
      </c>
      <c r="B891">
        <v>38</v>
      </c>
      <c r="C891" t="s">
        <v>889</v>
      </c>
      <c r="D891" s="13" t="s">
        <v>913</v>
      </c>
      <c r="E891" s="1">
        <v>0.77002599999999999</v>
      </c>
      <c r="F891" s="1">
        <v>2.1220699999999999</v>
      </c>
      <c r="G891" s="1">
        <v>0.75920288038764705</v>
      </c>
      <c r="H891" s="1">
        <v>2.1152079304425699</v>
      </c>
      <c r="I891">
        <f>VLOOKUP(C891,'[1]phenotypes-895'!$A$2:$G$896,7,FALSE)</f>
        <v>98</v>
      </c>
    </row>
    <row r="892" spans="1:9" x14ac:dyDescent="0.2">
      <c r="A892">
        <v>891</v>
      </c>
      <c r="B892">
        <v>27</v>
      </c>
      <c r="C892" t="s">
        <v>890</v>
      </c>
      <c r="D892" s="13" t="s">
        <v>913</v>
      </c>
      <c r="E892" s="1">
        <v>1.9679599999999999</v>
      </c>
      <c r="F892" s="1">
        <v>2.8857200000000001</v>
      </c>
      <c r="G892" s="1">
        <v>1.95113237690414</v>
      </c>
      <c r="H892" s="1">
        <v>2.8760896585317899</v>
      </c>
      <c r="I892">
        <f>VLOOKUP(C892,'[1]phenotypes-895'!$A$2:$G$896,7,FALSE)</f>
        <v>98</v>
      </c>
    </row>
    <row r="893" spans="1:9" x14ac:dyDescent="0.2">
      <c r="A893">
        <v>892</v>
      </c>
      <c r="B893">
        <v>28</v>
      </c>
      <c r="C893" t="s">
        <v>891</v>
      </c>
      <c r="D893" s="13" t="s">
        <v>913</v>
      </c>
      <c r="E893" s="1">
        <v>-0.56742800000000004</v>
      </c>
      <c r="F893" s="1">
        <v>1.3111600000000001</v>
      </c>
      <c r="G893" s="1">
        <v>-0.58519449862420803</v>
      </c>
      <c r="H893" s="1">
        <v>1.2923100430641099</v>
      </c>
      <c r="I893">
        <f>VLOOKUP(C893,'[1]phenotypes-895'!$A$2:$G$896,7,FALSE)</f>
        <v>57</v>
      </c>
    </row>
    <row r="894" spans="1:9" x14ac:dyDescent="0.2">
      <c r="A894">
        <v>893</v>
      </c>
      <c r="B894">
        <v>38</v>
      </c>
      <c r="C894" t="s">
        <v>892</v>
      </c>
      <c r="D894" s="13" t="s">
        <v>913</v>
      </c>
      <c r="E894" s="1">
        <v>6.0002899999999997</v>
      </c>
      <c r="F894" s="1">
        <v>5.5869299999999997</v>
      </c>
      <c r="G894" s="1">
        <v>6.0513810840227196</v>
      </c>
      <c r="H894" s="1">
        <v>5.6561355662124599</v>
      </c>
      <c r="I894">
        <f>VLOOKUP(C894,'[1]phenotypes-895'!$A$2:$G$896,7,FALSE)</f>
        <v>98</v>
      </c>
    </row>
    <row r="895" spans="1:9" x14ac:dyDescent="0.2">
      <c r="A895">
        <v>894</v>
      </c>
      <c r="B895">
        <v>33</v>
      </c>
      <c r="C895" t="s">
        <v>893</v>
      </c>
      <c r="D895" s="13" t="s">
        <v>913</v>
      </c>
      <c r="E895" s="1">
        <v>-4.0569699999999997</v>
      </c>
      <c r="F895" s="1">
        <v>-6.4804700000000004</v>
      </c>
      <c r="G895" s="1">
        <v>-4.1204646674709497</v>
      </c>
      <c r="H895" s="1">
        <v>-6.5633772376321797</v>
      </c>
      <c r="I895">
        <f>VLOOKUP(C895,'[1]phenotypes-895'!$A$2:$G$896,7,FALSE)</f>
        <v>98</v>
      </c>
    </row>
    <row r="896" spans="1:9" x14ac:dyDescent="0.2">
      <c r="A896">
        <v>895</v>
      </c>
      <c r="B896">
        <v>31</v>
      </c>
      <c r="C896" t="s">
        <v>894</v>
      </c>
      <c r="D896" s="13" t="s">
        <v>913</v>
      </c>
      <c r="E896" s="1">
        <v>2.2021500000000001</v>
      </c>
      <c r="F896" s="1">
        <v>2.3660800000000002</v>
      </c>
      <c r="G896" s="1">
        <v>2.3704389307067801</v>
      </c>
      <c r="H896" s="1">
        <v>-2.45732E-2</v>
      </c>
      <c r="I896" s="1">
        <f>VLOOKUP(C896,'[1]phenotypes-895'!$A$2:$I$896,9,FALSE)</f>
        <v>0.43584503370126931</v>
      </c>
    </row>
  </sheetData>
  <sortState xmlns:xlrd2="http://schemas.microsoft.com/office/spreadsheetml/2017/richdata2" ref="A2:I896">
    <sortCondition ref="A2:A896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1451-9263-B64F-B25C-D988522B72A5}">
  <dimension ref="A1:S896"/>
  <sheetViews>
    <sheetView workbookViewId="0">
      <selection sqref="A1:XFD1048576"/>
    </sheetView>
  </sheetViews>
  <sheetFormatPr baseColWidth="10" defaultColWidth="11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4" max="4" width="4" style="12" bestFit="1" customWidth="1"/>
    <col min="5" max="6" width="18.33203125" bestFit="1" customWidth="1"/>
    <col min="7" max="7" width="20.1640625" bestFit="1" customWidth="1"/>
    <col min="8" max="8" width="15.33203125" bestFit="1" customWidth="1"/>
    <col min="9" max="9" width="8.5" bestFit="1" customWidth="1"/>
    <col min="10" max="10" width="12.83203125" bestFit="1" customWidth="1"/>
    <col min="11" max="11" width="12" bestFit="1" customWidth="1"/>
    <col min="12" max="12" width="18.1640625" bestFit="1" customWidth="1"/>
    <col min="13" max="13" width="14.6640625" bestFit="1" customWidth="1"/>
    <col min="14" max="14" width="7.33203125" bestFit="1" customWidth="1"/>
    <col min="15" max="15" width="8.1640625" bestFit="1" customWidth="1"/>
    <col min="16" max="16" width="7.33203125" bestFit="1" customWidth="1"/>
    <col min="17" max="17" width="7.83203125" style="2" bestFit="1" customWidth="1"/>
  </cols>
  <sheetData>
    <row r="1" spans="1:19" s="10" customFormat="1" x14ac:dyDescent="0.2">
      <c r="A1" s="10" t="s">
        <v>897</v>
      </c>
      <c r="B1" s="10" t="s">
        <v>914</v>
      </c>
      <c r="C1" s="10" t="s">
        <v>895</v>
      </c>
      <c r="D1" s="11" t="s">
        <v>911</v>
      </c>
      <c r="E1" s="10" t="s">
        <v>915</v>
      </c>
      <c r="F1" s="10" t="s">
        <v>917</v>
      </c>
      <c r="G1" s="10" t="s">
        <v>916</v>
      </c>
      <c r="H1" s="10" t="s">
        <v>918</v>
      </c>
      <c r="I1" s="10" t="s">
        <v>898</v>
      </c>
      <c r="J1" s="10" t="s">
        <v>899</v>
      </c>
      <c r="K1" s="10" t="s">
        <v>900</v>
      </c>
      <c r="L1" s="10" t="s">
        <v>901</v>
      </c>
      <c r="M1" s="3" t="s">
        <v>902</v>
      </c>
      <c r="N1" s="3" t="s">
        <v>906</v>
      </c>
      <c r="O1" s="3" t="s">
        <v>905</v>
      </c>
      <c r="P1" s="3" t="s">
        <v>909</v>
      </c>
      <c r="Q1" s="5" t="s">
        <v>903</v>
      </c>
      <c r="R1" s="3" t="s">
        <v>910</v>
      </c>
      <c r="S1" s="5" t="s">
        <v>904</v>
      </c>
    </row>
    <row r="2" spans="1:19" x14ac:dyDescent="0.2">
      <c r="A2">
        <v>1</v>
      </c>
      <c r="B2">
        <v>13</v>
      </c>
      <c r="C2" t="s">
        <v>0</v>
      </c>
      <c r="D2" s="12" t="s">
        <v>912</v>
      </c>
      <c r="E2" s="1">
        <v>-7.5150399999999999</v>
      </c>
      <c r="F2">
        <v>-7.3254200000000003</v>
      </c>
      <c r="G2" s="1">
        <v>-7.4691425745525599</v>
      </c>
      <c r="H2" s="1">
        <v>-7.2808866625886104</v>
      </c>
      <c r="I2">
        <f>VLOOKUP(C2,'[1]phenotypes-895'!$A$2:$G$896,7,FALSE)</f>
        <v>56</v>
      </c>
      <c r="J2" s="1">
        <v>0.15495900000000001</v>
      </c>
      <c r="K2" s="1">
        <f>VLOOKUP(C2,'[1]phenotypes-895'!$A$2:$I$896,9,FALSE)</f>
        <v>0.77439726300663869</v>
      </c>
      <c r="L2" s="1">
        <v>5.3993100000000002E-2</v>
      </c>
      <c r="M2" s="4">
        <v>4.0094592513362208</v>
      </c>
      <c r="N2" s="1">
        <v>2.9594700000000001E-3</v>
      </c>
      <c r="O2" s="8">
        <v>1</v>
      </c>
      <c r="P2" s="1">
        <v>1.00632E-2</v>
      </c>
      <c r="Q2" s="6">
        <v>0.97099999999999997</v>
      </c>
      <c r="R2" s="1">
        <v>1.04805E-2</v>
      </c>
      <c r="S2" s="7">
        <v>-0.01</v>
      </c>
    </row>
    <row r="3" spans="1:19" x14ac:dyDescent="0.2">
      <c r="A3">
        <v>2</v>
      </c>
      <c r="B3">
        <v>8</v>
      </c>
      <c r="C3" t="s">
        <v>1</v>
      </c>
      <c r="D3" s="12" t="s">
        <v>913</v>
      </c>
      <c r="E3" s="1">
        <v>3.9258099999999998</v>
      </c>
      <c r="F3">
        <v>2.40394</v>
      </c>
      <c r="G3" s="1">
        <v>4.0185399423174601</v>
      </c>
      <c r="H3" s="1">
        <v>2.5085230224527102</v>
      </c>
      <c r="I3">
        <f>VLOOKUP(C3,'[1]phenotypes-895'!$A$2:$G$896,7,FALSE)</f>
        <v>98</v>
      </c>
      <c r="J3" s="1">
        <v>2.85084E-2</v>
      </c>
      <c r="K3" s="1">
        <f>VLOOKUP(C3,'[1]phenotypes-895'!$A$2:$I$896,9,FALSE)</f>
        <v>0.66202502642783101</v>
      </c>
      <c r="L3" s="1">
        <v>7.9121700000000003E-2</v>
      </c>
      <c r="M3" s="4">
        <v>3.3896575057012517</v>
      </c>
      <c r="N3" s="1">
        <v>3.0870099999999998E-3</v>
      </c>
      <c r="O3" s="8">
        <v>1</v>
      </c>
      <c r="P3" s="1">
        <v>3.58845E-2</v>
      </c>
      <c r="Q3" s="6">
        <v>0.89600000000000002</v>
      </c>
      <c r="R3" s="1">
        <v>2.1546300000000001E-2</v>
      </c>
      <c r="S3" s="7">
        <v>-0.04</v>
      </c>
    </row>
    <row r="4" spans="1:19" x14ac:dyDescent="0.2">
      <c r="A4">
        <v>3</v>
      </c>
      <c r="B4">
        <v>8</v>
      </c>
      <c r="C4" t="s">
        <v>2</v>
      </c>
      <c r="D4" s="12" t="s">
        <v>913</v>
      </c>
      <c r="E4" s="1">
        <v>3.5940300000000001</v>
      </c>
      <c r="F4">
        <v>1.57359</v>
      </c>
      <c r="G4" s="1">
        <v>3.55930469516194</v>
      </c>
      <c r="H4" s="1">
        <v>1.5252055550029799</v>
      </c>
      <c r="I4">
        <f>VLOOKUP(C4,'[1]phenotypes-895'!$A$2:$G$896,7,FALSE)</f>
        <v>76</v>
      </c>
      <c r="J4" s="1">
        <v>-2.2878300000000001E-2</v>
      </c>
      <c r="K4" s="1">
        <f>VLOOKUP(C4,'[1]phenotypes-895'!$A$2:$I$896,9,FALSE)</f>
        <v>0.47861021552976762</v>
      </c>
      <c r="L4" s="1">
        <v>5.7860200000000001E-2</v>
      </c>
      <c r="M4" s="4">
        <v>4.4880074935552248</v>
      </c>
      <c r="N4" s="1">
        <v>-4.9349199999999998E-3</v>
      </c>
      <c r="O4" s="8">
        <v>1</v>
      </c>
      <c r="P4" s="1">
        <v>4.94162E-2</v>
      </c>
      <c r="Q4" s="6">
        <v>0.89900000000000002</v>
      </c>
      <c r="R4" s="1">
        <v>2.9279400000000001E-2</v>
      </c>
      <c r="S4" s="7">
        <v>-0.03</v>
      </c>
    </row>
    <row r="5" spans="1:19" x14ac:dyDescent="0.2">
      <c r="A5">
        <v>4</v>
      </c>
      <c r="B5">
        <v>15</v>
      </c>
      <c r="C5" t="s">
        <v>3</v>
      </c>
      <c r="D5" s="12" t="s">
        <v>912</v>
      </c>
      <c r="E5" s="1">
        <v>-11.038600000000001</v>
      </c>
      <c r="F5">
        <v>-12.0427</v>
      </c>
      <c r="G5" s="1">
        <v>-10.8304973045135</v>
      </c>
      <c r="H5" s="1">
        <v>-11.817503256592801</v>
      </c>
      <c r="I5">
        <f>VLOOKUP(C5,'[1]phenotypes-895'!$A$2:$G$896,7,FALSE)</f>
        <v>63</v>
      </c>
      <c r="J5" s="1">
        <v>0.14615500000000001</v>
      </c>
      <c r="K5" s="1">
        <f>VLOOKUP(C5,'[1]phenotypes-895'!$A$2:$I$896,9,FALSE)</f>
        <v>0.52285575481076052</v>
      </c>
      <c r="L5" s="1">
        <v>0.148815</v>
      </c>
      <c r="M5" s="4">
        <v>4.7699527004036453</v>
      </c>
      <c r="N5" s="1">
        <v>2.47005E-2</v>
      </c>
      <c r="O5" s="8">
        <v>1</v>
      </c>
      <c r="P5" s="1">
        <v>9.9635299999999996E-2</v>
      </c>
      <c r="Q5" s="6">
        <v>1.105</v>
      </c>
      <c r="R5" s="1">
        <v>4.3071400000000003E-2</v>
      </c>
      <c r="S5" s="7">
        <v>0.03</v>
      </c>
    </row>
    <row r="6" spans="1:19" x14ac:dyDescent="0.2">
      <c r="A6">
        <v>5</v>
      </c>
      <c r="B6">
        <v>13</v>
      </c>
      <c r="C6" t="s">
        <v>4</v>
      </c>
      <c r="D6" s="12" t="s">
        <v>912</v>
      </c>
      <c r="E6" s="1">
        <v>-5.7189199999999998</v>
      </c>
      <c r="F6">
        <v>-5.41188</v>
      </c>
      <c r="G6" s="1">
        <v>-5.7425925862139904</v>
      </c>
      <c r="H6" s="1">
        <v>-5.4339637937580001</v>
      </c>
      <c r="I6">
        <f>VLOOKUP(C6,'[1]phenotypes-895'!$A$2:$G$896,7,FALSE)</f>
        <v>62</v>
      </c>
      <c r="J6" s="1">
        <v>0.10537199999999999</v>
      </c>
      <c r="K6" s="1">
        <f>VLOOKUP(C6,'[1]phenotypes-895'!$A$2:$I$896,9,FALSE)</f>
        <v>0.81238212241432295</v>
      </c>
      <c r="L6" s="1">
        <v>2.0632299999999999E-2</v>
      </c>
      <c r="M6" s="4">
        <v>4.5081785225390352</v>
      </c>
      <c r="N6" s="1">
        <v>-4.4383799999999996E-3</v>
      </c>
      <c r="O6" s="8">
        <v>1</v>
      </c>
      <c r="P6" s="1">
        <v>-2.6078899999999999E-2</v>
      </c>
      <c r="Q6" s="6">
        <v>1</v>
      </c>
      <c r="R6" s="1">
        <v>-4.5889199999999998E-3</v>
      </c>
      <c r="S6" s="7">
        <v>0</v>
      </c>
    </row>
    <row r="7" spans="1:19" x14ac:dyDescent="0.2">
      <c r="A7">
        <v>6</v>
      </c>
      <c r="B7">
        <v>3</v>
      </c>
      <c r="C7" t="s">
        <v>5</v>
      </c>
      <c r="D7" s="12" t="s">
        <v>913</v>
      </c>
      <c r="E7" s="1">
        <v>-4.5139800000000001</v>
      </c>
      <c r="F7">
        <v>-6.9796800000000001</v>
      </c>
      <c r="G7" s="1">
        <v>-4.4106253651324003</v>
      </c>
      <c r="H7" s="1">
        <v>-6.8681574845300801</v>
      </c>
      <c r="I7">
        <f>VLOOKUP(C7,'[1]phenotypes-895'!$A$2:$G$896,7,FALSE)</f>
        <v>64</v>
      </c>
      <c r="J7" s="1">
        <v>0.106865</v>
      </c>
      <c r="K7" s="1">
        <f>VLOOKUP(C7,'[1]phenotypes-895'!$A$2:$I$896,9,FALSE)</f>
        <v>0.62049004308728328</v>
      </c>
      <c r="L7" s="1">
        <v>7.1999300000000002E-2</v>
      </c>
      <c r="M7" s="4">
        <v>5.1086190411573824</v>
      </c>
      <c r="N7" s="1">
        <v>2.5781999999999999E-2</v>
      </c>
      <c r="O7" s="8">
        <v>1</v>
      </c>
      <c r="P7" s="1">
        <v>-2.31436E-2</v>
      </c>
      <c r="Q7" s="6">
        <v>0.79600000000000004</v>
      </c>
      <c r="R7" s="1">
        <v>1.9451E-3</v>
      </c>
      <c r="S7" s="7">
        <v>-7.0000000000000007E-2</v>
      </c>
    </row>
    <row r="8" spans="1:19" x14ac:dyDescent="0.2">
      <c r="A8">
        <v>7</v>
      </c>
      <c r="B8">
        <v>16</v>
      </c>
      <c r="C8" t="s">
        <v>6</v>
      </c>
      <c r="D8" s="12" t="s">
        <v>912</v>
      </c>
      <c r="E8" s="1">
        <v>-10.11</v>
      </c>
      <c r="F8">
        <v>-10.369199999999999</v>
      </c>
      <c r="G8" s="1">
        <v>-10.1998445319604</v>
      </c>
      <c r="H8" s="1">
        <v>-10.461524947411901</v>
      </c>
      <c r="I8">
        <f>VLOOKUP(C8,'[1]phenotypes-895'!$A$2:$G$896,7,FALSE)</f>
        <v>53</v>
      </c>
      <c r="J8" s="1">
        <v>7.7683699999999994E-2</v>
      </c>
      <c r="K8" s="1">
        <f>VLOOKUP(C8,'[1]phenotypes-895'!$A$2:$I$896,9,FALSE)</f>
        <v>0.64836246768186168</v>
      </c>
      <c r="L8" s="1">
        <v>-5.2123099999999999E-2</v>
      </c>
      <c r="M8" s="4">
        <v>4.407258445505577</v>
      </c>
      <c r="N8" s="1">
        <v>1.6318099999999999E-2</v>
      </c>
      <c r="O8" s="8">
        <v>1</v>
      </c>
      <c r="P8" s="1">
        <v>0.145068</v>
      </c>
      <c r="Q8" s="6">
        <v>1.0229999999999999</v>
      </c>
      <c r="R8" s="1">
        <v>5.6560899999999997E-2</v>
      </c>
      <c r="S8" s="7">
        <v>0.01</v>
      </c>
    </row>
    <row r="9" spans="1:19" x14ac:dyDescent="0.2">
      <c r="A9">
        <v>8</v>
      </c>
      <c r="B9">
        <v>6</v>
      </c>
      <c r="C9" t="s">
        <v>7</v>
      </c>
      <c r="D9" s="12" t="s">
        <v>913</v>
      </c>
      <c r="E9" s="1">
        <v>0.758884</v>
      </c>
      <c r="F9">
        <v>-0.592588</v>
      </c>
      <c r="G9" s="1">
        <v>0.87949578142470397</v>
      </c>
      <c r="H9" s="1">
        <v>-0.452748383920271</v>
      </c>
      <c r="I9">
        <f>VLOOKUP(C9,'[1]phenotypes-895'!$A$2:$G$896,7,FALSE)</f>
        <v>98</v>
      </c>
      <c r="J9" s="1">
        <v>1.1639399999999999E-2</v>
      </c>
      <c r="K9" s="1">
        <f>VLOOKUP(C9,'[1]phenotypes-895'!$A$2:$I$896,9,FALSE)</f>
        <v>0.30843374879968127</v>
      </c>
      <c r="L9" s="1">
        <v>-3.9435400000000002E-2</v>
      </c>
      <c r="M9" s="4">
        <v>4.3442682542332527</v>
      </c>
      <c r="N9" s="1">
        <v>7.2881700000000001E-3</v>
      </c>
      <c r="O9" s="8">
        <v>1</v>
      </c>
      <c r="P9" s="1">
        <v>-3.9628299999999998E-2</v>
      </c>
      <c r="Q9" s="6">
        <v>0.66</v>
      </c>
      <c r="R9" s="1">
        <v>-1.46821E-2</v>
      </c>
      <c r="S9" s="7">
        <v>-0.14000000000000001</v>
      </c>
    </row>
    <row r="10" spans="1:19" x14ac:dyDescent="0.2">
      <c r="A10">
        <v>9</v>
      </c>
      <c r="B10">
        <v>12</v>
      </c>
      <c r="C10" t="s">
        <v>8</v>
      </c>
      <c r="D10" s="12" t="s">
        <v>912</v>
      </c>
      <c r="E10" s="1">
        <v>-2.29155</v>
      </c>
      <c r="F10">
        <v>-1.3635699999999999</v>
      </c>
      <c r="G10" s="1">
        <v>-2.2606279867287302</v>
      </c>
      <c r="H10" s="1">
        <v>-1.3225028984109499</v>
      </c>
      <c r="I10">
        <f>VLOOKUP(C10,'[1]phenotypes-895'!$A$2:$G$896,7,FALSE)</f>
        <v>98</v>
      </c>
      <c r="J10" s="1">
        <v>3.2781199999999998E-3</v>
      </c>
      <c r="K10" s="1">
        <f>VLOOKUP(C10,'[1]phenotypes-895'!$A$2:$I$896,9,FALSE)</f>
        <v>0</v>
      </c>
      <c r="L10" s="1">
        <v>0.32743800000000001</v>
      </c>
      <c r="M10" s="4">
        <v>0</v>
      </c>
      <c r="N10" s="1">
        <v>4.0501900000000004E-3</v>
      </c>
      <c r="O10" s="8">
        <v>0</v>
      </c>
      <c r="P10" s="1">
        <v>-2.84569E-2</v>
      </c>
      <c r="Q10" s="6">
        <v>0.91</v>
      </c>
      <c r="R10" s="1">
        <v>-6.0552599999999998E-3</v>
      </c>
      <c r="S10" s="7">
        <v>-0.03</v>
      </c>
    </row>
    <row r="11" spans="1:19" x14ac:dyDescent="0.2">
      <c r="A11">
        <v>10</v>
      </c>
      <c r="B11">
        <v>12</v>
      </c>
      <c r="C11" t="s">
        <v>9</v>
      </c>
      <c r="D11" s="12" t="s">
        <v>912</v>
      </c>
      <c r="E11" s="1">
        <v>-0.89598299999999997</v>
      </c>
      <c r="F11">
        <v>6.1764699999999999E-2</v>
      </c>
      <c r="G11" s="1">
        <v>-0.89999703469389603</v>
      </c>
      <c r="H11" s="1">
        <v>5.8106509351567297E-2</v>
      </c>
      <c r="I11">
        <f>VLOOKUP(C11,'[1]phenotypes-895'!$A$2:$G$896,7,FALSE)</f>
        <v>62</v>
      </c>
      <c r="J11" s="1">
        <v>-1.73455E-2</v>
      </c>
      <c r="K11" s="1">
        <f>VLOOKUP(C11,'[1]phenotypes-895'!$A$2:$I$896,9,FALSE)</f>
        <v>0.45469205998757523</v>
      </c>
      <c r="L11" s="1">
        <v>-6.7766499999999993E-2</v>
      </c>
      <c r="M11" s="4">
        <v>4.274882962615691</v>
      </c>
      <c r="N11" s="1">
        <v>6.5869199999999996E-3</v>
      </c>
      <c r="O11" s="8">
        <v>1</v>
      </c>
      <c r="P11" s="1">
        <v>-3.9843499999999997E-2</v>
      </c>
      <c r="Q11" s="6">
        <v>0.97399999999999998</v>
      </c>
      <c r="R11" s="1">
        <v>-8.72589E-3</v>
      </c>
      <c r="S11" s="7">
        <v>-0.01</v>
      </c>
    </row>
    <row r="12" spans="1:19" x14ac:dyDescent="0.2">
      <c r="A12">
        <v>11</v>
      </c>
      <c r="B12">
        <v>1</v>
      </c>
      <c r="C12" t="s">
        <v>10</v>
      </c>
      <c r="D12" s="12" t="s">
        <v>913</v>
      </c>
      <c r="E12" s="1">
        <v>-3.7671700000000001</v>
      </c>
      <c r="F12">
        <v>-5.5553800000000004</v>
      </c>
      <c r="G12" s="1">
        <v>-3.7444373288908102</v>
      </c>
      <c r="H12" s="1">
        <v>-5.5303321966281</v>
      </c>
      <c r="I12">
        <f>VLOOKUP(C12,'[1]phenotypes-895'!$A$2:$G$896,7,FALSE)</f>
        <v>50</v>
      </c>
      <c r="J12" s="1">
        <v>4.0924799999999997E-2</v>
      </c>
      <c r="K12" s="1">
        <f>VLOOKUP(C12,'[1]phenotypes-895'!$A$2:$I$896,9,FALSE)</f>
        <v>0.67107592117519688</v>
      </c>
      <c r="L12" s="1">
        <v>-1.09233E-2</v>
      </c>
      <c r="M12" s="4">
        <v>4.8135148884110075</v>
      </c>
      <c r="N12" s="1">
        <v>-1.58697E-2</v>
      </c>
      <c r="O12" s="8">
        <v>1</v>
      </c>
      <c r="P12" s="1">
        <v>0.130971</v>
      </c>
      <c r="Q12" s="6">
        <v>1.149</v>
      </c>
      <c r="R12" s="1">
        <v>4.8868700000000001E-2</v>
      </c>
      <c r="S12" s="7">
        <v>0.04</v>
      </c>
    </row>
    <row r="13" spans="1:19" x14ac:dyDescent="0.2">
      <c r="A13">
        <v>12</v>
      </c>
      <c r="B13">
        <v>5</v>
      </c>
      <c r="C13" t="s">
        <v>11</v>
      </c>
      <c r="D13" s="12" t="s">
        <v>913</v>
      </c>
      <c r="E13" s="1">
        <v>-4.5255200000000002</v>
      </c>
      <c r="F13">
        <v>-7.3361200000000002</v>
      </c>
      <c r="G13" s="1">
        <v>-4.4528542202766399</v>
      </c>
      <c r="H13" s="1">
        <v>-7.2515961778776896</v>
      </c>
      <c r="I13">
        <f>VLOOKUP(C13,'[1]phenotypes-895'!$A$2:$G$896,7,FALSE)</f>
        <v>60</v>
      </c>
      <c r="J13" s="1">
        <v>8.4822999999999996E-2</v>
      </c>
      <c r="K13" s="1">
        <f>VLOOKUP(C13,'[1]phenotypes-895'!$A$2:$I$896,9,FALSE)</f>
        <v>0.74277738159844742</v>
      </c>
      <c r="L13" s="1">
        <v>8.3961400000000005E-2</v>
      </c>
      <c r="M13" s="4">
        <v>4.5580684641215159</v>
      </c>
      <c r="N13" s="1">
        <v>2.54694E-2</v>
      </c>
      <c r="O13" s="8">
        <v>1</v>
      </c>
      <c r="P13" s="1">
        <v>5.1592600000000002E-2</v>
      </c>
      <c r="Q13" s="6">
        <v>1.0309999999999999</v>
      </c>
      <c r="R13" s="1">
        <v>8.2998800000000008E-3</v>
      </c>
      <c r="S13" s="7">
        <v>0.01</v>
      </c>
    </row>
    <row r="14" spans="1:19" x14ac:dyDescent="0.2">
      <c r="A14">
        <v>13</v>
      </c>
      <c r="B14">
        <v>5</v>
      </c>
      <c r="C14" t="s">
        <v>12</v>
      </c>
      <c r="D14" s="12" t="s">
        <v>913</v>
      </c>
      <c r="E14" s="1">
        <v>-4.8234199999999996</v>
      </c>
      <c r="F14">
        <v>-7.0749000000000004</v>
      </c>
      <c r="G14" s="1">
        <v>-4.8596753080778798</v>
      </c>
      <c r="H14" s="1">
        <v>-7.127405695567</v>
      </c>
      <c r="I14">
        <f>VLOOKUP(C14,'[1]phenotypes-895'!$A$2:$G$896,7,FALSE)</f>
        <v>98</v>
      </c>
      <c r="J14" s="1">
        <v>5.1087E-2</v>
      </c>
      <c r="K14" s="1">
        <f>VLOOKUP(C14,'[1]phenotypes-895'!$A$2:$I$896,9,FALSE)</f>
        <v>0</v>
      </c>
      <c r="L14" s="1">
        <v>2.9930600000000002E-2</v>
      </c>
      <c r="M14" s="4">
        <v>0</v>
      </c>
      <c r="N14" s="1">
        <v>2.2115900000000001E-2</v>
      </c>
      <c r="O14" s="8">
        <v>0</v>
      </c>
      <c r="P14" s="1">
        <v>6.0421200000000001E-2</v>
      </c>
      <c r="Q14" s="6">
        <v>1.0820000000000001</v>
      </c>
      <c r="R14" s="1">
        <v>1.0030499999999999E-2</v>
      </c>
      <c r="S14" s="7">
        <v>0.02</v>
      </c>
    </row>
    <row r="15" spans="1:19" x14ac:dyDescent="0.2">
      <c r="A15">
        <v>14</v>
      </c>
      <c r="B15">
        <v>8</v>
      </c>
      <c r="C15" t="s">
        <v>13</v>
      </c>
      <c r="D15" s="12" t="s">
        <v>913</v>
      </c>
      <c r="E15" s="1">
        <v>4.4703400000000002</v>
      </c>
      <c r="F15">
        <v>3.1025399999999999</v>
      </c>
      <c r="G15" s="1">
        <v>4.4496792629058799</v>
      </c>
      <c r="H15" s="1">
        <v>3.06513670417388</v>
      </c>
      <c r="I15">
        <f>VLOOKUP(C15,'[1]phenotypes-895'!$A$2:$G$896,7,FALSE)</f>
        <v>72</v>
      </c>
      <c r="J15" s="1">
        <v>-7.8848600000000005E-3</v>
      </c>
      <c r="K15" s="1">
        <f>VLOOKUP(C15,'[1]phenotypes-895'!$A$2:$I$896,9,FALSE)</f>
        <v>0.60575833896475673</v>
      </c>
      <c r="L15" s="1">
        <v>9.8630700000000002E-2</v>
      </c>
      <c r="M15" s="4">
        <v>4.9030020398305973</v>
      </c>
      <c r="N15" s="1">
        <v>-3.4999300000000001E-3</v>
      </c>
      <c r="O15" s="8">
        <v>1</v>
      </c>
      <c r="P15" s="1">
        <v>5.4699699999999997E-2</v>
      </c>
      <c r="Q15" s="6">
        <v>1.0680000000000001</v>
      </c>
      <c r="R15" s="1">
        <v>2.9220699999999999E-2</v>
      </c>
      <c r="S15" s="7">
        <v>0.02</v>
      </c>
    </row>
    <row r="16" spans="1:19" x14ac:dyDescent="0.2">
      <c r="A16">
        <v>15</v>
      </c>
      <c r="B16">
        <v>9</v>
      </c>
      <c r="C16" t="s">
        <v>14</v>
      </c>
      <c r="D16" s="12" t="s">
        <v>912</v>
      </c>
      <c r="E16" s="1">
        <v>-3.8318099999999999</v>
      </c>
      <c r="F16">
        <v>-4.2425499999999996</v>
      </c>
      <c r="G16" s="1">
        <v>-3.7569217402513502</v>
      </c>
      <c r="H16" s="1">
        <v>-4.1722462339659598</v>
      </c>
      <c r="I16">
        <f>VLOOKUP(C16,'[1]phenotypes-895'!$A$2:$G$896,7,FALSE)</f>
        <v>53</v>
      </c>
      <c r="J16" s="1">
        <v>4.97989E-2</v>
      </c>
      <c r="K16" s="1">
        <f>VLOOKUP(C16,'[1]phenotypes-895'!$A$2:$I$896,9,FALSE)</f>
        <v>0.71721434386483363</v>
      </c>
      <c r="L16" s="1">
        <v>1.39576E-3</v>
      </c>
      <c r="M16" s="4">
        <v>3.9740413603464422</v>
      </c>
      <c r="N16" s="1">
        <v>-1.51564E-2</v>
      </c>
      <c r="O16" s="8">
        <v>1</v>
      </c>
      <c r="P16" s="1">
        <v>3.4685000000000001E-2</v>
      </c>
      <c r="Q16" s="6">
        <v>1.1060000000000001</v>
      </c>
      <c r="R16" s="1">
        <v>1.76936E-2</v>
      </c>
      <c r="S16" s="7">
        <v>0.03</v>
      </c>
    </row>
    <row r="17" spans="1:19" x14ac:dyDescent="0.2">
      <c r="A17">
        <v>16</v>
      </c>
      <c r="B17">
        <v>3</v>
      </c>
      <c r="C17" t="s">
        <v>15</v>
      </c>
      <c r="D17" s="12" t="s">
        <v>913</v>
      </c>
      <c r="E17" s="1">
        <v>-8.1903400000000001E-2</v>
      </c>
      <c r="F17">
        <v>-2.3692600000000001</v>
      </c>
      <c r="G17" s="1">
        <v>-9.6051725952221001E-2</v>
      </c>
      <c r="H17" s="1">
        <v>-2.3904293538682899</v>
      </c>
      <c r="I17">
        <f>VLOOKUP(C17,'[1]phenotypes-895'!$A$2:$G$896,7,FALSE)</f>
        <v>98</v>
      </c>
      <c r="J17" s="1">
        <v>-1.7650900000000001E-2</v>
      </c>
      <c r="K17" s="1">
        <f>VLOOKUP(C17,'[1]phenotypes-895'!$A$2:$I$896,9,FALSE)</f>
        <v>0</v>
      </c>
      <c r="L17" s="1">
        <v>-7.2869799999999998E-2</v>
      </c>
      <c r="M17" s="4">
        <v>0</v>
      </c>
      <c r="N17" s="1">
        <v>7.1279299999999998E-4</v>
      </c>
      <c r="O17" s="8">
        <v>0</v>
      </c>
      <c r="P17" s="1">
        <v>-2.5090300000000002E-3</v>
      </c>
      <c r="Q17" s="6">
        <v>0.995</v>
      </c>
      <c r="R17" s="1">
        <v>8.8576200000000001E-3</v>
      </c>
      <c r="S17" s="7">
        <v>0</v>
      </c>
    </row>
    <row r="18" spans="1:19" x14ac:dyDescent="0.2">
      <c r="A18">
        <v>17</v>
      </c>
      <c r="B18">
        <v>6</v>
      </c>
      <c r="C18" t="s">
        <v>16</v>
      </c>
      <c r="D18" s="12" t="s">
        <v>913</v>
      </c>
      <c r="E18" s="1">
        <v>2.3468</v>
      </c>
      <c r="F18">
        <v>1.1629700000000001</v>
      </c>
      <c r="G18" s="1">
        <v>2.4097563447867798</v>
      </c>
      <c r="H18" s="1">
        <v>1.2354146154802901</v>
      </c>
      <c r="I18">
        <f>VLOOKUP(C18,'[1]phenotypes-895'!$A$2:$G$896,7,FALSE)</f>
        <v>91</v>
      </c>
      <c r="J18" s="1">
        <v>-1.3716600000000001E-2</v>
      </c>
      <c r="K18" s="1">
        <f>VLOOKUP(C18,'[1]phenotypes-895'!$A$2:$I$896,9,FALSE)</f>
        <v>0.31495093555541009</v>
      </c>
      <c r="L18" s="1">
        <v>-9.0678999999999996E-2</v>
      </c>
      <c r="M18" s="4">
        <v>4.1980909351080511</v>
      </c>
      <c r="N18" s="1">
        <v>-1.61239E-2</v>
      </c>
      <c r="O18" s="8">
        <v>1</v>
      </c>
      <c r="P18" s="1">
        <v>6.6641900000000004E-2</v>
      </c>
      <c r="Q18" s="6">
        <v>1.0860000000000001</v>
      </c>
      <c r="R18" s="1">
        <v>3.4685599999999997E-2</v>
      </c>
      <c r="S18" s="7">
        <v>0.03</v>
      </c>
    </row>
    <row r="19" spans="1:19" x14ac:dyDescent="0.2">
      <c r="A19">
        <v>18</v>
      </c>
      <c r="B19">
        <v>9</v>
      </c>
      <c r="C19" t="s">
        <v>17</v>
      </c>
      <c r="D19" s="12" t="s">
        <v>912</v>
      </c>
      <c r="E19" s="1">
        <v>-0.91527999999999998</v>
      </c>
      <c r="F19">
        <v>-1.07152</v>
      </c>
      <c r="G19" s="1">
        <v>-1.01868399210545</v>
      </c>
      <c r="H19" s="1">
        <v>-1.16657181381845</v>
      </c>
      <c r="I19">
        <f>VLOOKUP(C19,'[1]phenotypes-895'!$A$2:$G$896,7,FALSE)</f>
        <v>46</v>
      </c>
      <c r="J19" s="1">
        <v>-1.36755E-2</v>
      </c>
      <c r="K19" s="1">
        <f>VLOOKUP(C19,'[1]phenotypes-895'!$A$2:$I$896,9,FALSE)</f>
        <v>0.53687773290176322</v>
      </c>
      <c r="L19" s="1">
        <v>0.12392400000000001</v>
      </c>
      <c r="M19" s="4">
        <v>3.7832106864414157</v>
      </c>
      <c r="N19" s="1">
        <v>-1.30133E-2</v>
      </c>
      <c r="O19" s="8">
        <v>1</v>
      </c>
      <c r="P19" s="1">
        <v>-1.9087799999999999E-2</v>
      </c>
      <c r="Q19" s="6">
        <v>0.879</v>
      </c>
      <c r="R19" s="1">
        <v>5.2141399999999999E-3</v>
      </c>
      <c r="S19" s="7">
        <v>-0.04</v>
      </c>
    </row>
    <row r="20" spans="1:19" x14ac:dyDescent="0.2">
      <c r="A20">
        <v>19</v>
      </c>
      <c r="B20">
        <v>19</v>
      </c>
      <c r="C20" t="s">
        <v>18</v>
      </c>
      <c r="D20" s="12" t="s">
        <v>912</v>
      </c>
      <c r="E20" s="1">
        <v>-12.003</v>
      </c>
      <c r="F20">
        <v>-11.8232</v>
      </c>
      <c r="G20" s="1">
        <v>-11.986935130675</v>
      </c>
      <c r="H20" s="1">
        <v>-11.8138724022985</v>
      </c>
      <c r="I20">
        <f>VLOOKUP(C20,'[1]phenotypes-895'!$A$2:$G$896,7,FALSE)</f>
        <v>61</v>
      </c>
      <c r="J20" s="1">
        <v>0.22245999999999999</v>
      </c>
      <c r="K20" s="1">
        <f>VLOOKUP(C20,'[1]phenotypes-895'!$A$2:$I$896,9,FALSE)</f>
        <v>0.69943134771958115</v>
      </c>
      <c r="L20" s="1">
        <v>8.4069699999999997E-2</v>
      </c>
      <c r="M20" s="4">
        <v>4.542221514611251</v>
      </c>
      <c r="N20" s="1">
        <v>3.8982000000000003E-2</v>
      </c>
      <c r="O20" s="8">
        <v>1</v>
      </c>
      <c r="P20" s="1">
        <v>4.3866500000000003E-2</v>
      </c>
      <c r="Q20" s="6">
        <v>1.097</v>
      </c>
      <c r="R20" s="1">
        <v>1.7559200000000001E-2</v>
      </c>
      <c r="S20" s="7">
        <v>0.03</v>
      </c>
    </row>
    <row r="21" spans="1:19" x14ac:dyDescent="0.2">
      <c r="A21">
        <v>20</v>
      </c>
      <c r="B21">
        <v>15</v>
      </c>
      <c r="C21" t="s">
        <v>19</v>
      </c>
      <c r="D21" s="12" t="s">
        <v>912</v>
      </c>
      <c r="E21" s="1">
        <v>-8.2582699999999996</v>
      </c>
      <c r="F21">
        <v>-9.1833200000000001</v>
      </c>
      <c r="G21" s="1">
        <v>-8.2882056966382507</v>
      </c>
      <c r="H21" s="1">
        <v>-9.2118049977541805</v>
      </c>
      <c r="I21">
        <f>VLOOKUP(C21,'[1]phenotypes-895'!$A$2:$G$896,7,FALSE)</f>
        <v>61</v>
      </c>
      <c r="J21" s="1">
        <v>0.104087</v>
      </c>
      <c r="K21" s="1">
        <f>VLOOKUP(C21,'[1]phenotypes-895'!$A$2:$I$896,9,FALSE)</f>
        <v>0.62803426529259021</v>
      </c>
      <c r="L21" s="1">
        <v>0.12250999999999999</v>
      </c>
      <c r="M21" s="4">
        <v>4.7254678662735312</v>
      </c>
      <c r="N21" s="1">
        <v>1.3717E-2</v>
      </c>
      <c r="O21" s="8">
        <v>1</v>
      </c>
      <c r="P21" s="1">
        <v>0.110776</v>
      </c>
      <c r="Q21" s="6">
        <v>1.0720000000000001</v>
      </c>
      <c r="R21" s="1">
        <v>4.7950399999999997E-2</v>
      </c>
      <c r="S21" s="7">
        <v>0.02</v>
      </c>
    </row>
    <row r="22" spans="1:19" x14ac:dyDescent="0.2">
      <c r="A22">
        <v>21</v>
      </c>
      <c r="B22">
        <v>9</v>
      </c>
      <c r="C22" t="s">
        <v>20</v>
      </c>
      <c r="D22" s="12" t="s">
        <v>912</v>
      </c>
      <c r="E22" s="1">
        <v>8.3317199999999994E-2</v>
      </c>
      <c r="F22">
        <v>1.11694</v>
      </c>
      <c r="G22" s="1">
        <v>0.11557621119323599</v>
      </c>
      <c r="H22" s="1">
        <v>1.1629788597152699</v>
      </c>
      <c r="I22">
        <f>VLOOKUP(C22,'[1]phenotypes-895'!$A$2:$G$896,7,FALSE)</f>
        <v>98</v>
      </c>
      <c r="J22" s="1">
        <v>-3.5448900000000002E-3</v>
      </c>
      <c r="K22" s="1">
        <f>VLOOKUP(C22,'[1]phenotypes-895'!$A$2:$I$896,9,FALSE)</f>
        <v>0</v>
      </c>
      <c r="L22" s="1">
        <v>0.21663499999999999</v>
      </c>
      <c r="M22" s="4">
        <v>0</v>
      </c>
      <c r="N22" s="1">
        <v>-6.8212100000000003E-3</v>
      </c>
      <c r="O22" s="8">
        <v>0</v>
      </c>
      <c r="P22" s="1">
        <v>-5.25843E-2</v>
      </c>
      <c r="Q22" s="6">
        <v>0.80800000000000005</v>
      </c>
      <c r="R22" s="1">
        <v>-1.08705E-2</v>
      </c>
      <c r="S22" s="7">
        <v>-7.0000000000000007E-2</v>
      </c>
    </row>
    <row r="23" spans="1:19" x14ac:dyDescent="0.2">
      <c r="A23">
        <v>22</v>
      </c>
      <c r="B23">
        <v>4</v>
      </c>
      <c r="C23" t="s">
        <v>21</v>
      </c>
      <c r="D23" s="12" t="s">
        <v>913</v>
      </c>
      <c r="E23" s="1">
        <v>0.96125000000000005</v>
      </c>
      <c r="F23">
        <v>-1.0131699999999999</v>
      </c>
      <c r="G23" s="1">
        <v>0.91783320748853403</v>
      </c>
      <c r="H23" s="1">
        <v>-1.0612976836907899</v>
      </c>
      <c r="I23">
        <f>VLOOKUP(C23,'[1]phenotypes-895'!$A$2:$G$896,7,FALSE)</f>
        <v>74</v>
      </c>
      <c r="J23" s="1">
        <v>-1.1125400000000001E-2</v>
      </c>
      <c r="K23" s="1">
        <f>VLOOKUP(C23,'[1]phenotypes-895'!$A$2:$I$896,9,FALSE)</f>
        <v>0.49917000408930562</v>
      </c>
      <c r="L23" s="1">
        <v>-0.12825700000000001</v>
      </c>
      <c r="M23" s="4">
        <v>4.2149354593089434</v>
      </c>
      <c r="N23" s="1">
        <v>-2.22375E-3</v>
      </c>
      <c r="O23" s="8">
        <v>1</v>
      </c>
      <c r="P23" s="1">
        <v>7.5281500000000001E-2</v>
      </c>
      <c r="Q23" s="6">
        <v>1.1759999999999999</v>
      </c>
      <c r="R23" s="1">
        <v>3.0651999999999999E-2</v>
      </c>
      <c r="S23" s="7">
        <v>0.05</v>
      </c>
    </row>
    <row r="24" spans="1:19" x14ac:dyDescent="0.2">
      <c r="A24">
        <v>23</v>
      </c>
      <c r="B24">
        <v>19</v>
      </c>
      <c r="C24" t="s">
        <v>22</v>
      </c>
      <c r="D24" s="12" t="s">
        <v>912</v>
      </c>
      <c r="E24" s="1">
        <v>-11.839700000000001</v>
      </c>
      <c r="F24">
        <v>-13.103999999999999</v>
      </c>
      <c r="G24" s="1">
        <v>-11.570048655413199</v>
      </c>
      <c r="H24" s="1">
        <v>-12.825642314401501</v>
      </c>
      <c r="I24">
        <f>VLOOKUP(C24,'[1]phenotypes-895'!$A$2:$G$896,7,FALSE)</f>
        <v>51</v>
      </c>
      <c r="J24" s="1">
        <v>0.27109699999999998</v>
      </c>
      <c r="K24" s="1">
        <f>VLOOKUP(C24,'[1]phenotypes-895'!$A$2:$I$896,9,FALSE)</f>
        <v>1.349871520344176</v>
      </c>
      <c r="L24" s="1">
        <v>0.12723300000000001</v>
      </c>
      <c r="M24" s="4">
        <v>5.1616698103675676</v>
      </c>
      <c r="N24" s="1">
        <v>3.2684100000000001E-2</v>
      </c>
      <c r="O24" s="8">
        <v>1</v>
      </c>
      <c r="P24" s="1">
        <v>0.11148</v>
      </c>
      <c r="Q24" s="6">
        <v>1.048</v>
      </c>
      <c r="R24" s="1">
        <v>4.69141E-2</v>
      </c>
      <c r="S24" s="7">
        <v>0.01</v>
      </c>
    </row>
    <row r="25" spans="1:19" x14ac:dyDescent="0.2">
      <c r="A25">
        <v>24</v>
      </c>
      <c r="B25">
        <v>1</v>
      </c>
      <c r="C25" t="s">
        <v>23</v>
      </c>
      <c r="D25" s="12" t="s">
        <v>913</v>
      </c>
      <c r="E25" s="1">
        <v>-6.7971000000000004</v>
      </c>
      <c r="F25">
        <v>-8.9435000000000002</v>
      </c>
      <c r="G25" s="1">
        <v>-6.7635042995881198</v>
      </c>
      <c r="H25" s="1">
        <v>-8.9127847945386094</v>
      </c>
      <c r="I25">
        <f>VLOOKUP(C25,'[1]phenotypes-895'!$A$2:$G$896,7,FALSE)</f>
        <v>50</v>
      </c>
      <c r="J25" s="1">
        <v>0.117703</v>
      </c>
      <c r="K25" s="1">
        <f>VLOOKUP(C25,'[1]phenotypes-895'!$A$2:$I$896,9,FALSE)</f>
        <v>1.1181101591097711</v>
      </c>
      <c r="L25" s="1">
        <v>-4.7190599999999999E-2</v>
      </c>
      <c r="M25" s="4">
        <v>4.3917578615708566</v>
      </c>
      <c r="N25" s="1">
        <v>-9.6746499999999999E-3</v>
      </c>
      <c r="O25" s="8">
        <v>1</v>
      </c>
      <c r="P25" s="1">
        <v>0.11275399999999999</v>
      </c>
      <c r="Q25" s="6">
        <v>1.1599999999999999</v>
      </c>
      <c r="R25" s="1">
        <v>4.3225399999999997E-2</v>
      </c>
      <c r="S25" s="7">
        <v>0.05</v>
      </c>
    </row>
    <row r="26" spans="1:19" x14ac:dyDescent="0.2">
      <c r="A26">
        <v>25</v>
      </c>
      <c r="B26">
        <v>10</v>
      </c>
      <c r="C26" t="s">
        <v>24</v>
      </c>
      <c r="D26" s="12" t="s">
        <v>912</v>
      </c>
      <c r="E26" s="1">
        <v>-2.5293299999999999</v>
      </c>
      <c r="F26">
        <v>-1.27834</v>
      </c>
      <c r="G26" s="1">
        <v>-2.54009825280006</v>
      </c>
      <c r="H26" s="1">
        <v>-1.28635635643275</v>
      </c>
      <c r="I26">
        <f>VLOOKUP(C26,'[1]phenotypes-895'!$A$2:$G$896,7,FALSE)</f>
        <v>81</v>
      </c>
      <c r="J26" s="1">
        <v>4.91247E-2</v>
      </c>
      <c r="K26" s="1">
        <f>VLOOKUP(C26,'[1]phenotypes-895'!$A$2:$I$896,9,FALSE)</f>
        <v>0.26475579525975851</v>
      </c>
      <c r="L26" s="1">
        <v>0.109199</v>
      </c>
      <c r="M26" s="4">
        <v>4.3536594099128392</v>
      </c>
      <c r="N26" s="1">
        <v>7.7404400000000003E-3</v>
      </c>
      <c r="O26" s="8">
        <v>1</v>
      </c>
      <c r="P26" s="1">
        <v>6.2017099999999999E-2</v>
      </c>
      <c r="Q26" s="6">
        <v>1.198</v>
      </c>
      <c r="R26" s="1">
        <v>2.6816400000000001E-2</v>
      </c>
      <c r="S26" s="7">
        <v>0.06</v>
      </c>
    </row>
    <row r="27" spans="1:19" x14ac:dyDescent="0.2">
      <c r="A27">
        <v>26</v>
      </c>
      <c r="B27">
        <v>6</v>
      </c>
      <c r="C27" t="s">
        <v>25</v>
      </c>
      <c r="D27" s="12" t="s">
        <v>913</v>
      </c>
      <c r="E27" s="1">
        <v>-5.8604599999999998</v>
      </c>
      <c r="F27">
        <v>-8.1102699999999999</v>
      </c>
      <c r="G27" s="1">
        <v>-5.7277995231110497</v>
      </c>
      <c r="H27" s="1">
        <v>-7.9714464236918099</v>
      </c>
      <c r="I27">
        <f>VLOOKUP(C27,'[1]phenotypes-895'!$A$2:$G$896,7,FALSE)</f>
        <v>58</v>
      </c>
      <c r="J27" s="1">
        <v>7.9315200000000002E-2</v>
      </c>
      <c r="K27" s="1">
        <f>VLOOKUP(C27,'[1]phenotypes-895'!$A$2:$I$896,9,FALSE)</f>
        <v>0.37372472541365409</v>
      </c>
      <c r="L27" s="1">
        <v>-8.5303699999999996E-2</v>
      </c>
      <c r="M27" s="4">
        <v>3.1657750595793037</v>
      </c>
      <c r="N27" s="1">
        <v>1.14771E-2</v>
      </c>
      <c r="O27" s="8">
        <v>1</v>
      </c>
      <c r="P27" s="1">
        <v>9.0081300000000003E-2</v>
      </c>
      <c r="Q27" s="6">
        <v>0.94199999999999995</v>
      </c>
      <c r="R27" s="1">
        <v>4.0049599999999998E-2</v>
      </c>
      <c r="S27" s="7">
        <v>-0.02</v>
      </c>
    </row>
    <row r="28" spans="1:19" x14ac:dyDescent="0.2">
      <c r="A28">
        <v>27</v>
      </c>
      <c r="B28">
        <v>12</v>
      </c>
      <c r="C28" t="s">
        <v>26</v>
      </c>
      <c r="D28" s="12" t="s">
        <v>912</v>
      </c>
      <c r="E28" s="1">
        <v>1.7275700000000001</v>
      </c>
      <c r="F28">
        <v>3.5613000000000001</v>
      </c>
      <c r="G28" s="1">
        <v>1.7400191270799199</v>
      </c>
      <c r="H28" s="1">
        <v>3.5843891451609902</v>
      </c>
      <c r="I28">
        <f>VLOOKUP(C28,'[1]phenotypes-895'!$A$2:$G$896,7,FALSE)</f>
        <v>98</v>
      </c>
      <c r="J28" s="1">
        <v>-4.14823E-2</v>
      </c>
      <c r="K28" s="1">
        <f>VLOOKUP(C28,'[1]phenotypes-895'!$A$2:$I$896,9,FALSE)</f>
        <v>0</v>
      </c>
      <c r="L28" s="1">
        <v>-9.20179E-2</v>
      </c>
      <c r="M28" s="4">
        <v>0</v>
      </c>
      <c r="N28" s="1">
        <v>5.4631799999999998E-3</v>
      </c>
      <c r="O28" s="8">
        <v>0</v>
      </c>
      <c r="P28" s="1">
        <v>-7.2995199999999996E-2</v>
      </c>
      <c r="Q28" s="6">
        <v>0.91400000000000003</v>
      </c>
      <c r="R28" s="1">
        <v>-2.2100499999999999E-2</v>
      </c>
      <c r="S28" s="7">
        <v>-0.03</v>
      </c>
    </row>
    <row r="29" spans="1:19" x14ac:dyDescent="0.2">
      <c r="A29">
        <v>28</v>
      </c>
      <c r="B29">
        <v>30</v>
      </c>
      <c r="C29" t="s">
        <v>27</v>
      </c>
      <c r="D29" s="13" t="s">
        <v>913</v>
      </c>
      <c r="E29" s="1">
        <v>0.76057200000000003</v>
      </c>
      <c r="F29">
        <v>-0.89126099999999997</v>
      </c>
      <c r="G29" s="1">
        <v>0.86126521652792398</v>
      </c>
      <c r="H29" s="1">
        <v>-0.76749293266382301</v>
      </c>
      <c r="I29">
        <f>VLOOKUP(C29,'[1]phenotypes-895'!$A$2:$G$896,7,FALSE)</f>
        <v>98</v>
      </c>
      <c r="J29" s="1">
        <v>-2.7066799999999998E-2</v>
      </c>
      <c r="K29" s="1">
        <f>VLOOKUP(C29,'[1]phenotypes-895'!$A$2:$I$896,9,FALSE)</f>
        <v>0</v>
      </c>
      <c r="L29" s="1">
        <v>-0.15958700000000001</v>
      </c>
      <c r="M29" s="4">
        <v>0</v>
      </c>
      <c r="N29" s="1">
        <v>-1.6565E-2</v>
      </c>
      <c r="O29" s="8">
        <v>0</v>
      </c>
      <c r="P29" s="1">
        <v>0.120395</v>
      </c>
      <c r="Q29">
        <v>1.2589999999999999</v>
      </c>
      <c r="R29" s="1">
        <v>4.8948499999999999E-2</v>
      </c>
      <c r="S29" s="2">
        <v>7.0000000000000007E-2</v>
      </c>
    </row>
    <row r="30" spans="1:19" x14ac:dyDescent="0.2">
      <c r="A30">
        <v>29</v>
      </c>
      <c r="B30">
        <v>4</v>
      </c>
      <c r="C30" t="s">
        <v>28</v>
      </c>
      <c r="D30" s="12" t="s">
        <v>913</v>
      </c>
      <c r="E30" s="1">
        <v>-4.4045300000000003</v>
      </c>
      <c r="F30">
        <v>-6.5895000000000001</v>
      </c>
      <c r="G30" s="1">
        <v>-4.4585721432533703</v>
      </c>
      <c r="H30" s="1">
        <v>-6.6615678093573703</v>
      </c>
      <c r="I30">
        <f>VLOOKUP(C30,'[1]phenotypes-895'!$A$2:$G$896,7,FALSE)</f>
        <v>49</v>
      </c>
      <c r="J30" s="1">
        <v>4.8560499999999999E-2</v>
      </c>
      <c r="K30" s="1">
        <f>VLOOKUP(C30,'[1]phenotypes-895'!$A$2:$I$896,9,FALSE)</f>
        <v>0.55289486269766575</v>
      </c>
      <c r="L30" s="1">
        <v>-3.06863E-2</v>
      </c>
      <c r="M30" s="4">
        <v>4.0031464623593198</v>
      </c>
      <c r="N30" s="1">
        <v>7.0559300000000002E-3</v>
      </c>
      <c r="O30" s="8">
        <v>1</v>
      </c>
      <c r="P30" s="1">
        <v>5.7059899999999997E-2</v>
      </c>
      <c r="Q30" s="6">
        <v>1.177</v>
      </c>
      <c r="R30" s="1">
        <v>2.33335E-2</v>
      </c>
      <c r="S30" s="7">
        <v>0.05</v>
      </c>
    </row>
    <row r="31" spans="1:19" x14ac:dyDescent="0.2">
      <c r="A31">
        <v>30</v>
      </c>
      <c r="B31">
        <v>24</v>
      </c>
      <c r="C31" t="s">
        <v>29</v>
      </c>
      <c r="D31" s="13" t="s">
        <v>913</v>
      </c>
      <c r="E31" s="1">
        <v>-1.0606199999999999</v>
      </c>
      <c r="F31">
        <v>-2.9179499999999998</v>
      </c>
      <c r="G31" s="1">
        <v>-1.04975465270158</v>
      </c>
      <c r="H31" s="1">
        <v>-2.9114954666219202</v>
      </c>
      <c r="I31">
        <f>VLOOKUP(C31,'[1]phenotypes-895'!$A$2:$G$896,7,FALSE)</f>
        <v>76</v>
      </c>
      <c r="J31" s="1">
        <v>1.9017200000000001E-2</v>
      </c>
      <c r="K31" s="1">
        <f>VLOOKUP(C31,'[1]phenotypes-895'!$A$2:$I$896,9,FALSE)</f>
        <v>0.48278121633469118</v>
      </c>
      <c r="L31" s="1">
        <v>-6.7641199999999999E-2</v>
      </c>
      <c r="M31" s="4">
        <v>3.8096226792473638</v>
      </c>
      <c r="N31" s="1">
        <v>1.6515200000000001E-2</v>
      </c>
      <c r="O31" s="8">
        <v>1</v>
      </c>
      <c r="P31" s="1">
        <v>4.58077E-2</v>
      </c>
      <c r="Q31">
        <v>1.0920000000000001</v>
      </c>
      <c r="R31" s="1">
        <v>1.8230400000000001E-2</v>
      </c>
      <c r="S31" s="2">
        <v>0.03</v>
      </c>
    </row>
    <row r="32" spans="1:19" x14ac:dyDescent="0.2">
      <c r="A32">
        <v>31</v>
      </c>
      <c r="B32">
        <v>17</v>
      </c>
      <c r="C32" t="s">
        <v>30</v>
      </c>
      <c r="D32" s="12" t="s">
        <v>912</v>
      </c>
      <c r="E32" s="1">
        <v>-8.7904599999999995</v>
      </c>
      <c r="F32">
        <v>-8.5313700000000008</v>
      </c>
      <c r="G32" s="1">
        <v>-8.6051417375638906</v>
      </c>
      <c r="H32" s="1">
        <v>-8.3554538257917503</v>
      </c>
      <c r="I32">
        <f>VLOOKUP(C32,'[1]phenotypes-895'!$A$2:$G$896,7,FALSE)</f>
        <v>52</v>
      </c>
      <c r="J32" s="1">
        <v>0.11691600000000001</v>
      </c>
      <c r="K32" s="1">
        <f>VLOOKUP(C32,'[1]phenotypes-895'!$A$2:$I$896,9,FALSE)</f>
        <v>0.66095354723561628</v>
      </c>
      <c r="L32" s="1">
        <v>-5.3356599999999997E-2</v>
      </c>
      <c r="M32" s="4">
        <v>3.9110749926068715</v>
      </c>
      <c r="N32" s="1">
        <v>1.22632E-2</v>
      </c>
      <c r="O32" s="8">
        <v>1</v>
      </c>
      <c r="P32" s="1">
        <v>4.3990899999999999E-2</v>
      </c>
      <c r="Q32" s="6">
        <v>0.94099999999999995</v>
      </c>
      <c r="R32" s="1">
        <v>1.8061899999999999E-2</v>
      </c>
      <c r="S32" s="7">
        <v>-0.02</v>
      </c>
    </row>
    <row r="33" spans="1:19" x14ac:dyDescent="0.2">
      <c r="A33">
        <v>32</v>
      </c>
      <c r="B33">
        <v>21</v>
      </c>
      <c r="C33" t="s">
        <v>31</v>
      </c>
      <c r="D33" s="13" t="s">
        <v>913</v>
      </c>
      <c r="E33" s="1">
        <v>0.182115</v>
      </c>
      <c r="F33">
        <v>-0.92599200000000004</v>
      </c>
      <c r="G33" s="1">
        <v>0.18640551688437099</v>
      </c>
      <c r="H33" s="1">
        <v>-0.91644761732591795</v>
      </c>
      <c r="I33">
        <f>VLOOKUP(C33,'[1]phenotypes-895'!$A$2:$G$896,7,FALSE)</f>
        <v>70</v>
      </c>
      <c r="J33" s="1">
        <v>3.57157E-3</v>
      </c>
      <c r="K33" s="1">
        <f>VLOOKUP(C33,'[1]phenotypes-895'!$A$2:$I$896,9,FALSE)</f>
        <v>0.54074270705863881</v>
      </c>
      <c r="L33" s="1">
        <v>-8.0924899999999994E-2</v>
      </c>
      <c r="M33" s="4">
        <v>4.3704821827624505</v>
      </c>
      <c r="N33" s="1">
        <v>-9.6807100000000004E-3</v>
      </c>
      <c r="O33" s="8">
        <v>1</v>
      </c>
      <c r="P33" s="1">
        <v>3.7979300000000001E-2</v>
      </c>
      <c r="Q33">
        <v>0.878</v>
      </c>
      <c r="R33" s="1">
        <v>2.2793899999999999E-2</v>
      </c>
      <c r="S33" s="2">
        <v>-0.04</v>
      </c>
    </row>
    <row r="34" spans="1:19" x14ac:dyDescent="0.2">
      <c r="A34">
        <v>33</v>
      </c>
      <c r="B34">
        <v>15</v>
      </c>
      <c r="C34" t="s">
        <v>32</v>
      </c>
      <c r="D34" s="12" t="s">
        <v>912</v>
      </c>
      <c r="E34" s="1">
        <v>-11.879</v>
      </c>
      <c r="F34">
        <v>-12.990399999999999</v>
      </c>
      <c r="G34" s="1">
        <v>-11.9851634704952</v>
      </c>
      <c r="H34" s="1">
        <v>-13.099553023043001</v>
      </c>
      <c r="I34">
        <f>VLOOKUP(C34,'[1]phenotypes-895'!$A$2:$G$896,7,FALSE)</f>
        <v>46</v>
      </c>
      <c r="J34" s="1">
        <v>0.13279299999999999</v>
      </c>
      <c r="K34" s="1">
        <f>VLOOKUP(C34,'[1]phenotypes-895'!$A$2:$I$896,9,FALSE)</f>
        <v>0.58547340714470253</v>
      </c>
      <c r="L34" s="1">
        <v>0.16201299999999999</v>
      </c>
      <c r="M34" s="4">
        <v>4.7343217871352126</v>
      </c>
      <c r="N34" s="1">
        <v>2.4914100000000002E-2</v>
      </c>
      <c r="O34" s="8">
        <v>1</v>
      </c>
      <c r="P34" s="1">
        <v>0.104601</v>
      </c>
      <c r="Q34" s="6">
        <v>1.081</v>
      </c>
      <c r="R34" s="1">
        <v>4.8118500000000002E-2</v>
      </c>
      <c r="S34" s="7">
        <v>0.02</v>
      </c>
    </row>
    <row r="35" spans="1:19" x14ac:dyDescent="0.2">
      <c r="A35">
        <v>34</v>
      </c>
      <c r="B35">
        <v>50</v>
      </c>
      <c r="C35" t="s">
        <v>33</v>
      </c>
      <c r="D35" s="13" t="s">
        <v>912</v>
      </c>
      <c r="E35" s="1">
        <v>-3.60053</v>
      </c>
      <c r="F35">
        <v>-1.2105399999999999</v>
      </c>
      <c r="G35" s="1">
        <v>-3.49354221621169</v>
      </c>
      <c r="H35" s="1">
        <v>-1.1074686985400499</v>
      </c>
      <c r="I35">
        <f>VLOOKUP(C35,'[1]phenotypes-895'!$A$2:$G$896,7,FALSE)</f>
        <v>62</v>
      </c>
      <c r="J35" s="1">
        <v>4.9872899999999998E-2</v>
      </c>
      <c r="K35" s="1">
        <f>VLOOKUP(C35,'[1]phenotypes-895'!$A$2:$I$896,9,FALSE)</f>
        <v>0.54957624068581257</v>
      </c>
      <c r="L35" s="1">
        <v>2.8894400000000001E-2</v>
      </c>
      <c r="M35" s="4">
        <v>4.3430665812617049</v>
      </c>
      <c r="N35" s="1">
        <v>4.4420000000000001E-2</v>
      </c>
      <c r="O35" s="8">
        <v>1</v>
      </c>
      <c r="P35" s="1">
        <v>-0.15890299999999999</v>
      </c>
      <c r="Q35">
        <v>0.65</v>
      </c>
      <c r="R35" s="1">
        <v>-7.0179599999999995E-2</v>
      </c>
      <c r="S35" s="2">
        <v>-0.14000000000000001</v>
      </c>
    </row>
    <row r="36" spans="1:19" x14ac:dyDescent="0.2">
      <c r="A36">
        <v>35</v>
      </c>
      <c r="B36">
        <v>14</v>
      </c>
      <c r="C36" t="s">
        <v>34</v>
      </c>
      <c r="D36" s="12" t="s">
        <v>912</v>
      </c>
      <c r="E36" s="1">
        <v>-4.8011499999999998</v>
      </c>
      <c r="F36">
        <v>-3.7567300000000001</v>
      </c>
      <c r="G36" s="1">
        <v>-4.8835317633984996</v>
      </c>
      <c r="H36" s="1">
        <v>-3.8423057074316298</v>
      </c>
      <c r="I36">
        <f>VLOOKUP(C36,'[1]phenotypes-895'!$A$2:$G$896,7,FALSE)</f>
        <v>65</v>
      </c>
      <c r="J36" s="1">
        <v>8.0719399999999997E-2</v>
      </c>
      <c r="K36" s="1">
        <f>VLOOKUP(C36,'[1]phenotypes-895'!$A$2:$I$896,9,FALSE)</f>
        <v>0.59130634211188182</v>
      </c>
      <c r="L36" s="1">
        <v>4.3627699999999998E-2</v>
      </c>
      <c r="M36" s="4">
        <v>3.9205865910002298</v>
      </c>
      <c r="N36" s="1">
        <v>3.91431E-2</v>
      </c>
      <c r="O36" s="8">
        <v>1</v>
      </c>
      <c r="P36" s="1">
        <v>-5.0759199999999997E-2</v>
      </c>
      <c r="Q36" s="6">
        <v>0.96599999999999997</v>
      </c>
      <c r="R36" s="1">
        <v>-2.2491799999999999E-2</v>
      </c>
      <c r="S36" s="7">
        <v>-0.01</v>
      </c>
    </row>
    <row r="37" spans="1:19" x14ac:dyDescent="0.2">
      <c r="A37">
        <v>36</v>
      </c>
      <c r="B37">
        <v>44</v>
      </c>
      <c r="C37" t="s">
        <v>35</v>
      </c>
      <c r="D37" s="13" t="s">
        <v>912</v>
      </c>
      <c r="E37" s="1">
        <v>2.7135500000000001</v>
      </c>
      <c r="F37">
        <v>5.4764900000000001</v>
      </c>
      <c r="G37" s="1">
        <v>2.80382593624328</v>
      </c>
      <c r="H37" s="1">
        <v>5.5601854995383997</v>
      </c>
      <c r="I37">
        <f>VLOOKUP(C37,'[1]phenotypes-895'!$A$2:$G$896,7,FALSE)</f>
        <v>98</v>
      </c>
      <c r="J37" s="1">
        <v>-4.1125799999999997E-2</v>
      </c>
      <c r="K37" s="1">
        <f>VLOOKUP(C37,'[1]phenotypes-895'!$A$2:$I$896,9,FALSE)</f>
        <v>0</v>
      </c>
      <c r="L37" s="1">
        <v>0.207006</v>
      </c>
      <c r="M37" s="4">
        <v>0</v>
      </c>
      <c r="N37" s="1">
        <v>-1.4018299999999999E-2</v>
      </c>
      <c r="O37" s="8">
        <v>0</v>
      </c>
      <c r="P37" s="1">
        <v>-0.16630200000000001</v>
      </c>
      <c r="Q37">
        <v>0.60199999999999998</v>
      </c>
      <c r="R37" s="1">
        <v>-7.1662299999999998E-2</v>
      </c>
      <c r="S37" s="2">
        <v>-0.17</v>
      </c>
    </row>
    <row r="38" spans="1:19" x14ac:dyDescent="0.2">
      <c r="A38">
        <v>37</v>
      </c>
      <c r="B38">
        <v>11</v>
      </c>
      <c r="C38" t="s">
        <v>36</v>
      </c>
      <c r="D38" s="12" t="s">
        <v>912</v>
      </c>
      <c r="E38" s="1">
        <v>-6.9795699999999998</v>
      </c>
      <c r="F38">
        <v>-6.6970700000000001</v>
      </c>
      <c r="G38" s="1">
        <v>-6.9633225195934498</v>
      </c>
      <c r="H38" s="1">
        <v>-6.6820191520542203</v>
      </c>
      <c r="I38">
        <f>VLOOKUP(C38,'[1]phenotypes-895'!$A$2:$G$896,7,FALSE)</f>
        <v>63</v>
      </c>
      <c r="J38" s="1">
        <v>5.90667E-2</v>
      </c>
      <c r="K38" s="1">
        <f>VLOOKUP(C38,'[1]phenotypes-895'!$A$2:$I$896,9,FALSE)</f>
        <v>0.53490725040789722</v>
      </c>
      <c r="L38" s="1">
        <v>0.30074200000000001</v>
      </c>
      <c r="M38" s="4">
        <v>4.0143562998121256</v>
      </c>
      <c r="N38" s="1">
        <v>1.9685600000000001E-2</v>
      </c>
      <c r="O38" s="8">
        <v>1</v>
      </c>
      <c r="P38" s="1">
        <v>-3.0364100000000002E-2</v>
      </c>
      <c r="Q38" s="6">
        <v>1.028</v>
      </c>
      <c r="R38" s="1">
        <v>-1.24007E-3</v>
      </c>
      <c r="S38" s="7">
        <v>0.01</v>
      </c>
    </row>
    <row r="39" spans="1:19" x14ac:dyDescent="0.2">
      <c r="A39">
        <v>38</v>
      </c>
      <c r="B39">
        <v>43</v>
      </c>
      <c r="C39" t="s">
        <v>37</v>
      </c>
      <c r="D39" s="13" t="s">
        <v>912</v>
      </c>
      <c r="E39" s="1">
        <v>-3.7326600000000001</v>
      </c>
      <c r="F39">
        <v>-2.56291</v>
      </c>
      <c r="G39" s="1">
        <v>-3.57041745365499</v>
      </c>
      <c r="H39" s="1">
        <v>-2.39820695675111</v>
      </c>
      <c r="I39">
        <f>VLOOKUP(C39,'[1]phenotypes-895'!$A$2:$G$896,7,FALSE)</f>
        <v>70</v>
      </c>
      <c r="J39" s="1">
        <v>4.3093399999999997E-2</v>
      </c>
      <c r="K39" s="1">
        <f>VLOOKUP(C39,'[1]phenotypes-895'!$A$2:$I$896,9,FALSE)</f>
        <v>0.39741946747110651</v>
      </c>
      <c r="L39" s="1">
        <v>5.3884700000000001E-2</v>
      </c>
      <c r="M39" s="4">
        <v>4.5104605840627938</v>
      </c>
      <c r="N39" s="1">
        <v>1.0489E-2</v>
      </c>
      <c r="O39" s="8">
        <v>1</v>
      </c>
      <c r="P39" s="1">
        <v>-7.5684000000000001E-2</v>
      </c>
      <c r="Q39">
        <v>0.63</v>
      </c>
      <c r="R39" s="1">
        <v>-2.72821E-2</v>
      </c>
      <c r="S39" s="2">
        <v>-0.16</v>
      </c>
    </row>
    <row r="40" spans="1:19" x14ac:dyDescent="0.2">
      <c r="A40">
        <v>39</v>
      </c>
      <c r="B40">
        <v>17</v>
      </c>
      <c r="C40" t="s">
        <v>38</v>
      </c>
      <c r="D40" s="12" t="s">
        <v>912</v>
      </c>
      <c r="E40" s="1">
        <v>-4.23421</v>
      </c>
      <c r="F40">
        <v>-3.7282500000000001</v>
      </c>
      <c r="G40" s="1">
        <v>-4.21292885659392</v>
      </c>
      <c r="H40" s="1">
        <v>-3.7071537666737902</v>
      </c>
      <c r="I40">
        <f>VLOOKUP(C40,'[1]phenotypes-895'!$A$2:$G$896,7,FALSE)</f>
        <v>76</v>
      </c>
      <c r="J40" s="1">
        <v>4.5044300000000002E-2</v>
      </c>
      <c r="K40" s="1">
        <f>VLOOKUP(C40,'[1]phenotypes-895'!$A$2:$I$896,9,FALSE)</f>
        <v>0.32750185794187608</v>
      </c>
      <c r="L40" s="1">
        <v>-9.3304499999999999E-2</v>
      </c>
      <c r="M40" s="4">
        <v>4.0573427164502922</v>
      </c>
      <c r="N40" s="1">
        <v>6.4647200000000002E-3</v>
      </c>
      <c r="O40" s="8">
        <v>1</v>
      </c>
      <c r="P40" s="1">
        <v>4.93771E-2</v>
      </c>
      <c r="Q40" s="6">
        <v>1.0429999999999999</v>
      </c>
      <c r="R40" s="1">
        <v>2.0829899999999998E-2</v>
      </c>
      <c r="S40" s="7">
        <v>0.01</v>
      </c>
    </row>
    <row r="41" spans="1:19" x14ac:dyDescent="0.2">
      <c r="A41">
        <v>40</v>
      </c>
      <c r="B41">
        <v>37</v>
      </c>
      <c r="C41" t="s">
        <v>39</v>
      </c>
      <c r="D41" s="13" t="s">
        <v>913</v>
      </c>
      <c r="E41" s="1">
        <v>-2.2936299999999998</v>
      </c>
      <c r="F41">
        <v>-2.4687000000000001</v>
      </c>
      <c r="G41" s="1">
        <v>-2.2069120290214199</v>
      </c>
      <c r="H41" s="1">
        <v>-2.3885133976938402</v>
      </c>
      <c r="I41">
        <f>VLOOKUP(C41,'[1]phenotypes-895'!$A$2:$G$896,7,FALSE)</f>
        <v>49</v>
      </c>
      <c r="J41" s="1">
        <v>6.1507100000000002E-2</v>
      </c>
      <c r="K41" s="1">
        <f>VLOOKUP(C41,'[1]phenotypes-895'!$A$2:$I$896,9,FALSE)</f>
        <v>0.78039672242382041</v>
      </c>
      <c r="L41" s="1">
        <v>1.88031E-2</v>
      </c>
      <c r="M41" s="4">
        <v>3.9905399247692683</v>
      </c>
      <c r="N41" s="1">
        <v>-8.15543E-3</v>
      </c>
      <c r="O41" s="8">
        <v>1</v>
      </c>
      <c r="P41" s="1">
        <v>0.192299</v>
      </c>
      <c r="Q41">
        <v>1.357</v>
      </c>
      <c r="R41" s="1">
        <v>6.9744899999999999E-2</v>
      </c>
      <c r="S41" s="2">
        <v>0.1</v>
      </c>
    </row>
    <row r="42" spans="1:19" x14ac:dyDescent="0.2">
      <c r="A42">
        <v>41</v>
      </c>
      <c r="B42">
        <v>6</v>
      </c>
      <c r="C42" t="s">
        <v>40</v>
      </c>
      <c r="D42" s="12" t="s">
        <v>913</v>
      </c>
      <c r="E42" s="1">
        <v>-0.88200299999999998</v>
      </c>
      <c r="F42">
        <v>-3.145</v>
      </c>
      <c r="G42" s="1">
        <v>-0.920669611496577</v>
      </c>
      <c r="H42" s="1">
        <v>-3.1900364896286901</v>
      </c>
      <c r="I42">
        <f>VLOOKUP(C42,'[1]phenotypes-895'!$A$2:$G$896,7,FALSE)</f>
        <v>60</v>
      </c>
      <c r="J42" s="1">
        <v>7.9242300000000009E-3</v>
      </c>
      <c r="K42" s="1">
        <f>VLOOKUP(C42,'[1]phenotypes-895'!$A$2:$I$896,9,FALSE)</f>
        <v>0.58814379512376669</v>
      </c>
      <c r="L42" s="1">
        <v>-0.16569</v>
      </c>
      <c r="M42" s="4">
        <v>4.3476682778212838</v>
      </c>
      <c r="N42" s="1">
        <v>-1.46395E-2</v>
      </c>
      <c r="O42" s="8">
        <v>1</v>
      </c>
      <c r="P42" s="1">
        <v>7.4467000000000005E-2</v>
      </c>
      <c r="Q42" s="6">
        <v>1.0980000000000001</v>
      </c>
      <c r="R42" s="1">
        <v>3.1588100000000001E-2</v>
      </c>
      <c r="S42" s="7">
        <v>0.03</v>
      </c>
    </row>
    <row r="43" spans="1:19" x14ac:dyDescent="0.2">
      <c r="A43">
        <v>42</v>
      </c>
      <c r="B43">
        <v>23</v>
      </c>
      <c r="C43" t="s">
        <v>41</v>
      </c>
      <c r="D43" s="13" t="s">
        <v>913</v>
      </c>
      <c r="E43" s="1">
        <v>1.1819500000000001</v>
      </c>
      <c r="F43">
        <v>0.489929</v>
      </c>
      <c r="G43" s="1">
        <v>1.1748889000129701</v>
      </c>
      <c r="H43" s="1">
        <v>0.49256847786123098</v>
      </c>
      <c r="I43">
        <f>VLOOKUP(C43,'[1]phenotypes-895'!$A$2:$G$896,7,FALSE)</f>
        <v>56</v>
      </c>
      <c r="J43" s="1">
        <v>-4.2943299999999997E-2</v>
      </c>
      <c r="K43" s="1">
        <f>VLOOKUP(C43,'[1]phenotypes-895'!$A$2:$I$896,9,FALSE)</f>
        <v>0.47606881852290062</v>
      </c>
      <c r="L43" s="1">
        <v>-0.12514900000000001</v>
      </c>
      <c r="M43" s="4">
        <v>3.9466871097820584</v>
      </c>
      <c r="N43" s="1">
        <v>-5.5914399999999996E-3</v>
      </c>
      <c r="O43" s="8">
        <v>1</v>
      </c>
      <c r="P43" s="1">
        <v>0.12846199999999999</v>
      </c>
      <c r="Q43">
        <v>1.258</v>
      </c>
      <c r="R43" s="1">
        <v>4.8011199999999997E-2</v>
      </c>
      <c r="S43" s="2">
        <v>7.0000000000000007E-2</v>
      </c>
    </row>
    <row r="44" spans="1:19" x14ac:dyDescent="0.2">
      <c r="A44">
        <v>43</v>
      </c>
      <c r="B44">
        <v>15</v>
      </c>
      <c r="C44" t="s">
        <v>42</v>
      </c>
      <c r="D44" s="12" t="s">
        <v>912</v>
      </c>
      <c r="E44" s="1">
        <v>-3.5411800000000002</v>
      </c>
      <c r="F44">
        <v>-3.5698300000000001</v>
      </c>
      <c r="G44" s="1">
        <v>-3.4535236846327799</v>
      </c>
      <c r="H44" s="1">
        <v>-3.4800547362574701</v>
      </c>
      <c r="I44">
        <f>VLOOKUP(C44,'[1]phenotypes-895'!$A$2:$G$896,7,FALSE)</f>
        <v>78</v>
      </c>
      <c r="J44" s="1">
        <v>1.5602400000000001E-2</v>
      </c>
      <c r="K44" s="1">
        <f>VLOOKUP(C44,'[1]phenotypes-895'!$A$2:$I$896,9,FALSE)</f>
        <v>0.37620425382109091</v>
      </c>
      <c r="L44" s="1">
        <v>5.0922500000000002E-2</v>
      </c>
      <c r="M44" s="4">
        <v>4.6242131262286064</v>
      </c>
      <c r="N44" s="1">
        <v>6.2763599999999999E-3</v>
      </c>
      <c r="O44" s="8">
        <v>1</v>
      </c>
      <c r="P44" s="1">
        <v>8.9852600000000005E-2</v>
      </c>
      <c r="Q44" s="6">
        <v>1.105</v>
      </c>
      <c r="R44" s="1">
        <v>4.1662600000000001E-2</v>
      </c>
      <c r="S44" s="7">
        <v>0.03</v>
      </c>
    </row>
    <row r="45" spans="1:19" x14ac:dyDescent="0.2">
      <c r="A45">
        <v>44</v>
      </c>
      <c r="B45">
        <v>32</v>
      </c>
      <c r="C45" t="s">
        <v>43</v>
      </c>
      <c r="D45" s="13" t="s">
        <v>913</v>
      </c>
      <c r="E45" s="1">
        <v>-0.10712099999999999</v>
      </c>
      <c r="F45">
        <v>-0.55017300000000002</v>
      </c>
      <c r="G45" s="1">
        <v>-7.6424689200160795E-2</v>
      </c>
      <c r="H45" s="1">
        <v>-0.53339333183000004</v>
      </c>
      <c r="I45">
        <f>VLOOKUP(C45,'[1]phenotypes-895'!$A$2:$G$896,7,FALSE)</f>
        <v>67</v>
      </c>
      <c r="J45" s="1">
        <v>2.9002E-2</v>
      </c>
      <c r="K45" s="1">
        <f>VLOOKUP(C45,'[1]phenotypes-895'!$A$2:$I$896,9,FALSE)</f>
        <v>0.46892485816475382</v>
      </c>
      <c r="L45" s="1">
        <v>9.8579100000000003E-2</v>
      </c>
      <c r="M45" s="4">
        <v>4.2272782019979456</v>
      </c>
      <c r="N45" s="1">
        <v>7.81096E-4</v>
      </c>
      <c r="O45" s="8">
        <v>1</v>
      </c>
      <c r="P45" s="1">
        <v>4.6470999999999998E-2</v>
      </c>
      <c r="Q45">
        <v>1.0860000000000001</v>
      </c>
      <c r="R45" s="1">
        <v>2.1371000000000001E-2</v>
      </c>
      <c r="S45" s="2">
        <v>0.03</v>
      </c>
    </row>
    <row r="46" spans="1:19" x14ac:dyDescent="0.2">
      <c r="A46">
        <v>45</v>
      </c>
      <c r="B46">
        <v>20</v>
      </c>
      <c r="C46" t="s">
        <v>44</v>
      </c>
      <c r="D46" s="12" t="s">
        <v>912</v>
      </c>
      <c r="E46" s="1">
        <v>3.0034900000000002</v>
      </c>
      <c r="F46">
        <v>4.0183099999999996</v>
      </c>
      <c r="G46" s="1">
        <v>3.0303065068277499</v>
      </c>
      <c r="H46" s="1">
        <v>4.0574794056141004</v>
      </c>
      <c r="I46">
        <f>VLOOKUP(C46,'[1]phenotypes-895'!$A$2:$G$896,7,FALSE)</f>
        <v>98</v>
      </c>
      <c r="J46" s="1">
        <v>-4.7480300000000003E-2</v>
      </c>
      <c r="K46" s="1">
        <f>VLOOKUP(C46,'[1]phenotypes-895'!$A$2:$I$896,9,FALSE)</f>
        <v>0</v>
      </c>
      <c r="L46" s="1">
        <v>1.6571900000000001E-2</v>
      </c>
      <c r="M46" s="4">
        <v>0</v>
      </c>
      <c r="N46" s="1">
        <v>8.54392E-3</v>
      </c>
      <c r="O46" s="8">
        <v>0</v>
      </c>
      <c r="P46" s="1">
        <v>-4.8826099999999997E-2</v>
      </c>
      <c r="Q46" s="6">
        <v>0.98399999999999999</v>
      </c>
      <c r="R46" s="1">
        <v>-1.91828E-2</v>
      </c>
      <c r="S46" s="7">
        <v>-0.01</v>
      </c>
    </row>
    <row r="47" spans="1:19" x14ac:dyDescent="0.2">
      <c r="A47">
        <v>46</v>
      </c>
      <c r="B47">
        <v>48</v>
      </c>
      <c r="C47" t="s">
        <v>45</v>
      </c>
      <c r="D47" s="13" t="s">
        <v>912</v>
      </c>
      <c r="E47" s="1">
        <v>1.6675199999999999</v>
      </c>
      <c r="F47">
        <v>3.3890899999999999</v>
      </c>
      <c r="G47" s="1">
        <v>1.60810187688995</v>
      </c>
      <c r="H47" s="1">
        <v>3.33769675021178</v>
      </c>
      <c r="I47">
        <f>VLOOKUP(C47,'[1]phenotypes-895'!$A$2:$G$896,7,FALSE)</f>
        <v>67</v>
      </c>
      <c r="J47" s="1">
        <v>-6.8805199999999997E-2</v>
      </c>
      <c r="K47" s="1">
        <f>VLOOKUP(C47,'[1]phenotypes-895'!$A$2:$I$896,9,FALSE)</f>
        <v>0.43414309660345768</v>
      </c>
      <c r="L47" s="1">
        <v>-2.9615300000000001E-2</v>
      </c>
      <c r="M47" s="4">
        <v>4.159002894782855</v>
      </c>
      <c r="N47" s="1">
        <v>-1.0077600000000001E-2</v>
      </c>
      <c r="O47" s="8">
        <v>1</v>
      </c>
      <c r="P47" s="1">
        <v>-0.10025299999999999</v>
      </c>
      <c r="Q47">
        <v>0.66700000000000004</v>
      </c>
      <c r="R47" s="1">
        <v>-3.5458000000000003E-2</v>
      </c>
      <c r="S47" s="2">
        <v>-0.14000000000000001</v>
      </c>
    </row>
    <row r="48" spans="1:19" x14ac:dyDescent="0.2">
      <c r="A48">
        <v>47</v>
      </c>
      <c r="B48">
        <v>6</v>
      </c>
      <c r="C48" t="s">
        <v>46</v>
      </c>
      <c r="D48" s="12" t="s">
        <v>913</v>
      </c>
      <c r="E48" s="1">
        <v>0.20433699999999999</v>
      </c>
      <c r="F48">
        <v>-1.92005</v>
      </c>
      <c r="G48" s="1">
        <v>0.28342238097971301</v>
      </c>
      <c r="H48" s="1">
        <v>-1.8130239631837901</v>
      </c>
      <c r="I48">
        <f>VLOOKUP(C48,'[1]phenotypes-895'!$A$2:$G$896,7,FALSE)</f>
        <v>56</v>
      </c>
      <c r="J48" s="1">
        <v>-8.9803799999999996E-3</v>
      </c>
      <c r="K48" s="1">
        <f>VLOOKUP(C48,'[1]phenotypes-895'!$A$2:$I$896,9,FALSE)</f>
        <v>0.52238952232104696</v>
      </c>
      <c r="L48" s="1">
        <v>-0.16300200000000001</v>
      </c>
      <c r="M48" s="4">
        <v>3.8248778704319233</v>
      </c>
      <c r="N48" s="1">
        <v>-1.7590499999999998E-2</v>
      </c>
      <c r="O48" s="8">
        <v>1</v>
      </c>
      <c r="P48" s="1">
        <v>6.1119E-2</v>
      </c>
      <c r="Q48" s="6">
        <v>0.91900000000000004</v>
      </c>
      <c r="R48" s="1">
        <v>2.7107300000000001E-2</v>
      </c>
      <c r="S48" s="7">
        <v>-0.03</v>
      </c>
    </row>
    <row r="49" spans="1:19" x14ac:dyDescent="0.2">
      <c r="A49">
        <v>48</v>
      </c>
      <c r="B49">
        <v>16</v>
      </c>
      <c r="C49" t="s">
        <v>47</v>
      </c>
      <c r="D49" s="12" t="s">
        <v>912</v>
      </c>
      <c r="E49" s="1">
        <v>-5.7138799999999996</v>
      </c>
      <c r="F49">
        <v>-5.3949400000000001</v>
      </c>
      <c r="G49" s="1">
        <v>-5.7956682241730002</v>
      </c>
      <c r="H49" s="1">
        <v>-5.4741160269088702</v>
      </c>
      <c r="I49">
        <f>VLOOKUP(C49,'[1]phenotypes-895'!$A$2:$G$896,7,FALSE)</f>
        <v>61</v>
      </c>
      <c r="J49" s="1">
        <v>2.9877399999999998E-2</v>
      </c>
      <c r="K49" s="1">
        <f>VLOOKUP(C49,'[1]phenotypes-895'!$A$2:$I$896,9,FALSE)</f>
        <v>0.63783437068837801</v>
      </c>
      <c r="L49" s="1">
        <v>-3.1120999999999999E-2</v>
      </c>
      <c r="M49" s="4">
        <v>4.6345741351707366</v>
      </c>
      <c r="N49" s="1">
        <v>7.23487E-3</v>
      </c>
      <c r="O49" s="8">
        <v>1</v>
      </c>
      <c r="P49" s="1">
        <v>0.120544</v>
      </c>
      <c r="Q49" s="6">
        <v>1.1559999999999999</v>
      </c>
      <c r="R49" s="1">
        <v>4.8774600000000001E-2</v>
      </c>
      <c r="S49" s="7">
        <v>0.05</v>
      </c>
    </row>
    <row r="50" spans="1:19" x14ac:dyDescent="0.2">
      <c r="A50">
        <v>49</v>
      </c>
      <c r="B50">
        <v>17</v>
      </c>
      <c r="C50" t="s">
        <v>48</v>
      </c>
      <c r="D50" s="12" t="s">
        <v>912</v>
      </c>
      <c r="E50" s="1">
        <v>-9.0040300000000002</v>
      </c>
      <c r="F50">
        <v>-8.9433000000000007</v>
      </c>
      <c r="G50" s="1">
        <v>-8.8591471689410195</v>
      </c>
      <c r="H50" s="1">
        <v>-8.8014426148947305</v>
      </c>
      <c r="I50">
        <f>VLOOKUP(C50,'[1]phenotypes-895'!$A$2:$G$896,7,FALSE)</f>
        <v>64</v>
      </c>
      <c r="J50" s="1">
        <v>0.11579</v>
      </c>
      <c r="K50" s="1">
        <f>VLOOKUP(C50,'[1]phenotypes-895'!$A$2:$I$896,9,FALSE)</f>
        <v>0.41851628470226632</v>
      </c>
      <c r="L50" s="1">
        <v>-5.8611099999999999E-2</v>
      </c>
      <c r="M50" s="4">
        <v>4.3316092225488685</v>
      </c>
      <c r="N50" s="1">
        <v>1.66538E-2</v>
      </c>
      <c r="O50" s="8">
        <v>1</v>
      </c>
      <c r="P50" s="1">
        <v>5.95078E-2</v>
      </c>
      <c r="Q50" s="6">
        <v>1.0009999999999999</v>
      </c>
      <c r="R50" s="1">
        <v>2.69958E-2</v>
      </c>
      <c r="S50" s="7">
        <v>0</v>
      </c>
    </row>
    <row r="51" spans="1:19" x14ac:dyDescent="0.2">
      <c r="A51">
        <v>50</v>
      </c>
      <c r="B51">
        <v>6</v>
      </c>
      <c r="C51" t="s">
        <v>49</v>
      </c>
      <c r="D51" s="12" t="s">
        <v>913</v>
      </c>
      <c r="E51" s="1">
        <v>0.18390899999999999</v>
      </c>
      <c r="F51">
        <v>-1.8070299999999999</v>
      </c>
      <c r="G51" s="1">
        <v>0.14826566251960699</v>
      </c>
      <c r="H51" s="1">
        <v>-1.8521143261353501</v>
      </c>
      <c r="I51">
        <f>VLOOKUP(C51,'[1]phenotypes-895'!$A$2:$G$896,7,FALSE)</f>
        <v>98</v>
      </c>
      <c r="J51" s="1">
        <v>-5.1502800000000001E-3</v>
      </c>
      <c r="K51" s="1">
        <f>VLOOKUP(C51,'[1]phenotypes-895'!$A$2:$I$896,9,FALSE)</f>
        <v>0</v>
      </c>
      <c r="L51" s="1">
        <v>-0.106211</v>
      </c>
      <c r="M51" s="4">
        <v>0</v>
      </c>
      <c r="N51" s="1">
        <v>-1.28904E-2</v>
      </c>
      <c r="O51" s="8">
        <v>0</v>
      </c>
      <c r="P51" s="1">
        <v>0.10036399999999999</v>
      </c>
      <c r="Q51" s="6">
        <v>1.119</v>
      </c>
      <c r="R51" s="1">
        <v>3.5635500000000001E-2</v>
      </c>
      <c r="S51" s="7">
        <v>0.03</v>
      </c>
    </row>
    <row r="52" spans="1:19" x14ac:dyDescent="0.2">
      <c r="A52">
        <v>51</v>
      </c>
      <c r="B52">
        <v>11</v>
      </c>
      <c r="C52" t="s">
        <v>50</v>
      </c>
      <c r="D52" s="12" t="s">
        <v>912</v>
      </c>
      <c r="E52" s="1">
        <v>-1.69523</v>
      </c>
      <c r="F52">
        <v>-0.83791800000000005</v>
      </c>
      <c r="G52" s="1">
        <v>-1.57338772942952</v>
      </c>
      <c r="H52" s="1">
        <v>-0.71494569191741897</v>
      </c>
      <c r="I52">
        <f>VLOOKUP(C52,'[1]phenotypes-895'!$A$2:$G$896,7,FALSE)</f>
        <v>98</v>
      </c>
      <c r="J52" s="1">
        <v>3.01085E-2</v>
      </c>
      <c r="K52" s="1">
        <f>VLOOKUP(C52,'[1]phenotypes-895'!$A$2:$I$896,9,FALSE)</f>
        <v>0.28730367705543641</v>
      </c>
      <c r="L52" s="1">
        <v>0.49161899999999997</v>
      </c>
      <c r="M52" s="4">
        <v>5.343912890442355</v>
      </c>
      <c r="N52" s="1">
        <v>1.31094E-2</v>
      </c>
      <c r="O52" s="8">
        <v>1</v>
      </c>
      <c r="P52" s="1">
        <v>-3.0525699999999999E-2</v>
      </c>
      <c r="Q52" s="6">
        <v>0.96899999999999997</v>
      </c>
      <c r="R52" s="1">
        <v>-3.3800599999999998E-3</v>
      </c>
      <c r="S52" s="7">
        <v>-0.01</v>
      </c>
    </row>
    <row r="53" spans="1:19" x14ac:dyDescent="0.2">
      <c r="A53">
        <v>52</v>
      </c>
      <c r="B53">
        <v>14</v>
      </c>
      <c r="C53" t="s">
        <v>51</v>
      </c>
      <c r="D53" s="12" t="s">
        <v>912</v>
      </c>
      <c r="E53" s="1">
        <v>-5.3044700000000002</v>
      </c>
      <c r="F53">
        <v>-4.1228199999999999</v>
      </c>
      <c r="G53" s="1">
        <v>-5.3167153675305903</v>
      </c>
      <c r="H53" s="1">
        <v>-4.14177955814157</v>
      </c>
      <c r="I53">
        <f>VLOOKUP(C53,'[1]phenotypes-895'!$A$2:$G$896,7,FALSE)</f>
        <v>53</v>
      </c>
      <c r="J53" s="1">
        <v>9.9653800000000001E-2</v>
      </c>
      <c r="K53" s="1">
        <f>VLOOKUP(C53,'[1]phenotypes-895'!$A$2:$I$896,9,FALSE)</f>
        <v>0.617581363785628</v>
      </c>
      <c r="L53" s="1">
        <v>7.1718400000000002E-2</v>
      </c>
      <c r="M53" s="4">
        <v>4.4418077904845878</v>
      </c>
      <c r="N53" s="1">
        <v>4.3750699999999997E-2</v>
      </c>
      <c r="O53" s="8">
        <v>1</v>
      </c>
      <c r="P53" s="1">
        <v>-4.9752900000000003E-2</v>
      </c>
      <c r="Q53" s="6">
        <v>1.0589999999999999</v>
      </c>
      <c r="R53" s="1">
        <v>-2.13232E-2</v>
      </c>
      <c r="S53" s="7">
        <v>0.02</v>
      </c>
    </row>
    <row r="54" spans="1:19" x14ac:dyDescent="0.2">
      <c r="A54">
        <v>53</v>
      </c>
      <c r="B54">
        <v>10</v>
      </c>
      <c r="C54" t="s">
        <v>52</v>
      </c>
      <c r="D54" s="12" t="s">
        <v>912</v>
      </c>
      <c r="E54" s="1">
        <v>2.3173300000000001</v>
      </c>
      <c r="F54">
        <v>2.6180300000000001</v>
      </c>
      <c r="G54" s="1">
        <v>2.4597416650721202</v>
      </c>
      <c r="H54" s="1">
        <v>2.7617983815607299</v>
      </c>
      <c r="I54">
        <f>VLOOKUP(C54,'[1]phenotypes-895'!$A$2:$G$896,7,FALSE)</f>
        <v>98</v>
      </c>
      <c r="J54" s="1">
        <v>-3.6814E-2</v>
      </c>
      <c r="K54" s="1">
        <f>VLOOKUP(C54,'[1]phenotypes-895'!$A$2:$I$896,9,FALSE)</f>
        <v>0</v>
      </c>
      <c r="L54" s="1">
        <v>5.5669200000000002E-2</v>
      </c>
      <c r="M54" s="4">
        <v>0</v>
      </c>
      <c r="N54" s="1">
        <v>-2.04862E-2</v>
      </c>
      <c r="O54" s="8">
        <v>0</v>
      </c>
      <c r="P54" s="1">
        <v>-6.3247199999999998E-3</v>
      </c>
      <c r="Q54" s="6">
        <v>0.88300000000000001</v>
      </c>
      <c r="R54" s="1">
        <v>-2.2264699999999999E-3</v>
      </c>
      <c r="S54" s="7">
        <v>-0.04</v>
      </c>
    </row>
    <row r="55" spans="1:19" x14ac:dyDescent="0.2">
      <c r="A55">
        <v>54</v>
      </c>
      <c r="B55">
        <v>7</v>
      </c>
      <c r="C55" t="s">
        <v>53</v>
      </c>
      <c r="D55" s="12" t="s">
        <v>913</v>
      </c>
      <c r="E55" s="1">
        <v>-3.60914</v>
      </c>
      <c r="F55">
        <v>-4.0158899999999997</v>
      </c>
      <c r="G55" s="1">
        <v>-3.61747148541395</v>
      </c>
      <c r="H55" s="1">
        <v>-4.0321804372616796</v>
      </c>
      <c r="I55">
        <f>VLOOKUP(C55,'[1]phenotypes-895'!$A$2:$G$896,7,FALSE)</f>
        <v>61</v>
      </c>
      <c r="J55" s="1">
        <v>6.4463800000000002E-2</v>
      </c>
      <c r="K55" s="1">
        <f>VLOOKUP(C55,'[1]phenotypes-895'!$A$2:$I$896,9,FALSE)</f>
        <v>0.62277543621105924</v>
      </c>
      <c r="L55" s="1">
        <v>0.16125600000000001</v>
      </c>
      <c r="M55" s="4">
        <v>4.8934824478902144</v>
      </c>
      <c r="N55" s="1">
        <v>2.16358E-2</v>
      </c>
      <c r="O55" s="8">
        <v>1</v>
      </c>
      <c r="P55" s="1">
        <v>1.7840600000000002E-2</v>
      </c>
      <c r="Q55" s="6">
        <v>0.98799999999999999</v>
      </c>
      <c r="R55" s="1">
        <v>1.55047E-2</v>
      </c>
      <c r="S55" s="7">
        <v>0</v>
      </c>
    </row>
    <row r="56" spans="1:19" x14ac:dyDescent="0.2">
      <c r="A56">
        <v>55</v>
      </c>
      <c r="B56">
        <v>3</v>
      </c>
      <c r="C56" t="s">
        <v>54</v>
      </c>
      <c r="D56" s="12" t="s">
        <v>913</v>
      </c>
      <c r="E56" s="1">
        <v>-4.2069000000000001</v>
      </c>
      <c r="F56">
        <v>-7.1764799999999997</v>
      </c>
      <c r="G56" s="1">
        <v>-4.1384733788730399</v>
      </c>
      <c r="H56" s="1">
        <v>-7.1030167634175196</v>
      </c>
      <c r="I56">
        <f>VLOOKUP(C56,'[1]phenotypes-895'!$A$2:$G$896,7,FALSE)</f>
        <v>55</v>
      </c>
      <c r="J56" s="1">
        <v>7.5301499999999993E-2</v>
      </c>
      <c r="K56" s="1">
        <f>VLOOKUP(C56,'[1]phenotypes-895'!$A$2:$I$896,9,FALSE)</f>
        <v>0.77851569949699806</v>
      </c>
      <c r="L56" s="1">
        <v>-6.7806699999999998E-2</v>
      </c>
      <c r="M56" s="4">
        <v>3.4560968216750374</v>
      </c>
      <c r="N56" s="1">
        <v>1.9431799999999999E-2</v>
      </c>
      <c r="O56" s="8">
        <v>1</v>
      </c>
      <c r="P56" s="1">
        <v>0.113458</v>
      </c>
      <c r="Q56" s="6">
        <v>0.97799999999999998</v>
      </c>
      <c r="R56" s="1">
        <v>4.9710400000000002E-2</v>
      </c>
      <c r="S56" s="7">
        <v>-0.01</v>
      </c>
    </row>
    <row r="57" spans="1:19" x14ac:dyDescent="0.2">
      <c r="A57">
        <v>56</v>
      </c>
      <c r="B57">
        <v>12</v>
      </c>
      <c r="C57" t="s">
        <v>55</v>
      </c>
      <c r="D57" s="12" t="s">
        <v>912</v>
      </c>
      <c r="E57" s="1">
        <v>-4.5351600000000003</v>
      </c>
      <c r="F57">
        <v>-3.93912</v>
      </c>
      <c r="G57" s="1">
        <v>-4.3441251504150298</v>
      </c>
      <c r="H57" s="1">
        <v>-3.7591304500541902</v>
      </c>
      <c r="I57">
        <f>VLOOKUP(C57,'[1]phenotypes-895'!$A$2:$G$896,7,FALSE)</f>
        <v>48</v>
      </c>
      <c r="J57" s="1">
        <v>7.20829E-3</v>
      </c>
      <c r="K57" s="1">
        <f>VLOOKUP(C57,'[1]phenotypes-895'!$A$2:$I$896,9,FALSE)</f>
        <v>0.15858733705519409</v>
      </c>
      <c r="L57" s="1">
        <v>-4.1264700000000001E-2</v>
      </c>
      <c r="M57" s="4">
        <v>2.8282087869742591</v>
      </c>
      <c r="N57" s="1">
        <v>1.80033E-2</v>
      </c>
      <c r="O57" s="8">
        <v>1</v>
      </c>
      <c r="P57" s="1">
        <v>-3.76166E-2</v>
      </c>
      <c r="Q57" s="6">
        <v>0.871</v>
      </c>
      <c r="R57" s="1">
        <v>-8.4183599999999997E-3</v>
      </c>
      <c r="S57" s="7">
        <v>-0.04</v>
      </c>
    </row>
    <row r="58" spans="1:19" x14ac:dyDescent="0.2">
      <c r="A58">
        <v>57</v>
      </c>
      <c r="B58">
        <v>15</v>
      </c>
      <c r="C58" t="s">
        <v>56</v>
      </c>
      <c r="D58" s="12" t="s">
        <v>912</v>
      </c>
      <c r="E58" s="1">
        <v>-9.4636499999999995</v>
      </c>
      <c r="F58">
        <v>-10.8185</v>
      </c>
      <c r="G58" s="1">
        <v>-9.5429588321056507</v>
      </c>
      <c r="H58" s="1">
        <v>-10.906655660471699</v>
      </c>
      <c r="I58">
        <f>VLOOKUP(C58,'[1]phenotypes-895'!$A$2:$G$896,7,FALSE)</f>
        <v>45</v>
      </c>
      <c r="J58" s="1">
        <v>0.13055800000000001</v>
      </c>
      <c r="K58" s="1">
        <f>VLOOKUP(C58,'[1]phenotypes-895'!$A$2:$I$896,9,FALSE)</f>
        <v>0.95604867272690219</v>
      </c>
      <c r="L58" s="1">
        <v>0.13565199999999999</v>
      </c>
      <c r="M58" s="4">
        <v>4.5322300013828807</v>
      </c>
      <c r="N58" s="1">
        <v>1.7622499999999999E-2</v>
      </c>
      <c r="O58" s="8">
        <v>1</v>
      </c>
      <c r="P58" s="1">
        <v>0.132545</v>
      </c>
      <c r="Q58" s="6">
        <v>1.006</v>
      </c>
      <c r="R58" s="1">
        <v>5.6177999999999999E-2</v>
      </c>
      <c r="S58" s="7">
        <v>0</v>
      </c>
    </row>
    <row r="59" spans="1:19" x14ac:dyDescent="0.2">
      <c r="A59">
        <v>58</v>
      </c>
      <c r="B59">
        <v>4</v>
      </c>
      <c r="C59" t="s">
        <v>57</v>
      </c>
      <c r="D59" s="12" t="s">
        <v>913</v>
      </c>
      <c r="E59" s="1">
        <v>-0.64035299999999995</v>
      </c>
      <c r="F59">
        <v>-3.2387000000000001</v>
      </c>
      <c r="G59" s="1">
        <v>-0.68003370569853705</v>
      </c>
      <c r="H59" s="1">
        <v>-3.2887615381181998</v>
      </c>
      <c r="I59">
        <f>VLOOKUP(C59,'[1]phenotypes-895'!$A$2:$G$896,7,FALSE)</f>
        <v>56</v>
      </c>
      <c r="J59" s="1">
        <v>-2.6249700000000001E-2</v>
      </c>
      <c r="K59" s="1">
        <f>VLOOKUP(C59,'[1]phenotypes-895'!$A$2:$I$896,9,FALSE)</f>
        <v>0.4695089446210447</v>
      </c>
      <c r="L59" s="1">
        <v>-0.134409</v>
      </c>
      <c r="M59" s="4">
        <v>3.3324534051197183</v>
      </c>
      <c r="N59" s="1">
        <v>5.3302899999999997E-3</v>
      </c>
      <c r="O59" s="8">
        <v>1</v>
      </c>
      <c r="P59" s="1">
        <v>7.22086E-3</v>
      </c>
      <c r="Q59" s="6">
        <v>0.91</v>
      </c>
      <c r="R59" s="1">
        <v>1.33372E-2</v>
      </c>
      <c r="S59" s="7">
        <v>-0.03</v>
      </c>
    </row>
    <row r="60" spans="1:19" x14ac:dyDescent="0.2">
      <c r="A60">
        <v>59</v>
      </c>
      <c r="B60">
        <v>17</v>
      </c>
      <c r="C60" t="s">
        <v>58</v>
      </c>
      <c r="D60" s="12" t="s">
        <v>912</v>
      </c>
      <c r="E60" s="1">
        <v>-9.3988600000000009</v>
      </c>
      <c r="F60">
        <v>-9.42225</v>
      </c>
      <c r="G60" s="1">
        <v>-9.1767259561584407</v>
      </c>
      <c r="H60" s="1">
        <v>-9.1978720123195199</v>
      </c>
      <c r="I60">
        <f>VLOOKUP(C60,'[1]phenotypes-895'!$A$2:$G$896,7,FALSE)</f>
        <v>51</v>
      </c>
      <c r="J60" s="1">
        <v>0.115382</v>
      </c>
      <c r="K60" s="1">
        <f>VLOOKUP(C60,'[1]phenotypes-895'!$A$2:$I$896,9,FALSE)</f>
        <v>0.55472764630679017</v>
      </c>
      <c r="L60" s="1">
        <v>-4.8867599999999997E-2</v>
      </c>
      <c r="M60" s="4">
        <v>3.8533148897410454</v>
      </c>
      <c r="N60" s="1">
        <v>1.5018E-2</v>
      </c>
      <c r="O60" s="8">
        <v>1</v>
      </c>
      <c r="P60" s="1">
        <v>1.9240199999999999E-2</v>
      </c>
      <c r="Q60" s="6">
        <v>0.89400000000000002</v>
      </c>
      <c r="R60" s="1">
        <v>8.3123999999999993E-3</v>
      </c>
      <c r="S60" s="7">
        <v>-0.04</v>
      </c>
    </row>
    <row r="61" spans="1:19" x14ac:dyDescent="0.2">
      <c r="A61">
        <v>60</v>
      </c>
      <c r="B61">
        <v>18</v>
      </c>
      <c r="C61" t="s">
        <v>59</v>
      </c>
      <c r="D61" s="12" t="s">
        <v>912</v>
      </c>
      <c r="E61" s="1">
        <v>-0.68264400000000003</v>
      </c>
      <c r="F61">
        <v>0.48166900000000001</v>
      </c>
      <c r="G61" s="1">
        <v>-0.52604636779986302</v>
      </c>
      <c r="H61" s="1">
        <v>0.66490176334198303</v>
      </c>
      <c r="I61">
        <f>VLOOKUP(C61,'[1]phenotypes-895'!$A$2:$G$896,7,FALSE)</f>
        <v>88</v>
      </c>
      <c r="J61" s="1">
        <v>3.3807200000000003E-2</v>
      </c>
      <c r="K61" s="1">
        <f>VLOOKUP(C61,'[1]phenotypes-895'!$A$2:$I$896,9,FALSE)</f>
        <v>0.2183896245111589</v>
      </c>
      <c r="L61" s="1">
        <v>4.1221000000000001E-3</v>
      </c>
      <c r="M61" s="4">
        <v>4.2908675957823332</v>
      </c>
      <c r="N61" s="1">
        <v>1.1253600000000001E-2</v>
      </c>
      <c r="O61" s="8">
        <v>1</v>
      </c>
      <c r="P61" s="1">
        <v>-2.30773E-3</v>
      </c>
      <c r="Q61" s="6">
        <v>1.238</v>
      </c>
      <c r="R61" s="1">
        <v>-1.59742E-3</v>
      </c>
      <c r="S61" s="7">
        <v>7.0000000000000007E-2</v>
      </c>
    </row>
    <row r="62" spans="1:19" x14ac:dyDescent="0.2">
      <c r="A62">
        <v>61</v>
      </c>
      <c r="B62">
        <v>19</v>
      </c>
      <c r="C62" t="s">
        <v>60</v>
      </c>
      <c r="D62" s="12" t="s">
        <v>912</v>
      </c>
      <c r="E62" s="1">
        <v>-10.832100000000001</v>
      </c>
      <c r="F62">
        <v>-10.6045</v>
      </c>
      <c r="G62" s="1">
        <v>-10.674335989126099</v>
      </c>
      <c r="H62" s="1">
        <v>-10.456807951901901</v>
      </c>
      <c r="I62">
        <f>VLOOKUP(C62,'[1]phenotypes-895'!$A$2:$G$896,7,FALSE)</f>
        <v>74</v>
      </c>
      <c r="J62" s="1">
        <v>0.19844800000000001</v>
      </c>
      <c r="K62" s="1">
        <f>VLOOKUP(C62,'[1]phenotypes-895'!$A$2:$I$896,9,FALSE)</f>
        <v>0.48210567158959361</v>
      </c>
      <c r="L62" s="1">
        <v>9.8979499999999998E-2</v>
      </c>
      <c r="M62" s="4">
        <v>4.9317642468089744</v>
      </c>
      <c r="N62" s="1">
        <v>4.2767300000000001E-2</v>
      </c>
      <c r="O62" s="8">
        <v>1</v>
      </c>
      <c r="P62" s="1">
        <v>4.71274E-3</v>
      </c>
      <c r="Q62" s="6">
        <v>0.96399999999999997</v>
      </c>
      <c r="R62" s="1">
        <v>3.7143499999999999E-3</v>
      </c>
      <c r="S62" s="7">
        <v>-0.01</v>
      </c>
    </row>
    <row r="63" spans="1:19" x14ac:dyDescent="0.2">
      <c r="A63">
        <v>62</v>
      </c>
      <c r="B63">
        <v>14</v>
      </c>
      <c r="C63" t="s">
        <v>61</v>
      </c>
      <c r="D63" s="12" t="s">
        <v>912</v>
      </c>
      <c r="E63" s="1">
        <v>-8.3632399999999993</v>
      </c>
      <c r="F63">
        <v>-7.3253000000000004</v>
      </c>
      <c r="G63" s="1">
        <v>-8.3564485030610207</v>
      </c>
      <c r="H63" s="1">
        <v>-7.3169403523848304</v>
      </c>
      <c r="I63">
        <f>VLOOKUP(C63,'[1]phenotypes-895'!$A$2:$G$896,7,FALSE)</f>
        <v>68</v>
      </c>
      <c r="J63" s="1">
        <v>0.14019000000000001</v>
      </c>
      <c r="K63" s="1">
        <f>VLOOKUP(C63,'[1]phenotypes-895'!$A$2:$I$896,9,FALSE)</f>
        <v>0.73619269938075327</v>
      </c>
      <c r="L63" s="1">
        <v>7.9841599999999999E-2</v>
      </c>
      <c r="M63" s="4">
        <v>4.5417285696889262</v>
      </c>
      <c r="N63" s="1">
        <v>5.0481600000000001E-2</v>
      </c>
      <c r="O63" s="8">
        <v>1</v>
      </c>
      <c r="P63" s="1">
        <v>-4.8722100000000001E-3</v>
      </c>
      <c r="Q63" s="6">
        <v>1.286</v>
      </c>
      <c r="R63" s="1">
        <v>-6.87515E-3</v>
      </c>
      <c r="S63" s="7">
        <v>0.08</v>
      </c>
    </row>
    <row r="64" spans="1:19" x14ac:dyDescent="0.2">
      <c r="A64">
        <v>63</v>
      </c>
      <c r="B64">
        <v>11</v>
      </c>
      <c r="C64" t="s">
        <v>62</v>
      </c>
      <c r="D64" s="12" t="s">
        <v>912</v>
      </c>
      <c r="E64" s="1">
        <v>-5.1657299999999999</v>
      </c>
      <c r="F64">
        <v>-4.6176500000000003</v>
      </c>
      <c r="G64" s="1">
        <v>-5.0692217565235103</v>
      </c>
      <c r="H64" s="1">
        <v>-4.5330986099237096</v>
      </c>
      <c r="I64">
        <f>VLOOKUP(C64,'[1]phenotypes-895'!$A$2:$G$896,7,FALSE)</f>
        <v>53</v>
      </c>
      <c r="J64" s="1">
        <v>7.0309200000000002E-2</v>
      </c>
      <c r="K64" s="1">
        <f>VLOOKUP(C64,'[1]phenotypes-895'!$A$2:$I$896,9,FALSE)</f>
        <v>0.66109492525625735</v>
      </c>
      <c r="L64" s="1">
        <v>0.359595</v>
      </c>
      <c r="M64" s="4">
        <v>4.1629015259201196</v>
      </c>
      <c r="N64" s="1">
        <v>1.7125899999999999E-2</v>
      </c>
      <c r="O64" s="8">
        <v>1</v>
      </c>
      <c r="P64" s="1">
        <v>-2.0478099999999999E-2</v>
      </c>
      <c r="Q64" s="6">
        <v>0.95099999999999996</v>
      </c>
      <c r="R64" s="1">
        <v>-2.3863000000000001E-3</v>
      </c>
      <c r="S64" s="7">
        <v>-0.02</v>
      </c>
    </row>
    <row r="65" spans="1:19" x14ac:dyDescent="0.2">
      <c r="A65">
        <v>64</v>
      </c>
      <c r="B65">
        <v>5</v>
      </c>
      <c r="C65" t="s">
        <v>63</v>
      </c>
      <c r="D65" s="12" t="s">
        <v>913</v>
      </c>
      <c r="E65" s="1">
        <v>-7.1768000000000001</v>
      </c>
      <c r="F65">
        <v>-10.0379</v>
      </c>
      <c r="G65" s="1">
        <v>-7.1788810147934399</v>
      </c>
      <c r="H65" s="1">
        <v>-10.055572658599299</v>
      </c>
      <c r="I65">
        <f>VLOOKUP(C65,'[1]phenotypes-895'!$A$2:$G$896,7,FALSE)</f>
        <v>98</v>
      </c>
      <c r="J65" s="1">
        <v>0.12762000000000001</v>
      </c>
      <c r="K65" s="1">
        <f>VLOOKUP(C65,'[1]phenotypes-895'!$A$2:$I$896,9,FALSE)</f>
        <v>0.41321824859754669</v>
      </c>
      <c r="L65" s="1">
        <v>8.0677299999999993E-2</v>
      </c>
      <c r="M65" s="4">
        <v>4.5015858015907497</v>
      </c>
      <c r="N65" s="1">
        <v>3.7775900000000001E-2</v>
      </c>
      <c r="O65" s="8">
        <v>1</v>
      </c>
      <c r="P65" s="1">
        <v>8.4009399999999998E-2</v>
      </c>
      <c r="Q65" s="6">
        <v>0.95</v>
      </c>
      <c r="R65" s="1">
        <v>4.0137300000000001E-2</v>
      </c>
      <c r="S65" s="7">
        <v>-0.02</v>
      </c>
    </row>
    <row r="66" spans="1:19" x14ac:dyDescent="0.2">
      <c r="A66">
        <v>65</v>
      </c>
      <c r="B66">
        <v>12</v>
      </c>
      <c r="C66" t="s">
        <v>64</v>
      </c>
      <c r="D66" s="12" t="s">
        <v>912</v>
      </c>
      <c r="E66" s="1">
        <v>-0.67649099999999995</v>
      </c>
      <c r="F66">
        <v>0.14496899999999999</v>
      </c>
      <c r="G66" s="1">
        <v>-0.62613949811608605</v>
      </c>
      <c r="H66" s="1">
        <v>0.184151384603885</v>
      </c>
      <c r="I66">
        <f>VLOOKUP(C66,'[1]phenotypes-895'!$A$2:$G$896,7,FALSE)</f>
        <v>98</v>
      </c>
      <c r="J66" s="1">
        <v>-1.14375E-2</v>
      </c>
      <c r="K66" s="1">
        <f>VLOOKUP(C66,'[1]phenotypes-895'!$A$2:$I$896,9,FALSE)</f>
        <v>0</v>
      </c>
      <c r="L66" s="1">
        <v>-6.0951699999999998E-2</v>
      </c>
      <c r="M66" s="4">
        <v>0</v>
      </c>
      <c r="N66" s="1">
        <v>5.6906200000000004E-3</v>
      </c>
      <c r="O66" s="8">
        <v>0</v>
      </c>
      <c r="P66" s="1">
        <v>1.64552E-2</v>
      </c>
      <c r="Q66" s="6">
        <v>1.1120000000000001</v>
      </c>
      <c r="R66" s="1">
        <v>8.5163700000000005E-3</v>
      </c>
      <c r="S66" s="7">
        <v>0.03</v>
      </c>
    </row>
    <row r="67" spans="1:19" x14ac:dyDescent="0.2">
      <c r="A67">
        <v>66</v>
      </c>
      <c r="B67">
        <v>19</v>
      </c>
      <c r="C67" t="s">
        <v>65</v>
      </c>
      <c r="D67" s="12" t="s">
        <v>912</v>
      </c>
      <c r="E67" s="1">
        <v>-10.5624</v>
      </c>
      <c r="F67">
        <v>-10.433</v>
      </c>
      <c r="G67" s="1">
        <v>-10.518092507916901</v>
      </c>
      <c r="H67" s="1">
        <v>-10.394763858082801</v>
      </c>
      <c r="I67">
        <f>VLOOKUP(C67,'[1]phenotypes-895'!$A$2:$G$896,7,FALSE)</f>
        <v>72</v>
      </c>
      <c r="J67" s="1">
        <v>0.200601</v>
      </c>
      <c r="K67" s="1">
        <f>VLOOKUP(C67,'[1]phenotypes-895'!$A$2:$I$896,9,FALSE)</f>
        <v>0.56023602146200746</v>
      </c>
      <c r="L67" s="1">
        <v>4.59899E-2</v>
      </c>
      <c r="M67" s="4">
        <v>4.2423351203368815</v>
      </c>
      <c r="N67" s="1">
        <v>4.3294100000000002E-2</v>
      </c>
      <c r="O67" s="8">
        <v>1</v>
      </c>
      <c r="P67" s="1">
        <v>-4.6403299999999998E-3</v>
      </c>
      <c r="Q67" s="6">
        <v>0.86799999999999999</v>
      </c>
      <c r="R67" s="1">
        <v>2.16308E-3</v>
      </c>
      <c r="S67" s="7">
        <v>-0.04</v>
      </c>
    </row>
    <row r="68" spans="1:19" x14ac:dyDescent="0.2">
      <c r="A68">
        <v>67</v>
      </c>
      <c r="B68">
        <v>13</v>
      </c>
      <c r="C68" t="s">
        <v>66</v>
      </c>
      <c r="D68" s="12" t="s">
        <v>912</v>
      </c>
      <c r="E68" s="1">
        <v>-7.3173500000000002</v>
      </c>
      <c r="F68">
        <v>-7.0285299999999999</v>
      </c>
      <c r="G68" s="1">
        <v>-7.2561588596947804</v>
      </c>
      <c r="H68" s="1">
        <v>-6.973435685109</v>
      </c>
      <c r="I68">
        <f>VLOOKUP(C68,'[1]phenotypes-895'!$A$2:$G$896,7,FALSE)</f>
        <v>46</v>
      </c>
      <c r="J68" s="1">
        <v>0.114521</v>
      </c>
      <c r="K68" s="1">
        <f>VLOOKUP(C68,'[1]phenotypes-895'!$A$2:$I$896,9,FALSE)</f>
        <v>0.66137559614251251</v>
      </c>
      <c r="L68" s="1">
        <v>3.0286799999999999E-2</v>
      </c>
      <c r="M68" s="4">
        <v>4.0125365931110739</v>
      </c>
      <c r="N68" s="1">
        <v>-6.50615E-4</v>
      </c>
      <c r="O68" s="8">
        <v>1</v>
      </c>
      <c r="P68" s="1">
        <v>-6.9253700000000001E-4</v>
      </c>
      <c r="Q68" s="6">
        <v>0.97599999999999998</v>
      </c>
      <c r="R68" s="1">
        <v>6.4883800000000002E-3</v>
      </c>
      <c r="S68" s="7">
        <v>-0.01</v>
      </c>
    </row>
    <row r="69" spans="1:19" x14ac:dyDescent="0.2">
      <c r="A69">
        <v>68</v>
      </c>
      <c r="B69">
        <v>2</v>
      </c>
      <c r="C69" t="s">
        <v>67</v>
      </c>
      <c r="D69" s="12" t="s">
        <v>913</v>
      </c>
      <c r="E69" s="1">
        <v>-3.8444699999999998</v>
      </c>
      <c r="F69">
        <v>-6.2959699999999996</v>
      </c>
      <c r="G69" s="1">
        <v>-3.8639127633027899</v>
      </c>
      <c r="H69" s="1">
        <v>-6.3340409593153204</v>
      </c>
      <c r="I69">
        <f>VLOOKUP(C69,'[1]phenotypes-895'!$A$2:$G$896,7,FALSE)</f>
        <v>74</v>
      </c>
      <c r="J69" s="1">
        <v>5.4733200000000003E-2</v>
      </c>
      <c r="K69" s="1">
        <f>VLOOKUP(C69,'[1]phenotypes-895'!$A$2:$I$896,9,FALSE)</f>
        <v>0.67087147133961611</v>
      </c>
      <c r="L69" s="1">
        <v>-6.9831199999999996E-2</v>
      </c>
      <c r="M69" s="4">
        <v>4.1869286824103851</v>
      </c>
      <c r="N69" s="1">
        <v>8.1111699999999991E-3</v>
      </c>
      <c r="O69" s="8">
        <v>1</v>
      </c>
      <c r="P69" s="1">
        <v>0.181676</v>
      </c>
      <c r="Q69" s="6">
        <v>1.1399999999999999</v>
      </c>
      <c r="R69" s="1">
        <v>6.7817000000000002E-2</v>
      </c>
      <c r="S69" s="7">
        <v>0.04</v>
      </c>
    </row>
    <row r="70" spans="1:19" x14ac:dyDescent="0.2">
      <c r="A70">
        <v>69</v>
      </c>
      <c r="B70">
        <v>19</v>
      </c>
      <c r="C70" t="s">
        <v>68</v>
      </c>
      <c r="D70" s="12" t="s">
        <v>912</v>
      </c>
      <c r="E70" s="1">
        <v>-12.637700000000001</v>
      </c>
      <c r="F70">
        <v>-12.751200000000001</v>
      </c>
      <c r="G70" s="1">
        <v>-12.4609389289728</v>
      </c>
      <c r="H70" s="1">
        <v>-12.573469912594501</v>
      </c>
      <c r="I70">
        <f>VLOOKUP(C70,'[1]phenotypes-895'!$A$2:$G$896,7,FALSE)</f>
        <v>48</v>
      </c>
      <c r="J70" s="1">
        <v>0.23476900000000001</v>
      </c>
      <c r="K70" s="1">
        <f>VLOOKUP(C70,'[1]phenotypes-895'!$A$2:$I$896,9,FALSE)</f>
        <v>0.83059492705629911</v>
      </c>
      <c r="L70" s="1">
        <v>5.8528400000000001E-2</v>
      </c>
      <c r="M70" s="4">
        <v>4.4310735901355782</v>
      </c>
      <c r="N70" s="1">
        <v>4.2774399999999997E-2</v>
      </c>
      <c r="O70" s="8">
        <v>1</v>
      </c>
      <c r="P70" s="1">
        <v>3.9260900000000001E-2</v>
      </c>
      <c r="Q70" s="6">
        <v>1.0189999999999999</v>
      </c>
      <c r="R70" s="1">
        <v>1.43681E-2</v>
      </c>
      <c r="S70" s="7">
        <v>0.01</v>
      </c>
    </row>
    <row r="71" spans="1:19" x14ac:dyDescent="0.2">
      <c r="A71">
        <v>70</v>
      </c>
      <c r="B71">
        <v>13</v>
      </c>
      <c r="C71" t="s">
        <v>69</v>
      </c>
      <c r="D71" s="12" t="s">
        <v>912</v>
      </c>
      <c r="E71" s="1">
        <v>-4.4447999999999999</v>
      </c>
      <c r="F71">
        <v>-4.1955</v>
      </c>
      <c r="G71" s="1">
        <v>-4.4643142166333396</v>
      </c>
      <c r="H71" s="1">
        <v>-4.2135398042652099</v>
      </c>
      <c r="I71">
        <f>VLOOKUP(C71,'[1]phenotypes-895'!$A$2:$G$896,7,FALSE)</f>
        <v>54</v>
      </c>
      <c r="J71" s="1">
        <v>0.11446099999999999</v>
      </c>
      <c r="K71" s="1">
        <f>VLOOKUP(C71,'[1]phenotypes-895'!$A$2:$I$896,9,FALSE)</f>
        <v>0.70139043492104369</v>
      </c>
      <c r="L71" s="1">
        <v>3.0707100000000001E-2</v>
      </c>
      <c r="M71" s="4">
        <v>4.3262697436606823</v>
      </c>
      <c r="N71" s="1">
        <v>-6.23998E-3</v>
      </c>
      <c r="O71" s="8">
        <v>1</v>
      </c>
      <c r="P71" s="1">
        <v>-2.32944E-2</v>
      </c>
      <c r="Q71" s="6">
        <v>0.878</v>
      </c>
      <c r="R71" s="1">
        <v>6.2113100000000003E-4</v>
      </c>
      <c r="S71" s="7">
        <v>-0.04</v>
      </c>
    </row>
    <row r="72" spans="1:19" x14ac:dyDescent="0.2">
      <c r="A72">
        <v>71</v>
      </c>
      <c r="B72">
        <v>16</v>
      </c>
      <c r="C72" t="s">
        <v>70</v>
      </c>
      <c r="D72" s="12" t="s">
        <v>912</v>
      </c>
      <c r="E72" s="1">
        <v>-4.5806399999999998</v>
      </c>
      <c r="F72">
        <v>-4.48719</v>
      </c>
      <c r="G72" s="1">
        <v>-4.5231874647300696</v>
      </c>
      <c r="H72" s="1">
        <v>-4.4289432766297603</v>
      </c>
      <c r="I72">
        <f>VLOOKUP(C72,'[1]phenotypes-895'!$A$2:$G$896,7,FALSE)</f>
        <v>98</v>
      </c>
      <c r="J72" s="1">
        <v>4.4567599999999999E-2</v>
      </c>
      <c r="K72" s="1">
        <f>VLOOKUP(C72,'[1]phenotypes-895'!$A$2:$I$896,9,FALSE)</f>
        <v>0</v>
      </c>
      <c r="L72" s="1">
        <v>6.4573099999999994E-2</v>
      </c>
      <c r="M72" s="4">
        <v>0</v>
      </c>
      <c r="N72" s="1">
        <v>1.05662E-2</v>
      </c>
      <c r="O72" s="8">
        <v>0</v>
      </c>
      <c r="P72" s="1">
        <v>3.5736900000000002E-2</v>
      </c>
      <c r="Q72" s="6">
        <v>0.85599999999999998</v>
      </c>
      <c r="R72" s="1">
        <v>1.8611699999999998E-2</v>
      </c>
      <c r="S72" s="7">
        <v>-0.05</v>
      </c>
    </row>
    <row r="73" spans="1:19" x14ac:dyDescent="0.2">
      <c r="A73">
        <v>72</v>
      </c>
      <c r="B73">
        <v>33</v>
      </c>
      <c r="C73" t="s">
        <v>71</v>
      </c>
      <c r="D73" s="13" t="s">
        <v>913</v>
      </c>
      <c r="E73" s="1">
        <v>1.17778</v>
      </c>
      <c r="F73">
        <v>1.5385800000000001</v>
      </c>
      <c r="G73" s="1">
        <v>1.16798754634839</v>
      </c>
      <c r="H73" s="1">
        <v>1.5379828438913601</v>
      </c>
      <c r="I73">
        <f>VLOOKUP(C73,'[1]phenotypes-895'!$A$2:$G$896,7,FALSE)</f>
        <v>86</v>
      </c>
      <c r="J73" s="1">
        <v>-7.0730400000000001E-3</v>
      </c>
      <c r="K73" s="1">
        <f>VLOOKUP(C73,'[1]phenotypes-895'!$A$2:$I$896,9,FALSE)</f>
        <v>0.32520772064081138</v>
      </c>
      <c r="L73" s="1">
        <v>0.11414199999999999</v>
      </c>
      <c r="M73" s="4">
        <v>3.9879602571376656</v>
      </c>
      <c r="N73" s="1">
        <v>1.41602E-2</v>
      </c>
      <c r="O73" s="8">
        <v>1</v>
      </c>
      <c r="P73" s="1">
        <v>1.9554700000000001E-2</v>
      </c>
      <c r="Q73">
        <v>0.93799999999999994</v>
      </c>
      <c r="R73" s="1">
        <v>1.5429E-2</v>
      </c>
      <c r="S73" s="2">
        <v>-0.02</v>
      </c>
    </row>
    <row r="74" spans="1:19" x14ac:dyDescent="0.2">
      <c r="A74">
        <v>73</v>
      </c>
      <c r="B74">
        <v>19</v>
      </c>
      <c r="C74" t="s">
        <v>72</v>
      </c>
      <c r="D74" s="12" t="s">
        <v>912</v>
      </c>
      <c r="E74" s="1">
        <v>-11.298400000000001</v>
      </c>
      <c r="F74">
        <v>-11.475</v>
      </c>
      <c r="G74" s="1">
        <v>-11.110775031547499</v>
      </c>
      <c r="H74" s="1">
        <v>-11.2927466363251</v>
      </c>
      <c r="I74">
        <f>VLOOKUP(C74,'[1]phenotypes-895'!$A$2:$G$896,7,FALSE)</f>
        <v>48</v>
      </c>
      <c r="J74" s="1">
        <v>0.232039</v>
      </c>
      <c r="K74" s="1">
        <f>VLOOKUP(C74,'[1]phenotypes-895'!$A$2:$I$896,9,FALSE)</f>
        <v>1.109851524755191</v>
      </c>
      <c r="L74" s="1">
        <v>2.6712799999999998E-2</v>
      </c>
      <c r="M74" s="4">
        <v>4.2661380581592985</v>
      </c>
      <c r="N74" s="1">
        <v>3.5451499999999997E-2</v>
      </c>
      <c r="O74" s="8">
        <v>1</v>
      </c>
      <c r="P74" s="1">
        <v>9.9726599999999999E-2</v>
      </c>
      <c r="Q74" s="6">
        <v>1.0920000000000001</v>
      </c>
      <c r="R74" s="1">
        <v>4.2258200000000003E-2</v>
      </c>
      <c r="S74" s="7">
        <v>0.03</v>
      </c>
    </row>
    <row r="75" spans="1:19" x14ac:dyDescent="0.2">
      <c r="A75">
        <v>74</v>
      </c>
      <c r="B75">
        <v>21</v>
      </c>
      <c r="C75" t="s">
        <v>73</v>
      </c>
      <c r="D75" s="13" t="s">
        <v>913</v>
      </c>
      <c r="E75" s="1">
        <v>-0.12221700000000001</v>
      </c>
      <c r="F75">
        <v>-1.2684800000000001</v>
      </c>
      <c r="G75" s="1">
        <v>-0.16331109031007801</v>
      </c>
      <c r="H75" s="1">
        <v>-1.32460230834724</v>
      </c>
      <c r="I75">
        <f>VLOOKUP(C75,'[1]phenotypes-895'!$A$2:$G$896,7,FALSE)</f>
        <v>59</v>
      </c>
      <c r="J75" s="1">
        <v>-1.25463E-2</v>
      </c>
      <c r="K75" s="1">
        <f>VLOOKUP(C75,'[1]phenotypes-895'!$A$2:$I$896,9,FALSE)</f>
        <v>0.53507924337900448</v>
      </c>
      <c r="L75" s="1">
        <v>-6.5145700000000001E-2</v>
      </c>
      <c r="M75" s="4">
        <v>4.6754498078618933</v>
      </c>
      <c r="N75" s="1">
        <v>-1.7686299999999999E-2</v>
      </c>
      <c r="O75" s="8">
        <v>1</v>
      </c>
      <c r="P75" s="1">
        <v>6.5602199999999999E-2</v>
      </c>
      <c r="Q75">
        <v>1.085</v>
      </c>
      <c r="R75" s="1">
        <v>3.2543000000000002E-2</v>
      </c>
      <c r="S75" s="2">
        <v>0.03</v>
      </c>
    </row>
    <row r="76" spans="1:19" x14ac:dyDescent="0.2">
      <c r="A76">
        <v>75</v>
      </c>
      <c r="B76">
        <v>3</v>
      </c>
      <c r="C76" t="s">
        <v>74</v>
      </c>
      <c r="D76" s="12" t="s">
        <v>913</v>
      </c>
      <c r="E76" s="1">
        <v>-2.24578E-2</v>
      </c>
      <c r="F76">
        <v>-2.3340900000000002</v>
      </c>
      <c r="G76" s="1">
        <v>-9.0126443004150906E-3</v>
      </c>
      <c r="H76" s="1">
        <v>-2.3221313165007</v>
      </c>
      <c r="I76">
        <f>VLOOKUP(C76,'[1]phenotypes-895'!$A$2:$G$896,7,FALSE)</f>
        <v>63</v>
      </c>
      <c r="J76" s="1">
        <v>-2.4846899999999999E-3</v>
      </c>
      <c r="K76" s="1">
        <f>VLOOKUP(C76,'[1]phenotypes-895'!$A$2:$I$896,9,FALSE)</f>
        <v>0.65320263519019406</v>
      </c>
      <c r="L76" s="1">
        <v>-0.10503999999999999</v>
      </c>
      <c r="M76" s="4">
        <v>4.3357275959339594</v>
      </c>
      <c r="N76" s="1">
        <v>3.0034599999999999E-3</v>
      </c>
      <c r="O76" s="8">
        <v>1</v>
      </c>
      <c r="P76" s="1">
        <v>4.4774700000000001E-2</v>
      </c>
      <c r="Q76" s="6">
        <v>0.93400000000000005</v>
      </c>
      <c r="R76" s="1">
        <v>2.47695E-2</v>
      </c>
      <c r="S76" s="7">
        <v>-0.02</v>
      </c>
    </row>
    <row r="77" spans="1:19" x14ac:dyDescent="0.2">
      <c r="A77">
        <v>76</v>
      </c>
      <c r="B77">
        <v>25</v>
      </c>
      <c r="C77" t="s">
        <v>75</v>
      </c>
      <c r="D77" s="13" t="s">
        <v>913</v>
      </c>
      <c r="E77" s="1">
        <v>2.8125599999999999</v>
      </c>
      <c r="F77">
        <v>1.8668899999999999</v>
      </c>
      <c r="G77" s="1">
        <v>2.9042457635343202</v>
      </c>
      <c r="H77" s="1">
        <v>1.9712078141659399</v>
      </c>
      <c r="I77">
        <f>VLOOKUP(C77,'[1]phenotypes-895'!$A$2:$G$896,7,FALSE)</f>
        <v>80</v>
      </c>
      <c r="J77" s="1">
        <v>-2.3407799999999999E-2</v>
      </c>
      <c r="K77" s="1">
        <f>VLOOKUP(C77,'[1]phenotypes-895'!$A$2:$I$896,9,FALSE)</f>
        <v>0.37192802041278089</v>
      </c>
      <c r="L77" s="1">
        <v>-8.3555400000000002E-2</v>
      </c>
      <c r="M77" s="4">
        <v>4.4619599697544974</v>
      </c>
      <c r="N77" s="1">
        <v>-5.4493600000000003E-3</v>
      </c>
      <c r="O77" s="8">
        <v>1</v>
      </c>
      <c r="P77" s="1">
        <v>0.1118</v>
      </c>
      <c r="Q77">
        <v>1.1599999999999999</v>
      </c>
      <c r="R77" s="1">
        <v>4.0604099999999997E-2</v>
      </c>
      <c r="S77" s="2">
        <v>0.05</v>
      </c>
    </row>
    <row r="78" spans="1:19" x14ac:dyDescent="0.2">
      <c r="A78">
        <v>77</v>
      </c>
      <c r="B78">
        <v>9</v>
      </c>
      <c r="C78" t="s">
        <v>76</v>
      </c>
      <c r="D78" s="12" t="s">
        <v>912</v>
      </c>
      <c r="E78" s="1">
        <v>1.3834</v>
      </c>
      <c r="F78">
        <v>2.2054</v>
      </c>
      <c r="G78" s="1">
        <v>1.4010577662217401</v>
      </c>
      <c r="H78" s="1">
        <v>2.2408820271434702</v>
      </c>
      <c r="I78">
        <f>VLOOKUP(C78,'[1]phenotypes-895'!$A$2:$G$896,7,FALSE)</f>
        <v>98</v>
      </c>
      <c r="J78" s="1">
        <v>-2.4183099999999999E-2</v>
      </c>
      <c r="K78" s="1">
        <f>VLOOKUP(C78,'[1]phenotypes-895'!$A$2:$I$896,9,FALSE)</f>
        <v>0</v>
      </c>
      <c r="L78" s="1">
        <v>0.24882000000000001</v>
      </c>
      <c r="M78" s="4">
        <v>0</v>
      </c>
      <c r="N78" s="1">
        <v>-9.3530699999999998E-3</v>
      </c>
      <c r="O78" s="8">
        <v>0</v>
      </c>
      <c r="P78" s="1">
        <v>-5.5176099999999999E-2</v>
      </c>
      <c r="Q78" s="6">
        <v>0.80400000000000005</v>
      </c>
      <c r="R78" s="1">
        <v>-1.4054199999999999E-2</v>
      </c>
      <c r="S78" s="7">
        <v>-7.0000000000000007E-2</v>
      </c>
    </row>
    <row r="79" spans="1:19" x14ac:dyDescent="0.2">
      <c r="A79">
        <v>78</v>
      </c>
      <c r="B79">
        <v>28</v>
      </c>
      <c r="C79" t="s">
        <v>77</v>
      </c>
      <c r="D79" s="13" t="s">
        <v>913</v>
      </c>
      <c r="E79" s="1">
        <v>-7.5554300000000003</v>
      </c>
      <c r="F79">
        <v>-10.390599999999999</v>
      </c>
      <c r="G79" s="1">
        <v>-7.3789525762155801</v>
      </c>
      <c r="H79" s="1">
        <v>-10.184509414623401</v>
      </c>
      <c r="I79">
        <f>VLOOKUP(C79,'[1]phenotypes-895'!$A$2:$G$896,7,FALSE)</f>
        <v>67</v>
      </c>
      <c r="J79" s="1">
        <v>0.10157099999999999</v>
      </c>
      <c r="K79" s="1">
        <f>VLOOKUP(C79,'[1]phenotypes-895'!$A$2:$I$896,9,FALSE)</f>
        <v>0.36051233755760348</v>
      </c>
      <c r="L79" s="1">
        <v>0.11741699999999999</v>
      </c>
      <c r="M79" s="4">
        <v>4.3135863776650245</v>
      </c>
      <c r="N79" s="1">
        <v>3.0855400000000002E-2</v>
      </c>
      <c r="O79" s="8">
        <v>1</v>
      </c>
      <c r="P79" s="1">
        <v>6.9068299999999999E-2</v>
      </c>
      <c r="Q79">
        <v>1.194</v>
      </c>
      <c r="R79" s="1">
        <v>6.1897499999999999E-3</v>
      </c>
      <c r="S79" s="2">
        <v>0.05</v>
      </c>
    </row>
    <row r="80" spans="1:19" x14ac:dyDescent="0.2">
      <c r="A80">
        <v>79</v>
      </c>
      <c r="B80">
        <v>18</v>
      </c>
      <c r="C80" t="s">
        <v>78</v>
      </c>
      <c r="D80" s="12" t="s">
        <v>912</v>
      </c>
      <c r="E80" s="1">
        <v>0.29174499999999998</v>
      </c>
      <c r="F80">
        <v>1.60103</v>
      </c>
      <c r="G80" s="1">
        <v>0.45968942662487999</v>
      </c>
      <c r="H80" s="1">
        <v>1.79418186198013</v>
      </c>
      <c r="I80">
        <f>VLOOKUP(C80,'[1]phenotypes-895'!$A$2:$G$896,7,FALSE)</f>
        <v>81</v>
      </c>
      <c r="J80" s="1">
        <v>2.6471700000000001E-2</v>
      </c>
      <c r="K80" s="1">
        <f>VLOOKUP(C80,'[1]phenotypes-895'!$A$2:$I$896,9,FALSE)</f>
        <v>0.44819026776004089</v>
      </c>
      <c r="L80" s="1">
        <v>-1.9278199999999999E-2</v>
      </c>
      <c r="M80" s="4">
        <v>3.9877352123783587</v>
      </c>
      <c r="N80" s="1">
        <v>9.3708200000000002E-3</v>
      </c>
      <c r="O80" s="8">
        <v>1</v>
      </c>
      <c r="P80" s="1">
        <v>-9.4455700000000004E-3</v>
      </c>
      <c r="Q80" s="6">
        <v>1.0780000000000001</v>
      </c>
      <c r="R80" s="1">
        <v>-5.8897400000000001E-3</v>
      </c>
      <c r="S80" s="7">
        <v>0.02</v>
      </c>
    </row>
    <row r="81" spans="1:19" x14ac:dyDescent="0.2">
      <c r="A81">
        <v>80</v>
      </c>
      <c r="B81">
        <v>44</v>
      </c>
      <c r="C81" t="s">
        <v>79</v>
      </c>
      <c r="D81" s="13" t="s">
        <v>912</v>
      </c>
      <c r="E81" s="1">
        <v>-5.0012100000000004</v>
      </c>
      <c r="F81">
        <v>-3.7669199999999998</v>
      </c>
      <c r="G81" s="1">
        <v>-5.0673430801100601</v>
      </c>
      <c r="H81" s="1">
        <v>-3.8283574340144799</v>
      </c>
      <c r="I81">
        <f>VLOOKUP(C81,'[1]phenotypes-895'!$A$2:$G$896,7,FALSE)</f>
        <v>58</v>
      </c>
      <c r="J81" s="1">
        <v>5.6117600000000004E-3</v>
      </c>
      <c r="K81" s="1">
        <f>VLOOKUP(C81,'[1]phenotypes-895'!$A$2:$I$896,9,FALSE)</f>
        <v>0.66500374408442009</v>
      </c>
      <c r="L81" s="1">
        <v>-3.9104700000000001E-3</v>
      </c>
      <c r="M81" s="4">
        <v>4.9620136343602139</v>
      </c>
      <c r="N81" s="1">
        <v>-1.24434E-2</v>
      </c>
      <c r="O81" s="8">
        <v>1</v>
      </c>
      <c r="P81" s="1">
        <v>-7.0314600000000005E-2</v>
      </c>
      <c r="Q81">
        <v>0.81499999999999995</v>
      </c>
      <c r="R81" s="1">
        <v>-2.1303699999999998E-2</v>
      </c>
      <c r="S81" s="2">
        <v>-7.0000000000000007E-2</v>
      </c>
    </row>
    <row r="82" spans="1:19" x14ac:dyDescent="0.2">
      <c r="A82">
        <v>81</v>
      </c>
      <c r="B82">
        <v>12</v>
      </c>
      <c r="C82" t="s">
        <v>80</v>
      </c>
      <c r="D82" s="12" t="s">
        <v>912</v>
      </c>
      <c r="E82" s="1">
        <v>-0.60033800000000004</v>
      </c>
      <c r="F82">
        <v>0.25291000000000002</v>
      </c>
      <c r="G82" s="1">
        <v>-0.49070349239036798</v>
      </c>
      <c r="H82" s="1">
        <v>0.36842156782443197</v>
      </c>
      <c r="I82">
        <f>VLOOKUP(C82,'[1]phenotypes-895'!$A$2:$G$896,7,FALSE)</f>
        <v>72</v>
      </c>
      <c r="J82" s="1">
        <v>4.3978400000000001E-2</v>
      </c>
      <c r="K82" s="1">
        <f>VLOOKUP(C82,'[1]phenotypes-895'!$A$2:$I$896,9,FALSE)</f>
        <v>0.74593822322571368</v>
      </c>
      <c r="L82" s="1">
        <v>0.15721099999999999</v>
      </c>
      <c r="M82" s="4">
        <v>5.2057317749641552</v>
      </c>
      <c r="N82" s="1">
        <v>-8.6580700000000003E-3</v>
      </c>
      <c r="O82" s="8">
        <v>1</v>
      </c>
      <c r="P82" s="1">
        <v>-9.4450999999999993E-2</v>
      </c>
      <c r="Q82" s="6">
        <v>0.85699999999999998</v>
      </c>
      <c r="R82" s="1">
        <v>-3.4576599999999999E-2</v>
      </c>
      <c r="S82" s="7">
        <v>-0.05</v>
      </c>
    </row>
    <row r="83" spans="1:19" x14ac:dyDescent="0.2">
      <c r="A83">
        <v>82</v>
      </c>
      <c r="B83">
        <v>33</v>
      </c>
      <c r="C83" t="s">
        <v>81</v>
      </c>
      <c r="D83" s="13" t="s">
        <v>913</v>
      </c>
      <c r="E83" s="1">
        <v>-1.53162</v>
      </c>
      <c r="F83">
        <v>-1.48708</v>
      </c>
      <c r="G83" s="1">
        <v>-1.5219242167357401</v>
      </c>
      <c r="H83" s="1">
        <v>-1.4797308588028599</v>
      </c>
      <c r="I83">
        <f>VLOOKUP(C83,'[1]phenotypes-895'!$A$2:$G$896,7,FALSE)</f>
        <v>76</v>
      </c>
      <c r="J83" s="1">
        <v>3.5027299999999997E-2</v>
      </c>
      <c r="K83" s="1">
        <f>VLOOKUP(C83,'[1]phenotypes-895'!$A$2:$I$896,9,FALSE)</f>
        <v>0.50390707719292005</v>
      </c>
      <c r="L83" s="1">
        <v>9.0144199999999994E-2</v>
      </c>
      <c r="M83" s="4">
        <v>4.0376525691937903</v>
      </c>
      <c r="N83" s="1">
        <v>1.5283100000000001E-2</v>
      </c>
      <c r="O83" s="8">
        <v>1</v>
      </c>
      <c r="P83" s="1">
        <v>4.7869799999999997E-2</v>
      </c>
      <c r="Q83">
        <v>1.014</v>
      </c>
      <c r="R83" s="1">
        <v>2.1932E-2</v>
      </c>
      <c r="S83" s="2">
        <v>0</v>
      </c>
    </row>
    <row r="84" spans="1:19" x14ac:dyDescent="0.2">
      <c r="A84">
        <v>83</v>
      </c>
      <c r="B84">
        <v>10</v>
      </c>
      <c r="C84" t="s">
        <v>82</v>
      </c>
      <c r="D84" s="12" t="s">
        <v>912</v>
      </c>
      <c r="E84" s="1">
        <v>-4.6215299999999999</v>
      </c>
      <c r="F84">
        <v>-4.2322600000000001</v>
      </c>
      <c r="G84" s="1">
        <v>-4.5951309144919597</v>
      </c>
      <c r="H84" s="1">
        <v>-4.2156058327931998</v>
      </c>
      <c r="I84">
        <f>VLOOKUP(C84,'[1]phenotypes-895'!$A$2:$G$896,7,FALSE)</f>
        <v>54</v>
      </c>
      <c r="J84" s="1">
        <v>6.7111699999999996E-2</v>
      </c>
      <c r="K84" s="1">
        <f>VLOOKUP(C84,'[1]phenotypes-895'!$A$2:$I$896,9,FALSE)</f>
        <v>0.69853593937428582</v>
      </c>
      <c r="L84" s="1">
        <v>8.2236799999999999E-2</v>
      </c>
      <c r="M84" s="4">
        <v>4.1832573352255364</v>
      </c>
      <c r="N84" s="1">
        <v>5.0645799999999999E-3</v>
      </c>
      <c r="O84" s="8">
        <v>1</v>
      </c>
      <c r="P84" s="1">
        <v>6.9168900000000005E-2</v>
      </c>
      <c r="Q84" s="6">
        <v>1.1120000000000001</v>
      </c>
      <c r="R84" s="1">
        <v>2.6631499999999999E-2</v>
      </c>
      <c r="S84" s="7">
        <v>0.03</v>
      </c>
    </row>
    <row r="85" spans="1:19" x14ac:dyDescent="0.2">
      <c r="A85">
        <v>84</v>
      </c>
      <c r="B85">
        <v>39</v>
      </c>
      <c r="C85" t="s">
        <v>83</v>
      </c>
      <c r="D85" s="13" t="s">
        <v>913</v>
      </c>
      <c r="E85" s="1">
        <v>3.7354599999999998</v>
      </c>
      <c r="F85">
        <v>3.2576499999999999</v>
      </c>
      <c r="G85" s="1">
        <v>3.7226478263747498</v>
      </c>
      <c r="H85" s="1">
        <v>3.2418134448523901</v>
      </c>
      <c r="I85">
        <f>VLOOKUP(C85,'[1]phenotypes-895'!$A$2:$G$896,7,FALSE)</f>
        <v>63</v>
      </c>
      <c r="J85" s="1">
        <v>-6.00645E-2</v>
      </c>
      <c r="K85" s="1">
        <f>VLOOKUP(C85,'[1]phenotypes-895'!$A$2:$I$896,9,FALSE)</f>
        <v>0.37659950478442888</v>
      </c>
      <c r="L85" s="1">
        <v>9.2525899999999998E-3</v>
      </c>
      <c r="M85" s="4">
        <v>4.0582710560400361</v>
      </c>
      <c r="N85" s="1">
        <v>-2.7533100000000001E-2</v>
      </c>
      <c r="O85" s="8">
        <v>1</v>
      </c>
      <c r="P85" s="1">
        <v>1.17806E-2</v>
      </c>
      <c r="Q85">
        <v>0.875</v>
      </c>
      <c r="R85" s="1">
        <v>1.05577E-2</v>
      </c>
      <c r="S85" s="2">
        <v>-0.04</v>
      </c>
    </row>
    <row r="86" spans="1:19" x14ac:dyDescent="0.2">
      <c r="A86">
        <v>85</v>
      </c>
      <c r="B86">
        <v>8</v>
      </c>
      <c r="C86" t="s">
        <v>84</v>
      </c>
      <c r="D86" s="12" t="s">
        <v>913</v>
      </c>
      <c r="E86" s="1">
        <v>5.2943300000000004</v>
      </c>
      <c r="F86">
        <v>3.9579399999999998</v>
      </c>
      <c r="G86" s="1">
        <v>5.3699863539380397</v>
      </c>
      <c r="H86" s="1">
        <v>4.0545620221990903</v>
      </c>
      <c r="I86">
        <f>VLOOKUP(C86,'[1]phenotypes-895'!$A$2:$G$896,7,FALSE)</f>
        <v>98</v>
      </c>
      <c r="J86" s="1">
        <v>-5.1886799999999997E-2</v>
      </c>
      <c r="K86" s="1">
        <f>VLOOKUP(C86,'[1]phenotypes-895'!$A$2:$I$896,9,FALSE)</f>
        <v>0</v>
      </c>
      <c r="L86" s="1">
        <v>4.0598000000000002E-2</v>
      </c>
      <c r="M86" s="4">
        <v>0</v>
      </c>
      <c r="N86" s="1">
        <v>-1.27291E-2</v>
      </c>
      <c r="O86" s="8">
        <v>0</v>
      </c>
      <c r="P86" s="1">
        <v>-1.5167099999999999E-2</v>
      </c>
      <c r="Q86" s="6">
        <v>0.93300000000000005</v>
      </c>
      <c r="R86" s="1">
        <v>2.5444600000000001E-3</v>
      </c>
      <c r="S86" s="7">
        <v>-0.02</v>
      </c>
    </row>
    <row r="87" spans="1:19" x14ac:dyDescent="0.2">
      <c r="A87">
        <v>86</v>
      </c>
      <c r="B87">
        <v>36</v>
      </c>
      <c r="C87" t="s">
        <v>85</v>
      </c>
      <c r="D87" s="13" t="s">
        <v>913</v>
      </c>
      <c r="E87" s="1">
        <v>5.85928</v>
      </c>
      <c r="F87">
        <v>6.9040499999999998</v>
      </c>
      <c r="G87" s="1">
        <v>5.8579260886536302</v>
      </c>
      <c r="H87" s="1">
        <v>6.8937681377266102</v>
      </c>
      <c r="I87">
        <f>VLOOKUP(C87,'[1]phenotypes-895'!$A$2:$G$896,7,FALSE)</f>
        <v>73</v>
      </c>
      <c r="J87" s="1">
        <v>-0.13409599999999999</v>
      </c>
      <c r="K87" s="1">
        <f>VLOOKUP(C87,'[1]phenotypes-895'!$A$2:$I$896,9,FALSE)</f>
        <v>0.25062426968364532</v>
      </c>
      <c r="L87" s="1">
        <v>-0.156586</v>
      </c>
      <c r="M87" s="4">
        <v>4.3112825784616051</v>
      </c>
      <c r="N87" s="1">
        <v>-3.8064300000000002E-2</v>
      </c>
      <c r="O87" s="8">
        <v>1</v>
      </c>
      <c r="P87" s="1">
        <v>0.173322</v>
      </c>
      <c r="Q87">
        <v>1.4430000000000001</v>
      </c>
      <c r="R87" s="1">
        <v>5.2424999999999999E-2</v>
      </c>
      <c r="S87" s="2">
        <v>0.11</v>
      </c>
    </row>
    <row r="88" spans="1:19" x14ac:dyDescent="0.2">
      <c r="A88">
        <v>87</v>
      </c>
      <c r="B88">
        <v>7</v>
      </c>
      <c r="C88" t="s">
        <v>86</v>
      </c>
      <c r="D88" s="12" t="s">
        <v>913</v>
      </c>
      <c r="E88" s="1">
        <v>1.5081599999999999</v>
      </c>
      <c r="F88">
        <v>0.29053899999999999</v>
      </c>
      <c r="G88" s="1">
        <v>1.53805076772053</v>
      </c>
      <c r="H88" s="1">
        <v>0.32835773725915701</v>
      </c>
      <c r="I88">
        <f>VLOOKUP(C88,'[1]phenotypes-895'!$A$2:$G$896,7,FALSE)</f>
        <v>53</v>
      </c>
      <c r="J88" s="1">
        <v>-2.5277500000000001E-2</v>
      </c>
      <c r="K88" s="1">
        <f>VLOOKUP(C88,'[1]phenotypes-895'!$A$2:$I$896,9,FALSE)</f>
        <v>0.70287414888448785</v>
      </c>
      <c r="L88" s="1">
        <v>-3.2052399999999998E-4</v>
      </c>
      <c r="M88" s="4">
        <v>4.2942832963962223</v>
      </c>
      <c r="N88" s="1">
        <v>-2.19337E-2</v>
      </c>
      <c r="O88" s="8">
        <v>1</v>
      </c>
      <c r="P88" s="1">
        <v>7.9941499999999999E-2</v>
      </c>
      <c r="Q88" s="6">
        <v>1.0289999999999999</v>
      </c>
      <c r="R88" s="1">
        <v>3.2904900000000001E-2</v>
      </c>
      <c r="S88" s="7">
        <v>0.01</v>
      </c>
    </row>
    <row r="89" spans="1:19" x14ac:dyDescent="0.2">
      <c r="A89">
        <v>88</v>
      </c>
      <c r="B89">
        <v>27</v>
      </c>
      <c r="C89" t="s">
        <v>87</v>
      </c>
      <c r="D89" s="13" t="s">
        <v>913</v>
      </c>
      <c r="E89" s="1">
        <v>5.1937699999999998</v>
      </c>
      <c r="F89">
        <v>4.4172000000000002</v>
      </c>
      <c r="G89" s="1">
        <v>5.25625422429788</v>
      </c>
      <c r="H89" s="1">
        <v>4.4915469946902604</v>
      </c>
      <c r="I89">
        <f>VLOOKUP(C89,'[1]phenotypes-895'!$A$2:$G$896,7,FALSE)</f>
        <v>89</v>
      </c>
      <c r="J89" s="1">
        <v>-3.7429999999999998E-2</v>
      </c>
      <c r="K89" s="1">
        <f>VLOOKUP(C89,'[1]phenotypes-895'!$A$2:$I$896,9,FALSE)</f>
        <v>0.4830157569598395</v>
      </c>
      <c r="L89" s="1">
        <v>-6.7090399999999994E-2</v>
      </c>
      <c r="M89" s="4">
        <v>4.6436490873094698</v>
      </c>
      <c r="N89" s="1">
        <v>-1.2919999999999999E-2</v>
      </c>
      <c r="O89" s="8">
        <v>1</v>
      </c>
      <c r="P89" s="1">
        <v>0.121713</v>
      </c>
      <c r="Q89">
        <v>1.1459999999999999</v>
      </c>
      <c r="R89" s="1">
        <v>4.2859300000000003E-2</v>
      </c>
      <c r="S89" s="2">
        <v>0.04</v>
      </c>
    </row>
    <row r="90" spans="1:19" x14ac:dyDescent="0.2">
      <c r="A90">
        <v>89</v>
      </c>
      <c r="B90">
        <v>9</v>
      </c>
      <c r="C90" t="s">
        <v>88</v>
      </c>
      <c r="D90" s="12" t="s">
        <v>912</v>
      </c>
      <c r="E90" s="1">
        <v>0.63651100000000005</v>
      </c>
      <c r="F90">
        <v>1.4949699999999999</v>
      </c>
      <c r="G90" s="1">
        <v>0.65531281597472701</v>
      </c>
      <c r="H90" s="1">
        <v>1.5179874474486299</v>
      </c>
      <c r="I90">
        <f>VLOOKUP(C90,'[1]phenotypes-895'!$A$2:$G$896,7,FALSE)</f>
        <v>98</v>
      </c>
      <c r="J90" s="1">
        <v>-3.0726799999999999E-2</v>
      </c>
      <c r="K90" s="1">
        <f>VLOOKUP(C90,'[1]phenotypes-895'!$A$2:$I$896,9,FALSE)</f>
        <v>0</v>
      </c>
      <c r="L90" s="1">
        <v>-2.1319500000000002E-2</v>
      </c>
      <c r="M90" s="4">
        <v>0</v>
      </c>
      <c r="N90" s="1">
        <v>-2.5914E-2</v>
      </c>
      <c r="O90" s="8">
        <v>0</v>
      </c>
      <c r="P90" s="1">
        <v>1.0624400000000001E-2</v>
      </c>
      <c r="Q90" s="6">
        <v>0.79200000000000004</v>
      </c>
      <c r="R90" s="1">
        <v>1.0147700000000001E-2</v>
      </c>
      <c r="S90" s="7">
        <v>-0.08</v>
      </c>
    </row>
    <row r="91" spans="1:19" x14ac:dyDescent="0.2">
      <c r="A91">
        <v>90</v>
      </c>
      <c r="B91">
        <v>48</v>
      </c>
      <c r="C91" t="s">
        <v>89</v>
      </c>
      <c r="D91" s="13" t="s">
        <v>912</v>
      </c>
      <c r="E91" s="1">
        <v>1.0815600000000001</v>
      </c>
      <c r="F91">
        <v>2.9386199999999998</v>
      </c>
      <c r="G91" s="1">
        <v>1.01903137146818</v>
      </c>
      <c r="H91" s="1">
        <v>2.8886146414928602</v>
      </c>
      <c r="I91">
        <f>VLOOKUP(C91,'[1]phenotypes-895'!$A$2:$G$896,7,FALSE)</f>
        <v>98</v>
      </c>
      <c r="J91" s="1">
        <v>-7.20031E-2</v>
      </c>
      <c r="K91" s="1">
        <f>VLOOKUP(C91,'[1]phenotypes-895'!$A$2:$I$896,9,FALSE)</f>
        <v>0</v>
      </c>
      <c r="L91" s="1">
        <v>-5.1929799999999998E-2</v>
      </c>
      <c r="M91" s="4">
        <v>0</v>
      </c>
      <c r="N91" s="1">
        <v>-1.26628E-2</v>
      </c>
      <c r="O91" s="8">
        <v>0</v>
      </c>
      <c r="P91" s="1">
        <v>-0.13037799999999999</v>
      </c>
      <c r="Q91">
        <v>0.54300000000000004</v>
      </c>
      <c r="R91" s="1">
        <v>-5.04176E-2</v>
      </c>
      <c r="S91" s="2">
        <v>-0.2</v>
      </c>
    </row>
    <row r="92" spans="1:19" x14ac:dyDescent="0.2">
      <c r="A92">
        <v>91</v>
      </c>
      <c r="B92">
        <v>2</v>
      </c>
      <c r="C92" t="s">
        <v>90</v>
      </c>
      <c r="D92" s="12" t="s">
        <v>913</v>
      </c>
      <c r="E92" s="1">
        <v>-4.67558E-2</v>
      </c>
      <c r="F92">
        <v>-0.70685799999999999</v>
      </c>
      <c r="G92" s="1">
        <v>6.2387832683299699E-2</v>
      </c>
      <c r="H92" s="1">
        <v>-0.58428857151535196</v>
      </c>
      <c r="I92">
        <f>VLOOKUP(C92,'[1]phenotypes-895'!$A$2:$G$896,7,FALSE)</f>
        <v>98</v>
      </c>
      <c r="J92" s="1">
        <v>1.7693899999999999E-2</v>
      </c>
      <c r="K92" s="1">
        <f>VLOOKUP(C92,'[1]phenotypes-895'!$A$2:$I$896,9,FALSE)</f>
        <v>0</v>
      </c>
      <c r="L92" s="1">
        <v>-1.7575500000000001E-2</v>
      </c>
      <c r="M92" s="4">
        <v>0</v>
      </c>
      <c r="N92" s="1">
        <v>-1.2268100000000001E-3</v>
      </c>
      <c r="O92" s="8">
        <v>0</v>
      </c>
      <c r="P92" s="1">
        <v>1.17421E-2</v>
      </c>
      <c r="Q92" s="6">
        <v>0.94399999999999995</v>
      </c>
      <c r="R92" s="1">
        <v>1.0572099999999999E-2</v>
      </c>
      <c r="S92" s="7">
        <v>-0.02</v>
      </c>
    </row>
    <row r="93" spans="1:19" x14ac:dyDescent="0.2">
      <c r="A93">
        <v>92</v>
      </c>
      <c r="B93">
        <v>6</v>
      </c>
      <c r="C93" t="s">
        <v>91</v>
      </c>
      <c r="D93" s="12" t="s">
        <v>913</v>
      </c>
      <c r="E93" s="1">
        <v>-1.1927099999999999</v>
      </c>
      <c r="F93">
        <v>-3.3560300000000001</v>
      </c>
      <c r="G93" s="1">
        <v>-1.2597349904556601</v>
      </c>
      <c r="H93" s="1">
        <v>-3.4393186893905998</v>
      </c>
      <c r="I93">
        <f>VLOOKUP(C93,'[1]phenotypes-895'!$A$2:$G$896,7,FALSE)</f>
        <v>81</v>
      </c>
      <c r="J93" s="1">
        <v>2.3052699999999999E-3</v>
      </c>
      <c r="K93" s="1">
        <f>VLOOKUP(C93,'[1]phenotypes-895'!$A$2:$I$896,9,FALSE)</f>
        <v>0.25195765927265013</v>
      </c>
      <c r="L93" s="1">
        <v>-0.108947</v>
      </c>
      <c r="M93" s="4">
        <v>3.5553084568537412</v>
      </c>
      <c r="N93" s="1">
        <v>-8.5966900000000006E-3</v>
      </c>
      <c r="O93" s="8">
        <v>1</v>
      </c>
      <c r="P93" s="1">
        <v>0.10703799999999999</v>
      </c>
      <c r="Q93" s="6">
        <v>1.103</v>
      </c>
      <c r="R93" s="1">
        <v>4.2833200000000002E-2</v>
      </c>
      <c r="S93" s="7">
        <v>0.03</v>
      </c>
    </row>
    <row r="94" spans="1:19" x14ac:dyDescent="0.2">
      <c r="A94">
        <v>93</v>
      </c>
      <c r="B94">
        <v>6</v>
      </c>
      <c r="C94" t="s">
        <v>92</v>
      </c>
      <c r="D94" s="12" t="s">
        <v>913</v>
      </c>
      <c r="E94" s="1">
        <v>0.208703</v>
      </c>
      <c r="F94">
        <v>-2.2076699999999998</v>
      </c>
      <c r="G94" s="1">
        <v>0.28219055394137599</v>
      </c>
      <c r="H94" s="1">
        <v>-2.1203428400918698</v>
      </c>
      <c r="I94">
        <f>VLOOKUP(C94,'[1]phenotypes-895'!$A$2:$G$896,7,FALSE)</f>
        <v>82</v>
      </c>
      <c r="J94" s="1">
        <v>1.3619600000000001E-2</v>
      </c>
      <c r="K94" s="1">
        <f>VLOOKUP(C94,'[1]phenotypes-895'!$A$2:$I$896,9,FALSE)</f>
        <v>0.550217751533291</v>
      </c>
      <c r="L94" s="1">
        <v>-0.15424299999999999</v>
      </c>
      <c r="M94" s="4">
        <v>4.7589779945463659</v>
      </c>
      <c r="N94" s="1">
        <v>-9.78183E-3</v>
      </c>
      <c r="O94" s="8">
        <v>1</v>
      </c>
      <c r="P94" s="1">
        <v>0.105297</v>
      </c>
      <c r="Q94" s="6">
        <v>1.157</v>
      </c>
      <c r="R94" s="1">
        <v>4.4777900000000002E-2</v>
      </c>
      <c r="S94" s="7">
        <v>0.05</v>
      </c>
    </row>
    <row r="95" spans="1:19" x14ac:dyDescent="0.2">
      <c r="A95">
        <v>94</v>
      </c>
      <c r="B95">
        <v>9</v>
      </c>
      <c r="C95" t="s">
        <v>93</v>
      </c>
      <c r="D95" s="12" t="s">
        <v>912</v>
      </c>
      <c r="E95" s="1">
        <v>-3.8518300000000001</v>
      </c>
      <c r="F95">
        <v>-3.5291800000000002</v>
      </c>
      <c r="G95" s="1">
        <v>-3.8841078724449201</v>
      </c>
      <c r="H95" s="1">
        <v>-3.5676870806943999</v>
      </c>
      <c r="I95">
        <f>VLOOKUP(C95,'[1]phenotypes-895'!$A$2:$G$896,7,FALSE)</f>
        <v>56</v>
      </c>
      <c r="J95" s="1">
        <v>3.2794400000000001E-2</v>
      </c>
      <c r="K95" s="1">
        <f>VLOOKUP(C95,'[1]phenotypes-895'!$A$2:$I$896,9,FALSE)</f>
        <v>0.92529456108382746</v>
      </c>
      <c r="L95" s="1">
        <v>-3.1204900000000001E-2</v>
      </c>
      <c r="M95" s="4">
        <v>4.6107908716519761</v>
      </c>
      <c r="N95" s="1">
        <v>-1.3758599999999999E-2</v>
      </c>
      <c r="O95" s="8">
        <v>1</v>
      </c>
      <c r="P95" s="1">
        <v>-3.6579599999999997E-2</v>
      </c>
      <c r="Q95" s="6">
        <v>0.78100000000000003</v>
      </c>
      <c r="R95" s="1">
        <v>-1.10078E-2</v>
      </c>
      <c r="S95" s="7">
        <v>-0.08</v>
      </c>
    </row>
    <row r="96" spans="1:19" x14ac:dyDescent="0.2">
      <c r="A96">
        <v>95</v>
      </c>
      <c r="B96">
        <v>4</v>
      </c>
      <c r="C96" t="s">
        <v>94</v>
      </c>
      <c r="D96" s="12" t="s">
        <v>913</v>
      </c>
      <c r="E96" s="1">
        <v>-3.5687199999999999</v>
      </c>
      <c r="F96">
        <v>-5.5714600000000001</v>
      </c>
      <c r="G96" s="1">
        <v>-3.4677736218798398</v>
      </c>
      <c r="H96" s="1">
        <v>-5.4680368022490704</v>
      </c>
      <c r="I96">
        <f>VLOOKUP(C96,'[1]phenotypes-895'!$A$2:$G$896,7,FALSE)</f>
        <v>71</v>
      </c>
      <c r="J96" s="1">
        <v>8.9185600000000004E-2</v>
      </c>
      <c r="K96" s="1">
        <f>VLOOKUP(C96,'[1]phenotypes-895'!$A$2:$I$896,9,FALSE)</f>
        <v>0.46480075863663167</v>
      </c>
      <c r="L96" s="1">
        <v>2.8388199999999999E-2</v>
      </c>
      <c r="M96" s="4">
        <v>4.5158906378107693</v>
      </c>
      <c r="N96" s="1">
        <v>2.0378299999999998E-2</v>
      </c>
      <c r="O96" s="8">
        <v>1</v>
      </c>
      <c r="P96" s="1">
        <v>4.0186100000000002E-2</v>
      </c>
      <c r="Q96" s="6">
        <v>0.82</v>
      </c>
      <c r="R96" s="1">
        <v>2.3744500000000002E-2</v>
      </c>
      <c r="S96" s="7">
        <v>-0.06</v>
      </c>
    </row>
    <row r="97" spans="1:19" x14ac:dyDescent="0.2">
      <c r="A97">
        <v>96</v>
      </c>
      <c r="B97">
        <v>2</v>
      </c>
      <c r="C97" t="s">
        <v>95</v>
      </c>
      <c r="D97" s="12" t="s">
        <v>913</v>
      </c>
      <c r="E97" s="1">
        <v>7.3998200000000001</v>
      </c>
      <c r="F97">
        <v>8.3336600000000001</v>
      </c>
      <c r="G97" s="1">
        <v>7.3708829776904601</v>
      </c>
      <c r="H97" s="1">
        <v>8.3220116465154401</v>
      </c>
      <c r="I97">
        <f>VLOOKUP(C97,'[1]phenotypes-895'!$A$2:$G$896,7,FALSE)</f>
        <v>98</v>
      </c>
      <c r="J97" s="1">
        <v>-8.1692699999999993E-2</v>
      </c>
      <c r="K97" s="1">
        <f>VLOOKUP(C97,'[1]phenotypes-895'!$A$2:$I$896,9,FALSE)</f>
        <v>0.28793992813580538</v>
      </c>
      <c r="L97" s="1">
        <v>2.2401999999999998E-2</v>
      </c>
      <c r="M97" s="4">
        <v>3.9921626819651994</v>
      </c>
      <c r="N97" s="1">
        <v>-1.3686800000000001E-2</v>
      </c>
      <c r="O97" s="8">
        <v>1</v>
      </c>
      <c r="P97" s="1">
        <v>1.4924E-2</v>
      </c>
      <c r="Q97" s="6">
        <v>1.0009999999999999</v>
      </c>
      <c r="R97" s="1">
        <v>8.2515899999999996E-3</v>
      </c>
      <c r="S97" s="7">
        <v>0</v>
      </c>
    </row>
    <row r="98" spans="1:19" x14ac:dyDescent="0.2">
      <c r="A98">
        <v>97</v>
      </c>
      <c r="B98">
        <v>14</v>
      </c>
      <c r="C98" t="s">
        <v>96</v>
      </c>
      <c r="D98" s="12" t="s">
        <v>912</v>
      </c>
      <c r="E98" s="1">
        <v>-4.4194300000000002</v>
      </c>
      <c r="F98">
        <v>-4.9630299999999998</v>
      </c>
      <c r="G98" s="1">
        <v>-4.3106490015685699</v>
      </c>
      <c r="H98" s="1">
        <v>-4.8486827688199696</v>
      </c>
      <c r="I98">
        <f>VLOOKUP(C98,'[1]phenotypes-895'!$A$2:$G$896,7,FALSE)</f>
        <v>56</v>
      </c>
      <c r="J98" s="1">
        <v>0.112953</v>
      </c>
      <c r="K98" s="1">
        <f>VLOOKUP(C98,'[1]phenotypes-895'!$A$2:$I$896,9,FALSE)</f>
        <v>0.78697133263899322</v>
      </c>
      <c r="L98" s="1">
        <v>5.2673699999999997E-2</v>
      </c>
      <c r="M98" s="4">
        <v>4.8522985085487171</v>
      </c>
      <c r="N98" s="1">
        <v>4.0878900000000003E-2</v>
      </c>
      <c r="O98" s="8">
        <v>1</v>
      </c>
      <c r="P98" s="1">
        <v>2.9183299999999999E-2</v>
      </c>
      <c r="Q98" s="6">
        <v>0.99</v>
      </c>
      <c r="R98" s="1">
        <v>1.0402399999999999E-2</v>
      </c>
      <c r="S98" s="7">
        <v>0</v>
      </c>
    </row>
    <row r="99" spans="1:19" x14ac:dyDescent="0.2">
      <c r="A99">
        <v>98</v>
      </c>
      <c r="B99">
        <v>9</v>
      </c>
      <c r="C99" t="s">
        <v>97</v>
      </c>
      <c r="D99" s="12" t="s">
        <v>912</v>
      </c>
      <c r="E99" s="1">
        <v>-1.75841</v>
      </c>
      <c r="F99">
        <v>-2.00732</v>
      </c>
      <c r="G99" s="1">
        <v>-1.6038597070514899</v>
      </c>
      <c r="H99" s="1">
        <v>-1.8299348485951099</v>
      </c>
      <c r="I99">
        <f>VLOOKUP(C99,'[1]phenotypes-895'!$A$2:$G$896,7,FALSE)</f>
        <v>84</v>
      </c>
      <c r="J99" s="1">
        <v>1.2966699999999999E-2</v>
      </c>
      <c r="K99" s="1">
        <f>VLOOKUP(C99,'[1]phenotypes-895'!$A$2:$I$896,9,FALSE)</f>
        <v>0.38438895868802547</v>
      </c>
      <c r="L99" s="1">
        <v>0.14915100000000001</v>
      </c>
      <c r="M99" s="4">
        <v>4.5266188115245907</v>
      </c>
      <c r="N99" s="1">
        <v>1.3675099999999999E-3</v>
      </c>
      <c r="O99" s="8">
        <v>1</v>
      </c>
      <c r="P99" s="1">
        <v>-1.3647299999999999E-2</v>
      </c>
      <c r="Q99" s="6">
        <v>0.85399999999999998</v>
      </c>
      <c r="R99" s="1">
        <v>2.4535999999999998E-3</v>
      </c>
      <c r="S99" s="7">
        <v>-0.05</v>
      </c>
    </row>
    <row r="100" spans="1:19" x14ac:dyDescent="0.2">
      <c r="A100">
        <v>99</v>
      </c>
      <c r="B100">
        <v>9</v>
      </c>
      <c r="C100" t="s">
        <v>98</v>
      </c>
      <c r="D100" s="12" t="s">
        <v>912</v>
      </c>
      <c r="E100" s="1">
        <v>-2.7163499999999998</v>
      </c>
      <c r="F100">
        <v>-1.8129599999999999</v>
      </c>
      <c r="G100" s="1">
        <v>-2.7536861312710501</v>
      </c>
      <c r="H100" s="1">
        <v>-1.85069601417685</v>
      </c>
      <c r="I100">
        <f>VLOOKUP(C100,'[1]phenotypes-895'!$A$2:$G$896,7,FALSE)</f>
        <v>72</v>
      </c>
      <c r="J100" s="1">
        <v>5.4871700000000002E-2</v>
      </c>
      <c r="K100" s="1">
        <f>VLOOKUP(C100,'[1]phenotypes-895'!$A$2:$I$896,9,FALSE)</f>
        <v>0.64380804184679585</v>
      </c>
      <c r="L100" s="1">
        <v>0.26658300000000001</v>
      </c>
      <c r="M100" s="4">
        <v>4.3644839069556776</v>
      </c>
      <c r="N100" s="1">
        <v>6.7063699999999997E-3</v>
      </c>
      <c r="O100" s="8">
        <v>1</v>
      </c>
      <c r="P100" s="1">
        <v>-2.9462800000000001E-2</v>
      </c>
      <c r="Q100" s="6">
        <v>1.0389999999999999</v>
      </c>
      <c r="R100" s="1">
        <v>-6.4644300000000002E-3</v>
      </c>
      <c r="S100" s="7">
        <v>0.01</v>
      </c>
    </row>
    <row r="101" spans="1:19" x14ac:dyDescent="0.2">
      <c r="A101">
        <v>100</v>
      </c>
      <c r="B101">
        <v>13</v>
      </c>
      <c r="C101" t="s">
        <v>99</v>
      </c>
      <c r="D101" s="12" t="s">
        <v>912</v>
      </c>
      <c r="E101" s="1">
        <v>-6.8506799999999997</v>
      </c>
      <c r="F101">
        <v>-7.0951300000000002</v>
      </c>
      <c r="G101" s="1">
        <v>-6.8663408016603702</v>
      </c>
      <c r="H101" s="1">
        <v>-7.1192777450070297</v>
      </c>
      <c r="I101">
        <f>VLOOKUP(C101,'[1]phenotypes-895'!$A$2:$G$896,7,FALSE)</f>
        <v>46</v>
      </c>
      <c r="J101" s="1">
        <v>0.136327</v>
      </c>
      <c r="K101" s="1">
        <f>VLOOKUP(C101,'[1]phenotypes-895'!$A$2:$I$896,9,FALSE)</f>
        <v>0.79054348451110024</v>
      </c>
      <c r="L101" s="1">
        <v>5.81039E-2</v>
      </c>
      <c r="M101" s="4">
        <v>3.7867595564268139</v>
      </c>
      <c r="N101" s="1">
        <v>1.1727700000000001E-3</v>
      </c>
      <c r="O101" s="8">
        <v>1</v>
      </c>
      <c r="P101" s="1">
        <v>4.56318E-3</v>
      </c>
      <c r="Q101" s="6">
        <v>0.98099999999999998</v>
      </c>
      <c r="R101" s="1">
        <v>7.9382199999999993E-3</v>
      </c>
      <c r="S101" s="7">
        <v>-0.01</v>
      </c>
    </row>
    <row r="102" spans="1:19" x14ac:dyDescent="0.2">
      <c r="A102">
        <v>101</v>
      </c>
      <c r="B102">
        <v>12</v>
      </c>
      <c r="C102" t="s">
        <v>100</v>
      </c>
      <c r="D102" s="12" t="s">
        <v>912</v>
      </c>
      <c r="E102" s="1">
        <v>1.1219399999999999</v>
      </c>
      <c r="F102">
        <v>1.91862</v>
      </c>
      <c r="G102" s="1">
        <v>1.17886887552064</v>
      </c>
      <c r="H102" s="1">
        <v>1.9810489073590201</v>
      </c>
      <c r="I102">
        <f>VLOOKUP(C102,'[1]phenotypes-895'!$A$2:$G$896,7,FALSE)</f>
        <v>98</v>
      </c>
      <c r="J102" s="1">
        <v>-7.9333300000000006E-3</v>
      </c>
      <c r="K102" s="1">
        <f>VLOOKUP(C102,'[1]phenotypes-895'!$A$2:$I$896,9,FALSE)</f>
        <v>0</v>
      </c>
      <c r="L102" s="1">
        <v>6.2352900000000003E-2</v>
      </c>
      <c r="M102" s="4">
        <v>0</v>
      </c>
      <c r="N102" s="1">
        <v>-1.5790700000000001E-2</v>
      </c>
      <c r="O102" s="8">
        <v>0</v>
      </c>
      <c r="P102" s="1">
        <v>-0.119343</v>
      </c>
      <c r="Q102" s="6">
        <v>0.72299999999999998</v>
      </c>
      <c r="R102" s="1">
        <v>-4.5089600000000001E-2</v>
      </c>
      <c r="S102" s="7">
        <v>-0.11</v>
      </c>
    </row>
    <row r="103" spans="1:19" x14ac:dyDescent="0.2">
      <c r="A103">
        <v>102</v>
      </c>
      <c r="B103">
        <v>14</v>
      </c>
      <c r="C103" t="s">
        <v>101</v>
      </c>
      <c r="D103" s="12" t="s">
        <v>912</v>
      </c>
      <c r="E103" s="1">
        <v>-3.3106399999999998</v>
      </c>
      <c r="F103">
        <v>-2.0031699999999999</v>
      </c>
      <c r="G103" s="1">
        <v>-3.3107393810447201</v>
      </c>
      <c r="H103" s="1">
        <v>-2.00743937543302</v>
      </c>
      <c r="I103">
        <f>VLOOKUP(C103,'[1]phenotypes-895'!$A$2:$G$896,7,FALSE)</f>
        <v>53</v>
      </c>
      <c r="J103" s="1">
        <v>8.4637900000000002E-2</v>
      </c>
      <c r="K103" s="1">
        <f>VLOOKUP(C103,'[1]phenotypes-895'!$A$2:$I$896,9,FALSE)</f>
        <v>0.58933898304519339</v>
      </c>
      <c r="L103" s="1">
        <v>4.3992900000000001E-2</v>
      </c>
      <c r="M103" s="4">
        <v>3.9770953542332972</v>
      </c>
      <c r="N103" s="1">
        <v>2.5547E-2</v>
      </c>
      <c r="O103" s="8">
        <v>1</v>
      </c>
      <c r="P103" s="1">
        <v>-1.9299299999999998E-2</v>
      </c>
      <c r="Q103" s="6">
        <v>1.2529999999999999</v>
      </c>
      <c r="R103" s="1">
        <v>-1.34891E-2</v>
      </c>
      <c r="S103" s="7">
        <v>7.0000000000000007E-2</v>
      </c>
    </row>
    <row r="104" spans="1:19" x14ac:dyDescent="0.2">
      <c r="A104">
        <v>103</v>
      </c>
      <c r="B104">
        <v>11</v>
      </c>
      <c r="C104" t="s">
        <v>102</v>
      </c>
      <c r="D104" s="12" t="s">
        <v>912</v>
      </c>
      <c r="E104" s="1">
        <v>-6.62005</v>
      </c>
      <c r="F104">
        <v>-6.4854900000000004</v>
      </c>
      <c r="G104" s="1">
        <v>-6.5270908244383099</v>
      </c>
      <c r="H104" s="1">
        <v>-6.3938251759734301</v>
      </c>
      <c r="I104">
        <f>VLOOKUP(C104,'[1]phenotypes-895'!$A$2:$G$896,7,FALSE)</f>
        <v>58</v>
      </c>
      <c r="J104" s="1">
        <v>7.2625400000000007E-2</v>
      </c>
      <c r="K104" s="1">
        <f>VLOOKUP(C104,'[1]phenotypes-895'!$A$2:$I$896,9,FALSE)</f>
        <v>0.37900188933105272</v>
      </c>
      <c r="L104" s="1">
        <v>0.30045899999999998</v>
      </c>
      <c r="M104" s="4">
        <v>3.9832971294714175</v>
      </c>
      <c r="N104" s="1">
        <v>1.68741E-2</v>
      </c>
      <c r="O104" s="8">
        <v>1</v>
      </c>
      <c r="P104" s="1">
        <v>1.5310799999999999E-2</v>
      </c>
      <c r="Q104" s="6">
        <v>1.1739999999999999</v>
      </c>
      <c r="R104" s="1">
        <v>1.1514399999999999E-2</v>
      </c>
      <c r="S104" s="7">
        <v>0.05</v>
      </c>
    </row>
    <row r="105" spans="1:19" x14ac:dyDescent="0.2">
      <c r="A105">
        <v>104</v>
      </c>
      <c r="B105">
        <v>7</v>
      </c>
      <c r="C105" t="s">
        <v>103</v>
      </c>
      <c r="D105" s="12" t="s">
        <v>913</v>
      </c>
      <c r="E105" s="1">
        <v>2.0568499999999998</v>
      </c>
      <c r="F105">
        <v>0.72451100000000002</v>
      </c>
      <c r="G105" s="1">
        <v>1.8283629443579299</v>
      </c>
      <c r="H105" s="1">
        <v>0.54390845755656803</v>
      </c>
      <c r="I105">
        <f>VLOOKUP(C105,'[1]phenotypes-895'!$A$2:$G$896,7,FALSE)</f>
        <v>56</v>
      </c>
      <c r="J105" s="1">
        <v>-5.9129099999999997E-2</v>
      </c>
      <c r="K105" s="1">
        <f>VLOOKUP(C105,'[1]phenotypes-895'!$A$2:$I$896,9,FALSE)</f>
        <v>0.4255386853572875</v>
      </c>
      <c r="L105" s="1">
        <v>7.0574000000000001E-3</v>
      </c>
      <c r="M105" s="4">
        <v>4.4246281272589219</v>
      </c>
      <c r="N105" s="1">
        <v>-2.4853400000000001E-2</v>
      </c>
      <c r="O105" s="8">
        <v>1</v>
      </c>
      <c r="P105" s="1">
        <v>2.3777400000000001E-2</v>
      </c>
      <c r="Q105" s="6">
        <v>0.82299999999999995</v>
      </c>
      <c r="R105" s="1">
        <v>1.1709600000000001E-2</v>
      </c>
      <c r="S105" s="7">
        <v>-0.06</v>
      </c>
    </row>
    <row r="106" spans="1:19" x14ac:dyDescent="0.2">
      <c r="A106">
        <v>105</v>
      </c>
      <c r="B106">
        <v>19</v>
      </c>
      <c r="C106" t="s">
        <v>104</v>
      </c>
      <c r="D106" s="12" t="s">
        <v>912</v>
      </c>
      <c r="E106" s="1">
        <v>-11.183999999999999</v>
      </c>
      <c r="F106">
        <v>-11.2921</v>
      </c>
      <c r="G106" s="1">
        <v>-11.075767630651701</v>
      </c>
      <c r="H106" s="1">
        <v>-11.1901053506227</v>
      </c>
      <c r="I106">
        <f>VLOOKUP(C106,'[1]phenotypes-895'!$A$2:$G$896,7,FALSE)</f>
        <v>56</v>
      </c>
      <c r="J106" s="1">
        <v>0.17910699999999999</v>
      </c>
      <c r="K106" s="1">
        <f>VLOOKUP(C106,'[1]phenotypes-895'!$A$2:$I$896,9,FALSE)</f>
        <v>0.60103254221443381</v>
      </c>
      <c r="L106" s="1">
        <v>3.6989000000000001E-2</v>
      </c>
      <c r="M106" s="4">
        <v>4.190471553333226</v>
      </c>
      <c r="N106" s="1">
        <v>3.8688800000000002E-2</v>
      </c>
      <c r="O106" s="8">
        <v>1</v>
      </c>
      <c r="P106" s="1">
        <v>-1.49219E-2</v>
      </c>
      <c r="Q106" s="6">
        <v>0.751</v>
      </c>
      <c r="R106" s="1">
        <v>-7.4061700000000001E-3</v>
      </c>
      <c r="S106" s="7">
        <v>-0.09</v>
      </c>
    </row>
    <row r="107" spans="1:19" x14ac:dyDescent="0.2">
      <c r="A107">
        <v>106</v>
      </c>
      <c r="B107">
        <v>9</v>
      </c>
      <c r="C107" t="s">
        <v>105</v>
      </c>
      <c r="D107" s="12" t="s">
        <v>912</v>
      </c>
      <c r="E107" s="1">
        <v>-1.28148</v>
      </c>
      <c r="F107">
        <v>-2.0389499999999998</v>
      </c>
      <c r="G107" s="1">
        <v>-1.2962739984818901</v>
      </c>
      <c r="H107" s="1">
        <v>-2.05666426293228</v>
      </c>
      <c r="I107">
        <f>VLOOKUP(C107,'[1]phenotypes-895'!$A$2:$G$896,7,FALSE)</f>
        <v>79</v>
      </c>
      <c r="J107" s="1">
        <v>1.4996900000000001E-2</v>
      </c>
      <c r="K107" s="1">
        <f>VLOOKUP(C107,'[1]phenotypes-895'!$A$2:$I$896,9,FALSE)</f>
        <v>0.44931049465901751</v>
      </c>
      <c r="L107" s="1">
        <v>4.7240600000000001E-2</v>
      </c>
      <c r="M107" s="4">
        <v>4.3725109368119215</v>
      </c>
      <c r="N107" s="1">
        <v>-5.2538200000000002E-3</v>
      </c>
      <c r="O107" s="8">
        <v>1</v>
      </c>
      <c r="P107" s="1">
        <v>5.1311700000000002E-2</v>
      </c>
      <c r="Q107" s="6">
        <v>0.97799999999999998</v>
      </c>
      <c r="R107" s="1">
        <v>2.3913E-2</v>
      </c>
      <c r="S107" s="7">
        <v>-0.01</v>
      </c>
    </row>
    <row r="108" spans="1:19" x14ac:dyDescent="0.2">
      <c r="A108">
        <v>107</v>
      </c>
      <c r="B108">
        <v>17</v>
      </c>
      <c r="C108" t="s">
        <v>106</v>
      </c>
      <c r="D108" s="12" t="s">
        <v>912</v>
      </c>
      <c r="E108" s="1">
        <v>-7.78186</v>
      </c>
      <c r="F108">
        <v>-7.4692100000000003</v>
      </c>
      <c r="G108" s="1">
        <v>-7.7359396920399197</v>
      </c>
      <c r="H108" s="1">
        <v>-7.4281461475909802</v>
      </c>
      <c r="I108">
        <f>VLOOKUP(C108,'[1]phenotypes-895'!$A$2:$G$896,7,FALSE)</f>
        <v>44</v>
      </c>
      <c r="J108" s="1">
        <v>9.2633599999999996E-2</v>
      </c>
      <c r="K108" s="1">
        <f>VLOOKUP(C108,'[1]phenotypes-895'!$A$2:$I$896,9,FALSE)</f>
        <v>0.67979602158903207</v>
      </c>
      <c r="L108" s="1">
        <v>-7.9091999999999996E-2</v>
      </c>
      <c r="M108" s="4">
        <v>3.4148253246667379</v>
      </c>
      <c r="N108" s="1">
        <v>1.37114E-2</v>
      </c>
      <c r="O108" s="8">
        <v>1</v>
      </c>
      <c r="P108" s="1">
        <v>6.9460499999999994E-2</v>
      </c>
      <c r="Q108" s="6">
        <v>1.264</v>
      </c>
      <c r="R108" s="1">
        <v>2.2750599999999999E-2</v>
      </c>
      <c r="S108" s="7">
        <v>7.0000000000000007E-2</v>
      </c>
    </row>
    <row r="109" spans="1:19" x14ac:dyDescent="0.2">
      <c r="A109">
        <v>108</v>
      </c>
      <c r="B109">
        <v>1</v>
      </c>
      <c r="C109" t="s">
        <v>107</v>
      </c>
      <c r="D109" s="12" t="s">
        <v>913</v>
      </c>
      <c r="E109" s="1">
        <v>2.5409099999999998</v>
      </c>
      <c r="F109">
        <v>1.35019</v>
      </c>
      <c r="G109" s="1">
        <v>2.48098275621743</v>
      </c>
      <c r="H109" s="1">
        <v>1.29614992957348</v>
      </c>
      <c r="I109">
        <f>VLOOKUP(C109,'[1]phenotypes-895'!$A$2:$G$896,7,FALSE)</f>
        <v>98</v>
      </c>
      <c r="J109" s="1">
        <v>-5.1719000000000001E-2</v>
      </c>
      <c r="K109" s="1">
        <f>VLOOKUP(C109,'[1]phenotypes-895'!$A$2:$I$896,9,FALSE)</f>
        <v>0</v>
      </c>
      <c r="L109" s="1">
        <v>-0.102724</v>
      </c>
      <c r="M109" s="4">
        <v>0</v>
      </c>
      <c r="N109" s="1">
        <v>-3.2482700000000003E-2</v>
      </c>
      <c r="O109" s="8">
        <v>0</v>
      </c>
      <c r="P109" s="1">
        <v>0.10240100000000001</v>
      </c>
      <c r="Q109" s="6">
        <v>1.03</v>
      </c>
      <c r="R109" s="1">
        <v>4.2784599999999999E-2</v>
      </c>
      <c r="S109" s="7">
        <v>0.01</v>
      </c>
    </row>
    <row r="110" spans="1:19" x14ac:dyDescent="0.2">
      <c r="A110">
        <v>109</v>
      </c>
      <c r="B110">
        <v>16</v>
      </c>
      <c r="C110" t="s">
        <v>108</v>
      </c>
      <c r="D110" s="12" t="s">
        <v>912</v>
      </c>
      <c r="E110" s="1">
        <v>-10.0252</v>
      </c>
      <c r="F110">
        <v>-10.0892</v>
      </c>
      <c r="G110" s="1">
        <v>-9.9829837942069002</v>
      </c>
      <c r="H110" s="1">
        <v>-10.0447670935527</v>
      </c>
      <c r="I110">
        <f>VLOOKUP(C110,'[1]phenotypes-895'!$A$2:$G$896,7,FALSE)</f>
        <v>73</v>
      </c>
      <c r="J110" s="1">
        <v>0.10043100000000001</v>
      </c>
      <c r="K110" s="1">
        <f>VLOOKUP(C110,'[1]phenotypes-895'!$A$2:$I$896,9,FALSE)</f>
        <v>0.53792836389130605</v>
      </c>
      <c r="L110" s="1">
        <v>-3.3252200000000003E-2</v>
      </c>
      <c r="M110" s="4">
        <v>4.2325081809300444</v>
      </c>
      <c r="N110" s="1">
        <v>2.2154500000000001E-2</v>
      </c>
      <c r="O110" s="8">
        <v>1</v>
      </c>
      <c r="P110" s="1">
        <v>0.133744</v>
      </c>
      <c r="Q110" s="6">
        <v>1.3360000000000001</v>
      </c>
      <c r="R110" s="1">
        <v>4.6685600000000001E-2</v>
      </c>
      <c r="S110" s="7">
        <v>0.09</v>
      </c>
    </row>
    <row r="111" spans="1:19" x14ac:dyDescent="0.2">
      <c r="A111">
        <v>110</v>
      </c>
      <c r="B111">
        <v>1</v>
      </c>
      <c r="C111" t="s">
        <v>109</v>
      </c>
      <c r="D111" s="12" t="s">
        <v>913</v>
      </c>
      <c r="E111" s="1">
        <v>-2.7791100000000002</v>
      </c>
      <c r="F111">
        <v>-4.4382000000000001</v>
      </c>
      <c r="G111" s="1">
        <v>-2.68533906058371</v>
      </c>
      <c r="H111" s="1">
        <v>-4.3331157425559796</v>
      </c>
      <c r="I111">
        <f>VLOOKUP(C111,'[1]phenotypes-895'!$A$2:$G$896,7,FALSE)</f>
        <v>76</v>
      </c>
      <c r="J111" s="1">
        <v>2.5177700000000001E-2</v>
      </c>
      <c r="K111" s="1">
        <f>VLOOKUP(C111,'[1]phenotypes-895'!$A$2:$I$896,9,FALSE)</f>
        <v>0.3361838786892325</v>
      </c>
      <c r="L111" s="1">
        <v>-3.8484999999999998E-2</v>
      </c>
      <c r="M111" s="4">
        <v>3.3228351472317454</v>
      </c>
      <c r="N111" s="1">
        <v>-1.79074E-2</v>
      </c>
      <c r="O111" s="8">
        <v>1</v>
      </c>
      <c r="P111" s="1">
        <v>0.114691</v>
      </c>
      <c r="Q111" s="6">
        <v>1.1000000000000001</v>
      </c>
      <c r="R111" s="1">
        <v>4.5213900000000001E-2</v>
      </c>
      <c r="S111" s="7">
        <v>0.03</v>
      </c>
    </row>
    <row r="112" spans="1:19" x14ac:dyDescent="0.2">
      <c r="A112">
        <v>111</v>
      </c>
      <c r="B112">
        <v>1</v>
      </c>
      <c r="C112" t="s">
        <v>110</v>
      </c>
      <c r="D112" s="12" t="s">
        <v>913</v>
      </c>
      <c r="E112" s="1">
        <v>1.23732</v>
      </c>
      <c r="F112">
        <v>-5.8136699999999999E-2</v>
      </c>
      <c r="G112" s="1">
        <v>1.17600718114458</v>
      </c>
      <c r="H112" s="1">
        <v>-0.12156393404563599</v>
      </c>
      <c r="I112">
        <f>VLOOKUP(C112,'[1]phenotypes-895'!$A$2:$G$896,7,FALSE)</f>
        <v>98</v>
      </c>
      <c r="J112" s="1">
        <v>-4.6043000000000001E-2</v>
      </c>
      <c r="K112" s="1">
        <f>VLOOKUP(C112,'[1]phenotypes-895'!$A$2:$I$896,9,FALSE)</f>
        <v>0</v>
      </c>
      <c r="L112" s="1">
        <v>-4.5942200000000002E-2</v>
      </c>
      <c r="M112" s="4">
        <v>0</v>
      </c>
      <c r="N112" s="1">
        <v>-3.1558099999999999E-2</v>
      </c>
      <c r="O112" s="8">
        <v>0</v>
      </c>
      <c r="P112" s="1">
        <v>6.1106000000000001E-2</v>
      </c>
      <c r="Q112" s="6">
        <v>1.0680000000000001</v>
      </c>
      <c r="R112" s="1">
        <v>2.6092600000000001E-2</v>
      </c>
      <c r="S112" s="7">
        <v>0.02</v>
      </c>
    </row>
    <row r="113" spans="1:19" x14ac:dyDescent="0.2">
      <c r="A113">
        <v>112</v>
      </c>
      <c r="B113">
        <v>19</v>
      </c>
      <c r="C113" t="s">
        <v>111</v>
      </c>
      <c r="D113" s="12" t="s">
        <v>912</v>
      </c>
      <c r="E113" s="1">
        <v>-9.6591699999999996</v>
      </c>
      <c r="F113">
        <v>-9.6578700000000008</v>
      </c>
      <c r="G113" s="1">
        <v>-9.7282557802196692</v>
      </c>
      <c r="H113" s="1">
        <v>-9.7393119599659901</v>
      </c>
      <c r="I113">
        <f>VLOOKUP(C113,'[1]phenotypes-895'!$A$2:$G$896,7,FALSE)</f>
        <v>61</v>
      </c>
      <c r="J113" s="1">
        <v>0.17421800000000001</v>
      </c>
      <c r="K113" s="1">
        <f>VLOOKUP(C113,'[1]phenotypes-895'!$A$2:$I$896,9,FALSE)</f>
        <v>0.51129721426340724</v>
      </c>
      <c r="L113" s="1">
        <v>1.50653E-2</v>
      </c>
      <c r="M113" s="4">
        <v>4.2866425020160808</v>
      </c>
      <c r="N113" s="1">
        <v>3.1780200000000002E-2</v>
      </c>
      <c r="O113" s="8">
        <v>1</v>
      </c>
      <c r="P113" s="1">
        <v>6.9667699999999999E-2</v>
      </c>
      <c r="Q113" s="6">
        <v>1.107</v>
      </c>
      <c r="R113" s="1">
        <v>2.9834300000000001E-2</v>
      </c>
      <c r="S113" s="7">
        <v>0.03</v>
      </c>
    </row>
    <row r="114" spans="1:19" x14ac:dyDescent="0.2">
      <c r="A114">
        <v>113</v>
      </c>
      <c r="B114">
        <v>4</v>
      </c>
      <c r="C114" t="s">
        <v>112</v>
      </c>
      <c r="D114" s="12" t="s">
        <v>913</v>
      </c>
      <c r="E114" s="1">
        <v>0.18393599999999999</v>
      </c>
      <c r="F114">
        <v>-1.43984</v>
      </c>
      <c r="G114" s="1">
        <v>0.23887220951447899</v>
      </c>
      <c r="H114" s="1">
        <v>-1.3753334339427301</v>
      </c>
      <c r="I114">
        <f>VLOOKUP(C114,'[1]phenotypes-895'!$A$2:$G$896,7,FALSE)</f>
        <v>98</v>
      </c>
      <c r="J114" s="1">
        <v>-2.9856400000000002E-2</v>
      </c>
      <c r="K114" s="1">
        <f>VLOOKUP(C114,'[1]phenotypes-895'!$A$2:$I$896,9,FALSE)</f>
        <v>0</v>
      </c>
      <c r="L114" s="1">
        <v>-6.7902100000000007E-2</v>
      </c>
      <c r="M114" s="4">
        <v>0</v>
      </c>
      <c r="N114" s="1">
        <v>-9.3562100000000002E-3</v>
      </c>
      <c r="O114" s="8">
        <v>0</v>
      </c>
      <c r="P114" s="1">
        <v>0.130439</v>
      </c>
      <c r="Q114" s="6">
        <v>1.3260000000000001</v>
      </c>
      <c r="R114" s="1">
        <v>4.4153900000000003E-2</v>
      </c>
      <c r="S114" s="7">
        <v>0.09</v>
      </c>
    </row>
    <row r="115" spans="1:19" x14ac:dyDescent="0.2">
      <c r="A115">
        <v>114</v>
      </c>
      <c r="B115">
        <v>5</v>
      </c>
      <c r="C115" t="s">
        <v>113</v>
      </c>
      <c r="D115" s="12" t="s">
        <v>913</v>
      </c>
      <c r="E115" s="1">
        <v>-9.7911599999999996</v>
      </c>
      <c r="F115">
        <v>-12.785</v>
      </c>
      <c r="G115" s="1">
        <v>-9.8630701986425002</v>
      </c>
      <c r="H115" s="1">
        <v>-12.880627949125801</v>
      </c>
      <c r="I115">
        <f>VLOOKUP(C115,'[1]phenotypes-895'!$A$2:$G$896,7,FALSE)</f>
        <v>56</v>
      </c>
      <c r="J115" s="1">
        <v>9.9271899999999996E-2</v>
      </c>
      <c r="K115" s="1">
        <f>VLOOKUP(C115,'[1]phenotypes-895'!$A$2:$I$896,9,FALSE)</f>
        <v>0.46124236057327911</v>
      </c>
      <c r="L115" s="1">
        <v>8.1567200000000006E-2</v>
      </c>
      <c r="M115" s="4">
        <v>4.0031464623593198</v>
      </c>
      <c r="N115" s="1">
        <v>3.5441100000000003E-2</v>
      </c>
      <c r="O115" s="8">
        <v>1</v>
      </c>
      <c r="P115" s="1">
        <v>5.3049399999999997E-2</v>
      </c>
      <c r="Q115" s="6">
        <v>0.92500000000000004</v>
      </c>
      <c r="R115" s="1">
        <v>1.9658699999999999E-4</v>
      </c>
      <c r="S115" s="7">
        <v>-0.02</v>
      </c>
    </row>
    <row r="116" spans="1:19" x14ac:dyDescent="0.2">
      <c r="A116">
        <v>115</v>
      </c>
      <c r="B116">
        <v>1</v>
      </c>
      <c r="C116" t="s">
        <v>114</v>
      </c>
      <c r="D116" s="12" t="s">
        <v>913</v>
      </c>
      <c r="E116" s="1">
        <v>-3.1410499999999999</v>
      </c>
      <c r="F116">
        <v>-4.8880800000000004</v>
      </c>
      <c r="G116" s="1">
        <v>-3.0959830422949901</v>
      </c>
      <c r="H116" s="1">
        <v>-4.8379113913415104</v>
      </c>
      <c r="I116">
        <f>VLOOKUP(C116,'[1]phenotypes-895'!$A$2:$G$896,7,FALSE)</f>
        <v>98</v>
      </c>
      <c r="J116" s="1">
        <v>3.5224400000000003E-2</v>
      </c>
      <c r="K116" s="1">
        <f>VLOOKUP(C116,'[1]phenotypes-895'!$A$2:$I$896,9,FALSE)</f>
        <v>0</v>
      </c>
      <c r="L116" s="1">
        <v>-3.4961399999999997E-2</v>
      </c>
      <c r="M116" s="4">
        <v>0</v>
      </c>
      <c r="N116" s="1">
        <v>-2.1811500000000001E-2</v>
      </c>
      <c r="O116" s="8">
        <v>0</v>
      </c>
      <c r="P116" s="1">
        <v>0.148371</v>
      </c>
      <c r="Q116" s="6">
        <v>1.177</v>
      </c>
      <c r="R116" s="1">
        <v>5.2561099999999999E-2</v>
      </c>
      <c r="S116" s="7">
        <v>0.05</v>
      </c>
    </row>
    <row r="117" spans="1:19" x14ac:dyDescent="0.2">
      <c r="A117">
        <v>116</v>
      </c>
      <c r="B117">
        <v>8</v>
      </c>
      <c r="C117" t="s">
        <v>115</v>
      </c>
      <c r="D117" s="12" t="s">
        <v>913</v>
      </c>
      <c r="E117" s="1">
        <v>5.0576800000000004</v>
      </c>
      <c r="F117">
        <v>3.4563199999999998</v>
      </c>
      <c r="G117" s="1">
        <v>5.1232308990945601</v>
      </c>
      <c r="H117" s="1">
        <v>3.5350613811559799</v>
      </c>
      <c r="I117">
        <f>VLOOKUP(C117,'[1]phenotypes-895'!$A$2:$G$896,7,FALSE)</f>
        <v>98</v>
      </c>
      <c r="J117" s="1">
        <v>-2.81952E-2</v>
      </c>
      <c r="K117" s="1">
        <f>VLOOKUP(C117,'[1]phenotypes-895'!$A$2:$I$896,9,FALSE)</f>
        <v>0.1152357926008398</v>
      </c>
      <c r="L117" s="1">
        <v>7.8017299999999998E-2</v>
      </c>
      <c r="M117" s="4">
        <v>1.8741261539247269</v>
      </c>
      <c r="N117" s="1">
        <v>-2.22076E-3</v>
      </c>
      <c r="O117" s="8">
        <v>1</v>
      </c>
      <c r="P117" s="1">
        <v>3.5032300000000002E-2</v>
      </c>
      <c r="Q117" s="6">
        <v>0.93300000000000005</v>
      </c>
      <c r="R117" s="1">
        <v>2.0402099999999999E-2</v>
      </c>
      <c r="S117" s="7">
        <v>-0.02</v>
      </c>
    </row>
    <row r="118" spans="1:19" x14ac:dyDescent="0.2">
      <c r="A118">
        <v>117</v>
      </c>
      <c r="B118">
        <v>36</v>
      </c>
      <c r="C118" t="s">
        <v>116</v>
      </c>
      <c r="D118" s="13" t="s">
        <v>913</v>
      </c>
      <c r="E118" s="1">
        <v>4.3585900000000004</v>
      </c>
      <c r="F118">
        <v>5.4929300000000003</v>
      </c>
      <c r="G118" s="1">
        <v>4.3541399634978202</v>
      </c>
      <c r="H118" s="1">
        <v>5.4849175042705403</v>
      </c>
      <c r="I118">
        <f>VLOOKUP(C118,'[1]phenotypes-895'!$A$2:$G$896,7,FALSE)</f>
        <v>70</v>
      </c>
      <c r="J118" s="1">
        <v>-0.118398</v>
      </c>
      <c r="K118" s="1">
        <f>VLOOKUP(C118,'[1]phenotypes-895'!$A$2:$I$896,9,FALSE)</f>
        <v>0.29992931595850292</v>
      </c>
      <c r="L118" s="1">
        <v>-0.16957800000000001</v>
      </c>
      <c r="M118" s="4">
        <v>3.682093562923431</v>
      </c>
      <c r="N118" s="1">
        <v>-4.0324499999999999E-2</v>
      </c>
      <c r="O118" s="8">
        <v>1</v>
      </c>
      <c r="P118" s="1">
        <v>0.102563</v>
      </c>
      <c r="Q118">
        <v>1.177</v>
      </c>
      <c r="R118" s="1">
        <v>3.5562000000000003E-2</v>
      </c>
      <c r="S118" s="2">
        <v>0.05</v>
      </c>
    </row>
    <row r="119" spans="1:19" x14ac:dyDescent="0.2">
      <c r="A119">
        <v>118</v>
      </c>
      <c r="B119">
        <v>12</v>
      </c>
      <c r="C119" t="s">
        <v>117</v>
      </c>
      <c r="D119" s="12" t="s">
        <v>912</v>
      </c>
      <c r="E119" s="1">
        <v>1.7517100000000001</v>
      </c>
      <c r="F119">
        <v>3.4963799999999998</v>
      </c>
      <c r="G119" s="1">
        <v>1.8976006241851</v>
      </c>
      <c r="H119" s="1">
        <v>3.64284665094904</v>
      </c>
      <c r="I119">
        <f>VLOOKUP(C119,'[1]phenotypes-895'!$A$2:$G$896,7,FALSE)</f>
        <v>98</v>
      </c>
      <c r="J119" s="1">
        <v>-4.4420899999999999E-2</v>
      </c>
      <c r="K119" s="1">
        <f>VLOOKUP(C119,'[1]phenotypes-895'!$A$2:$I$896,9,FALSE)</f>
        <v>0</v>
      </c>
      <c r="L119" s="1">
        <v>-8.0328999999999998E-2</v>
      </c>
      <c r="M119" s="4">
        <v>0</v>
      </c>
      <c r="N119" s="1">
        <v>5.8205599999999998E-3</v>
      </c>
      <c r="O119" s="8">
        <v>0</v>
      </c>
      <c r="P119" s="1">
        <v>-4.9868999999999997E-2</v>
      </c>
      <c r="Q119" s="6">
        <v>0.95399999999999996</v>
      </c>
      <c r="R119" s="1">
        <v>-1.34795E-2</v>
      </c>
      <c r="S119" s="7">
        <v>-0.02</v>
      </c>
    </row>
    <row r="120" spans="1:19" x14ac:dyDescent="0.2">
      <c r="A120">
        <v>119</v>
      </c>
      <c r="B120">
        <v>52</v>
      </c>
      <c r="C120" t="s">
        <v>118</v>
      </c>
      <c r="D120" s="13" t="s">
        <v>912</v>
      </c>
      <c r="E120" s="1">
        <v>0.220029</v>
      </c>
      <c r="F120">
        <v>2.8785599999999998</v>
      </c>
      <c r="G120" s="1">
        <v>0.210937269612612</v>
      </c>
      <c r="H120" s="1">
        <v>2.8783807238519099</v>
      </c>
      <c r="I120">
        <f>VLOOKUP(C120,'[1]phenotypes-895'!$A$2:$G$896,7,FALSE)</f>
        <v>98</v>
      </c>
      <c r="J120" s="1">
        <v>-3.25253E-2</v>
      </c>
      <c r="K120" s="1">
        <f>VLOOKUP(C120,'[1]phenotypes-895'!$A$2:$I$896,9,FALSE)</f>
        <v>0</v>
      </c>
      <c r="L120" s="1">
        <v>-9.3941200000000002E-2</v>
      </c>
      <c r="M120" s="4">
        <v>0</v>
      </c>
      <c r="N120" s="1">
        <v>-1.9662300000000001E-2</v>
      </c>
      <c r="O120" s="8">
        <v>0</v>
      </c>
      <c r="P120" s="1">
        <v>-0.159355</v>
      </c>
      <c r="Q120">
        <v>0.66</v>
      </c>
      <c r="R120" s="1">
        <v>-6.7497100000000004E-2</v>
      </c>
      <c r="S120" s="2">
        <v>-0.14000000000000001</v>
      </c>
    </row>
    <row r="121" spans="1:19" x14ac:dyDescent="0.2">
      <c r="A121">
        <v>120</v>
      </c>
      <c r="B121">
        <v>12</v>
      </c>
      <c r="C121" t="s">
        <v>119</v>
      </c>
      <c r="D121" s="12" t="s">
        <v>912</v>
      </c>
      <c r="E121" s="1">
        <v>-1.1432</v>
      </c>
      <c r="F121">
        <v>-0.62383299999999997</v>
      </c>
      <c r="G121" s="1">
        <v>-1.1396791447677701</v>
      </c>
      <c r="H121" s="1">
        <v>-0.62462885735954199</v>
      </c>
      <c r="I121">
        <f>VLOOKUP(C121,'[1]phenotypes-895'!$A$2:$G$896,7,FALSE)</f>
        <v>78</v>
      </c>
      <c r="J121" s="1">
        <v>-6.3664200000000002E-3</v>
      </c>
      <c r="K121" s="1">
        <f>VLOOKUP(C121,'[1]phenotypes-895'!$A$2:$I$896,9,FALSE)</f>
        <v>0.46311342261982968</v>
      </c>
      <c r="L121" s="1">
        <v>-9.02752E-2</v>
      </c>
      <c r="M121" s="4">
        <v>4.2165947517547604</v>
      </c>
      <c r="N121" s="1">
        <v>8.6991599999999992E-3</v>
      </c>
      <c r="O121" s="8">
        <v>1</v>
      </c>
      <c r="P121" s="1">
        <v>9.2530800000000003E-3</v>
      </c>
      <c r="Q121" s="6">
        <v>0.97799999999999998</v>
      </c>
      <c r="R121" s="1">
        <v>1.05868E-2</v>
      </c>
      <c r="S121" s="7">
        <v>-0.01</v>
      </c>
    </row>
    <row r="122" spans="1:19" x14ac:dyDescent="0.2">
      <c r="A122">
        <v>121</v>
      </c>
      <c r="B122">
        <v>37</v>
      </c>
      <c r="C122" t="s">
        <v>120</v>
      </c>
      <c r="D122" s="13" t="s">
        <v>913</v>
      </c>
      <c r="E122" s="1">
        <v>7.1330799999999996</v>
      </c>
      <c r="F122">
        <v>7.8799299999999999</v>
      </c>
      <c r="G122" s="1">
        <v>7.1916326099204104</v>
      </c>
      <c r="H122" s="1">
        <v>7.9369044420002801</v>
      </c>
      <c r="I122">
        <f>VLOOKUP(C122,'[1]phenotypes-895'!$A$2:$G$896,7,FALSE)</f>
        <v>98</v>
      </c>
      <c r="J122" s="1">
        <v>-0.115222</v>
      </c>
      <c r="K122" s="1">
        <f>VLOOKUP(C122,'[1]phenotypes-895'!$A$2:$I$896,9,FALSE)</f>
        <v>0</v>
      </c>
      <c r="L122" s="1">
        <v>-0.12751499999999999</v>
      </c>
      <c r="M122" s="4">
        <v>0</v>
      </c>
      <c r="N122" s="1">
        <v>-4.1595E-2</v>
      </c>
      <c r="O122" s="8">
        <v>0</v>
      </c>
      <c r="P122" s="1">
        <v>7.2752800000000006E-2</v>
      </c>
      <c r="Q122">
        <v>0.96</v>
      </c>
      <c r="R122" s="1">
        <v>1.9349700000000001E-2</v>
      </c>
      <c r="S122" s="2">
        <v>-0.01</v>
      </c>
    </row>
    <row r="123" spans="1:19" x14ac:dyDescent="0.2">
      <c r="A123">
        <v>122</v>
      </c>
      <c r="B123">
        <v>12</v>
      </c>
      <c r="C123" t="s">
        <v>121</v>
      </c>
      <c r="D123" s="12" t="s">
        <v>912</v>
      </c>
      <c r="E123" s="1">
        <v>-4.1787900000000002</v>
      </c>
      <c r="F123">
        <v>-3.6107399999999998</v>
      </c>
      <c r="G123" s="1">
        <v>-4.0615633237498399</v>
      </c>
      <c r="H123" s="1">
        <v>-3.4982518575512902</v>
      </c>
      <c r="I123">
        <f>VLOOKUP(C123,'[1]phenotypes-895'!$A$2:$G$896,7,FALSE)</f>
        <v>58</v>
      </c>
      <c r="J123" s="1">
        <v>4.3011000000000001E-2</v>
      </c>
      <c r="K123" s="1">
        <f>VLOOKUP(C123,'[1]phenotypes-895'!$A$2:$I$896,9,FALSE)</f>
        <v>0.7556240203986726</v>
      </c>
      <c r="L123" s="1">
        <v>-3.7805499999999999E-2</v>
      </c>
      <c r="M123" s="4">
        <v>4.6636131293515044</v>
      </c>
      <c r="N123" s="1">
        <v>1.7418300000000001E-2</v>
      </c>
      <c r="O123" s="8">
        <v>1</v>
      </c>
      <c r="P123" s="1">
        <v>1.35421E-2</v>
      </c>
      <c r="Q123" s="6">
        <v>1.1739999999999999</v>
      </c>
      <c r="R123" s="1">
        <v>8.5986599999999993E-3</v>
      </c>
      <c r="S123" s="7">
        <v>0.05</v>
      </c>
    </row>
    <row r="124" spans="1:19" x14ac:dyDescent="0.2">
      <c r="A124">
        <v>123</v>
      </c>
      <c r="B124">
        <v>32</v>
      </c>
      <c r="C124" t="s">
        <v>122</v>
      </c>
      <c r="D124" s="13" t="s">
        <v>913</v>
      </c>
      <c r="E124" s="1">
        <v>1.2023999999999999</v>
      </c>
      <c r="F124">
        <v>9.7576800000000005E-2</v>
      </c>
      <c r="G124" s="1">
        <v>1.24496238140132</v>
      </c>
      <c r="H124" s="1">
        <v>0.143700117082316</v>
      </c>
      <c r="I124">
        <f>VLOOKUP(C124,'[1]phenotypes-895'!$A$2:$G$896,7,FALSE)</f>
        <v>56</v>
      </c>
      <c r="J124" s="1">
        <v>-1.9855000000000001E-2</v>
      </c>
      <c r="K124" s="1">
        <f>VLOOKUP(C124,'[1]phenotypes-895'!$A$2:$I$896,9,FALSE)</f>
        <v>0.48409307075872599</v>
      </c>
      <c r="L124" s="1">
        <v>6.7357399999999998E-2</v>
      </c>
      <c r="M124" s="4">
        <v>3.8341503074746628</v>
      </c>
      <c r="N124" s="1">
        <v>-1.5811800000000001E-2</v>
      </c>
      <c r="O124" s="8">
        <v>1</v>
      </c>
      <c r="P124" s="1">
        <v>4.42981E-2</v>
      </c>
      <c r="Q124">
        <v>1.0149999999999999</v>
      </c>
      <c r="R124" s="1">
        <v>1.79845E-2</v>
      </c>
      <c r="S124" s="2">
        <v>0</v>
      </c>
    </row>
    <row r="125" spans="1:19" x14ac:dyDescent="0.2">
      <c r="A125">
        <v>124</v>
      </c>
      <c r="B125">
        <v>16</v>
      </c>
      <c r="C125" t="s">
        <v>123</v>
      </c>
      <c r="D125" s="12" t="s">
        <v>912</v>
      </c>
      <c r="E125" s="1">
        <v>-10.860099999999999</v>
      </c>
      <c r="F125">
        <v>-11.1121</v>
      </c>
      <c r="G125" s="1">
        <v>-10.776253486963</v>
      </c>
      <c r="H125" s="1">
        <v>-11.032130779917001</v>
      </c>
      <c r="I125">
        <f>VLOOKUP(C125,'[1]phenotypes-895'!$A$2:$G$896,7,FALSE)</f>
        <v>53</v>
      </c>
      <c r="J125" s="1">
        <v>9.851E-2</v>
      </c>
      <c r="K125" s="1">
        <f>VLOOKUP(C125,'[1]phenotypes-895'!$A$2:$I$896,9,FALSE)</f>
        <v>0.59079346660221232</v>
      </c>
      <c r="L125" s="1">
        <v>-1.2547700000000001E-3</v>
      </c>
      <c r="M125" s="4">
        <v>4.4073507019583795</v>
      </c>
      <c r="N125" s="1">
        <v>2.0160000000000001E-2</v>
      </c>
      <c r="O125" s="8">
        <v>1</v>
      </c>
      <c r="P125" s="1">
        <v>0.126051</v>
      </c>
      <c r="Q125" s="6">
        <v>1.07</v>
      </c>
      <c r="R125" s="1">
        <v>4.6368800000000002E-2</v>
      </c>
      <c r="S125" s="7">
        <v>0.02</v>
      </c>
    </row>
    <row r="126" spans="1:19" x14ac:dyDescent="0.2">
      <c r="A126">
        <v>125</v>
      </c>
      <c r="B126">
        <v>29</v>
      </c>
      <c r="C126" t="s">
        <v>124</v>
      </c>
      <c r="D126" s="13" t="s">
        <v>913</v>
      </c>
      <c r="E126" s="1">
        <v>-2.5988699999999998</v>
      </c>
      <c r="F126">
        <v>-4.2480599999999997</v>
      </c>
      <c r="G126" s="1">
        <v>-2.6500416921833798</v>
      </c>
      <c r="H126" s="1">
        <v>-4.30980803747675</v>
      </c>
      <c r="I126">
        <f>VLOOKUP(C126,'[1]phenotypes-895'!$A$2:$G$896,7,FALSE)</f>
        <v>66</v>
      </c>
      <c r="J126" s="1">
        <v>3.8994500000000001E-2</v>
      </c>
      <c r="K126" s="1">
        <f>VLOOKUP(C126,'[1]phenotypes-895'!$A$2:$I$896,9,FALSE)</f>
        <v>0.62725244726354012</v>
      </c>
      <c r="L126" s="1">
        <v>-9.3088500000000005E-2</v>
      </c>
      <c r="M126" s="4">
        <v>4.2068719898485414</v>
      </c>
      <c r="N126" s="1">
        <v>-1.02869E-2</v>
      </c>
      <c r="O126" s="8">
        <v>1</v>
      </c>
      <c r="P126" s="1">
        <v>0.10868899999999999</v>
      </c>
      <c r="Q126">
        <v>1.1399999999999999</v>
      </c>
      <c r="R126" s="1">
        <v>4.4229200000000003E-2</v>
      </c>
      <c r="S126" s="2">
        <v>0.04</v>
      </c>
    </row>
    <row r="127" spans="1:19" x14ac:dyDescent="0.2">
      <c r="A127">
        <v>126</v>
      </c>
      <c r="B127">
        <v>13</v>
      </c>
      <c r="C127" t="s">
        <v>125</v>
      </c>
      <c r="D127" s="12" t="s">
        <v>912</v>
      </c>
      <c r="E127" s="1">
        <v>-6.35379</v>
      </c>
      <c r="F127">
        <v>-6.0132700000000003</v>
      </c>
      <c r="G127" s="1">
        <v>-6.2599765352470902</v>
      </c>
      <c r="H127" s="1">
        <v>-5.9250859155483298</v>
      </c>
      <c r="I127">
        <f>VLOOKUP(C127,'[1]phenotypes-895'!$A$2:$G$896,7,FALSE)</f>
        <v>51</v>
      </c>
      <c r="J127" s="1">
        <v>0.14727299999999999</v>
      </c>
      <c r="K127" s="1">
        <f>VLOOKUP(C127,'[1]phenotypes-895'!$A$2:$I$896,9,FALSE)</f>
        <v>1.025740934306592</v>
      </c>
      <c r="L127" s="1">
        <v>6.0967100000000003E-2</v>
      </c>
      <c r="M127" s="4">
        <v>4.5088023302412061</v>
      </c>
      <c r="N127" s="1">
        <v>4.37755E-3</v>
      </c>
      <c r="O127" s="8">
        <v>1</v>
      </c>
      <c r="P127" s="1">
        <v>-2.1261200000000001E-2</v>
      </c>
      <c r="Q127" s="6">
        <v>0.93600000000000005</v>
      </c>
      <c r="R127" s="1">
        <v>-6.5626400000000004E-4</v>
      </c>
      <c r="S127" s="7">
        <v>-0.02</v>
      </c>
    </row>
    <row r="128" spans="1:19" x14ac:dyDescent="0.2">
      <c r="A128">
        <v>127</v>
      </c>
      <c r="B128">
        <v>49</v>
      </c>
      <c r="C128" t="s">
        <v>126</v>
      </c>
      <c r="D128" s="13" t="s">
        <v>912</v>
      </c>
      <c r="E128" s="1">
        <v>-2.1506099999999999</v>
      </c>
      <c r="F128">
        <v>-0.82296999999999998</v>
      </c>
      <c r="G128" s="1">
        <v>-2.0086070434458501</v>
      </c>
      <c r="H128" s="1">
        <v>-0.68441843314509199</v>
      </c>
      <c r="I128">
        <f>VLOOKUP(C128,'[1]phenotypes-895'!$A$2:$G$896,7,FALSE)</f>
        <v>59</v>
      </c>
      <c r="J128" s="1">
        <v>2.7333699999999999E-2</v>
      </c>
      <c r="K128" s="1">
        <f>VLOOKUP(C128,'[1]phenotypes-895'!$A$2:$I$896,9,FALSE)</f>
        <v>0.5568100931002854</v>
      </c>
      <c r="L128" s="1">
        <v>-4.5476799999999998E-2</v>
      </c>
      <c r="M128" s="4">
        <v>4.3978212823912939</v>
      </c>
      <c r="N128" s="1">
        <v>1.38224E-2</v>
      </c>
      <c r="O128" s="8">
        <v>1</v>
      </c>
      <c r="P128" s="1">
        <v>-0.101225</v>
      </c>
      <c r="Q128">
        <v>0.58599999999999997</v>
      </c>
      <c r="R128" s="1">
        <v>-3.8884500000000002E-2</v>
      </c>
      <c r="S128" s="2">
        <v>-0.18</v>
      </c>
    </row>
    <row r="129" spans="1:19" x14ac:dyDescent="0.2">
      <c r="A129">
        <v>128</v>
      </c>
      <c r="B129">
        <v>50</v>
      </c>
      <c r="C129" t="s">
        <v>127</v>
      </c>
      <c r="D129" s="13" t="s">
        <v>912</v>
      </c>
      <c r="E129" s="1">
        <v>2.1859799999999998</v>
      </c>
      <c r="F129">
        <v>4.5816800000000004</v>
      </c>
      <c r="G129" s="1">
        <v>2.2111111909053101</v>
      </c>
      <c r="H129" s="1">
        <v>4.6171986609358404</v>
      </c>
      <c r="I129">
        <f>VLOOKUP(C129,'[1]phenotypes-895'!$A$2:$G$896,7,FALSE)</f>
        <v>98</v>
      </c>
      <c r="J129" s="1">
        <v>-1.3835999999999999E-2</v>
      </c>
      <c r="K129" s="1">
        <f>VLOOKUP(C129,'[1]phenotypes-895'!$A$2:$I$896,9,FALSE)</f>
        <v>8.5934783720589214E-2</v>
      </c>
      <c r="L129" s="1">
        <v>-1.6051699999999999E-2</v>
      </c>
      <c r="M129" s="4">
        <v>1.4245861338591359</v>
      </c>
      <c r="N129" s="1">
        <v>3.5505399999999999E-2</v>
      </c>
      <c r="O129" s="8">
        <v>1</v>
      </c>
      <c r="P129" s="1">
        <v>-0.13550100000000001</v>
      </c>
      <c r="Q129">
        <v>0.46300000000000002</v>
      </c>
      <c r="R129" s="1">
        <v>-6.3145499999999993E-2</v>
      </c>
      <c r="S129" s="2">
        <v>-0.26</v>
      </c>
    </row>
    <row r="130" spans="1:19" x14ac:dyDescent="0.2">
      <c r="A130">
        <v>129</v>
      </c>
      <c r="B130">
        <v>16</v>
      </c>
      <c r="C130" t="s">
        <v>128</v>
      </c>
      <c r="D130" s="12" t="s">
        <v>912</v>
      </c>
      <c r="E130" s="1">
        <v>-7.8985900000000004</v>
      </c>
      <c r="F130">
        <v>-7.8365799999999997</v>
      </c>
      <c r="G130" s="1">
        <v>-7.7434953687654202</v>
      </c>
      <c r="H130" s="1">
        <v>-7.6744201070561697</v>
      </c>
      <c r="I130">
        <f>VLOOKUP(C130,'[1]phenotypes-895'!$A$2:$G$896,7,FALSE)</f>
        <v>98</v>
      </c>
      <c r="J130" s="1">
        <v>6.8215499999999998E-2</v>
      </c>
      <c r="K130" s="1">
        <f>VLOOKUP(C130,'[1]phenotypes-895'!$A$2:$I$896,9,FALSE)</f>
        <v>0</v>
      </c>
      <c r="L130" s="1">
        <v>1.1319299999999999E-2</v>
      </c>
      <c r="M130" s="4">
        <v>0</v>
      </c>
      <c r="N130" s="1">
        <v>1.1528999999999999E-2</v>
      </c>
      <c r="O130" s="8">
        <v>0</v>
      </c>
      <c r="P130" s="1">
        <v>0.15662599999999999</v>
      </c>
      <c r="Q130" s="6">
        <v>1.1930000000000001</v>
      </c>
      <c r="R130" s="1">
        <v>5.9846400000000001E-2</v>
      </c>
      <c r="S130" s="7">
        <v>0.06</v>
      </c>
    </row>
    <row r="131" spans="1:19" x14ac:dyDescent="0.2">
      <c r="A131">
        <v>130</v>
      </c>
      <c r="B131">
        <v>43</v>
      </c>
      <c r="C131" t="s">
        <v>129</v>
      </c>
      <c r="D131" s="13" t="s">
        <v>912</v>
      </c>
      <c r="E131" s="1">
        <v>-1.9379500000000001</v>
      </c>
      <c r="F131">
        <v>-0.138351</v>
      </c>
      <c r="G131" s="1">
        <v>-1.96488729297653</v>
      </c>
      <c r="H131" s="1">
        <v>-0.15770374216885</v>
      </c>
      <c r="I131">
        <f>VLOOKUP(C131,'[1]phenotypes-895'!$A$2:$G$896,7,FALSE)</f>
        <v>62</v>
      </c>
      <c r="J131" s="1">
        <v>2.35379E-2</v>
      </c>
      <c r="K131" s="1">
        <f>VLOOKUP(C131,'[1]phenotypes-895'!$A$2:$I$896,9,FALSE)</f>
        <v>0.43729162839069269</v>
      </c>
      <c r="L131" s="1">
        <v>5.1018699999999997E-3</v>
      </c>
      <c r="M131" s="4">
        <v>4.2079109641158334</v>
      </c>
      <c r="N131" s="1">
        <v>9.6691399999999997E-3</v>
      </c>
      <c r="O131" s="8">
        <v>1</v>
      </c>
      <c r="P131" s="1">
        <v>-4.79126E-2</v>
      </c>
      <c r="Q131">
        <v>0.81299999999999994</v>
      </c>
      <c r="R131" s="1">
        <v>-1.35976E-2</v>
      </c>
      <c r="S131" s="2">
        <v>-7.0000000000000007E-2</v>
      </c>
    </row>
    <row r="132" spans="1:19" x14ac:dyDescent="0.2">
      <c r="A132">
        <v>131</v>
      </c>
      <c r="B132">
        <v>11</v>
      </c>
      <c r="C132" t="s">
        <v>130</v>
      </c>
      <c r="D132" s="12" t="s">
        <v>912</v>
      </c>
      <c r="E132" s="1">
        <v>-7.5704000000000002</v>
      </c>
      <c r="F132">
        <v>-7.2904099999999996</v>
      </c>
      <c r="G132" s="1">
        <v>-7.5098245402179504</v>
      </c>
      <c r="H132" s="1">
        <v>-7.2334927963014897</v>
      </c>
      <c r="I132">
        <f>VLOOKUP(C132,'[1]phenotypes-895'!$A$2:$G$896,7,FALSE)</f>
        <v>64</v>
      </c>
      <c r="J132" s="1">
        <v>9.4801300000000005E-2</v>
      </c>
      <c r="K132" s="1">
        <f>VLOOKUP(C132,'[1]phenotypes-895'!$A$2:$I$896,9,FALSE)</f>
        <v>0.53988884348835542</v>
      </c>
      <c r="L132" s="1">
        <v>0.36504799999999998</v>
      </c>
      <c r="M132" s="4">
        <v>4.0825516464877847</v>
      </c>
      <c r="N132" s="1">
        <v>1.99714E-2</v>
      </c>
      <c r="O132" s="8">
        <v>1</v>
      </c>
      <c r="P132" s="1">
        <v>3.7185500000000003E-2</v>
      </c>
      <c r="Q132" s="6">
        <v>1.149</v>
      </c>
      <c r="R132" s="1">
        <v>2.0307100000000002E-2</v>
      </c>
      <c r="S132" s="7">
        <v>0.04</v>
      </c>
    </row>
    <row r="133" spans="1:19" x14ac:dyDescent="0.2">
      <c r="A133">
        <v>132</v>
      </c>
      <c r="B133">
        <v>34</v>
      </c>
      <c r="C133" t="s">
        <v>131</v>
      </c>
      <c r="D133" s="13" t="s">
        <v>913</v>
      </c>
      <c r="E133" s="1">
        <v>-3.0274399999999999</v>
      </c>
      <c r="F133">
        <v>-2.86049</v>
      </c>
      <c r="G133" s="1">
        <v>-2.9754545497269</v>
      </c>
      <c r="H133" s="1">
        <v>-2.8063480346948899</v>
      </c>
      <c r="I133">
        <f>VLOOKUP(C133,'[1]phenotypes-895'!$A$2:$G$896,7,FALSE)</f>
        <v>70</v>
      </c>
      <c r="J133" s="1">
        <v>5.2513600000000001E-2</v>
      </c>
      <c r="K133" s="1">
        <f>VLOOKUP(C133,'[1]phenotypes-895'!$A$2:$I$896,9,FALSE)</f>
        <v>0.43577124260130368</v>
      </c>
      <c r="L133" s="1">
        <v>0.185812</v>
      </c>
      <c r="M133" s="4">
        <v>3.6392742787385663</v>
      </c>
      <c r="N133" s="1">
        <v>2.1626900000000001E-2</v>
      </c>
      <c r="O133" s="8">
        <v>1</v>
      </c>
      <c r="P133" s="1">
        <v>-8.1787100000000005E-3</v>
      </c>
      <c r="Q133">
        <v>0.90600000000000003</v>
      </c>
      <c r="R133" s="1">
        <v>2.6579500000000001E-3</v>
      </c>
      <c r="S133" s="2">
        <v>-0.03</v>
      </c>
    </row>
    <row r="134" spans="1:19" x14ac:dyDescent="0.2">
      <c r="A134">
        <v>133</v>
      </c>
      <c r="B134">
        <v>10</v>
      </c>
      <c r="C134" t="s">
        <v>132</v>
      </c>
      <c r="D134" s="12" t="s">
        <v>912</v>
      </c>
      <c r="E134" s="1">
        <v>-3.0107900000000001</v>
      </c>
      <c r="F134">
        <v>-3.6400700000000001</v>
      </c>
      <c r="G134" s="1">
        <v>-2.8551687075945802</v>
      </c>
      <c r="H134" s="1">
        <v>-3.4637318011414102</v>
      </c>
      <c r="I134">
        <f>VLOOKUP(C134,'[1]phenotypes-895'!$A$2:$G$896,7,FALSE)</f>
        <v>71</v>
      </c>
      <c r="J134" s="1">
        <v>8.6050000000000001E-2</v>
      </c>
      <c r="K134" s="1">
        <f>VLOOKUP(C134,'[1]phenotypes-895'!$A$2:$I$896,9,FALSE)</f>
        <v>0.85775221720956163</v>
      </c>
      <c r="L134" s="1">
        <v>0.27271200000000001</v>
      </c>
      <c r="M134" s="4">
        <v>5.6101212541254517</v>
      </c>
      <c r="N134" s="1">
        <v>-1.28074E-2</v>
      </c>
      <c r="O134" s="8">
        <v>1</v>
      </c>
      <c r="P134" s="1">
        <v>8.9357500000000006E-2</v>
      </c>
      <c r="Q134" s="6">
        <v>1.048</v>
      </c>
      <c r="R134" s="1">
        <v>3.6580700000000001E-2</v>
      </c>
      <c r="S134" s="7">
        <v>0.01</v>
      </c>
    </row>
    <row r="135" spans="1:19" x14ac:dyDescent="0.2">
      <c r="A135">
        <v>134</v>
      </c>
      <c r="B135">
        <v>28</v>
      </c>
      <c r="C135" t="s">
        <v>133</v>
      </c>
      <c r="D135" s="13" t="s">
        <v>913</v>
      </c>
      <c r="E135" s="1">
        <v>5.18424</v>
      </c>
      <c r="F135">
        <v>3.3675199999999998</v>
      </c>
      <c r="G135" s="1">
        <v>5.1558813289167302</v>
      </c>
      <c r="H135" s="1">
        <v>3.3368158844753699</v>
      </c>
      <c r="I135">
        <f>VLOOKUP(C135,'[1]phenotypes-895'!$A$2:$G$896,7,FALSE)</f>
        <v>98</v>
      </c>
      <c r="J135" s="1">
        <v>-8.2983899999999999E-2</v>
      </c>
      <c r="K135" s="1">
        <f>VLOOKUP(C135,'[1]phenotypes-895'!$A$2:$I$896,9,FALSE)</f>
        <v>0</v>
      </c>
      <c r="L135" s="1">
        <v>-0.11527</v>
      </c>
      <c r="M135" s="4">
        <v>0</v>
      </c>
      <c r="N135" s="1">
        <v>-2.598E-2</v>
      </c>
      <c r="O135" s="8">
        <v>0</v>
      </c>
      <c r="P135" s="1">
        <v>0.12049600000000001</v>
      </c>
      <c r="Q135">
        <v>1.2190000000000001</v>
      </c>
      <c r="R135" s="1">
        <v>4.1319399999999999E-2</v>
      </c>
      <c r="S135" s="2">
        <v>0.06</v>
      </c>
    </row>
    <row r="136" spans="1:19" x14ac:dyDescent="0.2">
      <c r="A136">
        <v>135</v>
      </c>
      <c r="B136">
        <v>16</v>
      </c>
      <c r="C136" t="s">
        <v>134</v>
      </c>
      <c r="D136" s="12" t="s">
        <v>912</v>
      </c>
      <c r="E136" s="1">
        <v>-9.9685299999999994</v>
      </c>
      <c r="F136">
        <v>-9.7402599999999993</v>
      </c>
      <c r="G136" s="1">
        <v>-10.100020015284301</v>
      </c>
      <c r="H136" s="1">
        <v>-9.8777346975271403</v>
      </c>
      <c r="I136">
        <f>VLOOKUP(C136,'[1]phenotypes-895'!$A$2:$G$896,7,FALSE)</f>
        <v>46</v>
      </c>
      <c r="J136" s="1">
        <v>9.5561999999999994E-2</v>
      </c>
      <c r="K136" s="1">
        <f>VLOOKUP(C136,'[1]phenotypes-895'!$A$2:$I$896,9,FALSE)</f>
        <v>0.65761219145372096</v>
      </c>
      <c r="L136" s="1">
        <v>-2.1821700000000002E-3</v>
      </c>
      <c r="M136" s="4">
        <v>3.9421529204626764</v>
      </c>
      <c r="N136" s="1">
        <v>1.37217E-2</v>
      </c>
      <c r="O136" s="8">
        <v>1</v>
      </c>
      <c r="P136" s="1">
        <v>0.107491</v>
      </c>
      <c r="Q136" s="6">
        <v>1.1559999999999999</v>
      </c>
      <c r="R136" s="1">
        <v>4.1478300000000003E-2</v>
      </c>
      <c r="S136" s="7">
        <v>0.05</v>
      </c>
    </row>
    <row r="137" spans="1:19" x14ac:dyDescent="0.2">
      <c r="A137">
        <v>136</v>
      </c>
      <c r="B137">
        <v>3</v>
      </c>
      <c r="C137" t="s">
        <v>135</v>
      </c>
      <c r="D137" s="12" t="s">
        <v>913</v>
      </c>
      <c r="E137" s="1">
        <v>-0.79266700000000001</v>
      </c>
      <c r="F137">
        <v>-3.2911100000000002</v>
      </c>
      <c r="G137" s="1">
        <v>-0.60033561594832596</v>
      </c>
      <c r="H137" s="1">
        <v>-3.04839773471355</v>
      </c>
      <c r="I137">
        <f>VLOOKUP(C137,'[1]phenotypes-895'!$A$2:$G$896,7,FALSE)</f>
        <v>98</v>
      </c>
      <c r="J137" s="1">
        <v>-1.5939399999999999E-2</v>
      </c>
      <c r="K137" s="1">
        <f>VLOOKUP(C137,'[1]phenotypes-895'!$A$2:$I$896,9,FALSE)</f>
        <v>0</v>
      </c>
      <c r="L137" s="1">
        <v>-9.1193399999999994E-2</v>
      </c>
      <c r="M137" s="4">
        <v>0</v>
      </c>
      <c r="N137" s="1">
        <v>-2.8827599999999998E-3</v>
      </c>
      <c r="O137" s="8">
        <v>0</v>
      </c>
      <c r="P137" s="1">
        <v>4.6455799999999998E-2</v>
      </c>
      <c r="Q137" s="6">
        <v>0.96299999999999997</v>
      </c>
      <c r="R137" s="1">
        <v>2.3248100000000001E-2</v>
      </c>
      <c r="S137" s="7">
        <v>-0.01</v>
      </c>
    </row>
    <row r="138" spans="1:19" x14ac:dyDescent="0.2">
      <c r="A138">
        <v>137</v>
      </c>
      <c r="B138">
        <v>13</v>
      </c>
      <c r="C138" t="s">
        <v>136</v>
      </c>
      <c r="D138" s="12" t="s">
        <v>912</v>
      </c>
      <c r="E138" s="1">
        <v>-3.5252400000000002</v>
      </c>
      <c r="F138">
        <v>-2.85717</v>
      </c>
      <c r="G138" s="1">
        <v>-3.5451219725166601</v>
      </c>
      <c r="H138" s="1">
        <v>-2.88022898351648</v>
      </c>
      <c r="I138">
        <f>VLOOKUP(C138,'[1]phenotypes-895'!$A$2:$G$896,7,FALSE)</f>
        <v>60</v>
      </c>
      <c r="J138" s="1">
        <v>8.3509899999999998E-2</v>
      </c>
      <c r="K138" s="1">
        <f>VLOOKUP(C138,'[1]phenotypes-895'!$A$2:$I$896,9,FALSE)</f>
        <v>0.66913082243754884</v>
      </c>
      <c r="L138" s="1">
        <v>1.0836800000000001E-2</v>
      </c>
      <c r="M138" s="4">
        <v>4.568772272217255</v>
      </c>
      <c r="N138" s="1">
        <v>-1.1595599999999999E-2</v>
      </c>
      <c r="O138" s="8">
        <v>1</v>
      </c>
      <c r="P138" s="1">
        <v>-5.1379800000000003E-2</v>
      </c>
      <c r="Q138" s="6">
        <v>0.83799999999999997</v>
      </c>
      <c r="R138" s="1">
        <v>-1.42787E-2</v>
      </c>
      <c r="S138" s="7">
        <v>-0.06</v>
      </c>
    </row>
    <row r="139" spans="1:19" x14ac:dyDescent="0.2">
      <c r="A139">
        <v>138</v>
      </c>
      <c r="B139">
        <v>4</v>
      </c>
      <c r="C139" t="s">
        <v>137</v>
      </c>
      <c r="D139" s="12" t="s">
        <v>913</v>
      </c>
      <c r="E139" s="1">
        <v>-1.8545799999999999</v>
      </c>
      <c r="F139">
        <v>-3.56046</v>
      </c>
      <c r="G139" s="1">
        <v>-1.87528316607116</v>
      </c>
      <c r="H139" s="1">
        <v>-3.59474083047912</v>
      </c>
      <c r="I139">
        <f>VLOOKUP(C139,'[1]phenotypes-895'!$A$2:$G$896,7,FALSE)</f>
        <v>56</v>
      </c>
      <c r="J139" s="1">
        <v>5.2157200000000001E-2</v>
      </c>
      <c r="K139" s="1">
        <f>VLOOKUP(C139,'[1]phenotypes-895'!$A$2:$I$896,9,FALSE)</f>
        <v>0.75930149335588026</v>
      </c>
      <c r="L139" s="1">
        <v>4.9995400000000002E-2</v>
      </c>
      <c r="M139" s="4">
        <v>3.8728440774490371</v>
      </c>
      <c r="N139" s="1">
        <v>1.35123E-2</v>
      </c>
      <c r="O139" s="8">
        <v>1</v>
      </c>
      <c r="P139" s="1">
        <v>-2.4482500000000001E-2</v>
      </c>
      <c r="Q139" s="6">
        <v>0.88400000000000001</v>
      </c>
      <c r="R139" s="1">
        <v>-4.9943100000000001E-3</v>
      </c>
      <c r="S139" s="7">
        <v>-0.04</v>
      </c>
    </row>
    <row r="140" spans="1:19" x14ac:dyDescent="0.2">
      <c r="A140">
        <v>139</v>
      </c>
      <c r="B140">
        <v>2</v>
      </c>
      <c r="C140" t="s">
        <v>138</v>
      </c>
      <c r="D140" s="12" t="s">
        <v>913</v>
      </c>
      <c r="E140" s="1">
        <v>6.5104100000000003</v>
      </c>
      <c r="F140">
        <v>7.4430699999999996</v>
      </c>
      <c r="G140" s="1">
        <v>6.5777678703804003</v>
      </c>
      <c r="H140" s="1">
        <v>7.5148511683546699</v>
      </c>
      <c r="I140">
        <f>VLOOKUP(C140,'[1]phenotypes-895'!$A$2:$G$896,7,FALSE)</f>
        <v>98</v>
      </c>
      <c r="J140" s="1">
        <v>-5.8788100000000003E-2</v>
      </c>
      <c r="K140" s="1">
        <f>VLOOKUP(C140,'[1]phenotypes-895'!$A$2:$I$896,9,FALSE)</f>
        <v>0.24951321841215501</v>
      </c>
      <c r="L140" s="1">
        <v>3.0898999999999999E-2</v>
      </c>
      <c r="M140" s="4">
        <v>2.6750797265889918</v>
      </c>
      <c r="N140" s="1">
        <v>-1.29523E-2</v>
      </c>
      <c r="O140" s="8">
        <v>1</v>
      </c>
      <c r="P140" s="1">
        <v>-2.6157799999999998E-2</v>
      </c>
      <c r="Q140" s="6">
        <v>0.74099999999999999</v>
      </c>
      <c r="R140" s="1">
        <v>-9.9907299999999997E-3</v>
      </c>
      <c r="S140" s="7">
        <v>-0.1</v>
      </c>
    </row>
    <row r="141" spans="1:19" x14ac:dyDescent="0.2">
      <c r="A141">
        <v>140</v>
      </c>
      <c r="B141">
        <v>16</v>
      </c>
      <c r="C141" t="s">
        <v>139</v>
      </c>
      <c r="D141" s="12" t="s">
        <v>912</v>
      </c>
      <c r="E141" s="1">
        <v>-2.9148399999999999</v>
      </c>
      <c r="F141">
        <v>-2.8715000000000002</v>
      </c>
      <c r="G141" s="1">
        <v>-2.9211985578497801</v>
      </c>
      <c r="H141" s="1">
        <v>-2.87792182618937</v>
      </c>
      <c r="I141">
        <f>VLOOKUP(C141,'[1]phenotypes-895'!$A$2:$G$896,7,FALSE)</f>
        <v>49</v>
      </c>
      <c r="J141" s="1">
        <v>-2.01116E-2</v>
      </c>
      <c r="K141" s="1">
        <f>VLOOKUP(C141,'[1]phenotypes-895'!$A$2:$I$896,9,FALSE)</f>
        <v>0.22744885067149409</v>
      </c>
      <c r="L141" s="1">
        <v>-0.116092</v>
      </c>
      <c r="M141" s="4">
        <v>3.4931629291151629</v>
      </c>
      <c r="N141" s="1">
        <v>-1.0265700000000001E-2</v>
      </c>
      <c r="O141" s="8">
        <v>1</v>
      </c>
      <c r="P141" s="1">
        <v>-4.6060799999999999E-2</v>
      </c>
      <c r="Q141" s="6">
        <v>0.83199999999999996</v>
      </c>
      <c r="R141" s="1">
        <v>-1.09529E-2</v>
      </c>
      <c r="S141" s="7">
        <v>-0.06</v>
      </c>
    </row>
    <row r="142" spans="1:19" x14ac:dyDescent="0.2">
      <c r="A142">
        <v>141</v>
      </c>
      <c r="B142">
        <v>5</v>
      </c>
      <c r="C142" t="s">
        <v>140</v>
      </c>
      <c r="D142" s="12" t="s">
        <v>913</v>
      </c>
      <c r="E142" s="1">
        <v>-7.4258899999999999</v>
      </c>
      <c r="F142">
        <v>-10.5907</v>
      </c>
      <c r="G142" s="1">
        <v>-7.2281155794034202</v>
      </c>
      <c r="H142" s="1">
        <v>-10.364855629618001</v>
      </c>
      <c r="I142">
        <f>VLOOKUP(C142,'[1]phenotypes-895'!$A$2:$G$896,7,FALSE)</f>
        <v>51</v>
      </c>
      <c r="J142" s="1">
        <v>0.132858</v>
      </c>
      <c r="K142" s="1">
        <f>VLOOKUP(C142,'[1]phenotypes-895'!$A$2:$I$896,9,FALSE)</f>
        <v>0.71214496479996525</v>
      </c>
      <c r="L142" s="1">
        <v>9.0425900000000003E-2</v>
      </c>
      <c r="M142" s="4">
        <v>4.9815904061333383</v>
      </c>
      <c r="N142" s="1">
        <v>3.2636800000000001E-2</v>
      </c>
      <c r="O142" s="8">
        <v>1</v>
      </c>
      <c r="P142" s="1">
        <v>4.58678E-2</v>
      </c>
      <c r="Q142" s="6">
        <v>0.877</v>
      </c>
      <c r="R142" s="1">
        <v>2.0348000000000002E-2</v>
      </c>
      <c r="S142" s="7">
        <v>-0.04</v>
      </c>
    </row>
    <row r="143" spans="1:19" x14ac:dyDescent="0.2">
      <c r="A143">
        <v>142</v>
      </c>
      <c r="B143">
        <v>8</v>
      </c>
      <c r="C143" t="s">
        <v>141</v>
      </c>
      <c r="D143" s="12" t="s">
        <v>913</v>
      </c>
      <c r="E143" s="1">
        <v>5.2904499999999999</v>
      </c>
      <c r="F143">
        <v>3.5443600000000002</v>
      </c>
      <c r="G143" s="1">
        <v>5.2674588680485499</v>
      </c>
      <c r="H143" s="1">
        <v>3.5118596114352898</v>
      </c>
      <c r="I143">
        <f>VLOOKUP(C143,'[1]phenotypes-895'!$A$2:$G$896,7,FALSE)</f>
        <v>98</v>
      </c>
      <c r="J143" s="1">
        <v>-3.97449E-2</v>
      </c>
      <c r="K143" s="1">
        <f>VLOOKUP(C143,'[1]phenotypes-895'!$A$2:$I$896,9,FALSE)</f>
        <v>0</v>
      </c>
      <c r="L143" s="1">
        <v>5.3628500000000003E-2</v>
      </c>
      <c r="M143" s="4">
        <v>0</v>
      </c>
      <c r="N143" s="1">
        <v>-9.4812799999999999E-3</v>
      </c>
      <c r="O143" s="8">
        <v>0</v>
      </c>
      <c r="P143" s="1">
        <v>6.3250500000000001E-2</v>
      </c>
      <c r="Q143" s="6">
        <v>1.0780000000000001</v>
      </c>
      <c r="R143" s="1">
        <v>3.0647299999999999E-2</v>
      </c>
      <c r="S143" s="7">
        <v>0.02</v>
      </c>
    </row>
    <row r="144" spans="1:19" x14ac:dyDescent="0.2">
      <c r="A144">
        <v>143</v>
      </c>
      <c r="B144">
        <v>14</v>
      </c>
      <c r="C144" t="s">
        <v>142</v>
      </c>
      <c r="D144" s="12" t="s">
        <v>912</v>
      </c>
      <c r="E144" s="1">
        <v>-6.8915499999999996</v>
      </c>
      <c r="F144">
        <v>-7.4610799999999999</v>
      </c>
      <c r="G144" s="1">
        <v>-6.7170139976778804</v>
      </c>
      <c r="H144" s="1">
        <v>-7.2774475088331503</v>
      </c>
      <c r="I144">
        <f>VLOOKUP(C144,'[1]phenotypes-895'!$A$2:$G$896,7,FALSE)</f>
        <v>56</v>
      </c>
      <c r="J144" s="1">
        <v>0.12540599999999999</v>
      </c>
      <c r="K144" s="1">
        <f>VLOOKUP(C144,'[1]phenotypes-895'!$A$2:$I$896,9,FALSE)</f>
        <v>0.66194170661746199</v>
      </c>
      <c r="L144" s="1">
        <v>2.1024500000000002E-2</v>
      </c>
      <c r="M144" s="4">
        <v>3.3382473712876117</v>
      </c>
      <c r="N144" s="1">
        <v>4.7944899999999999E-2</v>
      </c>
      <c r="O144" s="8">
        <v>1</v>
      </c>
      <c r="P144" s="1">
        <v>1.43401E-2</v>
      </c>
      <c r="Q144" s="6">
        <v>1.03</v>
      </c>
      <c r="R144" s="1">
        <v>6.3643800000000002E-3</v>
      </c>
      <c r="S144" s="7">
        <v>0.01</v>
      </c>
    </row>
    <row r="145" spans="1:19" x14ac:dyDescent="0.2">
      <c r="A145">
        <v>144</v>
      </c>
      <c r="B145">
        <v>9</v>
      </c>
      <c r="C145" t="s">
        <v>143</v>
      </c>
      <c r="D145" s="12" t="s">
        <v>912</v>
      </c>
      <c r="E145" s="1">
        <v>-3.4927899999999998</v>
      </c>
      <c r="F145">
        <v>-3.5472100000000002</v>
      </c>
      <c r="G145" s="1">
        <v>-3.5223570956005501</v>
      </c>
      <c r="H145" s="1">
        <v>-3.5872803465293002</v>
      </c>
      <c r="I145">
        <f>VLOOKUP(C145,'[1]phenotypes-895'!$A$2:$G$896,7,FALSE)</f>
        <v>49</v>
      </c>
      <c r="J145" s="1">
        <v>5.7387000000000002E-3</v>
      </c>
      <c r="K145" s="1">
        <f>VLOOKUP(C145,'[1]phenotypes-895'!$A$2:$I$896,9,FALSE)</f>
        <v>0.59848458582444208</v>
      </c>
      <c r="L145" s="1">
        <v>-3.5755099999999998E-2</v>
      </c>
      <c r="M145" s="4">
        <v>3.5324806084123481</v>
      </c>
      <c r="N145" s="1">
        <v>-1.35718E-2</v>
      </c>
      <c r="O145" s="8">
        <v>1</v>
      </c>
      <c r="P145" s="1">
        <v>-3.1219299999999998E-2</v>
      </c>
      <c r="Q145" s="6">
        <v>0.93500000000000005</v>
      </c>
      <c r="R145" s="1">
        <v>-4.8851199999999997E-3</v>
      </c>
      <c r="S145" s="7">
        <v>-0.02</v>
      </c>
    </row>
    <row r="146" spans="1:19" x14ac:dyDescent="0.2">
      <c r="A146">
        <v>145</v>
      </c>
      <c r="B146">
        <v>15</v>
      </c>
      <c r="C146" t="s">
        <v>144</v>
      </c>
      <c r="D146" s="12" t="s">
        <v>912</v>
      </c>
      <c r="E146" s="1">
        <v>-10.527799999999999</v>
      </c>
      <c r="F146">
        <v>-11.913500000000001</v>
      </c>
      <c r="G146" s="1">
        <v>-10.5708410141805</v>
      </c>
      <c r="H146" s="1">
        <v>-11.959428113945</v>
      </c>
      <c r="I146">
        <f>VLOOKUP(C146,'[1]phenotypes-895'!$A$2:$G$896,7,FALSE)</f>
        <v>61</v>
      </c>
      <c r="J146" s="1">
        <v>0.13914399999999999</v>
      </c>
      <c r="K146" s="1">
        <f>VLOOKUP(C146,'[1]phenotypes-895'!$A$2:$I$896,9,FALSE)</f>
        <v>0.73445195047834488</v>
      </c>
      <c r="L146" s="1">
        <v>0.169431</v>
      </c>
      <c r="M146" s="4">
        <v>4.8899519184524802</v>
      </c>
      <c r="N146" s="1">
        <v>2.0984800000000001E-2</v>
      </c>
      <c r="O146" s="8">
        <v>1</v>
      </c>
      <c r="P146" s="1">
        <v>0.10448</v>
      </c>
      <c r="Q146" s="6">
        <v>0.95499999999999996</v>
      </c>
      <c r="R146" s="1">
        <v>4.8431799999999997E-2</v>
      </c>
      <c r="S146" s="7">
        <v>-0.01</v>
      </c>
    </row>
    <row r="147" spans="1:19" x14ac:dyDescent="0.2">
      <c r="A147">
        <v>146</v>
      </c>
      <c r="B147">
        <v>9</v>
      </c>
      <c r="C147" t="s">
        <v>145</v>
      </c>
      <c r="D147" s="12" t="s">
        <v>912</v>
      </c>
      <c r="E147" s="1">
        <v>-3.0538400000000001</v>
      </c>
      <c r="F147">
        <v>-2.5156100000000001</v>
      </c>
      <c r="G147" s="1">
        <v>-2.9452871143074701</v>
      </c>
      <c r="H147" s="1">
        <v>-2.4046755963986501</v>
      </c>
      <c r="I147">
        <f>VLOOKUP(C147,'[1]phenotypes-895'!$A$2:$G$896,7,FALSE)</f>
        <v>54</v>
      </c>
      <c r="J147" s="1">
        <v>4.6508300000000002E-2</v>
      </c>
      <c r="K147" s="1">
        <f>VLOOKUP(C147,'[1]phenotypes-895'!$A$2:$I$896,9,FALSE)</f>
        <v>0.7167894735979794</v>
      </c>
      <c r="L147" s="1">
        <v>0.23955000000000001</v>
      </c>
      <c r="M147" s="4">
        <v>4.8715569138537838</v>
      </c>
      <c r="N147" s="1">
        <v>4.8130300000000003E-3</v>
      </c>
      <c r="O147" s="8">
        <v>1</v>
      </c>
      <c r="P147" s="1">
        <v>-4.6123299999999999E-2</v>
      </c>
      <c r="Q147" s="6">
        <v>1.004</v>
      </c>
      <c r="R147" s="1">
        <v>-1.07143E-2</v>
      </c>
      <c r="S147" s="7">
        <v>0</v>
      </c>
    </row>
    <row r="148" spans="1:19" x14ac:dyDescent="0.2">
      <c r="A148">
        <v>147</v>
      </c>
      <c r="B148">
        <v>10</v>
      </c>
      <c r="C148" t="s">
        <v>146</v>
      </c>
      <c r="D148" s="12" t="s">
        <v>912</v>
      </c>
      <c r="E148" s="1">
        <v>-5.0714899999999998</v>
      </c>
      <c r="F148">
        <v>-4.5919299999999996</v>
      </c>
      <c r="G148" s="1">
        <v>-4.9534618046925898</v>
      </c>
      <c r="H148" s="1">
        <v>-4.4732814610616298</v>
      </c>
      <c r="I148">
        <f>VLOOKUP(C148,'[1]phenotypes-895'!$A$2:$G$896,7,FALSE)</f>
        <v>61</v>
      </c>
      <c r="J148" s="1">
        <v>6.8133700000000005E-2</v>
      </c>
      <c r="K148" s="1">
        <f>VLOOKUP(C148,'[1]phenotypes-895'!$A$2:$I$896,9,FALSE)</f>
        <v>0.55712136389412936</v>
      </c>
      <c r="L148" s="1">
        <v>0.119212</v>
      </c>
      <c r="M148" s="4">
        <v>3.9603629239525344</v>
      </c>
      <c r="N148" s="1">
        <v>4.6875600000000003E-3</v>
      </c>
      <c r="O148" s="8">
        <v>1</v>
      </c>
      <c r="P148" s="1">
        <v>0.110134</v>
      </c>
      <c r="Q148" s="6">
        <v>1.1830000000000001</v>
      </c>
      <c r="R148" s="1">
        <v>4.1265099999999999E-2</v>
      </c>
      <c r="S148" s="7">
        <v>0.05</v>
      </c>
    </row>
    <row r="149" spans="1:19" x14ac:dyDescent="0.2">
      <c r="A149">
        <v>148</v>
      </c>
      <c r="B149">
        <v>4</v>
      </c>
      <c r="C149" t="s">
        <v>147</v>
      </c>
      <c r="D149" s="12" t="s">
        <v>913</v>
      </c>
      <c r="E149" s="1">
        <v>9.4489900000000002E-2</v>
      </c>
      <c r="F149">
        <v>-2.1325400000000001</v>
      </c>
      <c r="G149" s="1">
        <v>6.4176322992954699E-2</v>
      </c>
      <c r="H149" s="1">
        <v>-2.1796010435040101</v>
      </c>
      <c r="I149">
        <f>VLOOKUP(C149,'[1]phenotypes-895'!$A$2:$G$896,7,FALSE)</f>
        <v>98</v>
      </c>
      <c r="J149" s="1">
        <v>1.23017E-2</v>
      </c>
      <c r="K149" s="1">
        <f>VLOOKUP(C149,'[1]phenotypes-895'!$A$2:$I$896,9,FALSE)</f>
        <v>0</v>
      </c>
      <c r="L149" s="1">
        <v>-4.5509799999999996E-3</v>
      </c>
      <c r="M149" s="4">
        <v>0</v>
      </c>
      <c r="N149" s="1">
        <v>8.8850000000000005E-3</v>
      </c>
      <c r="O149" s="8">
        <v>0</v>
      </c>
      <c r="P149" s="1">
        <v>3.4964099999999998E-2</v>
      </c>
      <c r="Q149" s="6">
        <v>0.99</v>
      </c>
      <c r="R149" s="1">
        <v>2.3363700000000001E-2</v>
      </c>
      <c r="S149" s="7">
        <v>0</v>
      </c>
    </row>
    <row r="150" spans="1:19" x14ac:dyDescent="0.2">
      <c r="A150">
        <v>149</v>
      </c>
      <c r="B150">
        <v>9</v>
      </c>
      <c r="C150" t="s">
        <v>148</v>
      </c>
      <c r="D150" s="12" t="s">
        <v>912</v>
      </c>
      <c r="E150" s="1">
        <v>-3.8496199999999998</v>
      </c>
      <c r="F150">
        <v>-4.2092200000000002</v>
      </c>
      <c r="G150" s="1">
        <v>-3.8969849381498198</v>
      </c>
      <c r="H150" s="1">
        <v>-4.2624175858320896</v>
      </c>
      <c r="I150">
        <f>VLOOKUP(C150,'[1]phenotypes-895'!$A$2:$G$896,7,FALSE)</f>
        <v>62</v>
      </c>
      <c r="J150" s="1">
        <v>5.02207E-2</v>
      </c>
      <c r="K150" s="1">
        <f>VLOOKUP(C150,'[1]phenotypes-895'!$A$2:$I$896,9,FALSE)</f>
        <v>0.35852083900042242</v>
      </c>
      <c r="L150" s="1">
        <v>0.200096</v>
      </c>
      <c r="M150" s="4">
        <v>4.0342200769207111</v>
      </c>
      <c r="N150" s="1">
        <v>3.7075900000000002E-3</v>
      </c>
      <c r="O150" s="8">
        <v>1</v>
      </c>
      <c r="P150" s="1">
        <v>2.6886299999999998E-2</v>
      </c>
      <c r="Q150" s="6">
        <v>0.94799999999999995</v>
      </c>
      <c r="R150" s="1">
        <v>2.0252599999999999E-2</v>
      </c>
      <c r="S150" s="7">
        <v>-0.02</v>
      </c>
    </row>
    <row r="151" spans="1:19" x14ac:dyDescent="0.2">
      <c r="A151">
        <v>150</v>
      </c>
      <c r="B151">
        <v>15</v>
      </c>
      <c r="C151" t="s">
        <v>149</v>
      </c>
      <c r="D151" s="12" t="s">
        <v>912</v>
      </c>
      <c r="E151" s="1">
        <v>-8.4464199999999998</v>
      </c>
      <c r="F151">
        <v>-9.2631999999999994</v>
      </c>
      <c r="G151" s="1">
        <v>-8.3088883047821795</v>
      </c>
      <c r="H151" s="1">
        <v>-9.1120235342014606</v>
      </c>
      <c r="I151">
        <f>VLOOKUP(C151,'[1]phenotypes-895'!$A$2:$G$896,7,FALSE)</f>
        <v>56</v>
      </c>
      <c r="J151" s="1">
        <v>4.0305500000000001E-2</v>
      </c>
      <c r="K151" s="1">
        <f>VLOOKUP(C151,'[1]phenotypes-895'!$A$2:$I$896,9,FALSE)</f>
        <v>9.1427884652714911E-2</v>
      </c>
      <c r="L151" s="1">
        <v>6.2462499999999997E-2</v>
      </c>
      <c r="M151" s="4">
        <v>3.0729137323705928</v>
      </c>
      <c r="N151" s="1">
        <v>1.20003E-2</v>
      </c>
      <c r="O151" s="8">
        <v>1</v>
      </c>
      <c r="P151" s="1">
        <v>6.4091099999999998E-2</v>
      </c>
      <c r="Q151" s="6">
        <v>0.90200000000000002</v>
      </c>
      <c r="R151" s="1">
        <v>3.0021099999999998E-2</v>
      </c>
      <c r="S151" s="7">
        <v>-0.03</v>
      </c>
    </row>
    <row r="152" spans="1:19" x14ac:dyDescent="0.2">
      <c r="A152">
        <v>151</v>
      </c>
      <c r="B152">
        <v>12</v>
      </c>
      <c r="C152" t="s">
        <v>150</v>
      </c>
      <c r="D152" s="12" t="s">
        <v>912</v>
      </c>
      <c r="E152" s="1">
        <v>2.5895600000000001</v>
      </c>
      <c r="F152">
        <v>3.71624</v>
      </c>
      <c r="G152" s="1">
        <v>2.5406246411297499</v>
      </c>
      <c r="H152" s="1">
        <v>3.6713012739709501</v>
      </c>
      <c r="I152">
        <f>VLOOKUP(C152,'[1]phenotypes-895'!$A$2:$G$896,7,FALSE)</f>
        <v>98</v>
      </c>
      <c r="J152" s="1">
        <v>-4.5775400000000001E-2</v>
      </c>
      <c r="K152" s="1">
        <f>VLOOKUP(C152,'[1]phenotypes-895'!$A$2:$I$896,9,FALSE)</f>
        <v>0.26250305666094143</v>
      </c>
      <c r="L152" s="1">
        <v>-0.10562100000000001</v>
      </c>
      <c r="M152" s="4">
        <v>2.9592867776127072</v>
      </c>
      <c r="N152" s="1">
        <v>5.8671699999999997E-3</v>
      </c>
      <c r="O152" s="8">
        <v>1</v>
      </c>
      <c r="P152" s="1">
        <v>-6.3102199999999997E-2</v>
      </c>
      <c r="Q152" s="6">
        <v>0.78100000000000003</v>
      </c>
      <c r="R152" s="1">
        <v>-1.7322799999999999E-2</v>
      </c>
      <c r="S152" s="7">
        <v>-0.08</v>
      </c>
    </row>
    <row r="153" spans="1:19" x14ac:dyDescent="0.2">
      <c r="A153">
        <v>152</v>
      </c>
      <c r="B153">
        <v>5</v>
      </c>
      <c r="C153" t="s">
        <v>151</v>
      </c>
      <c r="D153" s="12" t="s">
        <v>913</v>
      </c>
      <c r="E153" s="1">
        <v>-7.3191499999999996</v>
      </c>
      <c r="F153">
        <v>-9.9034099999999992</v>
      </c>
      <c r="G153" s="1">
        <v>-7.1434419327022098</v>
      </c>
      <c r="H153" s="1">
        <v>-9.7047726355697197</v>
      </c>
      <c r="I153">
        <f>VLOOKUP(C153,'[1]phenotypes-895'!$A$2:$G$896,7,FALSE)</f>
        <v>72</v>
      </c>
      <c r="J153" s="1">
        <v>0.124088</v>
      </c>
      <c r="K153" s="1">
        <f>VLOOKUP(C153,'[1]phenotypes-895'!$A$2:$I$896,9,FALSE)</f>
        <v>0.54847298287713875</v>
      </c>
      <c r="L153" s="1">
        <v>0.10244300000000001</v>
      </c>
      <c r="M153" s="4">
        <v>4.8880881710901445</v>
      </c>
      <c r="N153" s="1">
        <v>3.1363799999999997E-2</v>
      </c>
      <c r="O153" s="8">
        <v>1</v>
      </c>
      <c r="P153" s="1">
        <v>3.8342300000000003E-2</v>
      </c>
      <c r="Q153" s="6">
        <v>1.0029999999999999</v>
      </c>
      <c r="R153" s="1">
        <v>-1.3003000000000001E-2</v>
      </c>
      <c r="S153" s="7">
        <v>0</v>
      </c>
    </row>
    <row r="154" spans="1:19" x14ac:dyDescent="0.2">
      <c r="A154">
        <v>153</v>
      </c>
      <c r="B154">
        <v>15</v>
      </c>
      <c r="C154" t="s">
        <v>152</v>
      </c>
      <c r="D154" s="12" t="s">
        <v>912</v>
      </c>
      <c r="E154" s="1">
        <v>-5.1420599999999999</v>
      </c>
      <c r="F154">
        <v>-5.6299799999999998</v>
      </c>
      <c r="G154" s="1">
        <v>-5.1980857947300496</v>
      </c>
      <c r="H154" s="1">
        <v>-5.6823414072163398</v>
      </c>
      <c r="I154">
        <f>VLOOKUP(C154,'[1]phenotypes-895'!$A$2:$G$896,7,FALSE)</f>
        <v>98</v>
      </c>
      <c r="J154" s="1">
        <v>3.5851599999999997E-2</v>
      </c>
      <c r="K154" s="1">
        <f>VLOOKUP(C154,'[1]phenotypes-895'!$A$2:$I$896,9,FALSE)</f>
        <v>0</v>
      </c>
      <c r="L154" s="1">
        <v>4.9876499999999997E-2</v>
      </c>
      <c r="M154" s="4">
        <v>0</v>
      </c>
      <c r="N154" s="1">
        <v>5.1527700000000001E-3</v>
      </c>
      <c r="O154" s="8">
        <v>0</v>
      </c>
      <c r="P154" s="1">
        <v>6.8245500000000001E-2</v>
      </c>
      <c r="Q154" s="6">
        <v>0.93100000000000005</v>
      </c>
      <c r="R154" s="1">
        <v>3.6127199999999998E-2</v>
      </c>
      <c r="S154" s="7">
        <v>-0.02</v>
      </c>
    </row>
    <row r="155" spans="1:19" x14ac:dyDescent="0.2">
      <c r="A155">
        <v>154</v>
      </c>
      <c r="B155">
        <v>1</v>
      </c>
      <c r="C155" t="s">
        <v>153</v>
      </c>
      <c r="D155" s="12" t="s">
        <v>913</v>
      </c>
      <c r="E155" s="1">
        <v>-5.2011000000000003</v>
      </c>
      <c r="F155">
        <v>-7.1036000000000001</v>
      </c>
      <c r="G155" s="1">
        <v>-4.99594818317241</v>
      </c>
      <c r="H155" s="1">
        <v>-6.8829021532618899</v>
      </c>
      <c r="I155">
        <f>VLOOKUP(C155,'[1]phenotypes-895'!$A$2:$G$896,7,FALSE)</f>
        <v>57</v>
      </c>
      <c r="J155" s="1">
        <v>4.7771099999999997E-2</v>
      </c>
      <c r="K155" s="1">
        <f>VLOOKUP(C155,'[1]phenotypes-895'!$A$2:$I$896,9,FALSE)</f>
        <v>0.5035731514677666</v>
      </c>
      <c r="L155" s="1">
        <v>-2.4484499999999999E-2</v>
      </c>
      <c r="M155" s="4">
        <v>4.0039979359815412</v>
      </c>
      <c r="N155" s="1">
        <v>-1.8271599999999999E-2</v>
      </c>
      <c r="O155" s="8">
        <v>1</v>
      </c>
      <c r="P155" s="1">
        <v>0.14242199999999999</v>
      </c>
      <c r="Q155" s="6">
        <v>1.284</v>
      </c>
      <c r="R155" s="1">
        <v>4.8196299999999997E-2</v>
      </c>
      <c r="S155" s="7">
        <v>0.08</v>
      </c>
    </row>
    <row r="156" spans="1:19" x14ac:dyDescent="0.2">
      <c r="A156">
        <v>155</v>
      </c>
      <c r="B156">
        <v>5</v>
      </c>
      <c r="C156" t="s">
        <v>154</v>
      </c>
      <c r="D156" s="12" t="s">
        <v>913</v>
      </c>
      <c r="E156" s="1">
        <v>-7.5380099999999999</v>
      </c>
      <c r="F156">
        <v>-10.3218</v>
      </c>
      <c r="G156" s="1">
        <v>-7.5041335212462998</v>
      </c>
      <c r="H156" s="1">
        <v>-10.2896113768553</v>
      </c>
      <c r="I156">
        <f>VLOOKUP(C156,'[1]phenotypes-895'!$A$2:$G$896,7,FALSE)</f>
        <v>56</v>
      </c>
      <c r="J156" s="1">
        <v>9.7254599999999997E-2</v>
      </c>
      <c r="K156" s="1">
        <f>VLOOKUP(C156,'[1]phenotypes-895'!$A$2:$I$896,9,FALSE)</f>
        <v>0.57201737743233916</v>
      </c>
      <c r="L156" s="1">
        <v>4.1615899999999997E-2</v>
      </c>
      <c r="M156" s="4">
        <v>3.6114182637988828</v>
      </c>
      <c r="N156" s="1">
        <v>3.0220799999999999E-2</v>
      </c>
      <c r="O156" s="8">
        <v>1</v>
      </c>
      <c r="P156" s="1">
        <v>8.0505199999999999E-2</v>
      </c>
      <c r="Q156" s="6">
        <v>0.92600000000000005</v>
      </c>
      <c r="R156" s="1">
        <v>3.8221100000000001E-2</v>
      </c>
      <c r="S156" s="7">
        <v>-0.02</v>
      </c>
    </row>
    <row r="157" spans="1:19" x14ac:dyDescent="0.2">
      <c r="A157">
        <v>156</v>
      </c>
      <c r="B157">
        <v>6</v>
      </c>
      <c r="C157" t="s">
        <v>155</v>
      </c>
      <c r="D157" s="12" t="s">
        <v>913</v>
      </c>
      <c r="E157" s="1">
        <v>0.11708</v>
      </c>
      <c r="F157">
        <v>-1.85541</v>
      </c>
      <c r="G157" s="1">
        <v>5.4177441854911801E-2</v>
      </c>
      <c r="H157" s="1">
        <v>-1.9302367347520799</v>
      </c>
      <c r="I157">
        <f>VLOOKUP(C157,'[1]phenotypes-895'!$A$2:$G$896,7,FALSE)</f>
        <v>75</v>
      </c>
      <c r="J157" s="1">
        <v>2.7150400000000002E-3</v>
      </c>
      <c r="K157" s="1">
        <f>VLOOKUP(C157,'[1]phenotypes-895'!$A$2:$I$896,9,FALSE)</f>
        <v>0.4544613636412333</v>
      </c>
      <c r="L157" s="1">
        <v>-0.18989800000000001</v>
      </c>
      <c r="M157" s="4">
        <v>3.9476186817082111</v>
      </c>
      <c r="N157" s="1">
        <v>-1.2008100000000001E-2</v>
      </c>
      <c r="O157" s="8">
        <v>1</v>
      </c>
      <c r="P157" s="1">
        <v>7.3354000000000003E-2</v>
      </c>
      <c r="Q157" s="6">
        <v>1.0660000000000001</v>
      </c>
      <c r="R157" s="1">
        <v>3.13434E-2</v>
      </c>
      <c r="S157" s="7">
        <v>0.02</v>
      </c>
    </row>
    <row r="158" spans="1:19" x14ac:dyDescent="0.2">
      <c r="A158">
        <v>157</v>
      </c>
      <c r="B158">
        <v>10</v>
      </c>
      <c r="C158" t="s">
        <v>156</v>
      </c>
      <c r="D158" s="12" t="s">
        <v>912</v>
      </c>
      <c r="E158" s="1">
        <v>-1.9124000000000001</v>
      </c>
      <c r="F158">
        <v>-1.1487700000000001</v>
      </c>
      <c r="G158" s="1">
        <v>-1.8876318013660101</v>
      </c>
      <c r="H158" s="1">
        <v>-1.124100814602</v>
      </c>
      <c r="I158">
        <f>VLOOKUP(C158,'[1]phenotypes-895'!$A$2:$G$896,7,FALSE)</f>
        <v>98</v>
      </c>
      <c r="J158" s="1">
        <v>1.8613899999999999E-2</v>
      </c>
      <c r="K158" s="1">
        <f>VLOOKUP(C158,'[1]phenotypes-895'!$A$2:$I$896,9,FALSE)</f>
        <v>0</v>
      </c>
      <c r="L158" s="1">
        <v>6.0979499999999999E-2</v>
      </c>
      <c r="M158" s="4">
        <v>0</v>
      </c>
      <c r="N158" s="1">
        <v>-6.4619200000000003E-3</v>
      </c>
      <c r="O158" s="8">
        <v>0</v>
      </c>
      <c r="P158" s="1">
        <v>7.0423299999999994E-2</v>
      </c>
      <c r="Q158" s="6">
        <v>1.0640000000000001</v>
      </c>
      <c r="R158" s="1">
        <v>2.7458099999999999E-2</v>
      </c>
      <c r="S158" s="7">
        <v>0.02</v>
      </c>
    </row>
    <row r="159" spans="1:19" x14ac:dyDescent="0.2">
      <c r="A159">
        <v>158</v>
      </c>
      <c r="B159">
        <v>6</v>
      </c>
      <c r="C159" t="s">
        <v>157</v>
      </c>
      <c r="D159" s="12" t="s">
        <v>913</v>
      </c>
      <c r="E159" s="1">
        <v>-1.66178</v>
      </c>
      <c r="F159">
        <v>-3.6110799999999998</v>
      </c>
      <c r="G159" s="1">
        <v>-1.61129682227208</v>
      </c>
      <c r="H159" s="1">
        <v>-3.5551114123992198</v>
      </c>
      <c r="I159">
        <f>VLOOKUP(C159,'[1]phenotypes-895'!$A$2:$G$896,7,FALSE)</f>
        <v>53</v>
      </c>
      <c r="J159" s="1">
        <v>3.1362500000000001E-2</v>
      </c>
      <c r="K159" s="1">
        <f>VLOOKUP(C159,'[1]phenotypes-895'!$A$2:$I$896,9,FALSE)</f>
        <v>0.8541249592698581</v>
      </c>
      <c r="L159" s="1">
        <v>-7.5849E-2</v>
      </c>
      <c r="M159" s="4">
        <v>4.7148226312538375</v>
      </c>
      <c r="N159" s="1">
        <v>-1.2628500000000001E-2</v>
      </c>
      <c r="O159" s="8">
        <v>1</v>
      </c>
      <c r="P159" s="1">
        <v>7.2266200000000003E-2</v>
      </c>
      <c r="Q159" s="6">
        <v>0.97499999999999998</v>
      </c>
      <c r="R159" s="1">
        <v>2.50516E-2</v>
      </c>
      <c r="S159" s="7">
        <v>-0.01</v>
      </c>
    </row>
    <row r="160" spans="1:19" x14ac:dyDescent="0.2">
      <c r="A160">
        <v>159</v>
      </c>
      <c r="B160">
        <v>12</v>
      </c>
      <c r="C160" t="s">
        <v>158</v>
      </c>
      <c r="D160" s="12" t="s">
        <v>912</v>
      </c>
      <c r="E160" s="1">
        <v>-0.448266</v>
      </c>
      <c r="F160">
        <v>0.26043500000000003</v>
      </c>
      <c r="G160" s="1">
        <v>-0.54990823199224903</v>
      </c>
      <c r="H160" s="1">
        <v>0.165606163646003</v>
      </c>
      <c r="I160">
        <f>VLOOKUP(C160,'[1]phenotypes-895'!$A$2:$G$896,7,FALSE)</f>
        <v>62</v>
      </c>
      <c r="J160" s="1">
        <v>-3.5180999999999997E-2</v>
      </c>
      <c r="K160" s="1">
        <f>VLOOKUP(C160,'[1]phenotypes-895'!$A$2:$I$896,9,FALSE)</f>
        <v>0.46351028782100562</v>
      </c>
      <c r="L160" s="1">
        <v>-0.10791100000000001</v>
      </c>
      <c r="M160" s="4">
        <v>4.1252387053532695</v>
      </c>
      <c r="N160" s="1">
        <v>5.4939000000000003E-3</v>
      </c>
      <c r="O160" s="8">
        <v>1</v>
      </c>
      <c r="P160" s="1">
        <v>-3.8747700000000003E-2</v>
      </c>
      <c r="Q160" s="6">
        <v>0.83399999999999996</v>
      </c>
      <c r="R160" s="1">
        <v>-6.5201800000000004E-3</v>
      </c>
      <c r="S160" s="7">
        <v>-0.06</v>
      </c>
    </row>
    <row r="161" spans="1:19" x14ac:dyDescent="0.2">
      <c r="A161">
        <v>160</v>
      </c>
      <c r="B161">
        <v>1</v>
      </c>
      <c r="C161" t="s">
        <v>159</v>
      </c>
      <c r="D161" s="12" t="s">
        <v>913</v>
      </c>
      <c r="E161" s="1">
        <v>-0.55109600000000003</v>
      </c>
      <c r="F161">
        <v>-1.7349000000000001</v>
      </c>
      <c r="G161" s="1">
        <v>-0.42152304682359698</v>
      </c>
      <c r="H161" s="1">
        <v>-1.5931183061290499</v>
      </c>
      <c r="I161">
        <f>VLOOKUP(C161,'[1]phenotypes-895'!$A$2:$G$896,7,FALSE)</f>
        <v>98</v>
      </c>
      <c r="J161" s="1">
        <v>-2.5000199999999999E-3</v>
      </c>
      <c r="K161" s="1">
        <f>VLOOKUP(C161,'[1]phenotypes-895'!$A$2:$I$896,9,FALSE)</f>
        <v>0</v>
      </c>
      <c r="L161" s="1">
        <v>-3.9420900000000002E-2</v>
      </c>
      <c r="M161" s="4">
        <v>0</v>
      </c>
      <c r="N161" s="1">
        <v>-2.63083E-2</v>
      </c>
      <c r="O161" s="8">
        <v>0</v>
      </c>
      <c r="P161" s="1">
        <v>7.3053499999999993E-2</v>
      </c>
      <c r="Q161" s="6">
        <v>1.02</v>
      </c>
      <c r="R161" s="1">
        <v>3.01938E-2</v>
      </c>
      <c r="S161" s="7">
        <v>0.01</v>
      </c>
    </row>
    <row r="162" spans="1:19" x14ac:dyDescent="0.2">
      <c r="A162">
        <v>161</v>
      </c>
      <c r="B162">
        <v>27</v>
      </c>
      <c r="C162" t="s">
        <v>160</v>
      </c>
      <c r="D162" s="13" t="s">
        <v>913</v>
      </c>
      <c r="E162" s="1">
        <v>6.5180699999999998</v>
      </c>
      <c r="F162">
        <v>5.8191100000000002</v>
      </c>
      <c r="G162" s="1">
        <v>6.5438548155164202</v>
      </c>
      <c r="H162" s="1">
        <v>5.8434013550124497</v>
      </c>
      <c r="I162">
        <f>VLOOKUP(C162,'[1]phenotypes-895'!$A$2:$G$896,7,FALSE)</f>
        <v>70</v>
      </c>
      <c r="J162" s="1">
        <v>-0.107531</v>
      </c>
      <c r="K162" s="1">
        <f>VLOOKUP(C162,'[1]phenotypes-895'!$A$2:$I$896,9,FALSE)</f>
        <v>0.33647397106245619</v>
      </c>
      <c r="L162" s="1">
        <v>-0.15476400000000001</v>
      </c>
      <c r="M162" s="4">
        <v>3.7090313382387761</v>
      </c>
      <c r="N162" s="1">
        <v>-2.42905E-2</v>
      </c>
      <c r="O162" s="8">
        <v>1</v>
      </c>
      <c r="P162" s="1">
        <v>0.121695</v>
      </c>
      <c r="Q162">
        <v>1.1819999999999999</v>
      </c>
      <c r="R162" s="1">
        <v>4.3056400000000002E-2</v>
      </c>
      <c r="S162" s="2">
        <v>0.05</v>
      </c>
    </row>
    <row r="163" spans="1:19" x14ac:dyDescent="0.2">
      <c r="A163">
        <v>162</v>
      </c>
      <c r="B163">
        <v>3</v>
      </c>
      <c r="C163" t="s">
        <v>161</v>
      </c>
      <c r="D163" s="12" t="s">
        <v>913</v>
      </c>
      <c r="E163" s="1">
        <v>-2.7968700000000002</v>
      </c>
      <c r="F163">
        <v>-5.1141800000000002</v>
      </c>
      <c r="G163" s="1">
        <v>-2.7009348955097998</v>
      </c>
      <c r="H163" s="1">
        <v>-5.0101168616556198</v>
      </c>
      <c r="I163">
        <f>VLOOKUP(C163,'[1]phenotypes-895'!$A$2:$G$896,7,FALSE)</f>
        <v>76</v>
      </c>
      <c r="J163" s="1">
        <v>5.9830500000000002E-2</v>
      </c>
      <c r="K163" s="1">
        <f>VLOOKUP(C163,'[1]phenotypes-895'!$A$2:$I$896,9,FALSE)</f>
        <v>0.52569144514061839</v>
      </c>
      <c r="L163" s="1">
        <v>-4.9038999999999999E-2</v>
      </c>
      <c r="M163" s="4">
        <v>4.7326862713147806</v>
      </c>
      <c r="N163" s="1">
        <v>1.20012E-2</v>
      </c>
      <c r="O163" s="8">
        <v>1</v>
      </c>
      <c r="P163" s="1">
        <v>1.37743E-2</v>
      </c>
      <c r="Q163" s="6">
        <v>0.95499999999999996</v>
      </c>
      <c r="R163" s="1">
        <v>1.5432100000000001E-2</v>
      </c>
      <c r="S163" s="7">
        <v>-0.01</v>
      </c>
    </row>
    <row r="164" spans="1:19" x14ac:dyDescent="0.2">
      <c r="A164">
        <v>163</v>
      </c>
      <c r="B164">
        <v>50</v>
      </c>
      <c r="C164" t="s">
        <v>162</v>
      </c>
      <c r="D164" s="13" t="s">
        <v>912</v>
      </c>
      <c r="E164" s="1">
        <v>-0.90244000000000002</v>
      </c>
      <c r="F164">
        <v>0.178063</v>
      </c>
      <c r="G164" s="1">
        <v>-0.94796649588192305</v>
      </c>
      <c r="H164" s="1">
        <v>0.137888065673996</v>
      </c>
      <c r="I164">
        <f>VLOOKUP(C164,'[1]phenotypes-895'!$A$2:$G$896,7,FALSE)</f>
        <v>60</v>
      </c>
      <c r="J164" s="1">
        <v>3.2331999999999999E-3</v>
      </c>
      <c r="K164" s="1">
        <f>VLOOKUP(C164,'[1]phenotypes-895'!$A$2:$I$896,9,FALSE)</f>
        <v>0.5039825658814967</v>
      </c>
      <c r="L164" s="1">
        <v>2.5369799999999999E-3</v>
      </c>
      <c r="M164" s="4">
        <v>3.8119648658997032</v>
      </c>
      <c r="N164" s="1">
        <v>3.6819299999999999E-2</v>
      </c>
      <c r="O164" s="8">
        <v>1</v>
      </c>
      <c r="P164" s="1">
        <v>-0.13567000000000001</v>
      </c>
      <c r="Q164">
        <v>0.53300000000000003</v>
      </c>
      <c r="R164" s="1">
        <v>-5.5981299999999998E-2</v>
      </c>
      <c r="S164" s="2">
        <v>-0.21</v>
      </c>
    </row>
    <row r="165" spans="1:19" x14ac:dyDescent="0.2">
      <c r="A165">
        <v>164</v>
      </c>
      <c r="B165">
        <v>6</v>
      </c>
      <c r="C165" t="s">
        <v>163</v>
      </c>
      <c r="D165" s="12" t="s">
        <v>913</v>
      </c>
      <c r="E165" s="1">
        <v>-1.1692499999999999</v>
      </c>
      <c r="F165">
        <v>-2.8878699999999999</v>
      </c>
      <c r="G165" s="1">
        <v>-1.0717396353150701</v>
      </c>
      <c r="H165" s="1">
        <v>-2.7768677916866902</v>
      </c>
      <c r="I165">
        <f>VLOOKUP(C165,'[1]phenotypes-895'!$A$2:$G$896,7,FALSE)</f>
        <v>58</v>
      </c>
      <c r="J165" s="1">
        <v>3.2671499999999999E-2</v>
      </c>
      <c r="K165" s="1">
        <f>VLOOKUP(C165,'[1]phenotypes-895'!$A$2:$I$896,9,FALSE)</f>
        <v>0.63239517286135161</v>
      </c>
      <c r="L165" s="1">
        <v>4.3639499999999998E-2</v>
      </c>
      <c r="M165" s="4">
        <v>4.8511190199800405</v>
      </c>
      <c r="N165" s="1">
        <v>5.6164300000000004E-3</v>
      </c>
      <c r="O165" s="8">
        <v>1</v>
      </c>
      <c r="P165" s="1">
        <v>4.3276399999999998E-3</v>
      </c>
      <c r="Q165" s="6">
        <v>0.78400000000000003</v>
      </c>
      <c r="R165" s="1">
        <v>2.86842E-3</v>
      </c>
      <c r="S165" s="7">
        <v>-0.08</v>
      </c>
    </row>
    <row r="166" spans="1:19" x14ac:dyDescent="0.2">
      <c r="A166">
        <v>165</v>
      </c>
      <c r="B166">
        <v>50</v>
      </c>
      <c r="C166" t="s">
        <v>164</v>
      </c>
      <c r="D166" s="13" t="s">
        <v>912</v>
      </c>
      <c r="E166" s="1">
        <v>2.3583099999999999</v>
      </c>
      <c r="F166">
        <v>3.75447</v>
      </c>
      <c r="G166" s="1">
        <v>2.3864837078192802</v>
      </c>
      <c r="H166" s="1">
        <v>3.7918752451814202</v>
      </c>
      <c r="I166">
        <f>VLOOKUP(C166,'[1]phenotypes-895'!$A$2:$G$896,7,FALSE)</f>
        <v>98</v>
      </c>
      <c r="J166" s="1">
        <v>-3.9187199999999998E-2</v>
      </c>
      <c r="K166" s="1">
        <f>VLOOKUP(C166,'[1]phenotypes-895'!$A$2:$I$896,9,FALSE)</f>
        <v>0</v>
      </c>
      <c r="L166" s="1">
        <v>-2.70905E-2</v>
      </c>
      <c r="M166" s="4">
        <v>0</v>
      </c>
      <c r="N166" s="1">
        <v>2.2715300000000001E-2</v>
      </c>
      <c r="O166" s="8">
        <v>0</v>
      </c>
      <c r="P166" s="1">
        <v>-0.12806999999999999</v>
      </c>
      <c r="Q166">
        <v>0.47499999999999998</v>
      </c>
      <c r="R166" s="1">
        <v>-6.3142500000000004E-2</v>
      </c>
      <c r="S166" s="2">
        <v>-0.25</v>
      </c>
    </row>
    <row r="167" spans="1:19" x14ac:dyDescent="0.2">
      <c r="A167">
        <v>166</v>
      </c>
      <c r="B167">
        <v>6</v>
      </c>
      <c r="C167" t="s">
        <v>165</v>
      </c>
      <c r="D167" s="12" t="s">
        <v>913</v>
      </c>
      <c r="E167" s="1">
        <v>2.3121999999999998</v>
      </c>
      <c r="F167">
        <v>1.9885900000000001E-2</v>
      </c>
      <c r="G167" s="1">
        <v>2.2296510301808499</v>
      </c>
      <c r="H167" s="1">
        <v>-8.4392837984636801E-2</v>
      </c>
      <c r="I167">
        <f>VLOOKUP(C167,'[1]phenotypes-895'!$A$2:$G$896,7,FALSE)</f>
        <v>57</v>
      </c>
      <c r="J167" s="1">
        <v>-4.1519E-2</v>
      </c>
      <c r="K167" s="1">
        <f>VLOOKUP(C167,'[1]phenotypes-895'!$A$2:$I$896,9,FALSE)</f>
        <v>0.43945433688148638</v>
      </c>
      <c r="L167" s="1">
        <v>-0.18915100000000001</v>
      </c>
      <c r="M167" s="4">
        <v>3.5261615539280582</v>
      </c>
      <c r="N167" s="1">
        <v>-2.00527E-2</v>
      </c>
      <c r="O167" s="8">
        <v>1</v>
      </c>
      <c r="P167" s="1">
        <v>7.0981000000000002E-2</v>
      </c>
      <c r="Q167" s="6">
        <v>0.98</v>
      </c>
      <c r="R167" s="1">
        <v>3.11945E-2</v>
      </c>
      <c r="S167" s="7">
        <v>-0.01</v>
      </c>
    </row>
    <row r="168" spans="1:19" x14ac:dyDescent="0.2">
      <c r="A168">
        <v>167</v>
      </c>
      <c r="B168">
        <v>38</v>
      </c>
      <c r="C168" t="s">
        <v>166</v>
      </c>
      <c r="D168" s="13" t="s">
        <v>913</v>
      </c>
      <c r="E168" s="1">
        <v>1.04538</v>
      </c>
      <c r="F168">
        <v>1.1784300000000001</v>
      </c>
      <c r="G168" s="1">
        <v>1.00324633586797</v>
      </c>
      <c r="H168" s="1">
        <v>1.1340533770133301</v>
      </c>
      <c r="I168">
        <f>VLOOKUP(C168,'[1]phenotypes-895'!$A$2:$G$896,7,FALSE)</f>
        <v>86</v>
      </c>
      <c r="J168" s="1">
        <v>4.2570700000000003E-2</v>
      </c>
      <c r="K168" s="1">
        <f>VLOOKUP(C168,'[1]phenotypes-895'!$A$2:$I$896,9,FALSE)</f>
        <v>0.41542962180520049</v>
      </c>
      <c r="L168" s="1">
        <v>-4.1437599999999998E-2</v>
      </c>
      <c r="M168" s="4">
        <v>4.501718376460496</v>
      </c>
      <c r="N168" s="1">
        <v>-6.1855199999999997E-5</v>
      </c>
      <c r="O168" s="8">
        <v>1</v>
      </c>
      <c r="P168" s="1">
        <v>0.106477</v>
      </c>
      <c r="Q168">
        <v>1.212</v>
      </c>
      <c r="R168" s="1">
        <v>3.61432E-2</v>
      </c>
      <c r="S168" s="2">
        <v>0.06</v>
      </c>
    </row>
    <row r="169" spans="1:19" x14ac:dyDescent="0.2">
      <c r="A169">
        <v>168</v>
      </c>
      <c r="B169">
        <v>12</v>
      </c>
      <c r="C169" t="s">
        <v>167</v>
      </c>
      <c r="D169" s="12" t="s">
        <v>912</v>
      </c>
      <c r="E169" s="1">
        <v>-0.92818100000000003</v>
      </c>
      <c r="F169">
        <v>-0.108371</v>
      </c>
      <c r="G169" s="1">
        <v>-1.0066395635821199</v>
      </c>
      <c r="H169" s="1">
        <v>-0.18275532468123601</v>
      </c>
      <c r="I169">
        <f>VLOOKUP(C169,'[1]phenotypes-895'!$A$2:$G$896,7,FALSE)</f>
        <v>51</v>
      </c>
      <c r="J169" s="1">
        <v>2.2303900000000002E-2</v>
      </c>
      <c r="K169" s="1">
        <f>VLOOKUP(C169,'[1]phenotypes-895'!$A$2:$I$896,9,FALSE)</f>
        <v>0.8367874047947097</v>
      </c>
      <c r="L169" s="1">
        <v>5.0498899999999999E-2</v>
      </c>
      <c r="M169" s="4">
        <v>4.0653593626591267</v>
      </c>
      <c r="N169" s="1">
        <v>-8.5041800000000001E-3</v>
      </c>
      <c r="O169" s="8">
        <v>1</v>
      </c>
      <c r="P169" s="1">
        <v>-0.137686</v>
      </c>
      <c r="Q169" s="6">
        <v>0.89300000000000002</v>
      </c>
      <c r="R169" s="1">
        <v>-4.9033599999999997E-2</v>
      </c>
      <c r="S169" s="7">
        <v>-0.04</v>
      </c>
    </row>
    <row r="170" spans="1:19" x14ac:dyDescent="0.2">
      <c r="A170">
        <v>169</v>
      </c>
      <c r="B170">
        <v>24</v>
      </c>
      <c r="C170" t="s">
        <v>168</v>
      </c>
      <c r="D170" s="13" t="s">
        <v>913</v>
      </c>
      <c r="E170" s="1">
        <v>-3.0109699999999999</v>
      </c>
      <c r="F170">
        <v>-4.8113599999999996</v>
      </c>
      <c r="G170" s="1">
        <v>-2.85725471424055</v>
      </c>
      <c r="H170" s="1">
        <v>-4.6325059984937296</v>
      </c>
      <c r="I170">
        <f>VLOOKUP(C170,'[1]phenotypes-895'!$A$2:$G$896,7,FALSE)</f>
        <v>63</v>
      </c>
      <c r="J170" s="1">
        <v>-1.3467399999999999E-3</v>
      </c>
      <c r="K170" s="1">
        <f>VLOOKUP(C170,'[1]phenotypes-895'!$A$2:$I$896,9,FALSE)</f>
        <v>0.42024864010366958</v>
      </c>
      <c r="L170" s="1">
        <v>-6.9486000000000006E-2</v>
      </c>
      <c r="M170" s="4">
        <v>4.0875201940440569</v>
      </c>
      <c r="N170" s="1">
        <v>1.82487E-2</v>
      </c>
      <c r="O170" s="8">
        <v>1</v>
      </c>
      <c r="P170" s="1">
        <v>7.80613E-2</v>
      </c>
      <c r="Q170">
        <v>1.0980000000000001</v>
      </c>
      <c r="R170" s="1">
        <v>3.0227799999999999E-2</v>
      </c>
      <c r="S170" s="2">
        <v>0.03</v>
      </c>
    </row>
    <row r="171" spans="1:19" x14ac:dyDescent="0.2">
      <c r="A171">
        <v>170</v>
      </c>
      <c r="B171">
        <v>8</v>
      </c>
      <c r="C171" t="s">
        <v>169</v>
      </c>
      <c r="D171" s="12" t="s">
        <v>913</v>
      </c>
      <c r="E171" s="1">
        <v>5.5197099999999999</v>
      </c>
      <c r="F171">
        <v>3.84666</v>
      </c>
      <c r="G171" s="1">
        <v>5.5144966926882697</v>
      </c>
      <c r="H171" s="1">
        <v>3.8267863785895302</v>
      </c>
      <c r="I171">
        <f>VLOOKUP(C171,'[1]phenotypes-895'!$A$2:$G$896,7,FALSE)</f>
        <v>98</v>
      </c>
      <c r="J171" s="1">
        <v>-3.7962000000000003E-2</v>
      </c>
      <c r="K171" s="1">
        <f>VLOOKUP(C171,'[1]phenotypes-895'!$A$2:$I$896,9,FALSE)</f>
        <v>0</v>
      </c>
      <c r="L171" s="1">
        <v>7.1266700000000002E-2</v>
      </c>
      <c r="M171" s="4">
        <v>0</v>
      </c>
      <c r="N171" s="1">
        <v>-1.04776E-2</v>
      </c>
      <c r="O171" s="8">
        <v>0</v>
      </c>
      <c r="P171" s="1">
        <v>3.0712799999999998E-2</v>
      </c>
      <c r="Q171" s="6">
        <v>0.89600000000000002</v>
      </c>
      <c r="R171" s="1">
        <v>2.07659E-2</v>
      </c>
      <c r="S171" s="7">
        <v>-0.04</v>
      </c>
    </row>
    <row r="172" spans="1:19" x14ac:dyDescent="0.2">
      <c r="A172">
        <v>171</v>
      </c>
      <c r="B172">
        <v>53</v>
      </c>
      <c r="C172" t="s">
        <v>170</v>
      </c>
      <c r="D172" s="13" t="s">
        <v>912</v>
      </c>
      <c r="E172" s="1">
        <v>1.1300699999999999</v>
      </c>
      <c r="F172">
        <v>2.9341499999999998</v>
      </c>
      <c r="G172" s="1">
        <v>1.1457132465589901</v>
      </c>
      <c r="H172" s="1">
        <v>2.9624984989956</v>
      </c>
      <c r="I172">
        <f>VLOOKUP(C172,'[1]phenotypes-895'!$A$2:$G$896,7,FALSE)</f>
        <v>84</v>
      </c>
      <c r="J172" s="1">
        <v>6.4330000000000003E-3</v>
      </c>
      <c r="K172" s="1">
        <f>VLOOKUP(C172,'[1]phenotypes-895'!$A$2:$I$896,9,FALSE)</f>
        <v>0.37175684313114349</v>
      </c>
      <c r="L172" s="1">
        <v>3.6288099999999997E-2</v>
      </c>
      <c r="M172" s="4">
        <v>3.9873541015388771</v>
      </c>
      <c r="N172" s="1">
        <v>4.4255100000000001E-4</v>
      </c>
      <c r="O172" s="8">
        <v>1</v>
      </c>
      <c r="P172" s="1">
        <v>-0.12081500000000001</v>
      </c>
      <c r="Q172">
        <v>0.5</v>
      </c>
      <c r="R172" s="1">
        <v>-5.8388599999999999E-2</v>
      </c>
      <c r="S172" s="2">
        <v>-0.23</v>
      </c>
    </row>
    <row r="173" spans="1:19" x14ac:dyDescent="0.2">
      <c r="A173">
        <v>172</v>
      </c>
      <c r="B173">
        <v>11</v>
      </c>
      <c r="C173" t="s">
        <v>171</v>
      </c>
      <c r="D173" s="12" t="s">
        <v>912</v>
      </c>
      <c r="E173" s="1">
        <v>2.4343300000000001</v>
      </c>
      <c r="F173">
        <v>3.4959899999999999</v>
      </c>
      <c r="G173" s="1">
        <v>2.4872315355081702</v>
      </c>
      <c r="H173" s="1">
        <v>3.57230498017748</v>
      </c>
      <c r="I173">
        <f>VLOOKUP(C173,'[1]phenotypes-895'!$A$2:$G$896,7,FALSE)</f>
        <v>98</v>
      </c>
      <c r="J173" s="1">
        <v>-3.5612499999999998E-2</v>
      </c>
      <c r="K173" s="1">
        <f>VLOOKUP(C173,'[1]phenotypes-895'!$A$2:$I$896,9,FALSE)</f>
        <v>0</v>
      </c>
      <c r="L173" s="1">
        <v>2.5886099999999999E-2</v>
      </c>
      <c r="M173" s="4">
        <v>0</v>
      </c>
      <c r="N173" s="1">
        <v>-1.6194799999999999E-2</v>
      </c>
      <c r="O173" s="8">
        <v>0</v>
      </c>
      <c r="P173" s="1">
        <v>-0.135907</v>
      </c>
      <c r="Q173" s="6">
        <v>0.751</v>
      </c>
      <c r="R173" s="1">
        <v>-4.7369599999999998E-2</v>
      </c>
      <c r="S173" s="7">
        <v>-0.09</v>
      </c>
    </row>
    <row r="174" spans="1:19" x14ac:dyDescent="0.2">
      <c r="A174">
        <v>173</v>
      </c>
      <c r="B174">
        <v>29</v>
      </c>
      <c r="C174" t="s">
        <v>172</v>
      </c>
      <c r="D174" s="13" t="s">
        <v>913</v>
      </c>
      <c r="E174" s="1">
        <v>2.6612</v>
      </c>
      <c r="F174">
        <v>1.2878700000000001</v>
      </c>
      <c r="G174" s="1">
        <v>2.6669546472469201</v>
      </c>
      <c r="H174" s="1">
        <v>1.2921786896551199</v>
      </c>
      <c r="I174">
        <f>VLOOKUP(C174,'[1]phenotypes-895'!$A$2:$G$896,7,FALSE)</f>
        <v>98</v>
      </c>
      <c r="J174" s="1">
        <v>-5.1213099999999998E-2</v>
      </c>
      <c r="K174" s="1">
        <f>VLOOKUP(C174,'[1]phenotypes-895'!$A$2:$I$896,9,FALSE)</f>
        <v>0</v>
      </c>
      <c r="L174" s="1">
        <v>-0.21986900000000001</v>
      </c>
      <c r="M174" s="4">
        <v>0</v>
      </c>
      <c r="N174" s="1">
        <v>-1.90292E-2</v>
      </c>
      <c r="O174" s="8">
        <v>0</v>
      </c>
      <c r="P174" s="1">
        <v>6.8192100000000005E-2</v>
      </c>
      <c r="Q174">
        <v>0.88200000000000001</v>
      </c>
      <c r="R174" s="1">
        <v>3.6156099999999997E-2</v>
      </c>
      <c r="S174" s="2">
        <v>-0.04</v>
      </c>
    </row>
    <row r="175" spans="1:19" x14ac:dyDescent="0.2">
      <c r="A175">
        <v>174</v>
      </c>
      <c r="B175">
        <v>9</v>
      </c>
      <c r="C175" t="s">
        <v>173</v>
      </c>
      <c r="D175" s="12" t="s">
        <v>912</v>
      </c>
      <c r="E175" s="1">
        <v>-1.40507</v>
      </c>
      <c r="F175">
        <v>-1.54216</v>
      </c>
      <c r="G175" s="1">
        <v>-1.3238888087663401</v>
      </c>
      <c r="H175" s="1">
        <v>-1.45188733507243</v>
      </c>
      <c r="I175">
        <f>VLOOKUP(C175,'[1]phenotypes-895'!$A$2:$G$896,7,FALSE)</f>
        <v>72</v>
      </c>
      <c r="J175" s="1">
        <v>1.5550400000000001E-2</v>
      </c>
      <c r="K175" s="1">
        <f>VLOOKUP(C175,'[1]phenotypes-895'!$A$2:$I$896,9,FALSE)</f>
        <v>0.77186303312170845</v>
      </c>
      <c r="L175" s="1">
        <v>0.14227000000000001</v>
      </c>
      <c r="M175" s="4">
        <v>4.6200582654322044</v>
      </c>
      <c r="N175" s="1">
        <v>-8.2629499999999998E-3</v>
      </c>
      <c r="O175" s="8">
        <v>1</v>
      </c>
      <c r="P175" s="1">
        <v>3.4640999999999999E-3</v>
      </c>
      <c r="Q175" s="6">
        <v>0.93200000000000005</v>
      </c>
      <c r="R175" s="1">
        <v>1.08253E-2</v>
      </c>
      <c r="S175" s="7">
        <v>-0.02</v>
      </c>
    </row>
    <row r="176" spans="1:19" x14ac:dyDescent="0.2">
      <c r="A176">
        <v>175</v>
      </c>
      <c r="B176">
        <v>30</v>
      </c>
      <c r="C176" t="s">
        <v>174</v>
      </c>
      <c r="D176" s="13" t="s">
        <v>913</v>
      </c>
      <c r="E176" s="1">
        <v>-1.1325700000000001</v>
      </c>
      <c r="F176">
        <v>-2.25813</v>
      </c>
      <c r="G176" s="1">
        <v>-1.2276866196271701</v>
      </c>
      <c r="H176" s="1">
        <v>-2.3670877423496499</v>
      </c>
      <c r="I176">
        <f>VLOOKUP(C176,'[1]phenotypes-895'!$A$2:$G$896,7,FALSE)</f>
        <v>75</v>
      </c>
      <c r="J176" s="1">
        <v>1.7908799999999999E-2</v>
      </c>
      <c r="K176" s="1">
        <f>VLOOKUP(C176,'[1]phenotypes-895'!$A$2:$I$896,9,FALSE)</f>
        <v>0.47689084862973963</v>
      </c>
      <c r="L176" s="1">
        <v>-9.4740900000000003E-2</v>
      </c>
      <c r="M176" s="4">
        <v>3.9439952618455454</v>
      </c>
      <c r="N176" s="1">
        <v>-6.2508099999999999E-3</v>
      </c>
      <c r="O176" s="8">
        <v>1</v>
      </c>
      <c r="P176" s="1">
        <v>0.12612200000000001</v>
      </c>
      <c r="Q176">
        <v>1.2929999999999999</v>
      </c>
      <c r="R176" s="1">
        <v>5.5358299999999999E-2</v>
      </c>
      <c r="S176" s="2">
        <v>0.08</v>
      </c>
    </row>
    <row r="177" spans="1:19" x14ac:dyDescent="0.2">
      <c r="A177">
        <v>176</v>
      </c>
      <c r="B177">
        <v>4</v>
      </c>
      <c r="C177" t="s">
        <v>175</v>
      </c>
      <c r="D177" s="12" t="s">
        <v>913</v>
      </c>
      <c r="E177" s="1">
        <v>-0.96455299999999999</v>
      </c>
      <c r="F177">
        <v>-3.7584300000000002</v>
      </c>
      <c r="G177" s="1">
        <v>-0.86910896108024205</v>
      </c>
      <c r="H177" s="1">
        <v>-3.6443071632163599</v>
      </c>
      <c r="I177">
        <f>VLOOKUP(C177,'[1]phenotypes-895'!$A$2:$G$896,7,FALSE)</f>
        <v>98</v>
      </c>
      <c r="J177" s="1">
        <v>1.32581E-2</v>
      </c>
      <c r="K177" s="1">
        <f>VLOOKUP(C177,'[1]phenotypes-895'!$A$2:$I$896,9,FALSE)</f>
        <v>0.15415137003496551</v>
      </c>
      <c r="L177" s="1">
        <v>-6.2620599999999998E-2</v>
      </c>
      <c r="M177" s="4">
        <v>3.721914474319413</v>
      </c>
      <c r="N177" s="1">
        <v>7.2470299999999998E-3</v>
      </c>
      <c r="O177" s="8">
        <v>1</v>
      </c>
      <c r="P177" s="1">
        <v>6.6748500000000002E-2</v>
      </c>
      <c r="Q177" s="6">
        <v>0.94499999999999995</v>
      </c>
      <c r="R177" s="1">
        <v>3.2949600000000002E-2</v>
      </c>
      <c r="S177" s="7">
        <v>-0.02</v>
      </c>
    </row>
    <row r="178" spans="1:19" x14ac:dyDescent="0.2">
      <c r="A178">
        <v>177</v>
      </c>
      <c r="B178">
        <v>49</v>
      </c>
      <c r="C178" t="s">
        <v>176</v>
      </c>
      <c r="D178" s="13" t="s">
        <v>912</v>
      </c>
      <c r="E178" s="1">
        <v>0.90381299999999998</v>
      </c>
      <c r="F178">
        <v>2.5099800000000001</v>
      </c>
      <c r="G178" s="1">
        <v>0.91202893122931294</v>
      </c>
      <c r="H178" s="1">
        <v>2.5225582844330998</v>
      </c>
      <c r="I178">
        <f>VLOOKUP(C178,'[1]phenotypes-895'!$A$2:$G$896,7,FALSE)</f>
        <v>98</v>
      </c>
      <c r="J178" s="1">
        <v>-1.6055400000000001E-2</v>
      </c>
      <c r="K178" s="1">
        <f>VLOOKUP(C178,'[1]phenotypes-895'!$A$2:$I$896,9,FALSE)</f>
        <v>0</v>
      </c>
      <c r="L178" s="1">
        <v>-6.8943900000000002E-2</v>
      </c>
      <c r="M178" s="4">
        <v>0</v>
      </c>
      <c r="N178" s="1">
        <v>7.8348099999999993E-3</v>
      </c>
      <c r="O178" s="8">
        <v>0</v>
      </c>
      <c r="P178" s="1">
        <v>-8.1273300000000007E-2</v>
      </c>
      <c r="Q178">
        <v>0.60199999999999998</v>
      </c>
      <c r="R178" s="1">
        <v>-2.9708700000000001E-2</v>
      </c>
      <c r="S178" s="2">
        <v>-0.17</v>
      </c>
    </row>
    <row r="179" spans="1:19" x14ac:dyDescent="0.2">
      <c r="A179">
        <v>178</v>
      </c>
      <c r="B179">
        <v>18</v>
      </c>
      <c r="C179" t="s">
        <v>177</v>
      </c>
      <c r="D179" s="12" t="s">
        <v>912</v>
      </c>
      <c r="E179" s="1">
        <v>0.67810999999999999</v>
      </c>
      <c r="F179">
        <v>1.42652</v>
      </c>
      <c r="G179" s="1">
        <v>0.662974687279553</v>
      </c>
      <c r="H179" s="1">
        <v>1.44990664276059</v>
      </c>
      <c r="I179">
        <f>VLOOKUP(C179,'[1]phenotypes-895'!$A$2:$G$896,7,FALSE)</f>
        <v>63</v>
      </c>
      <c r="J179" s="1">
        <v>2.1104999999999999E-2</v>
      </c>
      <c r="K179" s="1">
        <f>VLOOKUP(C179,'[1]phenotypes-895'!$A$2:$I$896,9,FALSE)</f>
        <v>0.82242629895435904</v>
      </c>
      <c r="L179" s="1">
        <v>-1.5881699999999999E-2</v>
      </c>
      <c r="M179" s="4">
        <v>4.6607788880018175</v>
      </c>
      <c r="N179" s="1">
        <v>3.0922599999999999E-3</v>
      </c>
      <c r="O179" s="8">
        <v>1</v>
      </c>
      <c r="P179" s="1">
        <v>2.42502E-2</v>
      </c>
      <c r="Q179" s="6">
        <v>1.137</v>
      </c>
      <c r="R179" s="1">
        <v>8.2687799999999999E-3</v>
      </c>
      <c r="S179" s="7">
        <v>0.04</v>
      </c>
    </row>
    <row r="180" spans="1:19" x14ac:dyDescent="0.2">
      <c r="A180">
        <v>179</v>
      </c>
      <c r="B180">
        <v>28</v>
      </c>
      <c r="C180" t="s">
        <v>178</v>
      </c>
      <c r="D180" s="13" t="s">
        <v>913</v>
      </c>
      <c r="E180" s="1">
        <v>-5.0795399999999997</v>
      </c>
      <c r="F180">
        <v>-7.3341599999999998</v>
      </c>
      <c r="G180" s="1">
        <v>-4.9937224676829697</v>
      </c>
      <c r="H180" s="1">
        <v>-7.2436372865992702</v>
      </c>
      <c r="I180">
        <f>VLOOKUP(C180,'[1]phenotypes-895'!$A$2:$G$896,7,FALSE)</f>
        <v>98</v>
      </c>
      <c r="J180" s="1">
        <v>7.1463600000000002E-2</v>
      </c>
      <c r="K180" s="1">
        <f>VLOOKUP(C180,'[1]phenotypes-895'!$A$2:$I$896,9,FALSE)</f>
        <v>0</v>
      </c>
      <c r="L180" s="1">
        <v>7.2751099999999999E-2</v>
      </c>
      <c r="M180" s="4">
        <v>0</v>
      </c>
      <c r="N180" s="1">
        <v>1.9491399999999999E-2</v>
      </c>
      <c r="O180" s="8">
        <v>0</v>
      </c>
      <c r="P180" s="1">
        <v>4.1288999999999999E-2</v>
      </c>
      <c r="Q180">
        <v>1.149</v>
      </c>
      <c r="R180" s="1">
        <v>-9.3080400000000001E-3</v>
      </c>
      <c r="S180" s="2">
        <v>0.04</v>
      </c>
    </row>
    <row r="181" spans="1:19" x14ac:dyDescent="0.2">
      <c r="A181">
        <v>180</v>
      </c>
      <c r="B181">
        <v>11</v>
      </c>
      <c r="C181" t="s">
        <v>179</v>
      </c>
      <c r="D181" s="12" t="s">
        <v>912</v>
      </c>
      <c r="E181" s="1">
        <v>-4.1696799999999996</v>
      </c>
      <c r="F181">
        <v>-3.4152</v>
      </c>
      <c r="G181" s="1">
        <v>-4.1573061762636101</v>
      </c>
      <c r="H181" s="1">
        <v>-3.3960409217170402</v>
      </c>
      <c r="I181">
        <f>VLOOKUP(C181,'[1]phenotypes-895'!$A$2:$G$896,7,FALSE)</f>
        <v>66</v>
      </c>
      <c r="J181" s="1">
        <v>5.6564000000000003E-2</v>
      </c>
      <c r="K181" s="1">
        <f>VLOOKUP(C181,'[1]phenotypes-895'!$A$2:$I$896,9,FALSE)</f>
        <v>0.69533963054544068</v>
      </c>
      <c r="L181" s="1">
        <v>0.39827800000000002</v>
      </c>
      <c r="M181" s="4">
        <v>5.1085318606314161</v>
      </c>
      <c r="N181" s="1">
        <v>1.5541900000000001E-2</v>
      </c>
      <c r="O181" s="8">
        <v>1</v>
      </c>
      <c r="P181" s="1">
        <v>-5.7853000000000002E-3</v>
      </c>
      <c r="Q181" s="6">
        <v>1.06</v>
      </c>
      <c r="R181" s="1">
        <v>7.3594600000000002E-4</v>
      </c>
      <c r="S181" s="7">
        <v>0.02</v>
      </c>
    </row>
    <row r="182" spans="1:19" x14ac:dyDescent="0.2">
      <c r="A182">
        <v>181</v>
      </c>
      <c r="B182">
        <v>3</v>
      </c>
      <c r="C182" t="s">
        <v>180</v>
      </c>
      <c r="D182" s="12" t="s">
        <v>913</v>
      </c>
      <c r="E182" s="1">
        <v>-3.3639999999999999</v>
      </c>
      <c r="F182">
        <v>-5.8007200000000001</v>
      </c>
      <c r="G182" s="1">
        <v>-3.2957257702345499</v>
      </c>
      <c r="H182" s="1">
        <v>-5.7237931489069798</v>
      </c>
      <c r="I182">
        <f>VLOOKUP(C182,'[1]phenotypes-895'!$A$2:$G$896,7,FALSE)</f>
        <v>66</v>
      </c>
      <c r="J182" s="1">
        <v>5.1611999999999998E-2</v>
      </c>
      <c r="K182" s="1">
        <f>VLOOKUP(C182,'[1]phenotypes-895'!$A$2:$I$896,9,FALSE)</f>
        <v>0.64360113518564455</v>
      </c>
      <c r="L182" s="1">
        <v>-8.0605099999999999E-2</v>
      </c>
      <c r="M182" s="4">
        <v>4.156644458588266</v>
      </c>
      <c r="N182" s="1">
        <v>6.7420199999999996E-3</v>
      </c>
      <c r="O182" s="8">
        <v>1</v>
      </c>
      <c r="P182" s="1">
        <v>0.12994</v>
      </c>
      <c r="Q182" s="6">
        <v>1.077</v>
      </c>
      <c r="R182" s="1">
        <v>4.7235800000000001E-2</v>
      </c>
      <c r="S182" s="7">
        <v>0.02</v>
      </c>
    </row>
    <row r="183" spans="1:19" x14ac:dyDescent="0.2">
      <c r="A183">
        <v>182</v>
      </c>
      <c r="B183">
        <v>10</v>
      </c>
      <c r="C183" t="s">
        <v>181</v>
      </c>
      <c r="D183" s="12" t="s">
        <v>912</v>
      </c>
      <c r="E183" s="1">
        <v>-2.8387199999999999</v>
      </c>
      <c r="F183">
        <v>-3.1932499999999999</v>
      </c>
      <c r="G183" s="1">
        <v>-2.9051674263562601</v>
      </c>
      <c r="H183" s="1">
        <v>-3.2699277350207101</v>
      </c>
      <c r="I183">
        <f>VLOOKUP(C183,'[1]phenotypes-895'!$A$2:$G$896,7,FALSE)</f>
        <v>54</v>
      </c>
      <c r="J183" s="1">
        <v>6.3179299999999994E-2</v>
      </c>
      <c r="K183" s="1">
        <f>VLOOKUP(C183,'[1]phenotypes-895'!$A$2:$I$896,9,FALSE)</f>
        <v>0.71213141788172796</v>
      </c>
      <c r="L183" s="1">
        <v>0.13587299999999999</v>
      </c>
      <c r="M183" s="4">
        <v>4.4018137006783382</v>
      </c>
      <c r="N183" s="1">
        <v>-2.06076E-2</v>
      </c>
      <c r="O183" s="8">
        <v>1</v>
      </c>
      <c r="P183" s="1">
        <v>8.85238E-2</v>
      </c>
      <c r="Q183" s="6">
        <v>1.05</v>
      </c>
      <c r="R183" s="1">
        <v>3.7155000000000001E-2</v>
      </c>
      <c r="S183" s="7">
        <v>0.02</v>
      </c>
    </row>
    <row r="184" spans="1:19" x14ac:dyDescent="0.2">
      <c r="A184">
        <v>183</v>
      </c>
      <c r="B184">
        <v>3</v>
      </c>
      <c r="C184" t="s">
        <v>182</v>
      </c>
      <c r="D184" s="12" t="s">
        <v>913</v>
      </c>
      <c r="E184" s="1">
        <v>-2.99031</v>
      </c>
      <c r="F184">
        <v>-6.0247200000000003</v>
      </c>
      <c r="G184" s="1">
        <v>-2.9262794902818898</v>
      </c>
      <c r="H184" s="1">
        <v>-5.9562006603098601</v>
      </c>
      <c r="I184">
        <f>VLOOKUP(C184,'[1]phenotypes-895'!$A$2:$G$896,7,FALSE)</f>
        <v>53</v>
      </c>
      <c r="J184" s="1">
        <v>2.0627900000000001E-2</v>
      </c>
      <c r="K184" s="1">
        <f>VLOOKUP(C184,'[1]phenotypes-895'!$A$2:$I$896,9,FALSE)</f>
        <v>0.46977258590345861</v>
      </c>
      <c r="L184" s="1">
        <v>-6.1007899999999997E-2</v>
      </c>
      <c r="M184" s="4">
        <v>3.6851801518261875</v>
      </c>
      <c r="N184" s="1">
        <v>4.76823E-3</v>
      </c>
      <c r="O184" s="8">
        <v>1</v>
      </c>
      <c r="P184" s="1">
        <v>2.9604800000000001E-2</v>
      </c>
      <c r="Q184" s="6">
        <v>1.004</v>
      </c>
      <c r="R184" s="1">
        <v>1.9779499999999998E-2</v>
      </c>
      <c r="S184" s="7">
        <v>0</v>
      </c>
    </row>
    <row r="185" spans="1:19" x14ac:dyDescent="0.2">
      <c r="A185">
        <v>184</v>
      </c>
      <c r="B185">
        <v>6</v>
      </c>
      <c r="C185" t="s">
        <v>183</v>
      </c>
      <c r="D185" s="12" t="s">
        <v>913</v>
      </c>
      <c r="E185" s="1">
        <v>-2.07972</v>
      </c>
      <c r="F185">
        <v>-4.5597000000000003</v>
      </c>
      <c r="G185" s="1">
        <v>-2.1353180312781599</v>
      </c>
      <c r="H185" s="1">
        <v>-4.6323074090826104</v>
      </c>
      <c r="I185">
        <f>VLOOKUP(C185,'[1]phenotypes-895'!$A$2:$G$896,7,FALSE)</f>
        <v>62</v>
      </c>
      <c r="J185" s="1">
        <v>6.3917299999999996E-2</v>
      </c>
      <c r="K185" s="1">
        <f>VLOOKUP(C185,'[1]phenotypes-895'!$A$2:$I$896,9,FALSE)</f>
        <v>0.83068484773323059</v>
      </c>
      <c r="L185" s="1">
        <v>-0.107574</v>
      </c>
      <c r="M185" s="4">
        <v>4.0462115534705569</v>
      </c>
      <c r="N185" s="1">
        <v>2.4276100000000002E-3</v>
      </c>
      <c r="O185" s="8">
        <v>1</v>
      </c>
      <c r="P185" s="1">
        <v>8.1375900000000001E-2</v>
      </c>
      <c r="Q185" s="6">
        <v>1.1539999999999999</v>
      </c>
      <c r="R185" s="1">
        <v>3.5288600000000003E-2</v>
      </c>
      <c r="S185" s="7">
        <v>0.05</v>
      </c>
    </row>
    <row r="186" spans="1:19" x14ac:dyDescent="0.2">
      <c r="A186">
        <v>185</v>
      </c>
      <c r="B186">
        <v>11</v>
      </c>
      <c r="C186" t="s">
        <v>184</v>
      </c>
      <c r="D186" s="12" t="s">
        <v>912</v>
      </c>
      <c r="E186" s="1">
        <v>-7.2357100000000001</v>
      </c>
      <c r="F186">
        <v>-7.3610600000000002</v>
      </c>
      <c r="G186" s="1">
        <v>-7.1333966927816403</v>
      </c>
      <c r="H186" s="1">
        <v>-7.2568778469574902</v>
      </c>
      <c r="I186">
        <f>VLOOKUP(C186,'[1]phenotypes-895'!$A$2:$G$896,7,FALSE)</f>
        <v>66</v>
      </c>
      <c r="J186" s="1">
        <v>8.8091699999999995E-2</v>
      </c>
      <c r="K186" s="1">
        <f>VLOOKUP(C186,'[1]phenotypes-895'!$A$2:$I$896,9,FALSE)</f>
        <v>0.35530055812993111</v>
      </c>
      <c r="L186" s="1">
        <v>0.42293700000000001</v>
      </c>
      <c r="M186" s="4">
        <v>4.3927061839127051</v>
      </c>
      <c r="N186" s="1">
        <v>2.0495900000000001E-2</v>
      </c>
      <c r="O186" s="8">
        <v>1</v>
      </c>
      <c r="P186" s="1">
        <v>2.7952000000000001E-2</v>
      </c>
      <c r="Q186" s="6">
        <v>1</v>
      </c>
      <c r="R186" s="1">
        <v>1.98132E-2</v>
      </c>
      <c r="S186" s="7">
        <v>0</v>
      </c>
    </row>
    <row r="187" spans="1:19" x14ac:dyDescent="0.2">
      <c r="A187">
        <v>186</v>
      </c>
      <c r="B187">
        <v>5</v>
      </c>
      <c r="C187" t="s">
        <v>185</v>
      </c>
      <c r="D187" s="12" t="s">
        <v>913</v>
      </c>
      <c r="E187" s="1">
        <v>-6.4153900000000004</v>
      </c>
      <c r="F187">
        <v>-9.2906300000000002</v>
      </c>
      <c r="G187" s="1">
        <v>-6.4462316325381304</v>
      </c>
      <c r="H187" s="1">
        <v>-9.3369103770697706</v>
      </c>
      <c r="I187">
        <f>VLOOKUP(C187,'[1]phenotypes-895'!$A$2:$G$896,7,FALSE)</f>
        <v>55</v>
      </c>
      <c r="J187" s="1">
        <v>9.0412400000000004E-2</v>
      </c>
      <c r="K187" s="1">
        <f>VLOOKUP(C187,'[1]phenotypes-895'!$A$2:$I$896,9,FALSE)</f>
        <v>0.39796718731070962</v>
      </c>
      <c r="L187" s="1">
        <v>5.1585499999999999E-2</v>
      </c>
      <c r="M187" s="4">
        <v>3.5974393900202228</v>
      </c>
      <c r="N187" s="1">
        <v>3.5334999999999998E-2</v>
      </c>
      <c r="O187" s="8">
        <v>1</v>
      </c>
      <c r="P187" s="1">
        <v>0.13239799999999999</v>
      </c>
      <c r="Q187" s="6">
        <v>1.123</v>
      </c>
      <c r="R187" s="1">
        <v>6.2394699999999997E-2</v>
      </c>
      <c r="S187" s="7">
        <v>0.04</v>
      </c>
    </row>
    <row r="188" spans="1:19" x14ac:dyDescent="0.2">
      <c r="A188">
        <v>187</v>
      </c>
      <c r="B188">
        <v>13</v>
      </c>
      <c r="C188" t="s">
        <v>186</v>
      </c>
      <c r="D188" s="12" t="s">
        <v>912</v>
      </c>
      <c r="E188" s="1">
        <v>-3.59755</v>
      </c>
      <c r="F188">
        <v>-3.5092500000000002</v>
      </c>
      <c r="G188" s="1">
        <v>-3.5489909104883899</v>
      </c>
      <c r="H188" s="1">
        <v>-3.4633959162306498</v>
      </c>
      <c r="I188">
        <f>VLOOKUP(C188,'[1]phenotypes-895'!$A$2:$G$896,7,FALSE)</f>
        <v>64</v>
      </c>
      <c r="J188" s="1">
        <v>8.2655099999999995E-2</v>
      </c>
      <c r="K188" s="1">
        <f>VLOOKUP(C188,'[1]phenotypes-895'!$A$2:$I$896,9,FALSE)</f>
        <v>0.67275585841447516</v>
      </c>
      <c r="L188" s="1">
        <v>9.5178399999999996E-3</v>
      </c>
      <c r="M188" s="4">
        <v>4.6764774883472322</v>
      </c>
      <c r="N188" s="1">
        <v>-1.1537499999999999E-2</v>
      </c>
      <c r="O188" s="8">
        <v>1</v>
      </c>
      <c r="P188" s="1">
        <v>2.7047000000000002E-2</v>
      </c>
      <c r="Q188" s="6">
        <v>1.0109999999999999</v>
      </c>
      <c r="R188" s="1">
        <v>1.7569000000000001E-2</v>
      </c>
      <c r="S188" s="7">
        <v>0</v>
      </c>
    </row>
    <row r="189" spans="1:19" x14ac:dyDescent="0.2">
      <c r="A189">
        <v>188</v>
      </c>
      <c r="B189">
        <v>14</v>
      </c>
      <c r="C189" t="s">
        <v>187</v>
      </c>
      <c r="D189" s="12" t="s">
        <v>912</v>
      </c>
      <c r="E189" s="1">
        <v>0.47311500000000001</v>
      </c>
      <c r="F189">
        <v>0.50424199999999997</v>
      </c>
      <c r="G189" s="1">
        <v>0.50107034370156001</v>
      </c>
      <c r="H189" s="1">
        <v>0.53705034316550204</v>
      </c>
      <c r="I189">
        <f>VLOOKUP(C189,'[1]phenotypes-895'!$A$2:$G$896,7,FALSE)</f>
        <v>69</v>
      </c>
      <c r="J189" s="1">
        <v>5.7915000000000001E-2</v>
      </c>
      <c r="K189" s="1">
        <f>VLOOKUP(C189,'[1]phenotypes-895'!$A$2:$I$896,9,FALSE)</f>
        <v>0.73395805018863025</v>
      </c>
      <c r="L189" s="1">
        <v>-2.7327299999999999E-2</v>
      </c>
      <c r="M189" s="4">
        <v>4.4534993530096862</v>
      </c>
      <c r="N189" s="1">
        <v>3.1261499999999998E-2</v>
      </c>
      <c r="O189" s="8">
        <v>1</v>
      </c>
      <c r="P189" s="1">
        <v>5.38234E-2</v>
      </c>
      <c r="Q189" s="6">
        <v>1.1180000000000001</v>
      </c>
      <c r="R189" s="1">
        <v>1.7765300000000001E-2</v>
      </c>
      <c r="S189" s="7">
        <v>0.03</v>
      </c>
    </row>
    <row r="190" spans="1:19" x14ac:dyDescent="0.2">
      <c r="A190">
        <v>189</v>
      </c>
      <c r="B190">
        <v>16</v>
      </c>
      <c r="C190" t="s">
        <v>188</v>
      </c>
      <c r="D190" s="12" t="s">
        <v>912</v>
      </c>
      <c r="E190" s="1">
        <v>-11.9991</v>
      </c>
      <c r="F190">
        <v>-12.127599999999999</v>
      </c>
      <c r="G190" s="1">
        <v>-11.909958140818301</v>
      </c>
      <c r="H190" s="1">
        <v>-12.0442913914397</v>
      </c>
      <c r="I190">
        <f>VLOOKUP(C190,'[1]phenotypes-895'!$A$2:$G$896,7,FALSE)</f>
        <v>49</v>
      </c>
      <c r="J190" s="1">
        <v>0.100748</v>
      </c>
      <c r="K190" s="1">
        <f>VLOOKUP(C190,'[1]phenotypes-895'!$A$2:$I$896,9,FALSE)</f>
        <v>0.41439098272489489</v>
      </c>
      <c r="L190" s="1">
        <v>-1.9877800000000001E-2</v>
      </c>
      <c r="M190" s="4">
        <v>3.0842218190192812</v>
      </c>
      <c r="N190" s="1">
        <v>2.04154E-2</v>
      </c>
      <c r="O190" s="8">
        <v>1</v>
      </c>
      <c r="P190" s="1">
        <v>0.122805</v>
      </c>
      <c r="Q190" s="6">
        <v>1.04</v>
      </c>
      <c r="R190" s="1">
        <v>4.5415200000000003E-2</v>
      </c>
      <c r="S190" s="7">
        <v>0.01</v>
      </c>
    </row>
    <row r="191" spans="1:19" x14ac:dyDescent="0.2">
      <c r="A191">
        <v>190</v>
      </c>
      <c r="B191">
        <v>3</v>
      </c>
      <c r="C191" t="s">
        <v>189</v>
      </c>
      <c r="D191" s="12" t="s">
        <v>913</v>
      </c>
      <c r="E191" s="1">
        <v>-4.6829999999999998</v>
      </c>
      <c r="F191">
        <v>-7.1991300000000003</v>
      </c>
      <c r="G191" s="1">
        <v>-4.5817984211304603</v>
      </c>
      <c r="H191" s="1">
        <v>-7.08313182598053</v>
      </c>
      <c r="I191">
        <f>VLOOKUP(C191,'[1]phenotypes-895'!$A$2:$G$896,7,FALSE)</f>
        <v>62</v>
      </c>
      <c r="J191" s="1">
        <v>0.122181</v>
      </c>
      <c r="K191" s="1">
        <f>VLOOKUP(C191,'[1]phenotypes-895'!$A$2:$I$896,9,FALSE)</f>
        <v>0.80825010197047331</v>
      </c>
      <c r="L191" s="1">
        <v>8.4704000000000002E-2</v>
      </c>
      <c r="M191" s="4">
        <v>5.1151288641044195</v>
      </c>
      <c r="N191" s="1">
        <v>2.38382E-2</v>
      </c>
      <c r="O191" s="8">
        <v>1</v>
      </c>
      <c r="P191" s="1">
        <v>-6.32031E-3</v>
      </c>
      <c r="Q191" s="6">
        <v>0.94899999999999995</v>
      </c>
      <c r="R191" s="1">
        <v>6.2875199999999996E-3</v>
      </c>
      <c r="S191" s="7">
        <v>-0.02</v>
      </c>
    </row>
    <row r="192" spans="1:19" x14ac:dyDescent="0.2">
      <c r="A192">
        <v>191</v>
      </c>
      <c r="B192">
        <v>6</v>
      </c>
      <c r="C192" t="s">
        <v>190</v>
      </c>
      <c r="D192" s="12" t="s">
        <v>913</v>
      </c>
      <c r="E192" s="1">
        <v>-4.0573199999999998</v>
      </c>
      <c r="F192">
        <v>-6.1722599999999996</v>
      </c>
      <c r="G192" s="1">
        <v>-3.9988202485955999</v>
      </c>
      <c r="H192" s="1">
        <v>-6.1139181417801103</v>
      </c>
      <c r="I192">
        <f>VLOOKUP(C192,'[1]phenotypes-895'!$A$2:$G$896,7,FALSE)</f>
        <v>56</v>
      </c>
      <c r="J192" s="1">
        <v>4.55746E-2</v>
      </c>
      <c r="K192" s="1">
        <f>VLOOKUP(C192,'[1]phenotypes-895'!$A$2:$I$896,9,FALSE)</f>
        <v>0.40089330164004228</v>
      </c>
      <c r="L192" s="1">
        <v>-9.0536800000000001E-2</v>
      </c>
      <c r="M192" s="4">
        <v>3.4144365539119703</v>
      </c>
      <c r="N192" s="1">
        <v>-3.9488199999999996E-3</v>
      </c>
      <c r="O192" s="8">
        <v>1</v>
      </c>
      <c r="P192" s="1">
        <v>8.1176200000000004E-2</v>
      </c>
      <c r="Q192" s="6">
        <v>0.88</v>
      </c>
      <c r="R192" s="1">
        <v>3.3650800000000002E-2</v>
      </c>
      <c r="S192" s="7">
        <v>-0.04</v>
      </c>
    </row>
    <row r="193" spans="1:19" x14ac:dyDescent="0.2">
      <c r="A193">
        <v>192</v>
      </c>
      <c r="B193">
        <v>8</v>
      </c>
      <c r="C193" t="s">
        <v>191</v>
      </c>
      <c r="D193" s="12" t="s">
        <v>913</v>
      </c>
      <c r="E193" s="1">
        <v>5.3704999999999998</v>
      </c>
      <c r="F193">
        <v>3.79203</v>
      </c>
      <c r="G193" s="1">
        <v>5.3654454431926899</v>
      </c>
      <c r="H193" s="1">
        <v>3.7841538999398701</v>
      </c>
      <c r="I193">
        <f>VLOOKUP(C193,'[1]phenotypes-895'!$A$2:$G$896,7,FALSE)</f>
        <v>98</v>
      </c>
      <c r="J193" s="1">
        <v>-5.5431899999999999E-2</v>
      </c>
      <c r="K193" s="1">
        <f>VLOOKUP(C193,'[1]phenotypes-895'!$A$2:$I$896,9,FALSE)</f>
        <v>0</v>
      </c>
      <c r="L193" s="1">
        <v>5.0033000000000001E-2</v>
      </c>
      <c r="M193" s="4">
        <v>0</v>
      </c>
      <c r="N193" s="1">
        <v>-1.01409E-2</v>
      </c>
      <c r="O193" s="8">
        <v>0</v>
      </c>
      <c r="P193" s="1">
        <v>4.3726399999999999E-2</v>
      </c>
      <c r="Q193" s="6">
        <v>1.0249999999999999</v>
      </c>
      <c r="R193" s="1">
        <v>2.39072E-2</v>
      </c>
      <c r="S193" s="7">
        <v>0.01</v>
      </c>
    </row>
    <row r="194" spans="1:19" x14ac:dyDescent="0.2">
      <c r="A194">
        <v>193</v>
      </c>
      <c r="B194">
        <v>6</v>
      </c>
      <c r="C194" t="s">
        <v>192</v>
      </c>
      <c r="D194" s="12" t="s">
        <v>913</v>
      </c>
      <c r="E194" s="1">
        <v>0.73292900000000005</v>
      </c>
      <c r="F194">
        <v>-1.2504</v>
      </c>
      <c r="G194" s="1">
        <v>0.83327672196148095</v>
      </c>
      <c r="H194" s="1">
        <v>-1.1295198007021401</v>
      </c>
      <c r="I194">
        <f>VLOOKUP(C194,'[1]phenotypes-895'!$A$2:$G$896,7,FALSE)</f>
        <v>98</v>
      </c>
      <c r="J194" s="1">
        <v>-8.4758899999999998E-3</v>
      </c>
      <c r="K194" s="1">
        <f>VLOOKUP(C194,'[1]phenotypes-895'!$A$2:$I$896,9,FALSE)</f>
        <v>0</v>
      </c>
      <c r="L194" s="1">
        <v>-0.145292</v>
      </c>
      <c r="M194" s="4">
        <v>0</v>
      </c>
      <c r="N194" s="1">
        <v>-1.5728700000000002E-2</v>
      </c>
      <c r="O194" s="8">
        <v>0</v>
      </c>
      <c r="P194" s="1">
        <v>0.112535</v>
      </c>
      <c r="Q194" s="6">
        <v>1.0649999999999999</v>
      </c>
      <c r="R194" s="1">
        <v>4.6393499999999997E-2</v>
      </c>
      <c r="S194" s="7">
        <v>0.02</v>
      </c>
    </row>
    <row r="195" spans="1:19" x14ac:dyDescent="0.2">
      <c r="A195">
        <v>194</v>
      </c>
      <c r="B195">
        <v>4</v>
      </c>
      <c r="C195" t="s">
        <v>193</v>
      </c>
      <c r="D195" s="12" t="s">
        <v>913</v>
      </c>
      <c r="E195" s="1">
        <v>-2.5028800000000002</v>
      </c>
      <c r="F195">
        <v>-5.1796499999999996</v>
      </c>
      <c r="G195" s="1">
        <v>-2.5878310804501901</v>
      </c>
      <c r="H195" s="1">
        <v>-5.2788545536049503</v>
      </c>
      <c r="I195">
        <f>VLOOKUP(C195,'[1]phenotypes-895'!$A$2:$G$896,7,FALSE)</f>
        <v>61</v>
      </c>
      <c r="J195" s="1">
        <v>5.20621E-2</v>
      </c>
      <c r="K195" s="1">
        <f>VLOOKUP(C195,'[1]phenotypes-895'!$A$2:$I$896,9,FALSE)</f>
        <v>0.4811223625587262</v>
      </c>
      <c r="L195" s="1">
        <v>-2.1329299999999999E-2</v>
      </c>
      <c r="M195" s="4">
        <v>3.8264119856297349</v>
      </c>
      <c r="N195" s="1">
        <v>1.1170599999999999E-2</v>
      </c>
      <c r="O195" s="8">
        <v>1</v>
      </c>
      <c r="P195" s="1">
        <v>3.9196399999999999E-2</v>
      </c>
      <c r="Q195" s="6">
        <v>0.92800000000000005</v>
      </c>
      <c r="R195" s="1">
        <v>2.5233599999999998E-2</v>
      </c>
      <c r="S195" s="7">
        <v>-0.02</v>
      </c>
    </row>
    <row r="196" spans="1:19" x14ac:dyDescent="0.2">
      <c r="A196">
        <v>195</v>
      </c>
      <c r="B196">
        <v>16</v>
      </c>
      <c r="C196" t="s">
        <v>194</v>
      </c>
      <c r="D196" s="12" t="s">
        <v>912</v>
      </c>
      <c r="E196" s="1">
        <v>-5.9783900000000001</v>
      </c>
      <c r="F196">
        <v>-6.5919400000000001</v>
      </c>
      <c r="G196" s="1">
        <v>-5.9806084868468803</v>
      </c>
      <c r="H196" s="1">
        <v>-6.5848074261404896</v>
      </c>
      <c r="I196">
        <f>VLOOKUP(C196,'[1]phenotypes-895'!$A$2:$G$896,7,FALSE)</f>
        <v>76</v>
      </c>
      <c r="J196" s="1">
        <v>5.8727700000000001E-2</v>
      </c>
      <c r="K196" s="1">
        <f>VLOOKUP(C196,'[1]phenotypes-895'!$A$2:$I$896,9,FALSE)</f>
        <v>0.45640119186613021</v>
      </c>
      <c r="L196" s="1">
        <v>4.3849699999999998E-2</v>
      </c>
      <c r="M196" s="4">
        <v>4.3582319621970962</v>
      </c>
      <c r="N196" s="1">
        <v>1.4214299999999999E-2</v>
      </c>
      <c r="O196" s="8">
        <v>1</v>
      </c>
      <c r="P196" s="1">
        <v>0.105503</v>
      </c>
      <c r="Q196" s="6">
        <v>1.038</v>
      </c>
      <c r="R196" s="1">
        <v>4.5504200000000002E-2</v>
      </c>
      <c r="S196" s="7">
        <v>0.01</v>
      </c>
    </row>
    <row r="197" spans="1:19" x14ac:dyDescent="0.2">
      <c r="A197">
        <v>196</v>
      </c>
      <c r="B197">
        <v>5</v>
      </c>
      <c r="C197" t="s">
        <v>195</v>
      </c>
      <c r="D197" s="12" t="s">
        <v>913</v>
      </c>
      <c r="E197" s="1">
        <v>-9.5664599999999993</v>
      </c>
      <c r="F197">
        <v>-12.830299999999999</v>
      </c>
      <c r="G197" s="1">
        <v>-9.6379303317110594</v>
      </c>
      <c r="H197" s="1">
        <v>-12.932592100325399</v>
      </c>
      <c r="I197">
        <f>VLOOKUP(C197,'[1]phenotypes-895'!$A$2:$G$896,7,FALSE)</f>
        <v>55</v>
      </c>
      <c r="J197" s="1">
        <v>0.101433</v>
      </c>
      <c r="K197" s="1">
        <f>VLOOKUP(C197,'[1]phenotypes-895'!$A$2:$I$896,9,FALSE)</f>
        <v>0.36356569107383502</v>
      </c>
      <c r="L197" s="1">
        <v>0.12515799999999999</v>
      </c>
      <c r="M197" s="4">
        <v>4.0944957934041932</v>
      </c>
      <c r="N197" s="1">
        <v>2.9681900000000001E-2</v>
      </c>
      <c r="O197" s="8">
        <v>1</v>
      </c>
      <c r="P197" s="1">
        <v>7.7286800000000003E-2</v>
      </c>
      <c r="Q197" s="6">
        <v>1.0089999999999999</v>
      </c>
      <c r="R197" s="1">
        <v>2.04207E-2</v>
      </c>
      <c r="S197" s="7">
        <v>0</v>
      </c>
    </row>
    <row r="198" spans="1:19" x14ac:dyDescent="0.2">
      <c r="A198">
        <v>197</v>
      </c>
      <c r="B198">
        <v>6</v>
      </c>
      <c r="C198" t="s">
        <v>196</v>
      </c>
      <c r="D198" s="12" t="s">
        <v>913</v>
      </c>
      <c r="E198" s="1">
        <v>-0.16858400000000001</v>
      </c>
      <c r="F198">
        <v>-2.3386300000000002</v>
      </c>
      <c r="G198" s="1">
        <v>-0.14850148196802501</v>
      </c>
      <c r="H198" s="1">
        <v>-2.2933775707008599</v>
      </c>
      <c r="I198">
        <f>VLOOKUP(C198,'[1]phenotypes-895'!$A$2:$G$896,7,FALSE)</f>
        <v>98</v>
      </c>
      <c r="J198" s="1">
        <v>7.1568200000000004E-3</v>
      </c>
      <c r="K198" s="1">
        <f>VLOOKUP(C198,'[1]phenotypes-895'!$A$2:$I$896,9,FALSE)</f>
        <v>0</v>
      </c>
      <c r="L198" s="1">
        <v>-0.110004</v>
      </c>
      <c r="M198" s="4">
        <v>0</v>
      </c>
      <c r="N198" s="1">
        <v>-8.3942099999999992E-3</v>
      </c>
      <c r="O198" s="8">
        <v>0</v>
      </c>
      <c r="P198" s="1">
        <v>0.10352500000000001</v>
      </c>
      <c r="Q198" s="6">
        <v>1.2569999999999999</v>
      </c>
      <c r="R198" s="1">
        <v>3.9506199999999998E-2</v>
      </c>
      <c r="S198" s="7">
        <v>7.0000000000000007E-2</v>
      </c>
    </row>
    <row r="199" spans="1:19" x14ac:dyDescent="0.2">
      <c r="A199">
        <v>198</v>
      </c>
      <c r="B199">
        <v>19</v>
      </c>
      <c r="C199" t="s">
        <v>197</v>
      </c>
      <c r="D199" s="12" t="s">
        <v>912</v>
      </c>
      <c r="E199" s="1">
        <v>-10.409599999999999</v>
      </c>
      <c r="F199">
        <v>-10.5075</v>
      </c>
      <c r="G199" s="1">
        <v>-10.4581553848332</v>
      </c>
      <c r="H199" s="1">
        <v>-10.565097944035299</v>
      </c>
      <c r="I199">
        <f>VLOOKUP(C199,'[1]phenotypes-895'!$A$2:$G$896,7,FALSE)</f>
        <v>51</v>
      </c>
      <c r="J199" s="1">
        <v>0.194216</v>
      </c>
      <c r="K199" s="1">
        <f>VLOOKUP(C199,'[1]phenotypes-895'!$A$2:$I$896,9,FALSE)</f>
        <v>0.75940997917832842</v>
      </c>
      <c r="L199" s="1">
        <v>7.3894099999999999E-3</v>
      </c>
      <c r="M199" s="4">
        <v>4.4315911004529225</v>
      </c>
      <c r="N199" s="1">
        <v>3.1773099999999999E-2</v>
      </c>
      <c r="O199" s="8">
        <v>1</v>
      </c>
      <c r="P199" s="1">
        <v>9.2684799999999998E-2</v>
      </c>
      <c r="Q199" s="6">
        <v>1.042</v>
      </c>
      <c r="R199" s="1">
        <v>4.13788E-2</v>
      </c>
      <c r="S199" s="7">
        <v>0.01</v>
      </c>
    </row>
    <row r="200" spans="1:19" x14ac:dyDescent="0.2">
      <c r="A200">
        <v>199</v>
      </c>
      <c r="B200">
        <v>3</v>
      </c>
      <c r="C200" t="s">
        <v>198</v>
      </c>
      <c r="D200" s="12" t="s">
        <v>913</v>
      </c>
      <c r="E200" s="1">
        <v>-0.28478799999999999</v>
      </c>
      <c r="F200">
        <v>-2.40801</v>
      </c>
      <c r="G200" s="1">
        <v>-0.258335863109731</v>
      </c>
      <c r="H200" s="1">
        <v>-2.3766914415186999</v>
      </c>
      <c r="I200">
        <f>VLOOKUP(C200,'[1]phenotypes-895'!$A$2:$G$896,7,FALSE)</f>
        <v>98</v>
      </c>
      <c r="J200" s="1">
        <v>2.1914900000000001E-2</v>
      </c>
      <c r="K200" s="1">
        <f>VLOOKUP(C200,'[1]phenotypes-895'!$A$2:$I$896,9,FALSE)</f>
        <v>0</v>
      </c>
      <c r="L200" s="1">
        <v>-5.7491E-2</v>
      </c>
      <c r="M200" s="4">
        <v>0</v>
      </c>
      <c r="N200" s="1">
        <v>4.9605600000000001E-3</v>
      </c>
      <c r="O200" s="8">
        <v>0</v>
      </c>
      <c r="P200" s="1">
        <v>5.1379899999999999E-2</v>
      </c>
      <c r="Q200" s="6">
        <v>1.0089999999999999</v>
      </c>
      <c r="R200" s="1">
        <v>2.2178799999999999E-2</v>
      </c>
      <c r="S200" s="7">
        <v>0</v>
      </c>
    </row>
    <row r="201" spans="1:19" x14ac:dyDescent="0.2">
      <c r="A201">
        <v>200</v>
      </c>
      <c r="B201">
        <v>13</v>
      </c>
      <c r="C201" t="s">
        <v>199</v>
      </c>
      <c r="D201" s="12" t="s">
        <v>912</v>
      </c>
      <c r="E201" s="1">
        <v>-6.80227</v>
      </c>
      <c r="F201">
        <v>-6.8887400000000003</v>
      </c>
      <c r="G201" s="1">
        <v>-6.8532648190852399</v>
      </c>
      <c r="H201" s="1">
        <v>-6.9407866102229896</v>
      </c>
      <c r="I201">
        <f>VLOOKUP(C201,'[1]phenotypes-895'!$A$2:$G$896,7,FALSE)</f>
        <v>50</v>
      </c>
      <c r="J201" s="1">
        <v>0.11990099999999999</v>
      </c>
      <c r="K201" s="1">
        <f>VLOOKUP(C201,'[1]phenotypes-895'!$A$2:$I$896,9,FALSE)</f>
        <v>0.47868223191367992</v>
      </c>
      <c r="L201" s="1">
        <v>5.13985E-2</v>
      </c>
      <c r="M201" s="4">
        <v>3.7804845282920487</v>
      </c>
      <c r="N201" s="1">
        <v>-1.3438300000000001E-3</v>
      </c>
      <c r="O201" s="8">
        <v>1</v>
      </c>
      <c r="P201" s="1">
        <v>2.4620900000000001E-3</v>
      </c>
      <c r="Q201" s="6">
        <v>0.92</v>
      </c>
      <c r="R201" s="1">
        <v>6.3510800000000003E-3</v>
      </c>
      <c r="S201" s="7">
        <v>-0.03</v>
      </c>
    </row>
    <row r="202" spans="1:19" x14ac:dyDescent="0.2">
      <c r="A202">
        <v>201</v>
      </c>
      <c r="B202">
        <v>18</v>
      </c>
      <c r="C202" t="s">
        <v>200</v>
      </c>
      <c r="D202" s="12" t="s">
        <v>912</v>
      </c>
      <c r="E202" s="1">
        <v>-2.5514600000000001</v>
      </c>
      <c r="F202">
        <v>-1.34758</v>
      </c>
      <c r="G202" s="1">
        <v>-2.5202138135149998</v>
      </c>
      <c r="H202" s="1">
        <v>-1.32087072062179</v>
      </c>
      <c r="I202">
        <f>VLOOKUP(C202,'[1]phenotypes-895'!$A$2:$G$896,7,FALSE)</f>
        <v>65</v>
      </c>
      <c r="J202" s="1">
        <v>5.4445800000000003E-2</v>
      </c>
      <c r="K202" s="1">
        <f>VLOOKUP(C202,'[1]phenotypes-895'!$A$2:$I$896,9,FALSE)</f>
        <v>0.74877726520606713</v>
      </c>
      <c r="L202" s="1">
        <v>3.1820599999999997E-2</v>
      </c>
      <c r="M202" s="4">
        <v>4.6372154955459592</v>
      </c>
      <c r="N202" s="1">
        <v>1.18934E-2</v>
      </c>
      <c r="O202" s="8">
        <v>1</v>
      </c>
      <c r="P202" s="1">
        <v>-2.2123799999999999E-2</v>
      </c>
      <c r="Q202" s="6">
        <v>1.093</v>
      </c>
      <c r="R202" s="1">
        <v>-7.6085099999999998E-3</v>
      </c>
      <c r="S202" s="7">
        <v>0.03</v>
      </c>
    </row>
    <row r="203" spans="1:19" x14ac:dyDescent="0.2">
      <c r="A203">
        <v>202</v>
      </c>
      <c r="B203">
        <v>11</v>
      </c>
      <c r="C203" t="s">
        <v>201</v>
      </c>
      <c r="D203" s="12" t="s">
        <v>912</v>
      </c>
      <c r="E203" s="1">
        <v>-0.89275199999999999</v>
      </c>
      <c r="F203">
        <v>-1.0970899999999999</v>
      </c>
      <c r="G203" s="1">
        <v>-0.91937699416309304</v>
      </c>
      <c r="H203" s="1">
        <v>-1.12981271605974</v>
      </c>
      <c r="I203">
        <f>VLOOKUP(C203,'[1]phenotypes-895'!$A$2:$G$896,7,FALSE)</f>
        <v>65</v>
      </c>
      <c r="J203" s="1">
        <v>-1.85992E-2</v>
      </c>
      <c r="K203" s="1">
        <f>VLOOKUP(C203,'[1]phenotypes-895'!$A$2:$I$896,9,FALSE)</f>
        <v>0.52991817725808943</v>
      </c>
      <c r="L203" s="1">
        <v>-0.150093</v>
      </c>
      <c r="M203" s="4">
        <v>4.1292822951674228</v>
      </c>
      <c r="N203" s="1">
        <v>-2.7865000000000001E-2</v>
      </c>
      <c r="O203" s="8">
        <v>1</v>
      </c>
      <c r="P203" s="1">
        <v>2.7745200000000001E-2</v>
      </c>
      <c r="Q203" s="6">
        <v>0.96799999999999997</v>
      </c>
      <c r="R203" s="1">
        <v>1.4152100000000001E-2</v>
      </c>
      <c r="S203" s="7">
        <v>-0.01</v>
      </c>
    </row>
    <row r="204" spans="1:19" x14ac:dyDescent="0.2">
      <c r="A204">
        <v>203</v>
      </c>
      <c r="B204">
        <v>8</v>
      </c>
      <c r="C204" t="s">
        <v>202</v>
      </c>
      <c r="D204" s="12" t="s">
        <v>913</v>
      </c>
      <c r="E204" s="1">
        <v>3.9597000000000002</v>
      </c>
      <c r="F204">
        <v>2.7799200000000002</v>
      </c>
      <c r="G204" s="1">
        <v>3.94711222504489</v>
      </c>
      <c r="H204" s="1">
        <v>2.7598553190367401</v>
      </c>
      <c r="I204">
        <f>VLOOKUP(C204,'[1]phenotypes-895'!$A$2:$G$896,7,FALSE)</f>
        <v>76</v>
      </c>
      <c r="J204" s="1">
        <v>-1.4416E-2</v>
      </c>
      <c r="K204" s="1">
        <f>VLOOKUP(C204,'[1]phenotypes-895'!$A$2:$I$896,9,FALSE)</f>
        <v>0.51072135173809396</v>
      </c>
      <c r="L204" s="1">
        <v>6.0245399999999998E-2</v>
      </c>
      <c r="M204" s="4">
        <v>4.4499029595503714</v>
      </c>
      <c r="N204" s="1">
        <v>-3.16322E-3</v>
      </c>
      <c r="O204" s="8">
        <v>1</v>
      </c>
      <c r="P204" s="1">
        <v>-1.2276199999999999E-2</v>
      </c>
      <c r="Q204" s="6">
        <v>0.76</v>
      </c>
      <c r="R204" s="1">
        <v>3.5025199999999999E-3</v>
      </c>
      <c r="S204" s="7">
        <v>-0.09</v>
      </c>
    </row>
    <row r="205" spans="1:19" x14ac:dyDescent="0.2">
      <c r="A205">
        <v>204</v>
      </c>
      <c r="B205">
        <v>17</v>
      </c>
      <c r="C205" t="s">
        <v>203</v>
      </c>
      <c r="D205" s="12" t="s">
        <v>912</v>
      </c>
      <c r="E205" s="1">
        <v>-7.5691199999999998</v>
      </c>
      <c r="F205">
        <v>-7.6081500000000002</v>
      </c>
      <c r="G205" s="1">
        <v>-7.5126636403011604</v>
      </c>
      <c r="H205" s="1">
        <v>-7.5679348336816599</v>
      </c>
      <c r="I205">
        <f>VLOOKUP(C205,'[1]phenotypes-895'!$A$2:$G$896,7,FALSE)</f>
        <v>43</v>
      </c>
      <c r="J205" s="1">
        <v>0.13592699999999999</v>
      </c>
      <c r="K205" s="1">
        <f>VLOOKUP(C205,'[1]phenotypes-895'!$A$2:$I$896,9,FALSE)</f>
        <v>1.3150984457736561</v>
      </c>
      <c r="L205" s="1">
        <v>-7.0743700000000007E-2</v>
      </c>
      <c r="M205" s="4">
        <v>4.3105338809322626</v>
      </c>
      <c r="N205" s="1">
        <v>5.4981700000000001E-3</v>
      </c>
      <c r="O205" s="8">
        <v>1</v>
      </c>
      <c r="P205" s="1">
        <v>4.9245200000000003E-2</v>
      </c>
      <c r="Q205" s="6">
        <v>1.0820000000000001</v>
      </c>
      <c r="R205" s="1">
        <v>1.8324699999999999E-2</v>
      </c>
      <c r="S205" s="7">
        <v>0.02</v>
      </c>
    </row>
    <row r="206" spans="1:19" x14ac:dyDescent="0.2">
      <c r="A206">
        <v>205</v>
      </c>
      <c r="B206">
        <v>11</v>
      </c>
      <c r="C206" t="s">
        <v>204</v>
      </c>
      <c r="D206" s="12" t="s">
        <v>912</v>
      </c>
      <c r="E206" s="1">
        <v>-2.8294700000000002</v>
      </c>
      <c r="F206">
        <v>-1.9786900000000001</v>
      </c>
      <c r="G206" s="1">
        <v>-2.8534588689351801</v>
      </c>
      <c r="H206" s="1">
        <v>-2.00437659281741</v>
      </c>
      <c r="I206">
        <f>VLOOKUP(C206,'[1]phenotypes-895'!$A$2:$G$896,7,FALSE)</f>
        <v>65</v>
      </c>
      <c r="J206" s="1">
        <v>5.72796E-2</v>
      </c>
      <c r="K206" s="1">
        <f>VLOOKUP(C206,'[1]phenotypes-895'!$A$2:$I$896,9,FALSE)</f>
        <v>0.70405034620549289</v>
      </c>
      <c r="L206" s="1">
        <v>0.65694300000000005</v>
      </c>
      <c r="M206" s="4">
        <v>5.8113606423177062</v>
      </c>
      <c r="N206" s="1">
        <v>1.0866499999999999E-2</v>
      </c>
      <c r="O206" s="8">
        <v>1</v>
      </c>
      <c r="P206" s="1">
        <v>-5.0471099999999998E-2</v>
      </c>
      <c r="Q206" s="6">
        <v>0.95699999999999996</v>
      </c>
      <c r="R206" s="1">
        <v>-1.68799E-2</v>
      </c>
      <c r="S206" s="7">
        <v>-0.01</v>
      </c>
    </row>
    <row r="207" spans="1:19" x14ac:dyDescent="0.2">
      <c r="A207">
        <v>206</v>
      </c>
      <c r="B207">
        <v>36</v>
      </c>
      <c r="C207" t="s">
        <v>205</v>
      </c>
      <c r="D207" s="13" t="s">
        <v>913</v>
      </c>
      <c r="E207" s="1">
        <v>2.34782</v>
      </c>
      <c r="F207">
        <v>2.20933</v>
      </c>
      <c r="G207" s="1">
        <v>2.4219476680703198</v>
      </c>
      <c r="H207" s="1">
        <v>2.2871438462702001</v>
      </c>
      <c r="I207">
        <f>VLOOKUP(C207,'[1]phenotypes-895'!$A$2:$G$896,7,FALSE)</f>
        <v>58</v>
      </c>
      <c r="J207" s="1">
        <v>-4.9998200000000003E-3</v>
      </c>
      <c r="K207" s="1">
        <f>VLOOKUP(C207,'[1]phenotypes-895'!$A$2:$I$896,9,FALSE)</f>
        <v>0.63493169338399846</v>
      </c>
      <c r="L207" s="1">
        <v>-4.9367400000000002E-3</v>
      </c>
      <c r="M207" s="4">
        <v>4.9792836214320459</v>
      </c>
      <c r="N207" s="1">
        <v>-2.77851E-2</v>
      </c>
      <c r="O207" s="8">
        <v>1</v>
      </c>
      <c r="P207" s="1">
        <v>0.146927</v>
      </c>
      <c r="Q207">
        <v>1.236</v>
      </c>
      <c r="R207" s="1">
        <v>4.9500500000000003E-2</v>
      </c>
      <c r="S207" s="2">
        <v>7.0000000000000007E-2</v>
      </c>
    </row>
    <row r="208" spans="1:19" x14ac:dyDescent="0.2">
      <c r="A208">
        <v>207</v>
      </c>
      <c r="B208">
        <v>3</v>
      </c>
      <c r="C208" t="s">
        <v>206</v>
      </c>
      <c r="D208" s="12" t="s">
        <v>913</v>
      </c>
      <c r="E208" s="1">
        <v>-2.4140799999999998</v>
      </c>
      <c r="F208">
        <v>-4.7689399999999997</v>
      </c>
      <c r="G208" s="1">
        <v>-2.4771073766674001</v>
      </c>
      <c r="H208" s="1">
        <v>-4.8439167564618</v>
      </c>
      <c r="I208">
        <f>VLOOKUP(C208,'[1]phenotypes-895'!$A$2:$G$896,7,FALSE)</f>
        <v>65</v>
      </c>
      <c r="J208" s="1">
        <v>4.52988E-2</v>
      </c>
      <c r="K208" s="1">
        <f>VLOOKUP(C208,'[1]phenotypes-895'!$A$2:$I$896,9,FALSE)</f>
        <v>0.60866268922610522</v>
      </c>
      <c r="L208" s="1">
        <v>-5.9213200000000001E-2</v>
      </c>
      <c r="M208" s="4">
        <v>3.8334839306363024</v>
      </c>
      <c r="N208" s="1">
        <v>1.17146E-2</v>
      </c>
      <c r="O208" s="8">
        <v>1</v>
      </c>
      <c r="P208" s="1">
        <v>3.8803299999999999E-2</v>
      </c>
      <c r="Q208" s="6">
        <v>1.103</v>
      </c>
      <c r="R208" s="1">
        <v>1.9188299999999998E-2</v>
      </c>
      <c r="S208" s="7">
        <v>0.03</v>
      </c>
    </row>
    <row r="209" spans="1:19" x14ac:dyDescent="0.2">
      <c r="A209">
        <v>208</v>
      </c>
      <c r="B209">
        <v>52</v>
      </c>
      <c r="C209" t="s">
        <v>207</v>
      </c>
      <c r="D209" s="13" t="s">
        <v>912</v>
      </c>
      <c r="E209" s="1">
        <v>-2.34951</v>
      </c>
      <c r="F209">
        <v>-0.25581999999999999</v>
      </c>
      <c r="G209" s="1">
        <v>-2.1736551864828999</v>
      </c>
      <c r="H209" s="1">
        <v>-0.104800660606141</v>
      </c>
      <c r="I209">
        <f>VLOOKUP(C209,'[1]phenotypes-895'!$A$2:$G$896,7,FALSE)</f>
        <v>57</v>
      </c>
      <c r="J209" s="1">
        <v>1.29202E-2</v>
      </c>
      <c r="K209" s="1">
        <f>VLOOKUP(C209,'[1]phenotypes-895'!$A$2:$I$896,9,FALSE)</f>
        <v>0.59961618689660712</v>
      </c>
      <c r="L209" s="1">
        <v>-5.87885E-2</v>
      </c>
      <c r="M209" s="4">
        <v>4.4074890499019554</v>
      </c>
      <c r="N209" s="1">
        <v>-1.00745E-2</v>
      </c>
      <c r="O209" s="8">
        <v>1</v>
      </c>
      <c r="P209" s="1">
        <v>-0.175369</v>
      </c>
      <c r="Q209">
        <v>0.52100000000000002</v>
      </c>
      <c r="R209" s="1">
        <v>-7.59489E-2</v>
      </c>
      <c r="S209" s="2">
        <v>-0.22</v>
      </c>
    </row>
    <row r="210" spans="1:19" x14ac:dyDescent="0.2">
      <c r="A210">
        <v>209</v>
      </c>
      <c r="B210">
        <v>2</v>
      </c>
      <c r="C210" t="s">
        <v>208</v>
      </c>
      <c r="D210" s="12" t="s">
        <v>913</v>
      </c>
      <c r="E210" s="1">
        <v>9.8401599999999991</v>
      </c>
      <c r="F210">
        <v>10.6835</v>
      </c>
      <c r="G210" s="1">
        <v>9.8155225209163603</v>
      </c>
      <c r="H210" s="1">
        <v>10.6693736208267</v>
      </c>
      <c r="I210">
        <f>VLOOKUP(C210,'[1]phenotypes-895'!$A$2:$G$896,7,FALSE)</f>
        <v>98</v>
      </c>
      <c r="J210" s="1">
        <v>-0.12683800000000001</v>
      </c>
      <c r="K210" s="1">
        <f>VLOOKUP(C210,'[1]phenotypes-895'!$A$2:$I$896,9,FALSE)</f>
        <v>0</v>
      </c>
      <c r="L210" s="1">
        <v>7.3440699999999998E-2</v>
      </c>
      <c r="M210" s="4">
        <v>0</v>
      </c>
      <c r="N210" s="1">
        <v>-3.0649099999999999E-2</v>
      </c>
      <c r="O210" s="8">
        <v>0</v>
      </c>
      <c r="P210" s="1">
        <v>-9.9998399999999994E-3</v>
      </c>
      <c r="Q210" s="6">
        <v>1.0129999999999999</v>
      </c>
      <c r="R210" s="1">
        <v>-5.89049E-3</v>
      </c>
      <c r="S210" s="7">
        <v>0</v>
      </c>
    </row>
    <row r="211" spans="1:19" x14ac:dyDescent="0.2">
      <c r="A211">
        <v>210</v>
      </c>
      <c r="B211">
        <v>50</v>
      </c>
      <c r="C211" t="s">
        <v>209</v>
      </c>
      <c r="D211" s="13" t="s">
        <v>912</v>
      </c>
      <c r="E211" s="1">
        <v>2.1797599999999999</v>
      </c>
      <c r="F211">
        <v>4.8202499999999997</v>
      </c>
      <c r="G211" s="1">
        <v>2.2805770274966801</v>
      </c>
      <c r="H211" s="1">
        <v>4.9127488212208901</v>
      </c>
      <c r="I211">
        <f>VLOOKUP(C211,'[1]phenotypes-895'!$A$2:$G$896,7,FALSE)</f>
        <v>74</v>
      </c>
      <c r="J211" s="1">
        <v>-2.32442E-2</v>
      </c>
      <c r="K211" s="1">
        <f>VLOOKUP(C211,'[1]phenotypes-895'!$A$2:$I$896,9,FALSE)</f>
        <v>0.4532622341019194</v>
      </c>
      <c r="L211" s="1">
        <v>2.0697100000000002E-3</v>
      </c>
      <c r="M211" s="4">
        <v>4.0014133231002216</v>
      </c>
      <c r="N211" s="1">
        <v>2.2262000000000001E-2</v>
      </c>
      <c r="O211" s="8">
        <v>1</v>
      </c>
      <c r="P211" s="1">
        <v>-0.20563200000000001</v>
      </c>
      <c r="Q211">
        <v>0.57499999999999996</v>
      </c>
      <c r="R211" s="1">
        <v>-8.8426699999999997E-2</v>
      </c>
      <c r="S211" s="2">
        <v>-0.19</v>
      </c>
    </row>
    <row r="212" spans="1:19" x14ac:dyDescent="0.2">
      <c r="A212">
        <v>211</v>
      </c>
      <c r="B212">
        <v>9</v>
      </c>
      <c r="C212" t="s">
        <v>210</v>
      </c>
      <c r="D212" s="12" t="s">
        <v>912</v>
      </c>
      <c r="E212" s="1">
        <v>-6.8882500000000002</v>
      </c>
      <c r="F212">
        <v>-7.9416000000000002</v>
      </c>
      <c r="G212" s="1">
        <v>-6.7487626982017597</v>
      </c>
      <c r="H212" s="1">
        <v>-7.7965027821703101</v>
      </c>
      <c r="I212">
        <f>VLOOKUP(C212,'[1]phenotypes-895'!$A$2:$G$896,7,FALSE)</f>
        <v>56</v>
      </c>
      <c r="J212" s="1">
        <v>8.6199300000000006E-2</v>
      </c>
      <c r="K212" s="1">
        <f>VLOOKUP(C212,'[1]phenotypes-895'!$A$2:$I$896,9,FALSE)</f>
        <v>0.67204845375246147</v>
      </c>
      <c r="L212" s="1">
        <v>7.9194299999999995E-2</v>
      </c>
      <c r="M212" s="4">
        <v>4.2039137820753218</v>
      </c>
      <c r="N212" s="1">
        <v>1.24422E-2</v>
      </c>
      <c r="O212" s="8">
        <v>1</v>
      </c>
      <c r="P212" s="1">
        <v>4.6266199999999997E-3</v>
      </c>
      <c r="Q212" s="6">
        <v>0.88100000000000001</v>
      </c>
      <c r="R212" s="1">
        <v>5.4321500000000002E-3</v>
      </c>
      <c r="S212" s="7">
        <v>-0.04</v>
      </c>
    </row>
    <row r="213" spans="1:19" x14ac:dyDescent="0.2">
      <c r="A213">
        <v>212</v>
      </c>
      <c r="B213">
        <v>50</v>
      </c>
      <c r="C213" t="s">
        <v>211</v>
      </c>
      <c r="D213" s="13" t="s">
        <v>912</v>
      </c>
      <c r="E213" s="1">
        <v>-0.153749</v>
      </c>
      <c r="F213">
        <v>2.24491</v>
      </c>
      <c r="G213" s="1">
        <v>-6.4654620874288596E-2</v>
      </c>
      <c r="H213" s="1">
        <v>2.3399755720358502</v>
      </c>
      <c r="I213">
        <f>VLOOKUP(C213,'[1]phenotypes-895'!$A$2:$G$896,7,FALSE)</f>
        <v>59</v>
      </c>
      <c r="J213" s="1">
        <v>-2.1887299999999998E-2</v>
      </c>
      <c r="K213" s="1">
        <f>VLOOKUP(C213,'[1]phenotypes-895'!$A$2:$I$896,9,FALSE)</f>
        <v>0.27785569284034273</v>
      </c>
      <c r="L213" s="1">
        <v>-4.8127299999999998E-2</v>
      </c>
      <c r="M213" s="4">
        <v>4.0329424450820373</v>
      </c>
      <c r="N213" s="1">
        <v>3.0737799999999999E-2</v>
      </c>
      <c r="O213" s="8">
        <v>1</v>
      </c>
      <c r="P213" s="1">
        <v>-0.160939</v>
      </c>
      <c r="Q213">
        <v>0.53300000000000003</v>
      </c>
      <c r="R213" s="1">
        <v>-6.9705500000000004E-2</v>
      </c>
      <c r="S213" s="2">
        <v>-0.21</v>
      </c>
    </row>
    <row r="214" spans="1:19" x14ac:dyDescent="0.2">
      <c r="A214">
        <v>213</v>
      </c>
      <c r="B214">
        <v>5</v>
      </c>
      <c r="C214" t="s">
        <v>212</v>
      </c>
      <c r="D214" s="12" t="s">
        <v>913</v>
      </c>
      <c r="E214" s="1">
        <v>-7.1970999999999998</v>
      </c>
      <c r="F214">
        <v>-9.8712599999999995</v>
      </c>
      <c r="G214" s="1">
        <v>-7.2657962800628599</v>
      </c>
      <c r="H214" s="1">
        <v>-9.9603945426447602</v>
      </c>
      <c r="I214">
        <f>VLOOKUP(C214,'[1]phenotypes-895'!$A$2:$G$896,7,FALSE)</f>
        <v>65</v>
      </c>
      <c r="J214" s="1">
        <v>9.7132599999999999E-2</v>
      </c>
      <c r="K214" s="1">
        <f>VLOOKUP(C214,'[1]phenotypes-895'!$A$2:$I$896,9,FALSE)</f>
        <v>0.68609735157297924</v>
      </c>
      <c r="L214" s="1">
        <v>2.0190199999999998E-2</v>
      </c>
      <c r="M214" s="4">
        <v>4.5405543660175605</v>
      </c>
      <c r="N214" s="1">
        <v>3.3662600000000001E-2</v>
      </c>
      <c r="O214" s="8">
        <v>1</v>
      </c>
      <c r="P214" s="1">
        <v>6.2071000000000001E-2</v>
      </c>
      <c r="Q214" s="6">
        <v>0.84499999999999997</v>
      </c>
      <c r="R214" s="1">
        <v>2.33803E-2</v>
      </c>
      <c r="S214" s="7">
        <v>-0.05</v>
      </c>
    </row>
    <row r="215" spans="1:19" x14ac:dyDescent="0.2">
      <c r="A215">
        <v>214</v>
      </c>
      <c r="B215">
        <v>54</v>
      </c>
      <c r="C215" t="s">
        <v>213</v>
      </c>
      <c r="D215" s="13" t="s">
        <v>912</v>
      </c>
      <c r="E215" s="1">
        <v>-2.12568</v>
      </c>
      <c r="F215">
        <v>-0.37823400000000001</v>
      </c>
      <c r="G215" s="1">
        <v>-1.95925819392556</v>
      </c>
      <c r="H215" s="1">
        <v>-0.21254033914017101</v>
      </c>
      <c r="I215">
        <f>VLOOKUP(C215,'[1]phenotypes-895'!$A$2:$G$896,7,FALSE)</f>
        <v>70</v>
      </c>
      <c r="J215" s="1">
        <v>-1.25776E-2</v>
      </c>
      <c r="K215" s="1">
        <f>VLOOKUP(C215,'[1]phenotypes-895'!$A$2:$I$896,9,FALSE)</f>
        <v>0.43246765794932129</v>
      </c>
      <c r="L215" s="1">
        <v>-5.6130100000000002E-2</v>
      </c>
      <c r="M215" s="4">
        <v>3.6709977232306814</v>
      </c>
      <c r="N215" s="1">
        <v>-1.33691E-2</v>
      </c>
      <c r="O215" s="8">
        <v>1</v>
      </c>
      <c r="P215" s="1">
        <v>-0.107889</v>
      </c>
      <c r="Q215">
        <v>0.51700000000000002</v>
      </c>
      <c r="R215" s="1">
        <v>-4.7587900000000002E-2</v>
      </c>
      <c r="S215" s="2">
        <v>-0.22</v>
      </c>
    </row>
    <row r="216" spans="1:19" x14ac:dyDescent="0.2">
      <c r="A216">
        <v>215</v>
      </c>
      <c r="B216">
        <v>7</v>
      </c>
      <c r="C216" t="s">
        <v>214</v>
      </c>
      <c r="D216" s="12" t="s">
        <v>913</v>
      </c>
      <c r="E216" s="1">
        <v>2.2986499999999999</v>
      </c>
      <c r="F216">
        <v>0.64664699999999997</v>
      </c>
      <c r="G216" s="1">
        <v>2.3411176263536801</v>
      </c>
      <c r="H216" s="1">
        <v>0.68853101170255304</v>
      </c>
      <c r="I216">
        <f>VLOOKUP(C216,'[1]phenotypes-895'!$A$2:$G$896,7,FALSE)</f>
        <v>98</v>
      </c>
      <c r="J216" s="1">
        <v>-3.8041100000000001E-2</v>
      </c>
      <c r="K216" s="1">
        <f>VLOOKUP(C216,'[1]phenotypes-895'!$A$2:$I$896,9,FALSE)</f>
        <v>0</v>
      </c>
      <c r="L216" s="1">
        <v>5.04427E-2</v>
      </c>
      <c r="M216" s="4">
        <v>0</v>
      </c>
      <c r="N216" s="1">
        <v>-2.2384299999999999E-2</v>
      </c>
      <c r="O216" s="8">
        <v>0</v>
      </c>
      <c r="P216" s="1">
        <v>0.106645</v>
      </c>
      <c r="Q216" s="6">
        <v>1.4</v>
      </c>
      <c r="R216" s="1">
        <v>4.0158600000000003E-2</v>
      </c>
      <c r="S216" s="7">
        <v>0.1</v>
      </c>
    </row>
    <row r="217" spans="1:19" x14ac:dyDescent="0.2">
      <c r="A217">
        <v>216</v>
      </c>
      <c r="B217">
        <v>44</v>
      </c>
      <c r="C217" t="s">
        <v>215</v>
      </c>
      <c r="D217" s="13" t="s">
        <v>912</v>
      </c>
      <c r="E217" s="1">
        <v>2.2294700000000001</v>
      </c>
      <c r="F217">
        <v>4.1753</v>
      </c>
      <c r="G217" s="1">
        <v>2.2468457349944502</v>
      </c>
      <c r="H217" s="1">
        <v>4.1905079532218803</v>
      </c>
      <c r="I217">
        <f>VLOOKUP(C217,'[1]phenotypes-895'!$A$2:$G$896,7,FALSE)</f>
        <v>62</v>
      </c>
      <c r="J217" s="1">
        <v>-8.2924399999999995E-2</v>
      </c>
      <c r="K217" s="1">
        <f>VLOOKUP(C217,'[1]phenotypes-895'!$A$2:$I$896,9,FALSE)</f>
        <v>0.34912474985027531</v>
      </c>
      <c r="L217" s="1">
        <v>9.2448299999999997E-2</v>
      </c>
      <c r="M217" s="4">
        <v>4.1694972090482345</v>
      </c>
      <c r="N217" s="1">
        <v>-2.3884200000000001E-2</v>
      </c>
      <c r="O217" s="8">
        <v>1</v>
      </c>
      <c r="P217" s="1">
        <v>-6.9512599999999994E-2</v>
      </c>
      <c r="Q217">
        <v>0.71699999999999997</v>
      </c>
      <c r="R217" s="1">
        <v>-2.7403299999999998E-2</v>
      </c>
      <c r="S217" s="2">
        <v>-0.11</v>
      </c>
    </row>
    <row r="218" spans="1:19" x14ac:dyDescent="0.2">
      <c r="A218">
        <v>217</v>
      </c>
      <c r="B218">
        <v>12</v>
      </c>
      <c r="C218" t="s">
        <v>216</v>
      </c>
      <c r="D218" s="12" t="s">
        <v>912</v>
      </c>
      <c r="E218" s="1">
        <v>-1.8183800000000001</v>
      </c>
      <c r="F218">
        <v>-0.52427100000000004</v>
      </c>
      <c r="G218" s="1">
        <v>-1.8434689878928801</v>
      </c>
      <c r="H218" s="1">
        <v>-0.54847317316451105</v>
      </c>
      <c r="I218">
        <f>VLOOKUP(C218,'[1]phenotypes-895'!$A$2:$G$896,7,FALSE)</f>
        <v>63</v>
      </c>
      <c r="J218" s="1">
        <v>9.1914900000000001E-3</v>
      </c>
      <c r="K218" s="1">
        <f>VLOOKUP(C218,'[1]phenotypes-895'!$A$2:$I$896,9,FALSE)</f>
        <v>0.35320872323592922</v>
      </c>
      <c r="L218" s="1">
        <v>4.0782800000000001E-3</v>
      </c>
      <c r="M218" s="4">
        <v>3.5598540927882274</v>
      </c>
      <c r="N218" s="1">
        <v>-4.4504999999999996E-3</v>
      </c>
      <c r="O218" s="8">
        <v>1</v>
      </c>
      <c r="P218" s="1">
        <v>-0.138042</v>
      </c>
      <c r="Q218" s="6">
        <v>0.79300000000000004</v>
      </c>
      <c r="R218" s="1">
        <v>-5.2901700000000003E-2</v>
      </c>
      <c r="S218" s="7">
        <v>-0.08</v>
      </c>
    </row>
    <row r="219" spans="1:19" x14ac:dyDescent="0.2">
      <c r="A219">
        <v>218</v>
      </c>
      <c r="B219">
        <v>49</v>
      </c>
      <c r="C219" t="s">
        <v>217</v>
      </c>
      <c r="D219" s="13" t="s">
        <v>912</v>
      </c>
      <c r="E219" s="1">
        <v>-2.3334700000000002</v>
      </c>
      <c r="F219">
        <v>-0.11284</v>
      </c>
      <c r="G219" s="1">
        <v>-2.20315421064603</v>
      </c>
      <c r="H219" s="1">
        <v>2.3437575272053299E-3</v>
      </c>
      <c r="I219">
        <f>VLOOKUP(C219,'[1]phenotypes-895'!$A$2:$G$896,7,FALSE)</f>
        <v>54</v>
      </c>
      <c r="J219" s="1">
        <v>3.46582E-2</v>
      </c>
      <c r="K219" s="1">
        <f>VLOOKUP(C219,'[1]phenotypes-895'!$A$2:$I$896,9,FALSE)</f>
        <v>0.6272656898419221</v>
      </c>
      <c r="L219" s="1">
        <v>4.0777399999999998E-2</v>
      </c>
      <c r="M219" s="4">
        <v>4.618673207475636</v>
      </c>
      <c r="N219" s="1">
        <v>4.5733600000000003E-3</v>
      </c>
      <c r="O219" s="8">
        <v>1</v>
      </c>
      <c r="P219" s="1">
        <v>-0.14605299999999999</v>
      </c>
      <c r="Q219">
        <v>0.73399999999999999</v>
      </c>
      <c r="R219" s="1">
        <v>-5.5274400000000001E-2</v>
      </c>
      <c r="S219" s="2">
        <v>-0.1</v>
      </c>
    </row>
    <row r="220" spans="1:19" x14ac:dyDescent="0.2">
      <c r="A220">
        <v>219</v>
      </c>
      <c r="B220">
        <v>1</v>
      </c>
      <c r="C220" t="s">
        <v>218</v>
      </c>
      <c r="D220" s="12" t="s">
        <v>913</v>
      </c>
      <c r="E220" s="1">
        <v>-1.50759</v>
      </c>
      <c r="F220">
        <v>-2.7044899999999998</v>
      </c>
      <c r="G220" s="1">
        <v>-1.5384256887422201</v>
      </c>
      <c r="H220" s="1">
        <v>-2.7376342025459302</v>
      </c>
      <c r="I220">
        <f>VLOOKUP(C220,'[1]phenotypes-895'!$A$2:$G$896,7,FALSE)</f>
        <v>98</v>
      </c>
      <c r="J220" s="1">
        <v>1.3896500000000001E-2</v>
      </c>
      <c r="K220" s="1">
        <f>VLOOKUP(C220,'[1]phenotypes-895'!$A$2:$I$896,9,FALSE)</f>
        <v>0</v>
      </c>
      <c r="L220" s="1">
        <v>-7.6877799999999996E-2</v>
      </c>
      <c r="M220" s="4">
        <v>0</v>
      </c>
      <c r="N220" s="1">
        <v>-2.15482E-2</v>
      </c>
      <c r="O220" s="8">
        <v>0</v>
      </c>
      <c r="P220" s="1">
        <v>7.5266700000000006E-2</v>
      </c>
      <c r="Q220" s="6">
        <v>1.054</v>
      </c>
      <c r="R220" s="1">
        <v>3.3008900000000001E-2</v>
      </c>
      <c r="S220" s="7">
        <v>0.02</v>
      </c>
    </row>
    <row r="221" spans="1:19" x14ac:dyDescent="0.2">
      <c r="A221">
        <v>220</v>
      </c>
      <c r="B221">
        <v>50</v>
      </c>
      <c r="C221" t="s">
        <v>219</v>
      </c>
      <c r="D221" s="13" t="s">
        <v>912</v>
      </c>
      <c r="E221" s="1">
        <v>-0.741645</v>
      </c>
      <c r="F221">
        <v>1.71407</v>
      </c>
      <c r="G221" s="1">
        <v>-0.61157883581012795</v>
      </c>
      <c r="H221" s="1">
        <v>1.8391569843487601</v>
      </c>
      <c r="I221">
        <f>VLOOKUP(C221,'[1]phenotypes-895'!$A$2:$G$896,7,FALSE)</f>
        <v>98</v>
      </c>
      <c r="J221" s="1">
        <v>6.9922099999999996E-3</v>
      </c>
      <c r="K221" s="1">
        <f>VLOOKUP(C221,'[1]phenotypes-895'!$A$2:$I$896,9,FALSE)</f>
        <v>-5.6640886440455099E-3</v>
      </c>
      <c r="L221" s="1">
        <v>8.9896799999999999E-2</v>
      </c>
      <c r="M221" s="4">
        <v>2.3272328934642399</v>
      </c>
      <c r="N221" s="1">
        <v>2.7794800000000001E-2</v>
      </c>
      <c r="O221" s="8">
        <v>1</v>
      </c>
      <c r="P221" s="1">
        <v>-0.22708600000000001</v>
      </c>
      <c r="Q221">
        <v>0.55000000000000004</v>
      </c>
      <c r="R221" s="1">
        <v>-9.2626500000000001E-2</v>
      </c>
      <c r="S221" s="2">
        <v>-0.2</v>
      </c>
    </row>
    <row r="222" spans="1:19" x14ac:dyDescent="0.2">
      <c r="A222">
        <v>221</v>
      </c>
      <c r="B222">
        <v>11</v>
      </c>
      <c r="C222" t="s">
        <v>220</v>
      </c>
      <c r="D222" s="12" t="s">
        <v>912</v>
      </c>
      <c r="E222" s="1">
        <v>1.9975499999999999</v>
      </c>
      <c r="F222">
        <v>3.4127999999999998</v>
      </c>
      <c r="G222" s="1">
        <v>1.9391916597639101</v>
      </c>
      <c r="H222" s="1">
        <v>3.3694862663384599</v>
      </c>
      <c r="I222">
        <f>VLOOKUP(C222,'[1]phenotypes-895'!$A$2:$G$896,7,FALSE)</f>
        <v>98</v>
      </c>
      <c r="J222" s="1">
        <v>-3.8680300000000001E-2</v>
      </c>
      <c r="K222" s="1">
        <f>VLOOKUP(C222,'[1]phenotypes-895'!$A$2:$I$896,9,FALSE)</f>
        <v>0</v>
      </c>
      <c r="L222" s="1">
        <v>6.5148600000000001E-2</v>
      </c>
      <c r="M222" s="4">
        <v>0</v>
      </c>
      <c r="N222" s="1">
        <v>-1.20287E-2</v>
      </c>
      <c r="O222" s="8">
        <v>0</v>
      </c>
      <c r="P222" s="1">
        <v>-0.12864100000000001</v>
      </c>
      <c r="Q222" s="6">
        <v>0.78</v>
      </c>
      <c r="R222" s="1">
        <v>-4.4298900000000002E-2</v>
      </c>
      <c r="S222" s="7">
        <v>-0.08</v>
      </c>
    </row>
    <row r="223" spans="1:19" x14ac:dyDescent="0.2">
      <c r="A223">
        <v>222</v>
      </c>
      <c r="B223">
        <v>46</v>
      </c>
      <c r="C223" t="s">
        <v>221</v>
      </c>
      <c r="D223" s="13" t="s">
        <v>912</v>
      </c>
      <c r="E223" s="1">
        <v>-0.93571899999999997</v>
      </c>
      <c r="F223">
        <v>1.19747</v>
      </c>
      <c r="G223" s="1">
        <v>-0.87485163797086996</v>
      </c>
      <c r="H223" s="1">
        <v>1.2658189926137799</v>
      </c>
      <c r="I223">
        <f>VLOOKUP(C223,'[1]phenotypes-895'!$A$2:$G$896,7,FALSE)</f>
        <v>70</v>
      </c>
      <c r="J223" s="1">
        <v>2.5071099999999999E-2</v>
      </c>
      <c r="K223" s="1">
        <f>VLOOKUP(C223,'[1]phenotypes-895'!$A$2:$I$896,9,FALSE)</f>
        <v>0.39052613315988732</v>
      </c>
      <c r="L223" s="1">
        <v>-2.99466E-2</v>
      </c>
      <c r="M223" s="4">
        <v>3.9523031676709852</v>
      </c>
      <c r="N223" s="1">
        <v>1.26835E-2</v>
      </c>
      <c r="O223" s="8">
        <v>1</v>
      </c>
      <c r="P223" s="1">
        <v>-0.15926399999999999</v>
      </c>
      <c r="Q223">
        <v>0.56299999999999994</v>
      </c>
      <c r="R223" s="1">
        <v>-6.7653400000000002E-2</v>
      </c>
      <c r="S223" s="2">
        <v>-0.19</v>
      </c>
    </row>
    <row r="224" spans="1:19" x14ac:dyDescent="0.2">
      <c r="A224">
        <v>223</v>
      </c>
      <c r="B224">
        <v>1</v>
      </c>
      <c r="C224" t="s">
        <v>222</v>
      </c>
      <c r="D224" s="12" t="s">
        <v>913</v>
      </c>
      <c r="E224" s="1">
        <v>0.50379399999999996</v>
      </c>
      <c r="F224">
        <v>-0.55175200000000002</v>
      </c>
      <c r="G224" s="1">
        <v>0.65435518704986995</v>
      </c>
      <c r="H224" s="1">
        <v>-0.38514438888157398</v>
      </c>
      <c r="I224">
        <f>VLOOKUP(C224,'[1]phenotypes-895'!$A$2:$G$896,7,FALSE)</f>
        <v>98</v>
      </c>
      <c r="J224" s="1">
        <v>-6.6971899999999996E-3</v>
      </c>
      <c r="K224" s="1">
        <f>VLOOKUP(C224,'[1]phenotypes-895'!$A$2:$I$896,9,FALSE)</f>
        <v>0</v>
      </c>
      <c r="L224" s="1">
        <v>-5.8057200000000003E-2</v>
      </c>
      <c r="M224" s="4">
        <v>0</v>
      </c>
      <c r="N224" s="1">
        <v>-2.5396999999999999E-2</v>
      </c>
      <c r="O224" s="8">
        <v>0</v>
      </c>
      <c r="P224" s="1">
        <v>0.12851699999999999</v>
      </c>
      <c r="Q224" s="6">
        <v>1.2609999999999999</v>
      </c>
      <c r="R224" s="1">
        <v>4.3721599999999999E-2</v>
      </c>
      <c r="S224" s="7">
        <v>7.0000000000000007E-2</v>
      </c>
    </row>
    <row r="225" spans="1:19" x14ac:dyDescent="0.2">
      <c r="A225">
        <v>224</v>
      </c>
      <c r="B225">
        <v>31</v>
      </c>
      <c r="C225" t="s">
        <v>223</v>
      </c>
      <c r="D225" s="13" t="s">
        <v>913</v>
      </c>
      <c r="E225" s="1">
        <v>5.10501</v>
      </c>
      <c r="F225">
        <v>4.8303099999999999</v>
      </c>
      <c r="G225" s="1">
        <v>5.1519190853438603</v>
      </c>
      <c r="H225" s="1">
        <v>4.8789162491468501</v>
      </c>
      <c r="I225">
        <f>VLOOKUP(C225,'[1]phenotypes-895'!$A$2:$G$896,7,FALSE)</f>
        <v>98</v>
      </c>
      <c r="J225" s="1">
        <v>-4.35158E-2</v>
      </c>
      <c r="K225" s="1">
        <f>VLOOKUP(C225,'[1]phenotypes-895'!$A$2:$I$896,9,FALSE)</f>
        <v>0</v>
      </c>
      <c r="L225" s="1">
        <v>0.122257</v>
      </c>
      <c r="M225" s="4">
        <v>0</v>
      </c>
      <c r="N225" s="1">
        <v>-1.50841E-2</v>
      </c>
      <c r="O225" s="8">
        <v>0</v>
      </c>
      <c r="P225" s="1">
        <v>7.7846200000000004E-2</v>
      </c>
      <c r="Q225">
        <v>1.26</v>
      </c>
      <c r="R225" s="1">
        <v>2.6983E-2</v>
      </c>
      <c r="S225" s="2">
        <v>7.0000000000000007E-2</v>
      </c>
    </row>
    <row r="226" spans="1:19" x14ac:dyDescent="0.2">
      <c r="A226">
        <v>225</v>
      </c>
      <c r="B226">
        <v>6</v>
      </c>
      <c r="C226" t="s">
        <v>224</v>
      </c>
      <c r="D226" s="12" t="s">
        <v>913</v>
      </c>
      <c r="E226" s="1">
        <v>1.8228899999999999</v>
      </c>
      <c r="F226">
        <v>-0.54844700000000002</v>
      </c>
      <c r="G226" s="1">
        <v>1.7592126804055299</v>
      </c>
      <c r="H226" s="1">
        <v>-0.62850650035663902</v>
      </c>
      <c r="I226">
        <f>VLOOKUP(C226,'[1]phenotypes-895'!$A$2:$G$896,7,FALSE)</f>
        <v>64</v>
      </c>
      <c r="J226" s="1">
        <v>-2.7470699999999999E-3</v>
      </c>
      <c r="K226" s="1">
        <f>VLOOKUP(C226,'[1]phenotypes-895'!$A$2:$I$896,9,FALSE)</f>
        <v>0.5805199057213003</v>
      </c>
      <c r="L226" s="1">
        <v>-0.148178</v>
      </c>
      <c r="M226" s="4">
        <v>4.0095498311531514</v>
      </c>
      <c r="N226" s="1">
        <v>-1.4379299999999999E-2</v>
      </c>
      <c r="O226" s="8">
        <v>1</v>
      </c>
      <c r="P226" s="1">
        <v>5.5012999999999999E-2</v>
      </c>
      <c r="Q226" s="6">
        <v>0.95199999999999996</v>
      </c>
      <c r="R226" s="1">
        <v>2.3164899999999999E-2</v>
      </c>
      <c r="S226" s="7">
        <v>-0.02</v>
      </c>
    </row>
    <row r="227" spans="1:19" x14ac:dyDescent="0.2">
      <c r="A227">
        <v>226</v>
      </c>
      <c r="B227">
        <v>25</v>
      </c>
      <c r="C227" t="s">
        <v>225</v>
      </c>
      <c r="D227" s="13" t="s">
        <v>913</v>
      </c>
      <c r="E227" s="1">
        <v>5.3461400000000001</v>
      </c>
      <c r="F227">
        <v>4.2169100000000004</v>
      </c>
      <c r="G227" s="1">
        <v>5.37518509359204</v>
      </c>
      <c r="H227" s="1">
        <v>4.2486771222740698</v>
      </c>
      <c r="I227">
        <f>VLOOKUP(C227,'[1]phenotypes-895'!$A$2:$G$896,7,FALSE)</f>
        <v>98</v>
      </c>
      <c r="J227" s="1">
        <v>-8.0356999999999998E-2</v>
      </c>
      <c r="K227" s="1">
        <f>VLOOKUP(C227,'[1]phenotypes-895'!$A$2:$I$896,9,FALSE)</f>
        <v>0</v>
      </c>
      <c r="L227" s="1">
        <v>-9.4431399999999999E-2</v>
      </c>
      <c r="M227" s="4">
        <v>0</v>
      </c>
      <c r="N227" s="1">
        <v>-1.4111800000000001E-2</v>
      </c>
      <c r="O227" s="8">
        <v>0</v>
      </c>
      <c r="P227" s="1">
        <v>0.108811</v>
      </c>
      <c r="Q227">
        <v>1.0489999999999999</v>
      </c>
      <c r="R227" s="1">
        <v>4.3730699999999997E-2</v>
      </c>
      <c r="S227" s="2">
        <v>0.02</v>
      </c>
    </row>
    <row r="228" spans="1:19" x14ac:dyDescent="0.2">
      <c r="A228">
        <v>227</v>
      </c>
      <c r="B228">
        <v>8</v>
      </c>
      <c r="C228" t="s">
        <v>226</v>
      </c>
      <c r="D228" s="12" t="s">
        <v>913</v>
      </c>
      <c r="E228" s="1">
        <v>-0.34129500000000002</v>
      </c>
      <c r="F228">
        <v>-1.5236000000000001</v>
      </c>
      <c r="G228" s="1">
        <v>-0.20632843639131401</v>
      </c>
      <c r="H228" s="1">
        <v>-1.3821497952675601</v>
      </c>
      <c r="I228">
        <f>VLOOKUP(C228,'[1]phenotypes-895'!$A$2:$G$896,7,FALSE)</f>
        <v>98</v>
      </c>
      <c r="J228" s="1">
        <v>4.0134200000000002E-3</v>
      </c>
      <c r="K228" s="1">
        <f>VLOOKUP(C228,'[1]phenotypes-895'!$A$2:$I$896,9,FALSE)</f>
        <v>0</v>
      </c>
      <c r="L228" s="1">
        <v>0.10523299999999999</v>
      </c>
      <c r="M228" s="4">
        <v>0</v>
      </c>
      <c r="N228" s="1">
        <v>-2.9085399999999998E-3</v>
      </c>
      <c r="O228" s="8">
        <v>0</v>
      </c>
      <c r="P228" s="1">
        <v>1.0138299999999999E-2</v>
      </c>
      <c r="Q228" s="6">
        <v>0.86899999999999999</v>
      </c>
      <c r="R228" s="1">
        <v>1.13499E-2</v>
      </c>
      <c r="S228" s="7">
        <v>-0.05</v>
      </c>
    </row>
    <row r="229" spans="1:19" x14ac:dyDescent="0.2">
      <c r="A229">
        <v>228</v>
      </c>
      <c r="B229">
        <v>4</v>
      </c>
      <c r="C229" t="s">
        <v>227</v>
      </c>
      <c r="D229" s="12" t="s">
        <v>913</v>
      </c>
      <c r="E229" s="1">
        <v>-1.17988</v>
      </c>
      <c r="F229">
        <v>-2.15524</v>
      </c>
      <c r="G229" s="1">
        <v>-1.20802482379972</v>
      </c>
      <c r="H229" s="1">
        <v>-2.1914717774996699</v>
      </c>
      <c r="I229">
        <f>VLOOKUP(C229,'[1]phenotypes-895'!$A$2:$G$896,7,FALSE)</f>
        <v>80</v>
      </c>
      <c r="J229" s="1">
        <v>3.2169900000000001E-2</v>
      </c>
      <c r="K229" s="1">
        <f>VLOOKUP(C229,'[1]phenotypes-895'!$A$2:$I$896,9,FALSE)</f>
        <v>0.42925459009842798</v>
      </c>
      <c r="L229" s="1">
        <v>3.13253E-2</v>
      </c>
      <c r="M229" s="4">
        <v>3.7441069054485738</v>
      </c>
      <c r="N229" s="1">
        <v>1.69371E-2</v>
      </c>
      <c r="O229" s="8">
        <v>1</v>
      </c>
      <c r="P229" s="1">
        <v>-4.64088E-2</v>
      </c>
      <c r="Q229" s="6">
        <v>0.89900000000000002</v>
      </c>
      <c r="R229" s="1">
        <v>-1.1394700000000001E-2</v>
      </c>
      <c r="S229" s="7">
        <v>-0.03</v>
      </c>
    </row>
    <row r="230" spans="1:19" x14ac:dyDescent="0.2">
      <c r="A230">
        <v>229</v>
      </c>
      <c r="B230">
        <v>15</v>
      </c>
      <c r="C230" t="s">
        <v>228</v>
      </c>
      <c r="D230" s="12" t="s">
        <v>912</v>
      </c>
      <c r="E230" s="1">
        <v>-10.5762</v>
      </c>
      <c r="F230">
        <v>-11.6564</v>
      </c>
      <c r="G230" s="1">
        <v>-10.441750307938999</v>
      </c>
      <c r="H230" s="1">
        <v>-11.5111141998443</v>
      </c>
      <c r="I230">
        <f>VLOOKUP(C230,'[1]phenotypes-895'!$A$2:$G$896,7,FALSE)</f>
        <v>58</v>
      </c>
      <c r="J230" s="1">
        <v>0.118612</v>
      </c>
      <c r="K230" s="1">
        <f>VLOOKUP(C230,'[1]phenotypes-895'!$A$2:$I$896,9,FALSE)</f>
        <v>0.58560218401414244</v>
      </c>
      <c r="L230" s="1">
        <v>0.17431099999999999</v>
      </c>
      <c r="M230" s="4">
        <v>5.121529187246697</v>
      </c>
      <c r="N230" s="1">
        <v>1.84713E-2</v>
      </c>
      <c r="O230" s="8">
        <v>1</v>
      </c>
      <c r="P230" s="1">
        <v>8.7179900000000005E-2</v>
      </c>
      <c r="Q230" s="6">
        <v>0.877</v>
      </c>
      <c r="R230" s="1">
        <v>3.9618100000000003E-2</v>
      </c>
      <c r="S230" s="7">
        <v>-0.04</v>
      </c>
    </row>
    <row r="231" spans="1:19" x14ac:dyDescent="0.2">
      <c r="A231">
        <v>230</v>
      </c>
      <c r="B231">
        <v>13</v>
      </c>
      <c r="C231" t="s">
        <v>229</v>
      </c>
      <c r="D231" s="12" t="s">
        <v>912</v>
      </c>
      <c r="E231" s="1">
        <v>-4.6962900000000003</v>
      </c>
      <c r="F231">
        <v>-4.3797600000000001</v>
      </c>
      <c r="G231" s="1">
        <v>-4.7126477792256098</v>
      </c>
      <c r="H231" s="1">
        <v>-4.3921277615260204</v>
      </c>
      <c r="I231">
        <f>VLOOKUP(C231,'[1]phenotypes-895'!$A$2:$G$896,7,FALSE)</f>
        <v>98</v>
      </c>
      <c r="J231" s="1">
        <v>7.2490600000000002E-2</v>
      </c>
      <c r="K231" s="1">
        <f>VLOOKUP(C231,'[1]phenotypes-895'!$A$2:$I$896,9,FALSE)</f>
        <v>0</v>
      </c>
      <c r="L231" s="1">
        <v>5.8081599999999997E-2</v>
      </c>
      <c r="M231" s="4">
        <v>0</v>
      </c>
      <c r="N231" s="1">
        <v>-1.12488E-2</v>
      </c>
      <c r="O231" s="8">
        <v>0</v>
      </c>
      <c r="P231" s="1">
        <v>-6.5903799999999998E-2</v>
      </c>
      <c r="Q231" s="6">
        <v>0.54400000000000004</v>
      </c>
      <c r="R231" s="1">
        <v>-2.5293599999999999E-2</v>
      </c>
      <c r="S231" s="7">
        <v>-0.21</v>
      </c>
    </row>
    <row r="232" spans="1:19" x14ac:dyDescent="0.2">
      <c r="A232">
        <v>231</v>
      </c>
      <c r="B232">
        <v>11</v>
      </c>
      <c r="C232" t="s">
        <v>230</v>
      </c>
      <c r="D232" s="12" t="s">
        <v>912</v>
      </c>
      <c r="E232" s="1">
        <v>-0.80622400000000005</v>
      </c>
      <c r="F232">
        <v>-2.33434E-2</v>
      </c>
      <c r="G232" s="1">
        <v>-0.680363135223926</v>
      </c>
      <c r="H232" s="1">
        <v>0.109001392936477</v>
      </c>
      <c r="I232">
        <f>VLOOKUP(C232,'[1]phenotypes-895'!$A$2:$G$896,7,FALSE)</f>
        <v>98</v>
      </c>
      <c r="J232" s="1">
        <v>-1.9318399999999999E-2</v>
      </c>
      <c r="K232" s="1">
        <f>VLOOKUP(C232,'[1]phenotypes-895'!$A$2:$I$896,9,FALSE)</f>
        <v>0</v>
      </c>
      <c r="L232" s="1">
        <v>-8.2385299999999995E-2</v>
      </c>
      <c r="M232" s="4">
        <v>0</v>
      </c>
      <c r="N232" s="1">
        <v>4.4648999999999999E-3</v>
      </c>
      <c r="O232" s="8">
        <v>0</v>
      </c>
      <c r="P232" s="1">
        <v>-1.4717900000000001E-2</v>
      </c>
      <c r="Q232" s="6">
        <v>0.98399999999999999</v>
      </c>
      <c r="R232" s="1">
        <v>3.4312499999999998E-3</v>
      </c>
      <c r="S232" s="7">
        <v>-0.01</v>
      </c>
    </row>
    <row r="233" spans="1:19" x14ac:dyDescent="0.2">
      <c r="A233">
        <v>232</v>
      </c>
      <c r="B233">
        <v>2</v>
      </c>
      <c r="C233" t="s">
        <v>231</v>
      </c>
      <c r="D233" s="12" t="s">
        <v>913</v>
      </c>
      <c r="E233" s="1">
        <v>-2.8176399999999999</v>
      </c>
      <c r="F233">
        <v>-4.9084899999999996</v>
      </c>
      <c r="G233" s="1">
        <v>-2.8632834176173998</v>
      </c>
      <c r="H233" s="1">
        <v>-4.9735927674770304</v>
      </c>
      <c r="I233">
        <f>VLOOKUP(C233,'[1]phenotypes-895'!$A$2:$G$896,7,FALSE)</f>
        <v>63</v>
      </c>
      <c r="J233" s="1">
        <v>2.86246E-2</v>
      </c>
      <c r="K233" s="1">
        <f>VLOOKUP(C233,'[1]phenotypes-895'!$A$2:$I$896,9,FALSE)</f>
        <v>0.66339835064417807</v>
      </c>
      <c r="L233" s="1">
        <v>-9.4661700000000001E-2</v>
      </c>
      <c r="M233" s="4">
        <v>4.190031630297093</v>
      </c>
      <c r="N233" s="1">
        <v>1.4529199999999999E-3</v>
      </c>
      <c r="O233" s="8">
        <v>1</v>
      </c>
      <c r="P233" s="1">
        <v>0.12890299999999999</v>
      </c>
      <c r="Q233" s="6">
        <v>1.1279999999999999</v>
      </c>
      <c r="R233" s="1">
        <v>4.8593299999999999E-2</v>
      </c>
      <c r="S233" s="7">
        <v>0.04</v>
      </c>
    </row>
    <row r="234" spans="1:19" x14ac:dyDescent="0.2">
      <c r="A234">
        <v>233</v>
      </c>
      <c r="B234">
        <v>14</v>
      </c>
      <c r="C234" t="s">
        <v>232</v>
      </c>
      <c r="D234" s="12" t="s">
        <v>912</v>
      </c>
      <c r="E234" s="1">
        <v>-2.45939</v>
      </c>
      <c r="F234">
        <v>-3.2586200000000001</v>
      </c>
      <c r="G234" s="1">
        <v>-2.44847862457679</v>
      </c>
      <c r="H234" s="1">
        <v>-3.2463719355360499</v>
      </c>
      <c r="I234">
        <f>VLOOKUP(C234,'[1]phenotypes-895'!$A$2:$G$896,7,FALSE)</f>
        <v>84</v>
      </c>
      <c r="J234" s="1">
        <v>9.55791E-2</v>
      </c>
      <c r="K234" s="1">
        <f>VLOOKUP(C234,'[1]phenotypes-895'!$A$2:$I$896,9,FALSE)</f>
        <v>0.65149567589687207</v>
      </c>
      <c r="L234" s="1">
        <v>-1.0650700000000001E-2</v>
      </c>
      <c r="M234" s="4">
        <v>4.8115696117574833</v>
      </c>
      <c r="N234" s="1">
        <v>4.0186899999999998E-2</v>
      </c>
      <c r="O234" s="8">
        <v>1</v>
      </c>
      <c r="P234" s="1">
        <v>4.23305E-2</v>
      </c>
      <c r="Q234" s="6">
        <v>1.026</v>
      </c>
      <c r="R234" s="1">
        <v>1.9933900000000001E-2</v>
      </c>
      <c r="S234" s="7">
        <v>0.01</v>
      </c>
    </row>
    <row r="235" spans="1:19" x14ac:dyDescent="0.2">
      <c r="A235">
        <v>234</v>
      </c>
      <c r="B235">
        <v>17</v>
      </c>
      <c r="C235" t="s">
        <v>233</v>
      </c>
      <c r="D235" s="12" t="s">
        <v>912</v>
      </c>
      <c r="E235" s="1">
        <v>-4.5262700000000002</v>
      </c>
      <c r="F235">
        <v>-3.9883899999999999</v>
      </c>
      <c r="G235" s="1">
        <v>-4.44319261887654</v>
      </c>
      <c r="H235" s="1">
        <v>-3.9117490902908001</v>
      </c>
      <c r="I235">
        <f>VLOOKUP(C235,'[1]phenotypes-895'!$A$2:$G$896,7,FALSE)</f>
        <v>98</v>
      </c>
      <c r="J235" s="1">
        <v>5.2813899999999997E-2</v>
      </c>
      <c r="K235" s="1">
        <f>VLOOKUP(C235,'[1]phenotypes-895'!$A$2:$I$896,9,FALSE)</f>
        <v>0</v>
      </c>
      <c r="L235" s="1">
        <v>-8.9693599999999998E-2</v>
      </c>
      <c r="M235" s="4">
        <v>0</v>
      </c>
      <c r="N235" s="1">
        <v>8.6397100000000001E-3</v>
      </c>
      <c r="O235" s="8">
        <v>0</v>
      </c>
      <c r="P235" s="1">
        <v>8.2603499999999996E-2</v>
      </c>
      <c r="Q235" s="6">
        <v>0.97599999999999998</v>
      </c>
      <c r="R235" s="1">
        <v>3.1510000000000003E-2</v>
      </c>
      <c r="S235" s="7">
        <v>-0.01</v>
      </c>
    </row>
    <row r="236" spans="1:19" x14ac:dyDescent="0.2">
      <c r="A236">
        <v>235</v>
      </c>
      <c r="B236">
        <v>19</v>
      </c>
      <c r="C236" t="s">
        <v>234</v>
      </c>
      <c r="D236" s="12" t="s">
        <v>912</v>
      </c>
      <c r="E236" s="1">
        <v>-10.503399999999999</v>
      </c>
      <c r="F236">
        <v>-10.431900000000001</v>
      </c>
      <c r="G236" s="1">
        <v>-9.9703562698708996</v>
      </c>
      <c r="H236" s="1">
        <v>-9.9011937187595507</v>
      </c>
      <c r="I236">
        <f>VLOOKUP(C236,'[1]phenotypes-895'!$A$2:$G$896,7,FALSE)</f>
        <v>61</v>
      </c>
      <c r="J236" s="1">
        <v>0.18695400000000001</v>
      </c>
      <c r="K236" s="1">
        <f>VLOOKUP(C236,'[1]phenotypes-895'!$A$2:$I$896,9,FALSE)</f>
        <v>0.66369570974112091</v>
      </c>
      <c r="L236" s="1">
        <v>4.6781700000000002E-2</v>
      </c>
      <c r="M236" s="4">
        <v>4.329150878389167</v>
      </c>
      <c r="N236" s="1">
        <v>4.1146000000000002E-2</v>
      </c>
      <c r="O236" s="8">
        <v>1</v>
      </c>
      <c r="P236" s="1">
        <v>5.7643600000000003E-2</v>
      </c>
      <c r="Q236" s="6">
        <v>1.298</v>
      </c>
      <c r="R236" s="1">
        <v>1.6042899999999999E-2</v>
      </c>
      <c r="S236" s="7">
        <v>0.08</v>
      </c>
    </row>
    <row r="237" spans="1:19" x14ac:dyDescent="0.2">
      <c r="A237">
        <v>236</v>
      </c>
      <c r="B237">
        <v>14</v>
      </c>
      <c r="C237" t="s">
        <v>235</v>
      </c>
      <c r="D237" s="12" t="s">
        <v>912</v>
      </c>
      <c r="E237" s="1">
        <v>-3.2318899999999999</v>
      </c>
      <c r="F237">
        <v>-4.0976100000000004</v>
      </c>
      <c r="G237" s="1">
        <v>-3.2604054808129801</v>
      </c>
      <c r="H237" s="1">
        <v>-4.1395715571668896</v>
      </c>
      <c r="I237">
        <f>VLOOKUP(C237,'[1]phenotypes-895'!$A$2:$G$896,7,FALSE)</f>
        <v>72</v>
      </c>
      <c r="J237" s="1">
        <v>6.9779999999999995E-2</v>
      </c>
      <c r="K237" s="1">
        <f>VLOOKUP(C237,'[1]phenotypes-895'!$A$2:$I$896,9,FALSE)</f>
        <v>0.46949732501741182</v>
      </c>
      <c r="L237" s="1">
        <v>1.23219E-2</v>
      </c>
      <c r="M237" s="4">
        <v>3.9782207074692262</v>
      </c>
      <c r="N237" s="1">
        <v>4.10897E-2</v>
      </c>
      <c r="O237" s="8">
        <v>1</v>
      </c>
      <c r="P237" s="1">
        <v>2.8032700000000001E-2</v>
      </c>
      <c r="Q237" s="6">
        <v>0.93300000000000005</v>
      </c>
      <c r="R237" s="1">
        <v>1.0767499999999999E-2</v>
      </c>
      <c r="S237" s="7">
        <v>-0.02</v>
      </c>
    </row>
    <row r="238" spans="1:19" x14ac:dyDescent="0.2">
      <c r="A238">
        <v>237</v>
      </c>
      <c r="B238">
        <v>10</v>
      </c>
      <c r="C238" t="s">
        <v>236</v>
      </c>
      <c r="D238" s="12" t="s">
        <v>912</v>
      </c>
      <c r="E238" s="1">
        <v>-2.39371</v>
      </c>
      <c r="F238">
        <v>-1.92631</v>
      </c>
      <c r="G238" s="1">
        <v>-2.4085457271976498</v>
      </c>
      <c r="H238" s="1">
        <v>-1.94489336452854</v>
      </c>
      <c r="I238">
        <f>VLOOKUP(C238,'[1]phenotypes-895'!$A$2:$G$896,7,FALSE)</f>
        <v>79</v>
      </c>
      <c r="J238" s="1">
        <v>3.3779700000000003E-2</v>
      </c>
      <c r="K238" s="1">
        <f>VLOOKUP(C238,'[1]phenotypes-895'!$A$2:$I$896,9,FALSE)</f>
        <v>0.46535768470886302</v>
      </c>
      <c r="L238" s="1">
        <v>7.5480900000000004E-2</v>
      </c>
      <c r="M238" s="4">
        <v>4.4999544736537684</v>
      </c>
      <c r="N238" s="1">
        <v>2.5412500000000001E-3</v>
      </c>
      <c r="O238" s="8">
        <v>1</v>
      </c>
      <c r="P238" s="1">
        <v>8.7696499999999997E-2</v>
      </c>
      <c r="Q238" s="6">
        <v>1.03</v>
      </c>
      <c r="R238" s="1">
        <v>3.55112E-2</v>
      </c>
      <c r="S238" s="7">
        <v>0.01</v>
      </c>
    </row>
    <row r="239" spans="1:19" x14ac:dyDescent="0.2">
      <c r="A239">
        <v>238</v>
      </c>
      <c r="B239">
        <v>17</v>
      </c>
      <c r="C239" t="s">
        <v>237</v>
      </c>
      <c r="D239" s="12" t="s">
        <v>912</v>
      </c>
      <c r="E239" s="1">
        <v>-4.5538299999999996</v>
      </c>
      <c r="F239">
        <v>-4.3661300000000001</v>
      </c>
      <c r="G239" s="1">
        <v>-4.5952363778929799</v>
      </c>
      <c r="H239" s="1">
        <v>-4.4130511556292999</v>
      </c>
      <c r="I239">
        <f>VLOOKUP(C239,'[1]phenotypes-895'!$A$2:$G$896,7,FALSE)</f>
        <v>63</v>
      </c>
      <c r="J239" s="1">
        <v>7.9387100000000002E-2</v>
      </c>
      <c r="K239" s="1">
        <f>VLOOKUP(C239,'[1]phenotypes-895'!$A$2:$I$896,9,FALSE)</f>
        <v>0.57482991442699716</v>
      </c>
      <c r="L239" s="1">
        <v>-0.114575</v>
      </c>
      <c r="M239" s="4">
        <v>3.951673328289226</v>
      </c>
      <c r="N239" s="1">
        <v>9.2161499999999993E-3</v>
      </c>
      <c r="O239" s="8">
        <v>1</v>
      </c>
      <c r="P239" s="1">
        <v>0.110446</v>
      </c>
      <c r="Q239" s="6">
        <v>1.0089999999999999</v>
      </c>
      <c r="R239" s="1">
        <v>4.4848899999999997E-2</v>
      </c>
      <c r="S239" s="7">
        <v>0</v>
      </c>
    </row>
    <row r="240" spans="1:19" x14ac:dyDescent="0.2">
      <c r="A240">
        <v>239</v>
      </c>
      <c r="B240">
        <v>2</v>
      </c>
      <c r="C240" t="s">
        <v>238</v>
      </c>
      <c r="D240" s="12" t="s">
        <v>913</v>
      </c>
      <c r="E240" s="1">
        <v>-2.4733800000000001</v>
      </c>
      <c r="F240">
        <v>-4.03613</v>
      </c>
      <c r="G240" s="1">
        <v>-2.4015107815121302</v>
      </c>
      <c r="H240" s="1">
        <v>-3.9686444775744798</v>
      </c>
      <c r="I240">
        <f>VLOOKUP(C240,'[1]phenotypes-895'!$A$2:$G$896,7,FALSE)</f>
        <v>53</v>
      </c>
      <c r="J240" s="1">
        <v>6.1142200000000001E-2</v>
      </c>
      <c r="K240" s="1">
        <f>VLOOKUP(C240,'[1]phenotypes-895'!$A$2:$I$896,9,FALSE)</f>
        <v>0.89489157359405158</v>
      </c>
      <c r="L240" s="1">
        <v>-1.6875500000000002E-2</v>
      </c>
      <c r="M240" s="4">
        <v>4.4861456801611688</v>
      </c>
      <c r="N240" s="1">
        <v>1.4204E-3</v>
      </c>
      <c r="O240" s="8">
        <v>1</v>
      </c>
      <c r="P240" s="1">
        <v>4.5723E-2</v>
      </c>
      <c r="Q240" s="6">
        <v>0.93200000000000005</v>
      </c>
      <c r="R240" s="1">
        <v>2.487E-2</v>
      </c>
      <c r="S240" s="7">
        <v>-0.02</v>
      </c>
    </row>
    <row r="241" spans="1:19" x14ac:dyDescent="0.2">
      <c r="A241">
        <v>240</v>
      </c>
      <c r="B241">
        <v>6</v>
      </c>
      <c r="C241" t="s">
        <v>239</v>
      </c>
      <c r="D241" s="12" t="s">
        <v>913</v>
      </c>
      <c r="E241" s="1">
        <v>3.96373</v>
      </c>
      <c r="F241">
        <v>2.2716799999999999</v>
      </c>
      <c r="G241" s="1">
        <v>3.8998861924724602</v>
      </c>
      <c r="H241" s="1">
        <v>2.2022509295149302</v>
      </c>
      <c r="I241">
        <f>VLOOKUP(C241,'[1]phenotypes-895'!$A$2:$G$896,7,FALSE)</f>
        <v>98</v>
      </c>
      <c r="J241" s="1">
        <v>-7.7708200000000005E-2</v>
      </c>
      <c r="K241" s="1">
        <f>VLOOKUP(C241,'[1]phenotypes-895'!$A$2:$I$896,9,FALSE)</f>
        <v>0</v>
      </c>
      <c r="L241" s="1">
        <v>-0.162352</v>
      </c>
      <c r="M241" s="4">
        <v>0</v>
      </c>
      <c r="N241" s="1">
        <v>-2.3512999999999999E-2</v>
      </c>
      <c r="O241" s="8">
        <v>0</v>
      </c>
      <c r="P241" s="1">
        <v>6.0172299999999998E-2</v>
      </c>
      <c r="Q241" s="6">
        <v>0.96099999999999997</v>
      </c>
      <c r="R241" s="1">
        <v>2.90377E-2</v>
      </c>
      <c r="S241" s="7">
        <v>-0.01</v>
      </c>
    </row>
    <row r="242" spans="1:19" x14ac:dyDescent="0.2">
      <c r="A242">
        <v>241</v>
      </c>
      <c r="B242">
        <v>19</v>
      </c>
      <c r="C242" t="s">
        <v>240</v>
      </c>
      <c r="D242" s="12" t="s">
        <v>912</v>
      </c>
      <c r="E242" s="1">
        <v>-8.6668900000000004</v>
      </c>
      <c r="F242">
        <v>-9.0142600000000002</v>
      </c>
      <c r="G242" s="1">
        <v>-8.5409705214620306</v>
      </c>
      <c r="H242" s="1">
        <v>-8.8927172049235104</v>
      </c>
      <c r="I242">
        <f>VLOOKUP(C242,'[1]phenotypes-895'!$A$2:$G$896,7,FALSE)</f>
        <v>71</v>
      </c>
      <c r="J242" s="1">
        <v>0.188024</v>
      </c>
      <c r="K242" s="1">
        <f>VLOOKUP(C242,'[1]phenotypes-895'!$A$2:$I$896,9,FALSE)</f>
        <v>0.66152435613078975</v>
      </c>
      <c r="L242" s="1">
        <v>2.5327800000000001E-2</v>
      </c>
      <c r="M242" s="4">
        <v>4.4827054853955666</v>
      </c>
      <c r="N242" s="1">
        <v>3.4583099999999999E-2</v>
      </c>
      <c r="O242" s="8">
        <v>1</v>
      </c>
      <c r="P242" s="1">
        <v>8.1532800000000002E-2</v>
      </c>
      <c r="Q242" s="6">
        <v>1.071</v>
      </c>
      <c r="R242" s="1">
        <v>3.2211400000000001E-2</v>
      </c>
      <c r="S242" s="7">
        <v>0.02</v>
      </c>
    </row>
    <row r="243" spans="1:19" x14ac:dyDescent="0.2">
      <c r="A243">
        <v>242</v>
      </c>
      <c r="B243">
        <v>12</v>
      </c>
      <c r="C243" t="s">
        <v>241</v>
      </c>
      <c r="D243" s="12" t="s">
        <v>912</v>
      </c>
      <c r="E243" s="1">
        <v>1.1237999999999999</v>
      </c>
      <c r="F243">
        <v>2.6777899999999999</v>
      </c>
      <c r="G243" s="1">
        <v>1.1004915909478501</v>
      </c>
      <c r="H243" s="1">
        <v>2.66162559736755</v>
      </c>
      <c r="I243">
        <f>VLOOKUP(C243,'[1]phenotypes-895'!$A$2:$G$896,7,FALSE)</f>
        <v>69</v>
      </c>
      <c r="J243" s="1">
        <v>-3.5749200000000002E-2</v>
      </c>
      <c r="K243" s="1">
        <f>VLOOKUP(C243,'[1]phenotypes-895'!$A$2:$I$896,9,FALSE)</f>
        <v>0.32526641533594902</v>
      </c>
      <c r="L243" s="1">
        <v>2.4559500000000001E-2</v>
      </c>
      <c r="M243" s="4">
        <v>2.623650550822922</v>
      </c>
      <c r="N243" s="1">
        <v>-1.0364E-2</v>
      </c>
      <c r="O243" s="8">
        <v>1</v>
      </c>
      <c r="P243" s="1">
        <v>-0.155415</v>
      </c>
      <c r="Q243" s="6">
        <v>0.85</v>
      </c>
      <c r="R243" s="1">
        <v>-5.63508E-2</v>
      </c>
      <c r="S243" s="7">
        <v>-0.05</v>
      </c>
    </row>
    <row r="244" spans="1:19" x14ac:dyDescent="0.2">
      <c r="A244">
        <v>243</v>
      </c>
      <c r="B244">
        <v>2</v>
      </c>
      <c r="C244" t="s">
        <v>242</v>
      </c>
      <c r="D244" s="12" t="s">
        <v>913</v>
      </c>
      <c r="E244" s="1">
        <v>-1.6114299999999999</v>
      </c>
      <c r="F244">
        <v>-3.91926</v>
      </c>
      <c r="G244" s="1">
        <v>-1.4206069604932401</v>
      </c>
      <c r="H244" s="1">
        <v>-3.69930495385583</v>
      </c>
      <c r="I244">
        <f>VLOOKUP(C244,'[1]phenotypes-895'!$A$2:$G$896,7,FALSE)</f>
        <v>98</v>
      </c>
      <c r="J244" s="1">
        <v>-3.6728599999999998E-4</v>
      </c>
      <c r="K244" s="1">
        <f>VLOOKUP(C244,'[1]phenotypes-895'!$A$2:$I$896,9,FALSE)</f>
        <v>0.11706170685381841</v>
      </c>
      <c r="L244" s="1">
        <v>-8.5264400000000004E-2</v>
      </c>
      <c r="M244" s="4">
        <v>2.2582448585365706</v>
      </c>
      <c r="N244" s="1">
        <v>2.9815499999999999E-3</v>
      </c>
      <c r="O244" s="8">
        <v>1</v>
      </c>
      <c r="P244" s="1">
        <v>0.175041</v>
      </c>
      <c r="Q244" s="6">
        <v>1.083</v>
      </c>
      <c r="R244" s="1">
        <v>6.7831199999999994E-2</v>
      </c>
      <c r="S244" s="7">
        <v>0.03</v>
      </c>
    </row>
    <row r="245" spans="1:19" x14ac:dyDescent="0.2">
      <c r="A245">
        <v>244</v>
      </c>
      <c r="B245">
        <v>5</v>
      </c>
      <c r="C245" t="s">
        <v>243</v>
      </c>
      <c r="D245" s="12" t="s">
        <v>913</v>
      </c>
      <c r="E245" s="1">
        <v>-2.1501999999999999</v>
      </c>
      <c r="F245">
        <v>-3.7411500000000002</v>
      </c>
      <c r="G245" s="1">
        <v>-2.15172858856217</v>
      </c>
      <c r="H245" s="1">
        <v>-3.7551611725455301</v>
      </c>
      <c r="I245">
        <f>VLOOKUP(C245,'[1]phenotypes-895'!$A$2:$G$896,7,FALSE)</f>
        <v>98</v>
      </c>
      <c r="J245" s="1">
        <v>3.68502E-2</v>
      </c>
      <c r="K245" s="1">
        <f>VLOOKUP(C245,'[1]phenotypes-895'!$A$2:$I$896,9,FALSE)</f>
        <v>0</v>
      </c>
      <c r="L245" s="1">
        <v>4.7255999999999999E-3</v>
      </c>
      <c r="M245" s="4">
        <v>0</v>
      </c>
      <c r="N245" s="1">
        <v>1.8456699999999999E-2</v>
      </c>
      <c r="O245" s="8">
        <v>0</v>
      </c>
      <c r="P245" s="1">
        <v>5.7326500000000002E-2</v>
      </c>
      <c r="Q245" s="6">
        <v>1.113</v>
      </c>
      <c r="R245" s="1">
        <v>1.47954E-2</v>
      </c>
      <c r="S245" s="7">
        <v>0.03</v>
      </c>
    </row>
    <row r="246" spans="1:19" x14ac:dyDescent="0.2">
      <c r="A246">
        <v>245</v>
      </c>
      <c r="B246">
        <v>18</v>
      </c>
      <c r="C246" t="s">
        <v>244</v>
      </c>
      <c r="D246" s="12" t="s">
        <v>912</v>
      </c>
      <c r="E246" s="1">
        <v>-4.5393800000000004</v>
      </c>
      <c r="F246">
        <v>-3.7532399999999999</v>
      </c>
      <c r="G246" s="1">
        <v>-4.4746796791578003</v>
      </c>
      <c r="H246" s="1">
        <v>-3.69218419486843</v>
      </c>
      <c r="I246">
        <f>VLOOKUP(C246,'[1]phenotypes-895'!$A$2:$G$896,7,FALSE)</f>
        <v>63</v>
      </c>
      <c r="J246" s="1">
        <v>6.5498000000000001E-2</v>
      </c>
      <c r="K246" s="1">
        <f>VLOOKUP(C246,'[1]phenotypes-895'!$A$2:$I$896,9,FALSE)</f>
        <v>0.42373054936072457</v>
      </c>
      <c r="L246" s="1">
        <v>6.0601700000000001E-2</v>
      </c>
      <c r="M246" s="4">
        <v>4.0141689693115756</v>
      </c>
      <c r="N246" s="1">
        <v>1.69809E-2</v>
      </c>
      <c r="O246" s="8">
        <v>1</v>
      </c>
      <c r="P246" s="1">
        <v>1.0262500000000001E-2</v>
      </c>
      <c r="Q246" s="6">
        <v>1.2050000000000001</v>
      </c>
      <c r="R246" s="1">
        <v>2.4117100000000001E-3</v>
      </c>
      <c r="S246" s="7">
        <v>0.06</v>
      </c>
    </row>
    <row r="247" spans="1:19" x14ac:dyDescent="0.2">
      <c r="A247">
        <v>246</v>
      </c>
      <c r="B247">
        <v>6</v>
      </c>
      <c r="C247" t="s">
        <v>245</v>
      </c>
      <c r="D247" s="12" t="s">
        <v>913</v>
      </c>
      <c r="E247" s="1">
        <v>-3.2389600000000001</v>
      </c>
      <c r="F247">
        <v>-5.7827900000000003</v>
      </c>
      <c r="G247" s="1">
        <v>-3.1186907957860899</v>
      </c>
      <c r="H247" s="1">
        <v>-5.6364842336098704</v>
      </c>
      <c r="I247">
        <f>VLOOKUP(C247,'[1]phenotypes-895'!$A$2:$G$896,7,FALSE)</f>
        <v>60</v>
      </c>
      <c r="J247" s="1">
        <v>4.3665799999999998E-2</v>
      </c>
      <c r="K247" s="1">
        <f>VLOOKUP(C247,'[1]phenotypes-895'!$A$2:$I$896,9,FALSE)</f>
        <v>0.71843523625025318</v>
      </c>
      <c r="L247" s="1">
        <v>-0.104472</v>
      </c>
      <c r="M247" s="4">
        <v>3.7283492512140408</v>
      </c>
      <c r="N247" s="1">
        <v>-2.85023E-3</v>
      </c>
      <c r="O247" s="8">
        <v>1</v>
      </c>
      <c r="P247" s="1">
        <v>8.3560400000000007E-2</v>
      </c>
      <c r="Q247" s="6">
        <v>1.0649999999999999</v>
      </c>
      <c r="R247" s="1">
        <v>3.1806300000000003E-2</v>
      </c>
      <c r="S247" s="7">
        <v>0.02</v>
      </c>
    </row>
    <row r="248" spans="1:19" x14ac:dyDescent="0.2">
      <c r="A248">
        <v>247</v>
      </c>
      <c r="B248">
        <v>1</v>
      </c>
      <c r="C248" t="s">
        <v>246</v>
      </c>
      <c r="D248" s="12" t="s">
        <v>913</v>
      </c>
      <c r="E248" s="1">
        <v>-1.7248000000000001</v>
      </c>
      <c r="F248">
        <v>-3.18031</v>
      </c>
      <c r="G248" s="1">
        <v>-1.6927653365892501</v>
      </c>
      <c r="H248" s="1">
        <v>-3.14430167812914</v>
      </c>
      <c r="I248">
        <f>VLOOKUP(C248,'[1]phenotypes-895'!$A$2:$G$896,7,FALSE)</f>
        <v>98</v>
      </c>
      <c r="J248" s="1">
        <v>3.50607E-2</v>
      </c>
      <c r="K248" s="1">
        <f>VLOOKUP(C248,'[1]phenotypes-895'!$A$2:$I$896,9,FALSE)</f>
        <v>0</v>
      </c>
      <c r="L248" s="1">
        <v>-5.4255699999999997E-2</v>
      </c>
      <c r="M248" s="4">
        <v>0</v>
      </c>
      <c r="N248" s="1">
        <v>-1.9656300000000002E-2</v>
      </c>
      <c r="O248" s="8">
        <v>0</v>
      </c>
      <c r="P248" s="1">
        <v>9.22042E-2</v>
      </c>
      <c r="Q248" s="6">
        <v>1.071</v>
      </c>
      <c r="R248" s="1">
        <v>3.4451700000000002E-2</v>
      </c>
      <c r="S248" s="7">
        <v>0.02</v>
      </c>
    </row>
    <row r="249" spans="1:19" x14ac:dyDescent="0.2">
      <c r="A249">
        <v>248</v>
      </c>
      <c r="B249">
        <v>10</v>
      </c>
      <c r="C249" t="s">
        <v>247</v>
      </c>
      <c r="D249" s="12" t="s">
        <v>912</v>
      </c>
      <c r="E249" s="1">
        <v>-3.5175900000000002</v>
      </c>
      <c r="F249">
        <v>-2.6681300000000001</v>
      </c>
      <c r="G249" s="1">
        <v>-3.4676978964314999</v>
      </c>
      <c r="H249" s="1">
        <v>-2.6130933831425001</v>
      </c>
      <c r="I249">
        <f>VLOOKUP(C249,'[1]phenotypes-895'!$A$2:$G$896,7,FALSE)</f>
        <v>98</v>
      </c>
      <c r="J249" s="1">
        <v>3.2077599999999998E-2</v>
      </c>
      <c r="K249" s="1">
        <f>VLOOKUP(C249,'[1]phenotypes-895'!$A$2:$I$896,9,FALSE)</f>
        <v>0</v>
      </c>
      <c r="L249" s="1">
        <v>6.0212000000000002E-2</v>
      </c>
      <c r="M249" s="4">
        <v>0</v>
      </c>
      <c r="N249" s="1">
        <v>5.1160800000000003E-3</v>
      </c>
      <c r="O249" s="8">
        <v>0</v>
      </c>
      <c r="P249" s="1">
        <v>-1.38251E-2</v>
      </c>
      <c r="Q249" s="6">
        <v>1.0069999999999999</v>
      </c>
      <c r="R249" s="1">
        <v>-5.2345600000000001E-3</v>
      </c>
      <c r="S249" s="7">
        <v>0</v>
      </c>
    </row>
    <row r="250" spans="1:19" x14ac:dyDescent="0.2">
      <c r="A250">
        <v>249</v>
      </c>
      <c r="B250">
        <v>10</v>
      </c>
      <c r="C250" t="s">
        <v>248</v>
      </c>
      <c r="D250" s="12" t="s">
        <v>912</v>
      </c>
      <c r="E250" s="1">
        <v>-2.0375999999999999</v>
      </c>
      <c r="F250">
        <v>-3.11538</v>
      </c>
      <c r="G250" s="1">
        <v>-2.0859437336386999</v>
      </c>
      <c r="H250" s="1">
        <v>-3.1664006659599102</v>
      </c>
      <c r="I250">
        <f>VLOOKUP(C250,'[1]phenotypes-895'!$A$2:$G$896,7,FALSE)</f>
        <v>56</v>
      </c>
      <c r="J250" s="1">
        <v>5.3714199999999997E-2</v>
      </c>
      <c r="K250" s="1">
        <f>VLOOKUP(C250,'[1]phenotypes-895'!$A$2:$I$896,9,FALSE)</f>
        <v>0.68766411038741349</v>
      </c>
      <c r="L250" s="1">
        <v>0.103639</v>
      </c>
      <c r="M250" s="4">
        <v>3.6842582176836181</v>
      </c>
      <c r="N250" s="1">
        <v>-1.53811E-2</v>
      </c>
      <c r="O250" s="8">
        <v>1</v>
      </c>
      <c r="P250" s="1">
        <v>7.4863499999999999E-2</v>
      </c>
      <c r="Q250" s="6">
        <v>0.86199999999999999</v>
      </c>
      <c r="R250" s="1">
        <v>3.3730900000000001E-2</v>
      </c>
      <c r="S250" s="7">
        <v>-0.05</v>
      </c>
    </row>
    <row r="251" spans="1:19" x14ac:dyDescent="0.2">
      <c r="A251">
        <v>250</v>
      </c>
      <c r="B251">
        <v>16</v>
      </c>
      <c r="C251" t="s">
        <v>249</v>
      </c>
      <c r="D251" s="12" t="s">
        <v>912</v>
      </c>
      <c r="E251" s="1">
        <v>-6.5501500000000004</v>
      </c>
      <c r="F251">
        <v>-6.6029600000000004</v>
      </c>
      <c r="G251" s="1">
        <v>-6.4104430939534902</v>
      </c>
      <c r="H251" s="1">
        <v>-6.45728631043559</v>
      </c>
      <c r="I251">
        <f>VLOOKUP(C251,'[1]phenotypes-895'!$A$2:$G$896,7,FALSE)</f>
        <v>64</v>
      </c>
      <c r="J251" s="1">
        <v>4.03332E-2</v>
      </c>
      <c r="K251" s="1">
        <f>VLOOKUP(C251,'[1]phenotypes-895'!$A$2:$I$896,9,FALSE)</f>
        <v>0.28997610319978723</v>
      </c>
      <c r="L251" s="1">
        <v>-3.7963599999999999E-3</v>
      </c>
      <c r="M251" s="4">
        <v>3.514889881511801</v>
      </c>
      <c r="N251" s="1">
        <v>1.5318200000000001E-2</v>
      </c>
      <c r="O251" s="8">
        <v>1</v>
      </c>
      <c r="P251" s="1">
        <v>0.11335199999999999</v>
      </c>
      <c r="Q251" s="6">
        <v>1.073</v>
      </c>
      <c r="R251" s="1">
        <v>4.4121100000000003E-2</v>
      </c>
      <c r="S251" s="7">
        <v>0.02</v>
      </c>
    </row>
    <row r="252" spans="1:19" x14ac:dyDescent="0.2">
      <c r="A252">
        <v>251</v>
      </c>
      <c r="B252">
        <v>34</v>
      </c>
      <c r="C252" t="s">
        <v>250</v>
      </c>
      <c r="D252" s="13" t="s">
        <v>913</v>
      </c>
      <c r="E252" s="1">
        <v>-5.25068</v>
      </c>
      <c r="F252">
        <v>-6.0438000000000001</v>
      </c>
      <c r="G252" s="1">
        <v>-5.2564145990798696</v>
      </c>
      <c r="H252" s="1">
        <v>-6.0575339480665598</v>
      </c>
      <c r="I252">
        <f>VLOOKUP(C252,'[1]phenotypes-895'!$A$2:$G$896,7,FALSE)</f>
        <v>47</v>
      </c>
      <c r="J252" s="1">
        <v>6.6812800000000006E-2</v>
      </c>
      <c r="K252" s="1">
        <f>VLOOKUP(C252,'[1]phenotypes-895'!$A$2:$I$896,9,FALSE)</f>
        <v>0.52658517556608109</v>
      </c>
      <c r="L252" s="1">
        <v>0.123114</v>
      </c>
      <c r="M252" s="4">
        <v>4.1465042487279158</v>
      </c>
      <c r="N252" s="1">
        <v>1.9947300000000001E-2</v>
      </c>
      <c r="O252" s="8">
        <v>1</v>
      </c>
      <c r="P252" s="1">
        <v>6.0012099999999999E-2</v>
      </c>
      <c r="Q252">
        <v>1.0469999999999999</v>
      </c>
      <c r="R252" s="1">
        <v>2.72559E-2</v>
      </c>
      <c r="S252" s="2">
        <v>0.01</v>
      </c>
    </row>
    <row r="253" spans="1:19" x14ac:dyDescent="0.2">
      <c r="A253">
        <v>252</v>
      </c>
      <c r="B253">
        <v>1</v>
      </c>
      <c r="C253" t="s">
        <v>251</v>
      </c>
      <c r="D253" s="12" t="s">
        <v>913</v>
      </c>
      <c r="E253" s="1">
        <v>-6.3375300000000001</v>
      </c>
      <c r="F253">
        <v>-8.5144099999999998</v>
      </c>
      <c r="G253" s="1">
        <v>-6.2227208691402698</v>
      </c>
      <c r="H253" s="1">
        <v>-8.3822512566553993</v>
      </c>
      <c r="I253">
        <f>VLOOKUP(C253,'[1]phenotypes-895'!$A$2:$G$896,7,FALSE)</f>
        <v>63</v>
      </c>
      <c r="J253" s="1">
        <v>9.8119499999999998E-2</v>
      </c>
      <c r="K253" s="1">
        <f>VLOOKUP(C253,'[1]phenotypes-895'!$A$2:$I$896,9,FALSE)</f>
        <v>0.46377998181136831</v>
      </c>
      <c r="L253" s="1">
        <v>-5.5739900000000002E-2</v>
      </c>
      <c r="M253" s="4">
        <v>3.903426373044891</v>
      </c>
      <c r="N253" s="1">
        <v>-8.2608500000000001E-3</v>
      </c>
      <c r="O253" s="8">
        <v>1</v>
      </c>
      <c r="P253" s="1">
        <v>0.12227</v>
      </c>
      <c r="Q253" s="6">
        <v>1.044</v>
      </c>
      <c r="R253" s="1">
        <v>4.8650899999999997E-2</v>
      </c>
      <c r="S253" s="7">
        <v>0.01</v>
      </c>
    </row>
    <row r="254" spans="1:19" x14ac:dyDescent="0.2">
      <c r="A254">
        <v>253</v>
      </c>
      <c r="B254">
        <v>22</v>
      </c>
      <c r="C254" t="s">
        <v>252</v>
      </c>
      <c r="D254" s="13" t="s">
        <v>913</v>
      </c>
      <c r="E254" s="1">
        <v>3.1752400000000001</v>
      </c>
      <c r="F254">
        <v>2.6294599999999999</v>
      </c>
      <c r="G254" s="1">
        <v>3.1622351089140199</v>
      </c>
      <c r="H254" s="1">
        <v>2.6262200172848802</v>
      </c>
      <c r="I254">
        <f>VLOOKUP(C254,'[1]phenotypes-895'!$A$2:$G$896,7,FALSE)</f>
        <v>98</v>
      </c>
      <c r="J254" s="1">
        <v>4.6819299999999999E-4</v>
      </c>
      <c r="K254" s="1">
        <f>VLOOKUP(C254,'[1]phenotypes-895'!$A$2:$I$896,9,FALSE)</f>
        <v>0.19214702532238001</v>
      </c>
      <c r="L254" s="1">
        <v>0.21720800000000001</v>
      </c>
      <c r="M254" s="4">
        <v>4.3946203871802565</v>
      </c>
      <c r="N254" s="1">
        <v>2.8428400000000001E-3</v>
      </c>
      <c r="O254" s="8">
        <v>1</v>
      </c>
      <c r="P254" s="1">
        <v>0.14188000000000001</v>
      </c>
      <c r="Q254">
        <v>1.135</v>
      </c>
      <c r="R254" s="1">
        <v>5.5708100000000003E-2</v>
      </c>
      <c r="S254" s="2">
        <v>0.04</v>
      </c>
    </row>
    <row r="255" spans="1:19" x14ac:dyDescent="0.2">
      <c r="A255">
        <v>254</v>
      </c>
      <c r="B255">
        <v>11</v>
      </c>
      <c r="C255" t="s">
        <v>253</v>
      </c>
      <c r="D255" s="12" t="s">
        <v>912</v>
      </c>
      <c r="E255" s="1">
        <v>-7.2263000000000002</v>
      </c>
      <c r="F255">
        <v>-6.5776500000000002</v>
      </c>
      <c r="G255" s="1">
        <v>-7.1455743662116404</v>
      </c>
      <c r="H255" s="1">
        <v>-6.4973635768927904</v>
      </c>
      <c r="I255">
        <f>VLOOKUP(C255,'[1]phenotypes-895'!$A$2:$G$896,7,FALSE)</f>
        <v>51</v>
      </c>
      <c r="J255" s="1">
        <v>9.9353200000000003E-2</v>
      </c>
      <c r="K255" s="1">
        <f>VLOOKUP(C255,'[1]phenotypes-895'!$A$2:$I$896,9,FALSE)</f>
        <v>1.025104350006776</v>
      </c>
      <c r="L255" s="1">
        <v>0.34228399999999998</v>
      </c>
      <c r="M255" s="4">
        <v>4.3617041713735354</v>
      </c>
      <c r="N255" s="1">
        <v>1.5253900000000001E-2</v>
      </c>
      <c r="O255" s="8">
        <v>1</v>
      </c>
      <c r="P255" s="1">
        <v>-1.95509E-2</v>
      </c>
      <c r="Q255" s="6">
        <v>0.94499999999999995</v>
      </c>
      <c r="R255" s="1">
        <v>-7.7253E-4</v>
      </c>
      <c r="S255" s="7">
        <v>-0.02</v>
      </c>
    </row>
    <row r="256" spans="1:19" x14ac:dyDescent="0.2">
      <c r="A256">
        <v>255</v>
      </c>
      <c r="B256">
        <v>50</v>
      </c>
      <c r="C256" t="s">
        <v>254</v>
      </c>
      <c r="D256" s="13" t="s">
        <v>912</v>
      </c>
      <c r="E256" s="1">
        <v>1.48444</v>
      </c>
      <c r="F256">
        <v>3.95655</v>
      </c>
      <c r="G256" s="1">
        <v>1.48726725347162</v>
      </c>
      <c r="H256" s="1">
        <v>3.9526544555612202</v>
      </c>
      <c r="I256">
        <f>VLOOKUP(C256,'[1]phenotypes-895'!$A$2:$G$896,7,FALSE)</f>
        <v>79</v>
      </c>
      <c r="J256" s="1">
        <v>-3.1443400000000003E-2</v>
      </c>
      <c r="K256" s="1">
        <f>VLOOKUP(C256,'[1]phenotypes-895'!$A$2:$I$896,9,FALSE)</f>
        <v>0.37626339438349948</v>
      </c>
      <c r="L256" s="1">
        <v>6.8628400000000006E-2</v>
      </c>
      <c r="M256" s="4">
        <v>4.3448240944259018</v>
      </c>
      <c r="N256" s="1">
        <v>1.8184800000000001E-2</v>
      </c>
      <c r="O256" s="8">
        <v>1</v>
      </c>
      <c r="P256" s="1">
        <v>-0.20039699999999999</v>
      </c>
      <c r="Q256">
        <v>0.498</v>
      </c>
      <c r="R256" s="1">
        <v>-8.4644399999999995E-2</v>
      </c>
      <c r="S256" s="2">
        <v>-0.24</v>
      </c>
    </row>
    <row r="257" spans="1:19" x14ac:dyDescent="0.2">
      <c r="A257">
        <v>256</v>
      </c>
      <c r="B257">
        <v>2</v>
      </c>
      <c r="C257" t="s">
        <v>255</v>
      </c>
      <c r="D257" s="12" t="s">
        <v>913</v>
      </c>
      <c r="E257" s="1">
        <v>-5.7769399999999997</v>
      </c>
      <c r="F257">
        <v>-8.4055400000000002</v>
      </c>
      <c r="G257" s="1">
        <v>-5.7987850858252701</v>
      </c>
      <c r="H257" s="1">
        <v>-8.4321965479020307</v>
      </c>
      <c r="I257">
        <f>VLOOKUP(C257,'[1]phenotypes-895'!$A$2:$G$896,7,FALSE)</f>
        <v>62</v>
      </c>
      <c r="J257" s="1">
        <v>6.0808399999999999E-2</v>
      </c>
      <c r="K257" s="1">
        <f>VLOOKUP(C257,'[1]phenotypes-895'!$A$2:$I$896,9,FALSE)</f>
        <v>0.42146495464343858</v>
      </c>
      <c r="L257" s="1">
        <v>4.2979899999999998E-3</v>
      </c>
      <c r="M257" s="4">
        <v>5.0227567844407597</v>
      </c>
      <c r="N257" s="1">
        <v>1.60275E-2</v>
      </c>
      <c r="O257" s="8">
        <v>1</v>
      </c>
      <c r="P257" s="1">
        <v>0.166047</v>
      </c>
      <c r="Q257" s="6">
        <v>1.095</v>
      </c>
      <c r="R257" s="1">
        <v>6.2496999999999997E-2</v>
      </c>
      <c r="S257" s="7">
        <v>0.03</v>
      </c>
    </row>
    <row r="258" spans="1:19" x14ac:dyDescent="0.2">
      <c r="A258">
        <v>257</v>
      </c>
      <c r="B258">
        <v>50</v>
      </c>
      <c r="C258" t="s">
        <v>256</v>
      </c>
      <c r="D258" s="13" t="s">
        <v>912</v>
      </c>
      <c r="E258" s="1">
        <v>0.21466399999999999</v>
      </c>
      <c r="F258">
        <v>2.4406400000000001</v>
      </c>
      <c r="G258" s="1">
        <v>0.32975867076399001</v>
      </c>
      <c r="H258" s="1">
        <v>2.5446282989502098</v>
      </c>
      <c r="I258">
        <f>VLOOKUP(C258,'[1]phenotypes-895'!$A$2:$G$896,7,FALSE)</f>
        <v>62</v>
      </c>
      <c r="J258" s="1">
        <v>1.2215699999999999E-2</v>
      </c>
      <c r="K258" s="1">
        <f>VLOOKUP(C258,'[1]phenotypes-895'!$A$2:$I$896,9,FALSE)</f>
        <v>0.71146380600912995</v>
      </c>
      <c r="L258" s="1">
        <v>6.43846E-3</v>
      </c>
      <c r="M258" s="4">
        <v>3.6589838625654818</v>
      </c>
      <c r="N258" s="1">
        <v>2.12374E-2</v>
      </c>
      <c r="O258" s="8">
        <v>1</v>
      </c>
      <c r="P258" s="1">
        <v>-0.20912700000000001</v>
      </c>
      <c r="Q258">
        <v>0.4</v>
      </c>
      <c r="R258" s="1">
        <v>-9.8194199999999995E-2</v>
      </c>
      <c r="S258" s="2">
        <v>-0.32</v>
      </c>
    </row>
    <row r="259" spans="1:19" x14ac:dyDescent="0.2">
      <c r="A259">
        <v>258</v>
      </c>
      <c r="B259">
        <v>17</v>
      </c>
      <c r="C259" t="s">
        <v>257</v>
      </c>
      <c r="D259" s="12" t="s">
        <v>912</v>
      </c>
      <c r="E259" s="1">
        <v>-6.2380800000000001</v>
      </c>
      <c r="F259">
        <v>-5.9696899999999999</v>
      </c>
      <c r="G259" s="1">
        <v>-6.1923278060953004</v>
      </c>
      <c r="H259" s="1">
        <v>-5.9251179351509604</v>
      </c>
      <c r="I259">
        <f>VLOOKUP(C259,'[1]phenotypes-895'!$A$2:$G$896,7,FALSE)</f>
        <v>67</v>
      </c>
      <c r="J259" s="1">
        <v>0.102131</v>
      </c>
      <c r="K259" s="1">
        <f>VLOOKUP(C259,'[1]phenotypes-895'!$A$2:$I$896,9,FALSE)</f>
        <v>0.55020075004894831</v>
      </c>
      <c r="L259" s="1">
        <v>-8.9285199999999995E-2</v>
      </c>
      <c r="M259" s="4">
        <v>4.3072275102755286</v>
      </c>
      <c r="N259" s="1">
        <v>1.31602E-2</v>
      </c>
      <c r="O259" s="8">
        <v>1</v>
      </c>
      <c r="P259" s="1">
        <v>8.2781300000000002E-2</v>
      </c>
      <c r="Q259" s="6">
        <v>1.135</v>
      </c>
      <c r="R259" s="1">
        <v>3.4606499999999998E-2</v>
      </c>
      <c r="S259" s="7">
        <v>0.04</v>
      </c>
    </row>
    <row r="260" spans="1:19" x14ac:dyDescent="0.2">
      <c r="A260">
        <v>259</v>
      </c>
      <c r="B260">
        <v>24</v>
      </c>
      <c r="C260" t="s">
        <v>258</v>
      </c>
      <c r="D260" s="13" t="s">
        <v>913</v>
      </c>
      <c r="E260" s="1">
        <v>-2.5713499999999998</v>
      </c>
      <c r="F260">
        <v>-4.2061900000000003</v>
      </c>
      <c r="G260" s="1">
        <v>-2.5937976148825701</v>
      </c>
      <c r="H260" s="1">
        <v>-4.23272187309058</v>
      </c>
      <c r="I260">
        <f>VLOOKUP(C260,'[1]phenotypes-895'!$A$2:$G$896,7,FALSE)</f>
        <v>84</v>
      </c>
      <c r="J260" s="1">
        <v>6.2128999999999997E-2</v>
      </c>
      <c r="K260" s="1">
        <f>VLOOKUP(C260,'[1]phenotypes-895'!$A$2:$I$896,9,FALSE)</f>
        <v>0.38393768946419782</v>
      </c>
      <c r="L260" s="1">
        <v>2.5289300000000001E-2</v>
      </c>
      <c r="M260" s="4">
        <v>4.6221647730549771</v>
      </c>
      <c r="N260" s="1">
        <v>2.99186E-2</v>
      </c>
      <c r="O260" s="8">
        <v>1</v>
      </c>
      <c r="P260" s="1">
        <v>6.4362699999999995E-2</v>
      </c>
      <c r="Q260">
        <v>1.1870000000000001</v>
      </c>
      <c r="R260" s="1">
        <v>3.2012499999999999E-2</v>
      </c>
      <c r="S260" s="2">
        <v>0.05</v>
      </c>
    </row>
    <row r="261" spans="1:19" x14ac:dyDescent="0.2">
      <c r="A261">
        <v>260</v>
      </c>
      <c r="B261">
        <v>11</v>
      </c>
      <c r="C261" t="s">
        <v>259</v>
      </c>
      <c r="D261" s="12" t="s">
        <v>912</v>
      </c>
      <c r="E261" s="1">
        <v>-5.7253600000000002</v>
      </c>
      <c r="F261">
        <v>-5.6205400000000001</v>
      </c>
      <c r="G261" s="1">
        <v>-5.5508209635489703</v>
      </c>
      <c r="H261" s="1">
        <v>-5.4393037740793302</v>
      </c>
      <c r="I261">
        <f>VLOOKUP(C261,'[1]phenotypes-895'!$A$2:$G$896,7,FALSE)</f>
        <v>59</v>
      </c>
      <c r="J261" s="1">
        <v>6.00662E-2</v>
      </c>
      <c r="K261" s="1">
        <f>VLOOKUP(C261,'[1]phenotypes-895'!$A$2:$I$896,9,FALSE)</f>
        <v>0.59548673170893951</v>
      </c>
      <c r="L261" s="1">
        <v>0.28773799999999999</v>
      </c>
      <c r="M261" s="4">
        <v>4.1979255498694323</v>
      </c>
      <c r="N261" s="1">
        <v>9.1414100000000009E-3</v>
      </c>
      <c r="O261" s="8">
        <v>1</v>
      </c>
      <c r="P261" s="1">
        <v>-1.7846100000000001E-3</v>
      </c>
      <c r="Q261" s="6">
        <v>0.96299999999999997</v>
      </c>
      <c r="R261" s="1">
        <v>7.3664300000000002E-3</v>
      </c>
      <c r="S261" s="7">
        <v>-0.01</v>
      </c>
    </row>
    <row r="262" spans="1:19" x14ac:dyDescent="0.2">
      <c r="A262">
        <v>261</v>
      </c>
      <c r="B262">
        <v>42</v>
      </c>
      <c r="C262" t="s">
        <v>260</v>
      </c>
      <c r="D262" s="13" t="s">
        <v>912</v>
      </c>
      <c r="E262" s="1">
        <v>1.5226599999999999</v>
      </c>
      <c r="F262">
        <v>4.1538399999999998</v>
      </c>
      <c r="G262" s="1">
        <v>1.5337632343313601</v>
      </c>
      <c r="H262" s="1">
        <v>4.16268036774024</v>
      </c>
      <c r="I262">
        <f>VLOOKUP(C262,'[1]phenotypes-895'!$A$2:$G$896,7,FALSE)</f>
        <v>71</v>
      </c>
      <c r="J262" s="1">
        <v>2.1826399999999999E-2</v>
      </c>
      <c r="K262" s="1">
        <f>VLOOKUP(C262,'[1]phenotypes-895'!$A$2:$I$896,9,FALSE)</f>
        <v>0.34823437310703781</v>
      </c>
      <c r="L262" s="1">
        <v>0.105308</v>
      </c>
      <c r="M262" s="4">
        <v>4.3188731202104753</v>
      </c>
      <c r="N262" s="1">
        <v>2.9060099999999998E-2</v>
      </c>
      <c r="O262" s="8">
        <v>1</v>
      </c>
      <c r="P262" s="1">
        <v>-0.10836800000000001</v>
      </c>
      <c r="Q262">
        <v>0.88100000000000001</v>
      </c>
      <c r="R262" s="1">
        <v>-4.4981199999999999E-2</v>
      </c>
      <c r="S262" s="2">
        <v>-0.04</v>
      </c>
    </row>
    <row r="263" spans="1:19" x14ac:dyDescent="0.2">
      <c r="A263">
        <v>262</v>
      </c>
      <c r="B263">
        <v>14</v>
      </c>
      <c r="C263" t="s">
        <v>261</v>
      </c>
      <c r="D263" s="12" t="s">
        <v>912</v>
      </c>
      <c r="E263" s="1">
        <v>-2.19028</v>
      </c>
      <c r="F263">
        <v>-3.2807400000000002</v>
      </c>
      <c r="G263" s="1">
        <v>-1.9929836003093999</v>
      </c>
      <c r="H263" s="1">
        <v>-3.06053126746</v>
      </c>
      <c r="I263">
        <f>VLOOKUP(C263,'[1]phenotypes-895'!$A$2:$G$896,7,FALSE)</f>
        <v>63</v>
      </c>
      <c r="J263" s="1">
        <v>6.2239700000000002E-2</v>
      </c>
      <c r="K263" s="1">
        <f>VLOOKUP(C263,'[1]phenotypes-895'!$A$2:$I$896,9,FALSE)</f>
        <v>0.50788005342434228</v>
      </c>
      <c r="L263" s="1">
        <v>-7.7671800000000003E-3</v>
      </c>
      <c r="M263" s="4">
        <v>4.3315543077287018</v>
      </c>
      <c r="N263" s="1">
        <v>3.0296E-2</v>
      </c>
      <c r="O263" s="8">
        <v>1</v>
      </c>
      <c r="P263" s="1">
        <v>8.2297400000000007E-2</v>
      </c>
      <c r="Q263" s="6">
        <v>1.0349999999999999</v>
      </c>
      <c r="R263" s="1">
        <v>3.2897099999999999E-2</v>
      </c>
      <c r="S263" s="7">
        <v>0.01</v>
      </c>
    </row>
    <row r="264" spans="1:19" x14ac:dyDescent="0.2">
      <c r="A264">
        <v>263</v>
      </c>
      <c r="B264">
        <v>34</v>
      </c>
      <c r="C264" t="s">
        <v>262</v>
      </c>
      <c r="D264" s="13" t="s">
        <v>913</v>
      </c>
      <c r="E264" s="1">
        <v>0.105684</v>
      </c>
      <c r="F264">
        <v>0.17371</v>
      </c>
      <c r="G264" s="1">
        <v>1.4227856207300899E-2</v>
      </c>
      <c r="H264" s="1">
        <v>7.9612864610941997E-2</v>
      </c>
      <c r="I264">
        <f>VLOOKUP(C264,'[1]phenotypes-895'!$A$2:$G$896,7,FALSE)</f>
        <v>77</v>
      </c>
      <c r="J264" s="1">
        <v>2.0456999999999999E-2</v>
      </c>
      <c r="K264" s="1">
        <f>VLOOKUP(C264,'[1]phenotypes-895'!$A$2:$I$896,9,FALSE)</f>
        <v>0.36143051899493928</v>
      </c>
      <c r="L264" s="1">
        <v>0.15173600000000001</v>
      </c>
      <c r="M264" s="4">
        <v>3.7722445109108729</v>
      </c>
      <c r="N264" s="1">
        <v>1.3073700000000001E-2</v>
      </c>
      <c r="O264" s="8">
        <v>1</v>
      </c>
      <c r="P264" s="1">
        <v>3.9960500000000003E-2</v>
      </c>
      <c r="Q264">
        <v>0.99399999999999999</v>
      </c>
      <c r="R264" s="1">
        <v>2.05632E-2</v>
      </c>
      <c r="S264" s="2">
        <v>0</v>
      </c>
    </row>
    <row r="265" spans="1:19" x14ac:dyDescent="0.2">
      <c r="A265">
        <v>264</v>
      </c>
      <c r="B265">
        <v>15</v>
      </c>
      <c r="C265" t="s">
        <v>263</v>
      </c>
      <c r="D265" s="12" t="s">
        <v>912</v>
      </c>
      <c r="E265" s="1">
        <v>-10.848100000000001</v>
      </c>
      <c r="F265">
        <v>-12.084099999999999</v>
      </c>
      <c r="G265" s="1">
        <v>-10.759152654088799</v>
      </c>
      <c r="H265" s="1">
        <v>-11.988002366701499</v>
      </c>
      <c r="I265">
        <f>VLOOKUP(C265,'[1]phenotypes-895'!$A$2:$G$896,7,FALSE)</f>
        <v>53</v>
      </c>
      <c r="J265" s="1">
        <v>0.12729799999999999</v>
      </c>
      <c r="K265" s="1">
        <f>VLOOKUP(C265,'[1]phenotypes-895'!$A$2:$I$896,9,FALSE)</f>
        <v>0.61783577930092148</v>
      </c>
      <c r="L265" s="1">
        <v>0.14611399999999999</v>
      </c>
      <c r="M265" s="4">
        <v>4.1750728080910271</v>
      </c>
      <c r="N265" s="1">
        <v>1.8038200000000001E-2</v>
      </c>
      <c r="O265" s="8">
        <v>1</v>
      </c>
      <c r="P265" s="1">
        <v>8.5807599999999998E-2</v>
      </c>
      <c r="Q265" s="6">
        <v>0.96099999999999997</v>
      </c>
      <c r="R265" s="1">
        <v>3.9627700000000002E-2</v>
      </c>
      <c r="S265" s="7">
        <v>-0.01</v>
      </c>
    </row>
    <row r="266" spans="1:19" x14ac:dyDescent="0.2">
      <c r="A266">
        <v>265</v>
      </c>
      <c r="B266">
        <v>47</v>
      </c>
      <c r="C266" t="s">
        <v>264</v>
      </c>
      <c r="D266" s="13" t="s">
        <v>912</v>
      </c>
      <c r="E266" s="1">
        <v>1.67157</v>
      </c>
      <c r="F266">
        <v>3.35188</v>
      </c>
      <c r="G266" s="1">
        <v>1.7114441153228701</v>
      </c>
      <c r="H266" s="1">
        <v>3.4510099986220499</v>
      </c>
      <c r="I266">
        <f>VLOOKUP(C266,'[1]phenotypes-895'!$A$2:$G$896,7,FALSE)</f>
        <v>98</v>
      </c>
      <c r="J266" s="1">
        <v>-2.0207599999999999E-2</v>
      </c>
      <c r="K266" s="1">
        <f>VLOOKUP(C266,'[1]phenotypes-895'!$A$2:$I$896,9,FALSE)</f>
        <v>0</v>
      </c>
      <c r="L266" s="1">
        <v>1.1296E-2</v>
      </c>
      <c r="M266" s="4">
        <v>0</v>
      </c>
      <c r="N266" s="1">
        <v>-2.5242099999999998E-3</v>
      </c>
      <c r="O266" s="8">
        <v>0</v>
      </c>
      <c r="P266" s="1">
        <v>-2.59892E-2</v>
      </c>
      <c r="Q266">
        <v>0.78800000000000003</v>
      </c>
      <c r="R266" s="1">
        <v>-1.1439100000000001E-2</v>
      </c>
      <c r="S266" s="2">
        <v>-0.08</v>
      </c>
    </row>
    <row r="267" spans="1:19" x14ac:dyDescent="0.2">
      <c r="A267">
        <v>266</v>
      </c>
      <c r="B267">
        <v>10</v>
      </c>
      <c r="C267" t="s">
        <v>265</v>
      </c>
      <c r="D267" s="12" t="s">
        <v>912</v>
      </c>
      <c r="E267" s="1">
        <v>-3.70749</v>
      </c>
      <c r="F267">
        <v>-3.6467800000000001</v>
      </c>
      <c r="G267" s="1">
        <v>-3.6157544559087902</v>
      </c>
      <c r="H267" s="1">
        <v>-3.5536184614102999</v>
      </c>
      <c r="I267">
        <f>VLOOKUP(C267,'[1]phenotypes-895'!$A$2:$G$896,7,FALSE)</f>
        <v>50</v>
      </c>
      <c r="J267" s="1">
        <v>4.3263999999999997E-2</v>
      </c>
      <c r="K267" s="1">
        <f>VLOOKUP(C267,'[1]phenotypes-895'!$A$2:$I$896,9,FALSE)</f>
        <v>0.66806726144838735</v>
      </c>
      <c r="L267" s="1">
        <v>6.2872300000000006E-2</v>
      </c>
      <c r="M267" s="4">
        <v>4.6626185802130911</v>
      </c>
      <c r="N267" s="1">
        <v>-3.4452300000000001E-4</v>
      </c>
      <c r="O267" s="8">
        <v>1</v>
      </c>
      <c r="P267" s="1">
        <v>0.114606</v>
      </c>
      <c r="Q267" s="6">
        <v>1.222</v>
      </c>
      <c r="R267" s="1">
        <v>4.2698E-2</v>
      </c>
      <c r="S267" s="7">
        <v>0.06</v>
      </c>
    </row>
    <row r="268" spans="1:19" x14ac:dyDescent="0.2">
      <c r="A268">
        <v>267</v>
      </c>
      <c r="B268">
        <v>43</v>
      </c>
      <c r="C268" t="s">
        <v>266</v>
      </c>
      <c r="D268" s="13" t="s">
        <v>912</v>
      </c>
      <c r="E268" s="1">
        <v>-3.6040800000000002</v>
      </c>
      <c r="F268">
        <v>-2.06141</v>
      </c>
      <c r="G268" s="1">
        <v>-3.6324581132445899</v>
      </c>
      <c r="H268" s="1">
        <v>-2.0758440226822801</v>
      </c>
      <c r="I268">
        <f>VLOOKUP(C268,'[1]phenotypes-895'!$A$2:$G$896,7,FALSE)</f>
        <v>54</v>
      </c>
      <c r="J268" s="1">
        <v>2.90815E-2</v>
      </c>
      <c r="K268" s="1">
        <f>VLOOKUP(C268,'[1]phenotypes-895'!$A$2:$I$896,9,FALSE)</f>
        <v>0.45742718271281813</v>
      </c>
      <c r="L268" s="1">
        <v>3.50117E-2</v>
      </c>
      <c r="M268" s="4">
        <v>4.4568163927768625</v>
      </c>
      <c r="N268" s="1">
        <v>9.7896800000000003E-3</v>
      </c>
      <c r="O268" s="8">
        <v>1</v>
      </c>
      <c r="P268" s="1">
        <v>-8.1414200000000006E-2</v>
      </c>
      <c r="Q268">
        <v>0.72399999999999998</v>
      </c>
      <c r="R268" s="1">
        <v>-3.3163900000000003E-2</v>
      </c>
      <c r="S268" s="2">
        <v>-0.11</v>
      </c>
    </row>
    <row r="269" spans="1:19" x14ac:dyDescent="0.2">
      <c r="A269">
        <v>268</v>
      </c>
      <c r="B269">
        <v>19</v>
      </c>
      <c r="C269" t="s">
        <v>267</v>
      </c>
      <c r="D269" s="12" t="s">
        <v>912</v>
      </c>
      <c r="E269" s="1">
        <v>-10.459099999999999</v>
      </c>
      <c r="F269">
        <v>-10.6129</v>
      </c>
      <c r="G269" s="1">
        <v>-10.4057163780721</v>
      </c>
      <c r="H269" s="1">
        <v>-10.558461223201</v>
      </c>
      <c r="I269">
        <f>VLOOKUP(C269,'[1]phenotypes-895'!$A$2:$G$896,7,FALSE)</f>
        <v>50</v>
      </c>
      <c r="J269" s="1">
        <v>0.17276</v>
      </c>
      <c r="K269" s="1">
        <f>VLOOKUP(C269,'[1]phenotypes-895'!$A$2:$I$896,9,FALSE)</f>
        <v>0.68452788146554511</v>
      </c>
      <c r="L269" s="1">
        <v>2.77471E-2</v>
      </c>
      <c r="M269" s="4">
        <v>3.8040418727904499</v>
      </c>
      <c r="N269" s="1">
        <v>3.5692300000000003E-2</v>
      </c>
      <c r="O269" s="8">
        <v>1</v>
      </c>
      <c r="P269" s="1">
        <v>3.1665400000000003E-2</v>
      </c>
      <c r="Q269" s="6">
        <v>0.96499999999999997</v>
      </c>
      <c r="R269" s="1">
        <v>1.65685E-2</v>
      </c>
      <c r="S269" s="7">
        <v>-0.01</v>
      </c>
    </row>
    <row r="270" spans="1:19" x14ac:dyDescent="0.2">
      <c r="A270">
        <v>269</v>
      </c>
      <c r="B270">
        <v>50</v>
      </c>
      <c r="C270" t="s">
        <v>268</v>
      </c>
      <c r="D270" s="13" t="s">
        <v>912</v>
      </c>
      <c r="E270" s="1">
        <v>3.1051600000000001</v>
      </c>
      <c r="F270">
        <v>5.6364799999999997</v>
      </c>
      <c r="G270" s="1">
        <v>3.21151158722992</v>
      </c>
      <c r="H270" s="1">
        <v>5.7388285820816503</v>
      </c>
      <c r="I270">
        <f>VLOOKUP(C270,'[1]phenotypes-895'!$A$2:$G$896,7,FALSE)</f>
        <v>76</v>
      </c>
      <c r="J270" s="1">
        <v>-3.7267099999999997E-2</v>
      </c>
      <c r="K270" s="1">
        <f>VLOOKUP(C270,'[1]phenotypes-895'!$A$2:$I$896,9,FALSE)</f>
        <v>0.29095147118619358</v>
      </c>
      <c r="L270" s="1">
        <v>2.0641E-2</v>
      </c>
      <c r="M270" s="4">
        <v>3.8364746071632414</v>
      </c>
      <c r="N270" s="1">
        <v>2.1264700000000001E-2</v>
      </c>
      <c r="O270" s="8">
        <v>1</v>
      </c>
      <c r="P270" s="1">
        <v>-0.20097999999999999</v>
      </c>
      <c r="Q270">
        <v>0.53900000000000003</v>
      </c>
      <c r="R270" s="1">
        <v>-8.66344E-2</v>
      </c>
      <c r="S270" s="2">
        <v>-0.21</v>
      </c>
    </row>
    <row r="271" spans="1:19" x14ac:dyDescent="0.2">
      <c r="A271">
        <v>270</v>
      </c>
      <c r="B271">
        <v>19</v>
      </c>
      <c r="C271" t="s">
        <v>269</v>
      </c>
      <c r="D271" s="12" t="s">
        <v>912</v>
      </c>
      <c r="E271" s="1">
        <v>-9.3035399999999999</v>
      </c>
      <c r="F271">
        <v>-10.3447</v>
      </c>
      <c r="G271" s="1">
        <v>-9.3363189621670397</v>
      </c>
      <c r="H271" s="1">
        <v>-10.395342504274099</v>
      </c>
      <c r="I271">
        <f>VLOOKUP(C271,'[1]phenotypes-895'!$A$2:$G$896,7,FALSE)</f>
        <v>56</v>
      </c>
      <c r="J271" s="1">
        <v>0.177061</v>
      </c>
      <c r="K271" s="1">
        <f>VLOOKUP(C271,'[1]phenotypes-895'!$A$2:$I$896,9,FALSE)</f>
        <v>0.66582769620079896</v>
      </c>
      <c r="L271" s="1">
        <v>5.1668899999999997E-2</v>
      </c>
      <c r="M271" s="4">
        <v>3.8708542913199371</v>
      </c>
      <c r="N271" s="1">
        <v>2.03576E-2</v>
      </c>
      <c r="O271" s="8">
        <v>1</v>
      </c>
      <c r="P271" s="1">
        <v>0.110167</v>
      </c>
      <c r="Q271" s="6">
        <v>1.0109999999999999</v>
      </c>
      <c r="R271" s="1">
        <v>4.0911200000000002E-2</v>
      </c>
      <c r="S271" s="7">
        <v>0</v>
      </c>
    </row>
    <row r="272" spans="1:19" x14ac:dyDescent="0.2">
      <c r="A272">
        <v>271</v>
      </c>
      <c r="B272">
        <v>32</v>
      </c>
      <c r="C272" t="s">
        <v>270</v>
      </c>
      <c r="D272" s="13" t="s">
        <v>913</v>
      </c>
      <c r="E272" s="1">
        <v>2.3271500000000001</v>
      </c>
      <c r="F272">
        <v>1.67808</v>
      </c>
      <c r="G272" s="1">
        <v>2.3001595614584498</v>
      </c>
      <c r="H272" s="1">
        <v>1.67350429070381</v>
      </c>
      <c r="I272">
        <f>VLOOKUP(C272,'[1]phenotypes-895'!$A$2:$G$896,7,FALSE)</f>
        <v>98</v>
      </c>
      <c r="J272" s="1">
        <v>-1.46993E-2</v>
      </c>
      <c r="K272" s="1">
        <f>VLOOKUP(C272,'[1]phenotypes-895'!$A$2:$I$896,9,FALSE)</f>
        <v>0</v>
      </c>
      <c r="L272" s="1">
        <v>6.1169599999999998E-2</v>
      </c>
      <c r="M272" s="4">
        <v>0</v>
      </c>
      <c r="N272" s="1">
        <v>-1.6822400000000001E-2</v>
      </c>
      <c r="O272" s="8">
        <v>0</v>
      </c>
      <c r="P272" s="1">
        <v>8.3958400000000002E-2</v>
      </c>
      <c r="Q272">
        <v>0.91500000000000004</v>
      </c>
      <c r="R272" s="1">
        <v>3.6789099999999998E-2</v>
      </c>
      <c r="S272" s="2">
        <v>-0.03</v>
      </c>
    </row>
    <row r="273" spans="1:19" x14ac:dyDescent="0.2">
      <c r="A273">
        <v>272</v>
      </c>
      <c r="B273">
        <v>19</v>
      </c>
      <c r="C273" t="s">
        <v>271</v>
      </c>
      <c r="D273" s="12" t="s">
        <v>912</v>
      </c>
      <c r="E273" s="1">
        <v>-10.872</v>
      </c>
      <c r="F273">
        <v>-10.9941</v>
      </c>
      <c r="G273" s="1">
        <v>-10.694252747541499</v>
      </c>
      <c r="H273" s="1">
        <v>-10.817016846422399</v>
      </c>
      <c r="I273">
        <f>VLOOKUP(C273,'[1]phenotypes-895'!$A$2:$G$896,7,FALSE)</f>
        <v>60</v>
      </c>
      <c r="J273" s="1">
        <v>0.212507</v>
      </c>
      <c r="K273" s="1">
        <f>VLOOKUP(C273,'[1]phenotypes-895'!$A$2:$I$896,9,FALSE)</f>
        <v>0.71254982300451652</v>
      </c>
      <c r="L273" s="1">
        <v>1.4564199999999999E-2</v>
      </c>
      <c r="M273" s="4">
        <v>4.0871209387280834</v>
      </c>
      <c r="N273" s="1">
        <v>3.5108E-2</v>
      </c>
      <c r="O273" s="8">
        <v>1</v>
      </c>
      <c r="P273" s="1">
        <v>8.0293199999999995E-2</v>
      </c>
      <c r="Q273" s="6">
        <v>1.034</v>
      </c>
      <c r="R273" s="1">
        <v>3.4000700000000002E-2</v>
      </c>
      <c r="S273" s="7">
        <v>0.01</v>
      </c>
    </row>
    <row r="274" spans="1:19" x14ac:dyDescent="0.2">
      <c r="A274">
        <v>273</v>
      </c>
      <c r="B274">
        <v>5</v>
      </c>
      <c r="C274" t="s">
        <v>272</v>
      </c>
      <c r="D274" s="12" t="s">
        <v>913</v>
      </c>
      <c r="E274" s="1">
        <v>-6.4860699999999998</v>
      </c>
      <c r="F274">
        <v>-8.6533700000000007</v>
      </c>
      <c r="G274" s="1">
        <v>-6.5459978608795799</v>
      </c>
      <c r="H274" s="1">
        <v>-8.7365482568296002</v>
      </c>
      <c r="I274">
        <f>VLOOKUP(C274,'[1]phenotypes-895'!$A$2:$G$896,7,FALSE)</f>
        <v>50</v>
      </c>
      <c r="J274" s="1">
        <v>4.6549599999999997E-2</v>
      </c>
      <c r="K274" s="1">
        <f>VLOOKUP(C274,'[1]phenotypes-895'!$A$2:$I$896,9,FALSE)</f>
        <v>0.47431674025472531</v>
      </c>
      <c r="L274" s="1">
        <v>1.05945E-2</v>
      </c>
      <c r="M274" s="4">
        <v>3.8228070412506345</v>
      </c>
      <c r="N274" s="1">
        <v>2.529E-2</v>
      </c>
      <c r="O274" s="8">
        <v>1</v>
      </c>
      <c r="P274" s="1">
        <v>4.4182699999999998E-2</v>
      </c>
      <c r="Q274" s="6">
        <v>0.97799999999999998</v>
      </c>
      <c r="R274" s="1">
        <v>5.9755499999999996E-3</v>
      </c>
      <c r="S274" s="7">
        <v>-0.01</v>
      </c>
    </row>
    <row r="275" spans="1:19" x14ac:dyDescent="0.2">
      <c r="A275">
        <v>274</v>
      </c>
      <c r="B275">
        <v>2</v>
      </c>
      <c r="C275" t="s">
        <v>273</v>
      </c>
      <c r="D275" s="12" t="s">
        <v>913</v>
      </c>
      <c r="E275" s="1">
        <v>4.1728800000000001</v>
      </c>
      <c r="F275">
        <v>5.0665199999999997</v>
      </c>
      <c r="G275" s="1">
        <v>4.2217807945835002</v>
      </c>
      <c r="H275" s="1">
        <v>5.1209613549980704</v>
      </c>
      <c r="I275">
        <f>VLOOKUP(C275,'[1]phenotypes-895'!$A$2:$G$896,7,FALSE)</f>
        <v>98</v>
      </c>
      <c r="J275" s="1">
        <v>-6.7203200000000005E-2</v>
      </c>
      <c r="K275" s="1">
        <f>VLOOKUP(C275,'[1]phenotypes-895'!$A$2:$I$896,9,FALSE)</f>
        <v>0</v>
      </c>
      <c r="L275" s="1">
        <v>6.5639299999999998E-2</v>
      </c>
      <c r="M275" s="4">
        <v>0</v>
      </c>
      <c r="N275" s="1">
        <v>-1.7578699999999999E-2</v>
      </c>
      <c r="O275" s="8">
        <v>0</v>
      </c>
      <c r="P275" s="1">
        <v>9.1684799999999995E-4</v>
      </c>
      <c r="Q275" s="6">
        <v>1.036</v>
      </c>
      <c r="R275" s="1">
        <v>5.33589E-4</v>
      </c>
      <c r="S275" s="7">
        <v>0.01</v>
      </c>
    </row>
    <row r="276" spans="1:19" x14ac:dyDescent="0.2">
      <c r="A276">
        <v>275</v>
      </c>
      <c r="B276">
        <v>2</v>
      </c>
      <c r="C276" t="s">
        <v>274</v>
      </c>
      <c r="D276" s="12" t="s">
        <v>913</v>
      </c>
      <c r="E276" s="1">
        <v>-5.5554800000000002</v>
      </c>
      <c r="F276">
        <v>-7.6904599999999999</v>
      </c>
      <c r="G276" s="1">
        <v>-5.5888342762949197</v>
      </c>
      <c r="H276" s="1">
        <v>-7.7381294013557396</v>
      </c>
      <c r="I276">
        <f>VLOOKUP(C276,'[1]phenotypes-895'!$A$2:$G$896,7,FALSE)</f>
        <v>56</v>
      </c>
      <c r="J276" s="1">
        <v>6.5472600000000006E-2</v>
      </c>
      <c r="K276" s="1">
        <f>VLOOKUP(C276,'[1]phenotypes-895'!$A$2:$I$896,9,FALSE)</f>
        <v>0.65878464627212963</v>
      </c>
      <c r="L276" s="1">
        <v>-1.8503200000000001E-2</v>
      </c>
      <c r="M276" s="4">
        <v>4.1156782699486891</v>
      </c>
      <c r="N276" s="1">
        <v>1.40541E-2</v>
      </c>
      <c r="O276" s="8">
        <v>1</v>
      </c>
      <c r="P276" s="1">
        <v>0.13406100000000001</v>
      </c>
      <c r="Q276" s="6">
        <v>1.1539999999999999</v>
      </c>
      <c r="R276" s="1">
        <v>4.9170999999999999E-2</v>
      </c>
      <c r="S276" s="7">
        <v>0.05</v>
      </c>
    </row>
    <row r="277" spans="1:19" x14ac:dyDescent="0.2">
      <c r="A277">
        <v>276</v>
      </c>
      <c r="B277">
        <v>6</v>
      </c>
      <c r="C277" t="s">
        <v>275</v>
      </c>
      <c r="D277" s="12" t="s">
        <v>913</v>
      </c>
      <c r="E277" s="1">
        <v>0.31264399999999998</v>
      </c>
      <c r="F277">
        <v>-1.17788</v>
      </c>
      <c r="G277" s="1">
        <v>0.42794507545101301</v>
      </c>
      <c r="H277" s="1">
        <v>-1.0526180335006801</v>
      </c>
      <c r="I277">
        <f>VLOOKUP(C277,'[1]phenotypes-895'!$A$2:$G$896,7,FALSE)</f>
        <v>98</v>
      </c>
      <c r="J277" s="1">
        <v>-1.1768799999999999E-2</v>
      </c>
      <c r="K277" s="1">
        <f>VLOOKUP(C277,'[1]phenotypes-895'!$A$2:$I$896,9,FALSE)</f>
        <v>0</v>
      </c>
      <c r="L277" s="1">
        <v>-0.151229</v>
      </c>
      <c r="M277" s="4">
        <v>0</v>
      </c>
      <c r="N277" s="1">
        <v>-1.2583199999999999E-2</v>
      </c>
      <c r="O277" s="8">
        <v>0</v>
      </c>
      <c r="P277" s="1">
        <v>6.2514799999999995E-2</v>
      </c>
      <c r="Q277" s="6">
        <v>0.96799999999999997</v>
      </c>
      <c r="R277" s="1">
        <v>2.6244300000000002E-2</v>
      </c>
      <c r="S277" s="7">
        <v>-0.01</v>
      </c>
    </row>
    <row r="278" spans="1:19" x14ac:dyDescent="0.2">
      <c r="A278">
        <v>277</v>
      </c>
      <c r="B278">
        <v>10</v>
      </c>
      <c r="C278" t="s">
        <v>276</v>
      </c>
      <c r="D278" s="12" t="s">
        <v>912</v>
      </c>
      <c r="E278" s="1">
        <v>-4.2776899999999998</v>
      </c>
      <c r="F278">
        <v>-3.5813899999999999</v>
      </c>
      <c r="G278" s="1">
        <v>-4.3584487329860204</v>
      </c>
      <c r="H278" s="1">
        <v>-3.6667358602351601</v>
      </c>
      <c r="I278">
        <f>VLOOKUP(C278,'[1]phenotypes-895'!$A$2:$G$896,7,FALSE)</f>
        <v>56</v>
      </c>
      <c r="J278" s="1">
        <v>0.13037799999999999</v>
      </c>
      <c r="K278" s="1">
        <f>VLOOKUP(C278,'[1]phenotypes-895'!$A$2:$I$896,9,FALSE)</f>
        <v>1.330735699880909</v>
      </c>
      <c r="L278" s="1">
        <v>6.4804600000000004E-2</v>
      </c>
      <c r="M278" s="4">
        <v>4.322248660320346</v>
      </c>
      <c r="N278" s="1">
        <v>1.05065E-2</v>
      </c>
      <c r="O278" s="8">
        <v>1</v>
      </c>
      <c r="P278" s="1">
        <v>-2.3901800000000001E-2</v>
      </c>
      <c r="Q278" s="6">
        <v>0.98899999999999999</v>
      </c>
      <c r="R278" s="1">
        <v>-1.33686E-2</v>
      </c>
      <c r="S278" s="7">
        <v>0</v>
      </c>
    </row>
    <row r="279" spans="1:19" x14ac:dyDescent="0.2">
      <c r="A279">
        <v>278</v>
      </c>
      <c r="B279">
        <v>5</v>
      </c>
      <c r="C279" t="s">
        <v>277</v>
      </c>
      <c r="D279" s="12" t="s">
        <v>913</v>
      </c>
      <c r="E279" s="1">
        <v>-2.1534499999999999</v>
      </c>
      <c r="F279">
        <v>-4.2003300000000001</v>
      </c>
      <c r="G279" s="1">
        <v>-2.0949382230900602</v>
      </c>
      <c r="H279" s="1">
        <v>-4.1434630644826598</v>
      </c>
      <c r="I279">
        <f>VLOOKUP(C279,'[1]phenotypes-895'!$A$2:$G$896,7,FALSE)</f>
        <v>70</v>
      </c>
      <c r="J279" s="1">
        <v>3.6260899999999999E-2</v>
      </c>
      <c r="K279" s="1">
        <f>VLOOKUP(C279,'[1]phenotypes-895'!$A$2:$I$896,9,FALSE)</f>
        <v>0.48615090252016407</v>
      </c>
      <c r="L279" s="1">
        <v>-6.0872200000000001E-2</v>
      </c>
      <c r="M279" s="4">
        <v>4.0011783568524759</v>
      </c>
      <c r="N279" s="1">
        <v>2.6777099999999998E-3</v>
      </c>
      <c r="O279" s="8">
        <v>1</v>
      </c>
      <c r="P279" s="1">
        <v>9.6401899999999999E-2</v>
      </c>
      <c r="Q279" s="6">
        <v>1.123</v>
      </c>
      <c r="R279" s="1">
        <v>4.09285E-2</v>
      </c>
      <c r="S279" s="7">
        <v>0.04</v>
      </c>
    </row>
    <row r="280" spans="1:19" x14ac:dyDescent="0.2">
      <c r="A280">
        <v>279</v>
      </c>
      <c r="B280">
        <v>17</v>
      </c>
      <c r="C280" t="s">
        <v>278</v>
      </c>
      <c r="D280" s="12" t="s">
        <v>912</v>
      </c>
      <c r="E280" s="1">
        <v>-6.6696999999999997</v>
      </c>
      <c r="F280">
        <v>-6.3613400000000002</v>
      </c>
      <c r="G280" s="1">
        <v>-6.4319196429330798</v>
      </c>
      <c r="H280" s="1">
        <v>-6.1287265030964502</v>
      </c>
      <c r="I280">
        <f>VLOOKUP(C280,'[1]phenotypes-895'!$A$2:$G$896,7,FALSE)</f>
        <v>68</v>
      </c>
      <c r="J280" s="1">
        <v>0.109288</v>
      </c>
      <c r="K280" s="1">
        <f>VLOOKUP(C280,'[1]phenotypes-895'!$A$2:$I$896,9,FALSE)</f>
        <v>0.58479368088096073</v>
      </c>
      <c r="L280" s="1">
        <v>-7.0411399999999999E-2</v>
      </c>
      <c r="M280" s="4">
        <v>4.8056295982136383</v>
      </c>
      <c r="N280" s="1">
        <v>1.31907E-2</v>
      </c>
      <c r="O280" s="8">
        <v>1</v>
      </c>
      <c r="P280" s="1">
        <v>7.3716299999999998E-2</v>
      </c>
      <c r="Q280" s="6">
        <v>1.026</v>
      </c>
      <c r="R280" s="1">
        <v>3.0363999999999999E-2</v>
      </c>
      <c r="S280" s="7">
        <v>0.01</v>
      </c>
    </row>
    <row r="281" spans="1:19" x14ac:dyDescent="0.2">
      <c r="A281">
        <v>280</v>
      </c>
      <c r="B281">
        <v>6</v>
      </c>
      <c r="C281" t="s">
        <v>279</v>
      </c>
      <c r="D281" s="12" t="s">
        <v>913</v>
      </c>
      <c r="E281" s="1">
        <v>-2.9261499999999998</v>
      </c>
      <c r="F281">
        <v>-5.1387</v>
      </c>
      <c r="G281" s="1">
        <v>-3.0034022852551301</v>
      </c>
      <c r="H281" s="1">
        <v>-5.2219688432900204</v>
      </c>
      <c r="I281">
        <f>VLOOKUP(C281,'[1]phenotypes-895'!$A$2:$G$896,7,FALSE)</f>
        <v>57</v>
      </c>
      <c r="J281" s="1">
        <v>4.7425500000000002E-2</v>
      </c>
      <c r="K281" s="1">
        <f>VLOOKUP(C281,'[1]phenotypes-895'!$A$2:$I$896,9,FALSE)</f>
        <v>0.8333522836363757</v>
      </c>
      <c r="L281" s="1">
        <v>-1.82417E-2</v>
      </c>
      <c r="M281" s="4">
        <v>5.4306602492711127</v>
      </c>
      <c r="N281" s="1">
        <v>-1.14381E-2</v>
      </c>
      <c r="O281" s="8">
        <v>1</v>
      </c>
      <c r="P281" s="1">
        <v>0.122959</v>
      </c>
      <c r="Q281" s="6">
        <v>1.107</v>
      </c>
      <c r="R281" s="1">
        <v>4.7295499999999997E-2</v>
      </c>
      <c r="S281" s="7">
        <v>0.03</v>
      </c>
    </row>
    <row r="282" spans="1:19" x14ac:dyDescent="0.2">
      <c r="A282">
        <v>281</v>
      </c>
      <c r="B282">
        <v>2</v>
      </c>
      <c r="C282" t="s">
        <v>280</v>
      </c>
      <c r="D282" s="12" t="s">
        <v>913</v>
      </c>
      <c r="E282" s="1">
        <v>6.7657800000000003</v>
      </c>
      <c r="F282">
        <v>7.5630199999999999</v>
      </c>
      <c r="G282" s="1">
        <v>6.7524750325531198</v>
      </c>
      <c r="H282" s="1">
        <v>7.5573391181862704</v>
      </c>
      <c r="I282">
        <f>VLOOKUP(C282,'[1]phenotypes-895'!$A$2:$G$896,7,FALSE)</f>
        <v>98</v>
      </c>
      <c r="J282" s="1">
        <v>-9.1908299999999998E-2</v>
      </c>
      <c r="K282" s="1">
        <f>VLOOKUP(C282,'[1]phenotypes-895'!$A$2:$I$896,9,FALSE)</f>
        <v>0</v>
      </c>
      <c r="L282" s="1">
        <v>5.8519599999999998E-2</v>
      </c>
      <c r="M282" s="4">
        <v>0</v>
      </c>
      <c r="N282" s="1">
        <v>-2.24741E-2</v>
      </c>
      <c r="O282" s="8">
        <v>0</v>
      </c>
      <c r="P282" s="1">
        <v>2.3271E-2</v>
      </c>
      <c r="Q282" s="6">
        <v>0.95199999999999996</v>
      </c>
      <c r="R282" s="1">
        <v>8.6405100000000006E-3</v>
      </c>
      <c r="S282" s="7">
        <v>-0.02</v>
      </c>
    </row>
    <row r="283" spans="1:19" x14ac:dyDescent="0.2">
      <c r="A283">
        <v>282</v>
      </c>
      <c r="B283">
        <v>7</v>
      </c>
      <c r="C283" t="s">
        <v>281</v>
      </c>
      <c r="D283" s="12" t="s">
        <v>913</v>
      </c>
      <c r="E283" s="1">
        <v>-0.985317</v>
      </c>
      <c r="F283">
        <v>-2.4899</v>
      </c>
      <c r="G283" s="1">
        <v>-0.84734955466142603</v>
      </c>
      <c r="H283" s="1">
        <v>-2.3243838315507799</v>
      </c>
      <c r="I283">
        <f>VLOOKUP(C283,'[1]phenotypes-895'!$A$2:$G$896,7,FALSE)</f>
        <v>62</v>
      </c>
      <c r="J283" s="1">
        <v>2.6573900000000001E-2</v>
      </c>
      <c r="K283" s="1">
        <f>VLOOKUP(C283,'[1]phenotypes-895'!$A$2:$I$896,9,FALSE)</f>
        <v>0.86700831812415358</v>
      </c>
      <c r="L283" s="1">
        <v>0.108679</v>
      </c>
      <c r="M283" s="4">
        <v>5.1616767710408711</v>
      </c>
      <c r="N283" s="1">
        <v>-1.62121E-2</v>
      </c>
      <c r="O283" s="8">
        <v>1</v>
      </c>
      <c r="P283" s="1">
        <v>6.6587900000000005E-2</v>
      </c>
      <c r="Q283" s="6">
        <v>1.1719999999999999</v>
      </c>
      <c r="R283" s="1">
        <v>2.9005400000000001E-2</v>
      </c>
      <c r="S283" s="7">
        <v>0.05</v>
      </c>
    </row>
    <row r="284" spans="1:19" x14ac:dyDescent="0.2">
      <c r="A284">
        <v>283</v>
      </c>
      <c r="B284">
        <v>17</v>
      </c>
      <c r="C284" t="s">
        <v>282</v>
      </c>
      <c r="D284" s="12" t="s">
        <v>912</v>
      </c>
      <c r="E284" s="1">
        <v>-7.9600299999999997</v>
      </c>
      <c r="F284">
        <v>-7.6467700000000001</v>
      </c>
      <c r="G284" s="1">
        <v>-7.9611871554605198</v>
      </c>
      <c r="H284" s="1">
        <v>-7.6541617875165304</v>
      </c>
      <c r="I284">
        <f>VLOOKUP(C284,'[1]phenotypes-895'!$A$2:$G$896,7,FALSE)</f>
        <v>53</v>
      </c>
      <c r="J284" s="1">
        <v>8.5824300000000006E-2</v>
      </c>
      <c r="K284" s="1">
        <f>VLOOKUP(C284,'[1]phenotypes-895'!$A$2:$I$896,9,FALSE)</f>
        <v>0.63881363650217138</v>
      </c>
      <c r="L284" s="1">
        <v>-9.5189200000000002E-2</v>
      </c>
      <c r="M284" s="4">
        <v>4.3390907966779357</v>
      </c>
      <c r="N284" s="1">
        <v>1.56171E-2</v>
      </c>
      <c r="O284" s="8">
        <v>1</v>
      </c>
      <c r="P284" s="1">
        <v>4.5385300000000003E-2</v>
      </c>
      <c r="Q284" s="6">
        <v>1.004</v>
      </c>
      <c r="R284" s="1">
        <v>2.26138E-2</v>
      </c>
      <c r="S284" s="7">
        <v>0</v>
      </c>
    </row>
    <row r="285" spans="1:19" x14ac:dyDescent="0.2">
      <c r="A285">
        <v>284</v>
      </c>
      <c r="B285">
        <v>16</v>
      </c>
      <c r="C285" t="s">
        <v>283</v>
      </c>
      <c r="D285" s="12" t="s">
        <v>912</v>
      </c>
      <c r="E285" s="1">
        <v>-3.7364199999999999</v>
      </c>
      <c r="F285">
        <v>-3.6159599999999998</v>
      </c>
      <c r="G285" s="1">
        <v>-3.5782095605568802</v>
      </c>
      <c r="H285" s="1">
        <v>-3.44815347832286</v>
      </c>
      <c r="I285">
        <f>VLOOKUP(C285,'[1]phenotypes-895'!$A$2:$G$896,7,FALSE)</f>
        <v>66</v>
      </c>
      <c r="J285" s="1">
        <v>4.1708000000000002E-2</v>
      </c>
      <c r="K285" s="1">
        <f>VLOOKUP(C285,'[1]phenotypes-895'!$A$2:$I$896,9,FALSE)</f>
        <v>0.69574401436468014</v>
      </c>
      <c r="L285" s="1">
        <v>-8.0413600000000002E-2</v>
      </c>
      <c r="M285" s="4">
        <v>4.4499955477703548</v>
      </c>
      <c r="N285" s="1">
        <v>-6.7376199999999997E-3</v>
      </c>
      <c r="O285" s="8">
        <v>1</v>
      </c>
      <c r="P285" s="1">
        <v>-2.42747E-2</v>
      </c>
      <c r="Q285" s="6">
        <v>1.02</v>
      </c>
      <c r="R285" s="1">
        <v>-5.4688499999999999E-3</v>
      </c>
      <c r="S285" s="7">
        <v>0.01</v>
      </c>
    </row>
    <row r="286" spans="1:19" x14ac:dyDescent="0.2">
      <c r="A286">
        <v>285</v>
      </c>
      <c r="B286">
        <v>6</v>
      </c>
      <c r="C286" t="s">
        <v>284</v>
      </c>
      <c r="D286" s="12" t="s">
        <v>913</v>
      </c>
      <c r="E286" s="1">
        <v>-0.26510099999999998</v>
      </c>
      <c r="F286">
        <v>-2.7021799999999998</v>
      </c>
      <c r="G286" s="1">
        <v>-0.25425496495901001</v>
      </c>
      <c r="H286" s="1">
        <v>-2.7055822543703099</v>
      </c>
      <c r="I286">
        <f>VLOOKUP(C286,'[1]phenotypes-895'!$A$2:$G$896,7,FALSE)</f>
        <v>98</v>
      </c>
      <c r="J286" s="1">
        <v>3.6744899999999997E-2</v>
      </c>
      <c r="K286" s="1">
        <f>VLOOKUP(C286,'[1]phenotypes-895'!$A$2:$I$896,9,FALSE)</f>
        <v>0.30411630405400403</v>
      </c>
      <c r="L286" s="1">
        <v>-0.107503</v>
      </c>
      <c r="M286" s="4">
        <v>4.3522292073083317</v>
      </c>
      <c r="N286" s="1">
        <v>4.8864800000000003E-3</v>
      </c>
      <c r="O286" s="8">
        <v>1</v>
      </c>
      <c r="P286" s="1">
        <v>4.1712800000000001E-2</v>
      </c>
      <c r="Q286" s="6">
        <v>0.93100000000000005</v>
      </c>
      <c r="R286" s="1">
        <v>2.5688200000000001E-2</v>
      </c>
      <c r="S286" s="7">
        <v>-0.02</v>
      </c>
    </row>
    <row r="287" spans="1:19" x14ac:dyDescent="0.2">
      <c r="A287">
        <v>286</v>
      </c>
      <c r="B287">
        <v>11</v>
      </c>
      <c r="C287" t="s">
        <v>285</v>
      </c>
      <c r="D287" s="12" t="s">
        <v>912</v>
      </c>
      <c r="E287" s="1">
        <v>2.5005099999999998</v>
      </c>
      <c r="F287">
        <v>3.1559900000000001</v>
      </c>
      <c r="G287" s="1">
        <v>2.5610563785039102</v>
      </c>
      <c r="H287" s="1">
        <v>3.2155112046469099</v>
      </c>
      <c r="I287">
        <f>VLOOKUP(C287,'[1]phenotypes-895'!$A$2:$G$896,7,FALSE)</f>
        <v>98</v>
      </c>
      <c r="J287" s="1">
        <v>-5.0371600000000002E-2</v>
      </c>
      <c r="K287" s="1">
        <f>VLOOKUP(C287,'[1]phenotypes-895'!$A$2:$I$896,9,FALSE)</f>
        <v>0</v>
      </c>
      <c r="L287" s="1">
        <v>9.7280000000000005E-2</v>
      </c>
      <c r="M287" s="4">
        <v>0</v>
      </c>
      <c r="N287" s="1">
        <v>-3.0757900000000001E-2</v>
      </c>
      <c r="O287" s="8">
        <v>0</v>
      </c>
      <c r="P287" s="1">
        <v>-5.8563499999999998E-2</v>
      </c>
      <c r="Q287" s="6">
        <v>1.0409999999999999</v>
      </c>
      <c r="R287" s="1">
        <v>-2.0189700000000001E-2</v>
      </c>
      <c r="S287" s="7">
        <v>0.01</v>
      </c>
    </row>
    <row r="288" spans="1:19" x14ac:dyDescent="0.2">
      <c r="A288">
        <v>287</v>
      </c>
      <c r="B288">
        <v>1</v>
      </c>
      <c r="C288" t="s">
        <v>286</v>
      </c>
      <c r="D288" s="12" t="s">
        <v>913</v>
      </c>
      <c r="E288" s="1">
        <v>-4.0782499999999997</v>
      </c>
      <c r="F288">
        <v>-6.0029000000000003</v>
      </c>
      <c r="G288" s="1">
        <v>-4.1429339439666597</v>
      </c>
      <c r="H288" s="1">
        <v>-6.0759721539542602</v>
      </c>
      <c r="I288">
        <f>VLOOKUP(C288,'[1]phenotypes-895'!$A$2:$G$896,7,FALSE)</f>
        <v>49</v>
      </c>
      <c r="J288" s="1">
        <v>7.4335300000000007E-2</v>
      </c>
      <c r="K288" s="1">
        <f>VLOOKUP(C288,'[1]phenotypes-895'!$A$2:$I$896,9,FALSE)</f>
        <v>0.97213710893449101</v>
      </c>
      <c r="L288" s="1">
        <v>-6.7292900000000003E-2</v>
      </c>
      <c r="M288" s="4">
        <v>3.8781691748811413</v>
      </c>
      <c r="N288" s="1">
        <v>-1.27139E-2</v>
      </c>
      <c r="O288" s="8">
        <v>1</v>
      </c>
      <c r="P288" s="1">
        <v>8.3624299999999999E-2</v>
      </c>
      <c r="Q288" s="6">
        <v>0.99399999999999999</v>
      </c>
      <c r="R288" s="1">
        <v>3.6444499999999998E-2</v>
      </c>
      <c r="S288" s="7">
        <v>0</v>
      </c>
    </row>
    <row r="289" spans="1:19" x14ac:dyDescent="0.2">
      <c r="A289">
        <v>288</v>
      </c>
      <c r="B289">
        <v>6</v>
      </c>
      <c r="C289" t="s">
        <v>287</v>
      </c>
      <c r="D289" s="12" t="s">
        <v>913</v>
      </c>
      <c r="E289" s="1">
        <v>-4.6166799999999997</v>
      </c>
      <c r="F289">
        <v>-6.8941600000000003</v>
      </c>
      <c r="G289" s="1">
        <v>-4.4524972021187104</v>
      </c>
      <c r="H289" s="1">
        <v>-6.7116005449388396</v>
      </c>
      <c r="I289">
        <f>VLOOKUP(C289,'[1]phenotypes-895'!$A$2:$G$896,7,FALSE)</f>
        <v>57</v>
      </c>
      <c r="J289" s="1">
        <v>8.3883700000000005E-2</v>
      </c>
      <c r="K289" s="1">
        <f>VLOOKUP(C289,'[1]phenotypes-895'!$A$2:$I$896,9,FALSE)</f>
        <v>0.75169597272059152</v>
      </c>
      <c r="L289" s="1">
        <v>-0.127802</v>
      </c>
      <c r="M289" s="4">
        <v>3.7377029477095292</v>
      </c>
      <c r="N289" s="1">
        <v>6.0902200000000004E-3</v>
      </c>
      <c r="O289" s="8">
        <v>1</v>
      </c>
      <c r="P289" s="1">
        <v>8.1266599999999994E-2</v>
      </c>
      <c r="Q289" s="6">
        <v>1.0289999999999999</v>
      </c>
      <c r="R289" s="1">
        <v>3.99469E-2</v>
      </c>
      <c r="S289" s="7">
        <v>0.01</v>
      </c>
    </row>
    <row r="290" spans="1:19" x14ac:dyDescent="0.2">
      <c r="A290">
        <v>289</v>
      </c>
      <c r="B290">
        <v>2</v>
      </c>
      <c r="C290" t="s">
        <v>288</v>
      </c>
      <c r="D290" s="12" t="s">
        <v>913</v>
      </c>
      <c r="E290" s="1">
        <v>-5.6485900000000004</v>
      </c>
      <c r="F290">
        <v>-8.3894300000000008</v>
      </c>
      <c r="G290" s="1">
        <v>-5.6709912045665103</v>
      </c>
      <c r="H290" s="1">
        <v>-8.4244078978257999</v>
      </c>
      <c r="I290">
        <f>VLOOKUP(C290,'[1]phenotypes-895'!$A$2:$G$896,7,FALSE)</f>
        <v>53</v>
      </c>
      <c r="J290" s="1">
        <v>1.9216199999999999E-2</v>
      </c>
      <c r="K290" s="1">
        <f>VLOOKUP(C290,'[1]phenotypes-895'!$A$2:$I$896,9,FALSE)</f>
        <v>0.1138967568041892</v>
      </c>
      <c r="L290" s="1">
        <v>-6.2452000000000001E-2</v>
      </c>
      <c r="M290" s="4">
        <v>3.5373679176271282</v>
      </c>
      <c r="N290" s="1">
        <v>8.84216E-3</v>
      </c>
      <c r="O290" s="8">
        <v>1</v>
      </c>
      <c r="P290" s="1">
        <v>0.16423099999999999</v>
      </c>
      <c r="Q290" s="6">
        <v>1.2270000000000001</v>
      </c>
      <c r="R290" s="1">
        <v>6.1071599999999997E-2</v>
      </c>
      <c r="S290" s="7">
        <v>0.06</v>
      </c>
    </row>
    <row r="291" spans="1:19" x14ac:dyDescent="0.2">
      <c r="A291">
        <v>290</v>
      </c>
      <c r="B291">
        <v>5</v>
      </c>
      <c r="C291" t="s">
        <v>289</v>
      </c>
      <c r="D291" s="12" t="s">
        <v>913</v>
      </c>
      <c r="E291" s="1">
        <v>-5.0171200000000002</v>
      </c>
      <c r="F291">
        <v>-7.7651399999999997</v>
      </c>
      <c r="G291" s="1">
        <v>-4.9142329826167099</v>
      </c>
      <c r="H291" s="1">
        <v>-7.6513942092702196</v>
      </c>
      <c r="I291">
        <f>VLOOKUP(C291,'[1]phenotypes-895'!$A$2:$G$896,7,FALSE)</f>
        <v>66</v>
      </c>
      <c r="J291" s="1">
        <v>7.3809799999999995E-2</v>
      </c>
      <c r="K291" s="1">
        <f>VLOOKUP(C291,'[1]phenotypes-895'!$A$2:$I$896,9,FALSE)</f>
        <v>0.58362553787209381</v>
      </c>
      <c r="L291" s="1">
        <v>8.82217E-2</v>
      </c>
      <c r="M291" s="4">
        <v>4.5908707299988416</v>
      </c>
      <c r="N291" s="1">
        <v>2.3238999999999999E-2</v>
      </c>
      <c r="O291" s="8">
        <v>1</v>
      </c>
      <c r="P291" s="1">
        <v>1.6451299999999999E-2</v>
      </c>
      <c r="Q291" s="6">
        <v>1.0409999999999999</v>
      </c>
      <c r="R291" s="1">
        <v>2.9579699999999999E-3</v>
      </c>
      <c r="S291" s="7">
        <v>0.01</v>
      </c>
    </row>
    <row r="292" spans="1:19" x14ac:dyDescent="0.2">
      <c r="A292">
        <v>291</v>
      </c>
      <c r="B292">
        <v>16</v>
      </c>
      <c r="C292" t="s">
        <v>290</v>
      </c>
      <c r="D292" s="12" t="s">
        <v>912</v>
      </c>
      <c r="E292" s="1">
        <v>-5.4254899999999999</v>
      </c>
      <c r="F292">
        <v>-5.19916</v>
      </c>
      <c r="G292" s="1">
        <v>-5.2815548437605102</v>
      </c>
      <c r="H292" s="1">
        <v>-5.0432421095009401</v>
      </c>
      <c r="I292">
        <f>VLOOKUP(C292,'[1]phenotypes-895'!$A$2:$G$896,7,FALSE)</f>
        <v>98</v>
      </c>
      <c r="J292" s="1">
        <v>3.6559800000000003E-2</v>
      </c>
      <c r="K292" s="1">
        <f>VLOOKUP(C292,'[1]phenotypes-895'!$A$2:$I$896,9,FALSE)</f>
        <v>0</v>
      </c>
      <c r="L292" s="1">
        <v>1.47697E-3</v>
      </c>
      <c r="M292" s="4">
        <v>0</v>
      </c>
      <c r="N292" s="1">
        <v>6.6274000000000003E-3</v>
      </c>
      <c r="O292" s="8">
        <v>0</v>
      </c>
      <c r="P292" s="1">
        <v>7.9571299999999998E-2</v>
      </c>
      <c r="Q292" s="6">
        <v>1.0669999999999999</v>
      </c>
      <c r="R292" s="1">
        <v>3.0540999999999999E-2</v>
      </c>
      <c r="S292" s="7">
        <v>0.02</v>
      </c>
    </row>
    <row r="293" spans="1:19" x14ac:dyDescent="0.2">
      <c r="A293">
        <v>292</v>
      </c>
      <c r="B293">
        <v>7</v>
      </c>
      <c r="C293" t="s">
        <v>291</v>
      </c>
      <c r="D293" s="12" t="s">
        <v>913</v>
      </c>
      <c r="E293" s="1">
        <v>3.3181500000000002</v>
      </c>
      <c r="F293">
        <v>1.7897700000000001</v>
      </c>
      <c r="G293" s="1">
        <v>3.3031035742189001</v>
      </c>
      <c r="H293" s="1">
        <v>1.76838120790366</v>
      </c>
      <c r="I293">
        <f>VLOOKUP(C293,'[1]phenotypes-895'!$A$2:$G$896,7,FALSE)</f>
        <v>79</v>
      </c>
      <c r="J293" s="1">
        <v>-6.2631300000000001E-2</v>
      </c>
      <c r="K293" s="1">
        <f>VLOOKUP(C293,'[1]phenotypes-895'!$A$2:$I$896,9,FALSE)</f>
        <v>0.32221652757726299</v>
      </c>
      <c r="L293" s="1">
        <v>6.6145899999999994E-2</v>
      </c>
      <c r="M293" s="4">
        <v>4.4426378000189537</v>
      </c>
      <c r="N293" s="1">
        <v>-2.1364000000000001E-2</v>
      </c>
      <c r="O293" s="8">
        <v>1</v>
      </c>
      <c r="P293" s="1">
        <v>7.5835E-2</v>
      </c>
      <c r="Q293" s="6">
        <v>1.1080000000000001</v>
      </c>
      <c r="R293" s="1">
        <v>3.1834599999999998E-2</v>
      </c>
      <c r="S293" s="7">
        <v>0.03</v>
      </c>
    </row>
    <row r="294" spans="1:19" x14ac:dyDescent="0.2">
      <c r="A294">
        <v>293</v>
      </c>
      <c r="B294">
        <v>7</v>
      </c>
      <c r="C294" t="s">
        <v>292</v>
      </c>
      <c r="D294" s="12" t="s">
        <v>913</v>
      </c>
      <c r="E294" s="1">
        <v>3.9302199999999998</v>
      </c>
      <c r="F294">
        <v>2.97356</v>
      </c>
      <c r="G294" s="1">
        <v>3.7626818495912602</v>
      </c>
      <c r="H294" s="1">
        <v>2.86760531808598</v>
      </c>
      <c r="I294">
        <f>VLOOKUP(C294,'[1]phenotypes-895'!$A$2:$G$896,7,FALSE)</f>
        <v>98</v>
      </c>
      <c r="J294" s="1">
        <v>-6.3765500000000003E-2</v>
      </c>
      <c r="K294" s="1">
        <f>VLOOKUP(C294,'[1]phenotypes-895'!$A$2:$I$896,9,FALSE)</f>
        <v>0</v>
      </c>
      <c r="L294" s="1">
        <v>3.0924799999999999E-2</v>
      </c>
      <c r="M294" s="4">
        <v>0</v>
      </c>
      <c r="N294" s="1">
        <v>-2.71787E-2</v>
      </c>
      <c r="O294" s="8">
        <v>0</v>
      </c>
      <c r="P294" s="1">
        <v>6.9129499999999997E-2</v>
      </c>
      <c r="Q294" s="6">
        <v>1.1639999999999999</v>
      </c>
      <c r="R294" s="1">
        <v>2.98263E-2</v>
      </c>
      <c r="S294" s="7">
        <v>0.05</v>
      </c>
    </row>
    <row r="295" spans="1:19" x14ac:dyDescent="0.2">
      <c r="A295">
        <v>294</v>
      </c>
      <c r="B295">
        <v>15</v>
      </c>
      <c r="C295" t="s">
        <v>293</v>
      </c>
      <c r="D295" s="12" t="s">
        <v>912</v>
      </c>
      <c r="E295" s="1">
        <v>-9.4265799999999995</v>
      </c>
      <c r="F295">
        <v>-10.351599999999999</v>
      </c>
      <c r="G295" s="1">
        <v>-9.3874575378984009</v>
      </c>
      <c r="H295" s="1">
        <v>-10.3131466879921</v>
      </c>
      <c r="I295">
        <f>VLOOKUP(C295,'[1]phenotypes-895'!$A$2:$G$896,7,FALSE)</f>
        <v>58</v>
      </c>
      <c r="J295" s="1">
        <v>0.11949</v>
      </c>
      <c r="K295" s="1">
        <f>VLOOKUP(C295,'[1]phenotypes-895'!$A$2:$I$896,9,FALSE)</f>
        <v>0.45297007794661193</v>
      </c>
      <c r="L295" s="1">
        <v>0.11435099999999999</v>
      </c>
      <c r="M295" s="4">
        <v>3.7321554880635306</v>
      </c>
      <c r="N295" s="1">
        <v>2.0065300000000001E-2</v>
      </c>
      <c r="O295" s="8">
        <v>1</v>
      </c>
      <c r="P295" s="1">
        <v>0.10881</v>
      </c>
      <c r="Q295" s="6">
        <v>1.1040000000000001</v>
      </c>
      <c r="R295" s="1">
        <v>4.5700999999999999E-2</v>
      </c>
      <c r="S295" s="7">
        <v>0.03</v>
      </c>
    </row>
    <row r="296" spans="1:19" x14ac:dyDescent="0.2">
      <c r="A296">
        <v>295</v>
      </c>
      <c r="B296">
        <v>15</v>
      </c>
      <c r="C296" t="s">
        <v>294</v>
      </c>
      <c r="D296" s="12" t="s">
        <v>912</v>
      </c>
      <c r="E296" s="1">
        <v>-1.4763299999999999</v>
      </c>
      <c r="F296">
        <v>-1.6109899999999999</v>
      </c>
      <c r="G296" s="1">
        <v>-1.4349473893781699</v>
      </c>
      <c r="H296" s="1">
        <v>-1.5610255400008399</v>
      </c>
      <c r="I296">
        <f>VLOOKUP(C296,'[1]phenotypes-895'!$A$2:$G$896,7,FALSE)</f>
        <v>98</v>
      </c>
      <c r="J296" s="1">
        <v>-3.8306199999999999E-2</v>
      </c>
      <c r="K296" s="1">
        <f>VLOOKUP(C296,'[1]phenotypes-895'!$A$2:$I$896,9,FALSE)</f>
        <v>0</v>
      </c>
      <c r="L296" s="1">
        <v>-1.7428599999999999E-2</v>
      </c>
      <c r="M296" s="4">
        <v>0</v>
      </c>
      <c r="N296" s="1">
        <v>-8.9229300000000008E-3</v>
      </c>
      <c r="O296" s="8">
        <v>0</v>
      </c>
      <c r="P296" s="1">
        <v>3.37475E-2</v>
      </c>
      <c r="Q296" s="6">
        <v>0.746</v>
      </c>
      <c r="R296" s="1">
        <v>1.74354E-2</v>
      </c>
      <c r="S296" s="7">
        <v>-0.1</v>
      </c>
    </row>
    <row r="297" spans="1:19" x14ac:dyDescent="0.2">
      <c r="A297">
        <v>296</v>
      </c>
      <c r="B297">
        <v>14</v>
      </c>
      <c r="C297" t="s">
        <v>295</v>
      </c>
      <c r="D297" s="12" t="s">
        <v>912</v>
      </c>
      <c r="E297" s="1">
        <v>-5.2686500000000001</v>
      </c>
      <c r="F297">
        <v>-6.5674700000000001</v>
      </c>
      <c r="G297" s="1">
        <v>-5.3129169209934703</v>
      </c>
      <c r="H297" s="1">
        <v>-6.6222607230496804</v>
      </c>
      <c r="I297">
        <f>VLOOKUP(C297,'[1]phenotypes-895'!$A$2:$G$896,7,FALSE)</f>
        <v>43</v>
      </c>
      <c r="J297" s="1">
        <v>9.3318499999999999E-2</v>
      </c>
      <c r="K297" s="1">
        <f>VLOOKUP(C297,'[1]phenotypes-895'!$A$2:$I$896,9,FALSE)</f>
        <v>0.7379126414265067</v>
      </c>
      <c r="L297" s="1">
        <v>-4.0156899999999997E-3</v>
      </c>
      <c r="M297" s="4">
        <v>4.1135190810458084</v>
      </c>
      <c r="N297" s="1">
        <v>4.2278400000000001E-2</v>
      </c>
      <c r="O297" s="8">
        <v>1</v>
      </c>
      <c r="P297" s="1">
        <v>1.6632600000000001E-2</v>
      </c>
      <c r="Q297" s="6">
        <v>0.85</v>
      </c>
      <c r="R297" s="1">
        <v>1.05685E-2</v>
      </c>
      <c r="S297" s="7">
        <v>-0.05</v>
      </c>
    </row>
    <row r="298" spans="1:19" x14ac:dyDescent="0.2">
      <c r="A298">
        <v>297</v>
      </c>
      <c r="B298">
        <v>4</v>
      </c>
      <c r="C298" t="s">
        <v>296</v>
      </c>
      <c r="D298" s="12" t="s">
        <v>913</v>
      </c>
      <c r="E298" s="1">
        <v>-0.11570900000000001</v>
      </c>
      <c r="F298">
        <v>-1.8057399999999999</v>
      </c>
      <c r="G298" s="1">
        <v>-0.106422079839454</v>
      </c>
      <c r="H298" s="1">
        <v>-1.7980939980678901</v>
      </c>
      <c r="I298">
        <f>VLOOKUP(C298,'[1]phenotypes-895'!$A$2:$G$896,7,FALSE)</f>
        <v>72</v>
      </c>
      <c r="J298" s="1">
        <v>5.4010500000000003E-2</v>
      </c>
      <c r="K298" s="1">
        <f>VLOOKUP(C298,'[1]phenotypes-895'!$A$2:$I$896,9,FALSE)</f>
        <v>0.48002874348890329</v>
      </c>
      <c r="L298" s="1">
        <v>2.2852399999999998E-2</v>
      </c>
      <c r="M298" s="4">
        <v>4.9683351847771062</v>
      </c>
      <c r="N298" s="1">
        <v>1.1478500000000001E-2</v>
      </c>
      <c r="O298" s="8">
        <v>1</v>
      </c>
      <c r="P298" s="1">
        <v>-1.9308400000000001E-3</v>
      </c>
      <c r="Q298" s="6">
        <v>0.92600000000000005</v>
      </c>
      <c r="R298" s="1">
        <v>7.5036299999999998E-3</v>
      </c>
      <c r="S298" s="7">
        <v>-0.03</v>
      </c>
    </row>
    <row r="299" spans="1:19" x14ac:dyDescent="0.2">
      <c r="A299">
        <v>298</v>
      </c>
      <c r="B299">
        <v>50</v>
      </c>
      <c r="C299" t="s">
        <v>297</v>
      </c>
      <c r="D299" s="13" t="s">
        <v>912</v>
      </c>
      <c r="E299" s="1">
        <v>-0.422759</v>
      </c>
      <c r="F299">
        <v>1.7799400000000001</v>
      </c>
      <c r="G299" s="1">
        <v>-0.32348499505968897</v>
      </c>
      <c r="H299" s="1">
        <v>1.8629820946214799</v>
      </c>
      <c r="I299">
        <f>VLOOKUP(C299,'[1]phenotypes-895'!$A$2:$G$896,7,FALSE)</f>
        <v>62</v>
      </c>
      <c r="J299" s="1">
        <v>5.6524599999999998E-3</v>
      </c>
      <c r="K299" s="1">
        <f>VLOOKUP(C299,'[1]phenotypes-895'!$A$2:$I$896,9,FALSE)</f>
        <v>0.87229554056219671</v>
      </c>
      <c r="L299" s="1">
        <v>0.112609</v>
      </c>
      <c r="M299" s="4">
        <v>4.864436006997793</v>
      </c>
      <c r="N299" s="1">
        <v>1.94801E-2</v>
      </c>
      <c r="O299" s="8">
        <v>1</v>
      </c>
      <c r="P299" s="1">
        <v>-0.219803</v>
      </c>
      <c r="Q299">
        <v>0.625</v>
      </c>
      <c r="R299" s="1">
        <v>-9.4115099999999993E-2</v>
      </c>
      <c r="S299" s="2">
        <v>-0.15</v>
      </c>
    </row>
    <row r="300" spans="1:19" x14ac:dyDescent="0.2">
      <c r="A300">
        <v>299</v>
      </c>
      <c r="B300">
        <v>10</v>
      </c>
      <c r="C300" t="s">
        <v>298</v>
      </c>
      <c r="D300" s="12" t="s">
        <v>912</v>
      </c>
      <c r="E300" s="1">
        <v>-7.9601699999999997</v>
      </c>
      <c r="F300">
        <v>-7.4363000000000001</v>
      </c>
      <c r="G300" s="1">
        <v>-7.8654186364234899</v>
      </c>
      <c r="H300" s="1">
        <v>-7.3512841157772897</v>
      </c>
      <c r="I300">
        <f>VLOOKUP(C300,'[1]phenotypes-895'!$A$2:$G$896,7,FALSE)</f>
        <v>45</v>
      </c>
      <c r="J300" s="1">
        <v>0.12406300000000001</v>
      </c>
      <c r="K300" s="1">
        <f>VLOOKUP(C300,'[1]phenotypes-895'!$A$2:$I$896,9,FALSE)</f>
        <v>0.70931451044688476</v>
      </c>
      <c r="L300" s="1">
        <v>8.6579500000000004E-2</v>
      </c>
      <c r="M300" s="4">
        <v>4.255450236852508</v>
      </c>
      <c r="N300" s="1">
        <v>1.6165700000000002E-2</v>
      </c>
      <c r="O300" s="8">
        <v>1</v>
      </c>
      <c r="P300" s="1">
        <v>-3.3094999999999999E-2</v>
      </c>
      <c r="Q300" s="6">
        <v>1.06</v>
      </c>
      <c r="R300" s="1">
        <v>-1.01172E-2</v>
      </c>
      <c r="S300" s="7">
        <v>0.02</v>
      </c>
    </row>
    <row r="301" spans="1:19" x14ac:dyDescent="0.2">
      <c r="A301">
        <v>300</v>
      </c>
      <c r="B301">
        <v>50</v>
      </c>
      <c r="C301" t="s">
        <v>299</v>
      </c>
      <c r="D301" s="13" t="s">
        <v>912</v>
      </c>
      <c r="E301" s="1">
        <v>-1.3533500000000001</v>
      </c>
      <c r="F301">
        <v>1.48634</v>
      </c>
      <c r="G301" s="1">
        <v>-1.3873925468280199</v>
      </c>
      <c r="H301" s="1">
        <v>1.4462524361912601</v>
      </c>
      <c r="I301">
        <f>VLOOKUP(C301,'[1]phenotypes-895'!$A$2:$G$896,7,FALSE)</f>
        <v>59</v>
      </c>
      <c r="J301" s="1">
        <v>5.3526600000000004E-3</v>
      </c>
      <c r="K301" s="1">
        <f>VLOOKUP(C301,'[1]phenotypes-895'!$A$2:$I$896,9,FALSE)</f>
        <v>0.71260350728704991</v>
      </c>
      <c r="L301" s="1">
        <v>9.6423800000000004E-2</v>
      </c>
      <c r="M301" s="4">
        <v>4.5391873277746297</v>
      </c>
      <c r="N301" s="1">
        <v>2.57269E-2</v>
      </c>
      <c r="O301" s="8">
        <v>1</v>
      </c>
      <c r="P301" s="1">
        <v>-0.230985</v>
      </c>
      <c r="Q301">
        <v>0.59</v>
      </c>
      <c r="R301" s="1">
        <v>-9.4878199999999996E-2</v>
      </c>
      <c r="S301" s="2">
        <v>-0.18</v>
      </c>
    </row>
    <row r="302" spans="1:19" x14ac:dyDescent="0.2">
      <c r="A302">
        <v>301</v>
      </c>
      <c r="B302">
        <v>24</v>
      </c>
      <c r="C302" t="s">
        <v>300</v>
      </c>
      <c r="D302" s="13" t="s">
        <v>913</v>
      </c>
      <c r="E302" s="1">
        <v>-1.67005</v>
      </c>
      <c r="F302">
        <v>-3.44381</v>
      </c>
      <c r="G302" s="1">
        <v>-1.67766597535364</v>
      </c>
      <c r="H302" s="1">
        <v>-3.4651871199589599</v>
      </c>
      <c r="I302">
        <f>VLOOKUP(C302,'[1]phenotypes-895'!$A$2:$G$896,7,FALSE)</f>
        <v>76</v>
      </c>
      <c r="J302" s="1">
        <v>2.8172900000000001E-2</v>
      </c>
      <c r="K302" s="1">
        <f>VLOOKUP(C302,'[1]phenotypes-895'!$A$2:$I$896,9,FALSE)</f>
        <v>0.31330125540792497</v>
      </c>
      <c r="L302" s="1">
        <v>3.40982E-3</v>
      </c>
      <c r="M302" s="4">
        <v>3.6259242349436529</v>
      </c>
      <c r="N302" s="1">
        <v>2.39977E-2</v>
      </c>
      <c r="O302" s="8">
        <v>1</v>
      </c>
      <c r="P302" s="1">
        <v>6.0992400000000002E-2</v>
      </c>
      <c r="Q302">
        <v>1.07</v>
      </c>
      <c r="R302" s="1">
        <v>3.4680299999999997E-2</v>
      </c>
      <c r="S302" s="2">
        <v>0.02</v>
      </c>
    </row>
    <row r="303" spans="1:19" x14ac:dyDescent="0.2">
      <c r="A303">
        <v>302</v>
      </c>
      <c r="B303">
        <v>13</v>
      </c>
      <c r="C303" t="s">
        <v>301</v>
      </c>
      <c r="D303" s="12" t="s">
        <v>912</v>
      </c>
      <c r="E303" s="1">
        <v>-4.4352999999999998</v>
      </c>
      <c r="F303">
        <v>-4.2754200000000004</v>
      </c>
      <c r="G303" s="1">
        <v>-4.3815987990796499</v>
      </c>
      <c r="H303" s="1">
        <v>-4.2267138261585204</v>
      </c>
      <c r="I303">
        <f>VLOOKUP(C303,'[1]phenotypes-895'!$A$2:$G$896,7,FALSE)</f>
        <v>98</v>
      </c>
      <c r="J303" s="1">
        <v>8.3622199999999994E-2</v>
      </c>
      <c r="K303" s="1">
        <f>VLOOKUP(C303,'[1]phenotypes-895'!$A$2:$I$896,9,FALSE)</f>
        <v>0</v>
      </c>
      <c r="L303" s="1">
        <v>2.4374099999999999E-2</v>
      </c>
      <c r="M303" s="4">
        <v>0</v>
      </c>
      <c r="N303" s="1">
        <v>-1.09569E-2</v>
      </c>
      <c r="O303" s="8">
        <v>0</v>
      </c>
      <c r="P303" s="1">
        <v>2.3028199999999999E-2</v>
      </c>
      <c r="Q303" s="6">
        <v>1.0409999999999999</v>
      </c>
      <c r="R303" s="1">
        <v>1.5222899999999999E-2</v>
      </c>
      <c r="S303" s="7">
        <v>0.01</v>
      </c>
    </row>
    <row r="304" spans="1:19" x14ac:dyDescent="0.2">
      <c r="A304">
        <v>303</v>
      </c>
      <c r="B304">
        <v>34</v>
      </c>
      <c r="C304" t="s">
        <v>302</v>
      </c>
      <c r="D304" s="13" t="s">
        <v>913</v>
      </c>
      <c r="E304" s="1">
        <v>-2.1869100000000001</v>
      </c>
      <c r="F304">
        <v>-2.7626599999999999</v>
      </c>
      <c r="G304" s="1">
        <v>-2.1166594755964399</v>
      </c>
      <c r="H304" s="1">
        <v>-2.6780442285758701</v>
      </c>
      <c r="I304">
        <f>VLOOKUP(C304,'[1]phenotypes-895'!$A$2:$G$896,7,FALSE)</f>
        <v>68</v>
      </c>
      <c r="J304" s="1">
        <v>2.84774E-2</v>
      </c>
      <c r="K304" s="1">
        <f>VLOOKUP(C304,'[1]phenotypes-895'!$A$2:$I$896,9,FALSE)</f>
        <v>0.41632482500624518</v>
      </c>
      <c r="L304" s="1">
        <v>7.72674E-2</v>
      </c>
      <c r="M304" s="4">
        <v>4.5073183398638648</v>
      </c>
      <c r="N304" s="1">
        <v>1.2600500000000001E-2</v>
      </c>
      <c r="O304" s="8">
        <v>1</v>
      </c>
      <c r="P304" s="1">
        <v>7.2678000000000006E-2</v>
      </c>
      <c r="Q304">
        <v>0.94</v>
      </c>
      <c r="R304" s="1">
        <v>2.97224E-2</v>
      </c>
      <c r="S304" s="2">
        <v>-0.02</v>
      </c>
    </row>
    <row r="305" spans="1:19" x14ac:dyDescent="0.2">
      <c r="A305">
        <v>304</v>
      </c>
      <c r="B305">
        <v>13</v>
      </c>
      <c r="C305" t="s">
        <v>303</v>
      </c>
      <c r="D305" s="12" t="s">
        <v>912</v>
      </c>
      <c r="E305" s="1">
        <v>-9.1032700000000002</v>
      </c>
      <c r="F305">
        <v>-9.0609000000000002</v>
      </c>
      <c r="G305" s="1">
        <v>-8.9247514107861008</v>
      </c>
      <c r="H305" s="1">
        <v>-8.8788279091257198</v>
      </c>
      <c r="I305">
        <f>VLOOKUP(C305,'[1]phenotypes-895'!$A$2:$G$896,7,FALSE)</f>
        <v>49</v>
      </c>
      <c r="J305" s="1">
        <v>0.14055999999999999</v>
      </c>
      <c r="K305" s="1">
        <f>VLOOKUP(C305,'[1]phenotypes-895'!$A$2:$I$896,9,FALSE)</f>
        <v>0.2422044093016861</v>
      </c>
      <c r="L305" s="1">
        <v>6.4855999999999997E-2</v>
      </c>
      <c r="M305" s="4">
        <v>3.7568888189294243</v>
      </c>
      <c r="N305" s="1">
        <v>4.4901200000000002E-3</v>
      </c>
      <c r="O305" s="8">
        <v>1</v>
      </c>
      <c r="P305" s="1">
        <v>-3.9623000000000002E-3</v>
      </c>
      <c r="Q305" s="6">
        <v>1.0109999999999999</v>
      </c>
      <c r="R305" s="1">
        <v>2.7252299999999999E-3</v>
      </c>
      <c r="S305" s="7">
        <v>0</v>
      </c>
    </row>
    <row r="306" spans="1:19" x14ac:dyDescent="0.2">
      <c r="A306">
        <v>305</v>
      </c>
      <c r="B306">
        <v>37</v>
      </c>
      <c r="C306" t="s">
        <v>304</v>
      </c>
      <c r="D306" s="13" t="s">
        <v>913</v>
      </c>
      <c r="E306" s="1">
        <v>7.8419100000000004</v>
      </c>
      <c r="F306">
        <v>8.2113600000000009</v>
      </c>
      <c r="G306" s="1">
        <v>7.80259817205721</v>
      </c>
      <c r="H306" s="1">
        <v>8.1731182144735204</v>
      </c>
      <c r="I306">
        <f>VLOOKUP(C306,'[1]phenotypes-895'!$A$2:$G$896,7,FALSE)</f>
        <v>98</v>
      </c>
      <c r="J306" s="1">
        <v>-7.6766100000000004E-2</v>
      </c>
      <c r="K306" s="1">
        <f>VLOOKUP(C306,'[1]phenotypes-895'!$A$2:$I$896,9,FALSE)</f>
        <v>0.26829546031869628</v>
      </c>
      <c r="L306" s="1">
        <v>-0.106401</v>
      </c>
      <c r="M306" s="4">
        <v>3.8291772725943147</v>
      </c>
      <c r="N306" s="1">
        <v>-2.9065299999999999E-2</v>
      </c>
      <c r="O306" s="8">
        <v>1</v>
      </c>
      <c r="P306" s="1">
        <v>8.43999E-2</v>
      </c>
      <c r="Q306">
        <v>1.099</v>
      </c>
      <c r="R306" s="1">
        <v>2.7068399999999999E-2</v>
      </c>
      <c r="S306" s="2">
        <v>0.03</v>
      </c>
    </row>
    <row r="307" spans="1:19" x14ac:dyDescent="0.2">
      <c r="A307">
        <v>306</v>
      </c>
      <c r="B307">
        <v>8</v>
      </c>
      <c r="C307" t="s">
        <v>305</v>
      </c>
      <c r="D307" s="12" t="s">
        <v>913</v>
      </c>
      <c r="E307" s="1">
        <v>3.3412600000000001</v>
      </c>
      <c r="F307">
        <v>1.3110200000000001</v>
      </c>
      <c r="G307" s="1">
        <v>3.3820811357131699</v>
      </c>
      <c r="H307" s="1">
        <v>1.3811088886988601</v>
      </c>
      <c r="I307">
        <f>VLOOKUP(C307,'[1]phenotypes-895'!$A$2:$G$896,7,FALSE)</f>
        <v>76</v>
      </c>
      <c r="J307" s="1">
        <v>7.8131399999999997E-3</v>
      </c>
      <c r="K307" s="1">
        <f>VLOOKUP(C307,'[1]phenotypes-895'!$A$2:$I$896,9,FALSE)</f>
        <v>0.52263500706659838</v>
      </c>
      <c r="L307" s="1">
        <v>0.104153</v>
      </c>
      <c r="M307" s="4">
        <v>5.1369068612751461</v>
      </c>
      <c r="N307" s="1">
        <v>-4.9505499999999997E-3</v>
      </c>
      <c r="O307" s="8">
        <v>1</v>
      </c>
      <c r="P307" s="1">
        <v>4.8824399999999997E-2</v>
      </c>
      <c r="Q307" s="6">
        <v>0.93300000000000005</v>
      </c>
      <c r="R307" s="1">
        <v>2.3493199999999999E-2</v>
      </c>
      <c r="S307" s="7">
        <v>-0.02</v>
      </c>
    </row>
    <row r="308" spans="1:19" x14ac:dyDescent="0.2">
      <c r="A308">
        <v>307</v>
      </c>
      <c r="B308">
        <v>49</v>
      </c>
      <c r="C308" t="s">
        <v>306</v>
      </c>
      <c r="D308" s="13" t="s">
        <v>912</v>
      </c>
      <c r="E308" s="1">
        <v>-0.19365099999999999</v>
      </c>
      <c r="F308">
        <v>2.33372</v>
      </c>
      <c r="G308" s="1">
        <v>-0.24268589464763499</v>
      </c>
      <c r="H308" s="1">
        <v>2.2939763712655998</v>
      </c>
      <c r="I308">
        <f>VLOOKUP(C308,'[1]phenotypes-895'!$A$2:$G$896,7,FALSE)</f>
        <v>67</v>
      </c>
      <c r="J308" s="1">
        <v>1.9618199999999999E-2</v>
      </c>
      <c r="K308" s="1">
        <f>VLOOKUP(C308,'[1]phenotypes-895'!$A$2:$I$896,9,FALSE)</f>
        <v>0.60070910991735649</v>
      </c>
      <c r="L308" s="1">
        <v>-5.7433999999999999E-2</v>
      </c>
      <c r="M308" s="4">
        <v>4.2652387240757035</v>
      </c>
      <c r="N308" s="1">
        <v>3.20776E-3</v>
      </c>
      <c r="O308" s="8">
        <v>1</v>
      </c>
      <c r="P308" s="1">
        <v>-0.150009</v>
      </c>
      <c r="Q308">
        <v>0.78400000000000003</v>
      </c>
      <c r="R308" s="1">
        <v>-5.4637400000000003E-2</v>
      </c>
      <c r="S308" s="2">
        <v>-0.08</v>
      </c>
    </row>
    <row r="309" spans="1:19" x14ac:dyDescent="0.2">
      <c r="A309">
        <v>308</v>
      </c>
      <c r="B309">
        <v>7</v>
      </c>
      <c r="C309" t="s">
        <v>307</v>
      </c>
      <c r="D309" s="12" t="s">
        <v>913</v>
      </c>
      <c r="E309" s="1">
        <v>3.9701900000000001</v>
      </c>
      <c r="F309">
        <v>2.6561400000000002</v>
      </c>
      <c r="G309" s="1">
        <v>4.0487681812269196</v>
      </c>
      <c r="H309" s="1">
        <v>2.7436899843816098</v>
      </c>
      <c r="I309">
        <f>VLOOKUP(C309,'[1]phenotypes-895'!$A$2:$G$896,7,FALSE)</f>
        <v>98</v>
      </c>
      <c r="J309" s="1">
        <v>-5.8502199999999997E-2</v>
      </c>
      <c r="K309" s="1">
        <f>VLOOKUP(C309,'[1]phenotypes-895'!$A$2:$I$896,9,FALSE)</f>
        <v>0</v>
      </c>
      <c r="L309" s="1">
        <v>6.6095600000000004E-2</v>
      </c>
      <c r="M309" s="4">
        <v>0</v>
      </c>
      <c r="N309" s="1">
        <v>-2.7876499999999999E-2</v>
      </c>
      <c r="O309" s="8">
        <v>0</v>
      </c>
      <c r="P309" s="1">
        <v>8.5608299999999998E-2</v>
      </c>
      <c r="Q309" s="6">
        <v>1.1060000000000001</v>
      </c>
      <c r="R309" s="1">
        <v>3.2636199999999997E-2</v>
      </c>
      <c r="S309" s="7">
        <v>0.03</v>
      </c>
    </row>
    <row r="310" spans="1:19" x14ac:dyDescent="0.2">
      <c r="A310">
        <v>309</v>
      </c>
      <c r="B310">
        <v>51</v>
      </c>
      <c r="C310" t="s">
        <v>308</v>
      </c>
      <c r="D310" s="13" t="s">
        <v>912</v>
      </c>
      <c r="E310" s="1">
        <v>-3.3991199999999999</v>
      </c>
      <c r="F310">
        <v>-0.94963699999999995</v>
      </c>
      <c r="G310" s="1">
        <v>-3.28685211217064</v>
      </c>
      <c r="H310" s="1">
        <v>-0.85332375740592104</v>
      </c>
      <c r="I310">
        <f>VLOOKUP(C310,'[1]phenotypes-895'!$A$2:$G$896,7,FALSE)</f>
        <v>59</v>
      </c>
      <c r="J310" s="1">
        <v>2.4791199999999999E-2</v>
      </c>
      <c r="K310" s="1">
        <f>VLOOKUP(C310,'[1]phenotypes-895'!$A$2:$I$896,9,FALSE)</f>
        <v>0.41977623231238748</v>
      </c>
      <c r="L310" s="1">
        <v>-8.5101099999999995E-3</v>
      </c>
      <c r="M310" s="4">
        <v>3.988626052588224</v>
      </c>
      <c r="N310" s="1">
        <v>1.16881E-2</v>
      </c>
      <c r="O310" s="8">
        <v>1</v>
      </c>
      <c r="P310" s="1">
        <v>-0.140407</v>
      </c>
      <c r="Q310">
        <v>0.71799999999999997</v>
      </c>
      <c r="R310" s="1">
        <v>-5.3105300000000001E-2</v>
      </c>
      <c r="S310" s="2">
        <v>-0.11</v>
      </c>
    </row>
    <row r="311" spans="1:19" x14ac:dyDescent="0.2">
      <c r="A311">
        <v>310</v>
      </c>
      <c r="B311">
        <v>48</v>
      </c>
      <c r="C311" t="s">
        <v>309</v>
      </c>
      <c r="D311" s="13" t="s">
        <v>912</v>
      </c>
      <c r="E311" s="1">
        <v>-0.78060200000000002</v>
      </c>
      <c r="F311">
        <v>1.1069899999999999</v>
      </c>
      <c r="G311" s="1">
        <v>-0.79383993375065098</v>
      </c>
      <c r="H311" s="1">
        <v>1.1065747329205</v>
      </c>
      <c r="I311">
        <f>VLOOKUP(C311,'[1]phenotypes-895'!$A$2:$G$896,7,FALSE)</f>
        <v>79</v>
      </c>
      <c r="J311" s="1">
        <v>4.3370300000000001E-2</v>
      </c>
      <c r="K311" s="1">
        <f>VLOOKUP(C311,'[1]phenotypes-895'!$A$2:$I$896,9,FALSE)</f>
        <v>0.41153212886919738</v>
      </c>
      <c r="L311" s="1">
        <v>6.2281700000000002E-2</v>
      </c>
      <c r="M311" s="4">
        <v>4.5256514353501389</v>
      </c>
      <c r="N311" s="1">
        <v>8.7697299999999999E-3</v>
      </c>
      <c r="O311" s="8">
        <v>1</v>
      </c>
      <c r="P311" s="1">
        <v>-9.1323199999999993E-2</v>
      </c>
      <c r="Q311">
        <v>0.57599999999999996</v>
      </c>
      <c r="R311" s="1">
        <v>-3.5578699999999998E-2</v>
      </c>
      <c r="S311" s="2">
        <v>-0.18</v>
      </c>
    </row>
    <row r="312" spans="1:19" x14ac:dyDescent="0.2">
      <c r="A312">
        <v>311</v>
      </c>
      <c r="B312">
        <v>1</v>
      </c>
      <c r="C312" t="s">
        <v>310</v>
      </c>
      <c r="D312" s="12" t="s">
        <v>913</v>
      </c>
      <c r="E312" s="1">
        <v>-4.4326800000000004</v>
      </c>
      <c r="F312">
        <v>-6.2432699999999999</v>
      </c>
      <c r="G312" s="1">
        <v>-4.3732637907260496</v>
      </c>
      <c r="H312" s="1">
        <v>-6.1843349171220297</v>
      </c>
      <c r="I312">
        <f>VLOOKUP(C312,'[1]phenotypes-895'!$A$2:$G$896,7,FALSE)</f>
        <v>37</v>
      </c>
      <c r="J312" s="1">
        <v>9.4920199999999996E-2</v>
      </c>
      <c r="K312" s="1">
        <f>VLOOKUP(C312,'[1]phenotypes-895'!$A$2:$I$896,9,FALSE)</f>
        <v>1.100893570923599</v>
      </c>
      <c r="L312" s="1">
        <v>-6.8088099999999999E-2</v>
      </c>
      <c r="M312" s="4">
        <v>3.887363815099091</v>
      </c>
      <c r="N312" s="1">
        <v>-1.4659200000000001E-2</v>
      </c>
      <c r="O312" s="8">
        <v>1</v>
      </c>
      <c r="P312" s="1">
        <v>0.145982</v>
      </c>
      <c r="Q312" s="6">
        <v>1.1970000000000001</v>
      </c>
      <c r="R312" s="1">
        <v>5.4114500000000003E-2</v>
      </c>
      <c r="S312" s="7">
        <v>0.06</v>
      </c>
    </row>
    <row r="313" spans="1:19" x14ac:dyDescent="0.2">
      <c r="A313">
        <v>312</v>
      </c>
      <c r="B313">
        <v>22</v>
      </c>
      <c r="C313" t="s">
        <v>311</v>
      </c>
      <c r="D313" s="13" t="s">
        <v>913</v>
      </c>
      <c r="E313" s="1">
        <v>1.9293100000000001</v>
      </c>
      <c r="F313">
        <v>2.0030199999999998</v>
      </c>
      <c r="G313" s="1">
        <v>1.9299330726741599</v>
      </c>
      <c r="H313" s="1">
        <v>1.9996668153239301</v>
      </c>
      <c r="I313">
        <f>VLOOKUP(C313,'[1]phenotypes-895'!$A$2:$G$896,7,FALSE)</f>
        <v>61</v>
      </c>
      <c r="J313" s="1">
        <v>-9.0685999999999996E-3</v>
      </c>
      <c r="K313" s="1">
        <f>VLOOKUP(C313,'[1]phenotypes-895'!$A$2:$I$896,9,FALSE)</f>
        <v>0.61586817346381106</v>
      </c>
      <c r="L313" s="1">
        <v>0.111142</v>
      </c>
      <c r="M313" s="4">
        <v>4.5114882783653814</v>
      </c>
      <c r="N313" s="1">
        <v>-3.9993299999999997E-3</v>
      </c>
      <c r="O313" s="8">
        <v>1</v>
      </c>
      <c r="P313" s="1">
        <v>0.15896199999999999</v>
      </c>
      <c r="Q313">
        <v>1.242</v>
      </c>
      <c r="R313" s="1">
        <v>5.5909199999999999E-2</v>
      </c>
      <c r="S313" s="2">
        <v>7.0000000000000007E-2</v>
      </c>
    </row>
    <row r="314" spans="1:19" x14ac:dyDescent="0.2">
      <c r="A314">
        <v>313</v>
      </c>
      <c r="B314">
        <v>3</v>
      </c>
      <c r="C314" t="s">
        <v>312</v>
      </c>
      <c r="D314" s="12" t="s">
        <v>913</v>
      </c>
      <c r="E314" s="1">
        <v>-2.5398299999999998</v>
      </c>
      <c r="F314">
        <v>-5.0431999999999997</v>
      </c>
      <c r="G314" s="1">
        <v>-2.5664778594406799</v>
      </c>
      <c r="H314" s="1">
        <v>-5.0744291866684499</v>
      </c>
      <c r="I314">
        <f>VLOOKUP(C314,'[1]phenotypes-895'!$A$2:$G$896,7,FALSE)</f>
        <v>50</v>
      </c>
      <c r="J314" s="1">
        <v>2.88829E-2</v>
      </c>
      <c r="K314" s="1">
        <f>VLOOKUP(C314,'[1]phenotypes-895'!$A$2:$I$896,9,FALSE)</f>
        <v>0.82672457465486371</v>
      </c>
      <c r="L314" s="1">
        <v>-0.12175999999999999</v>
      </c>
      <c r="M314" s="4">
        <v>4.1850034463305628</v>
      </c>
      <c r="N314" s="1">
        <v>1.66504E-3</v>
      </c>
      <c r="O314" s="8">
        <v>1</v>
      </c>
      <c r="P314" s="1">
        <v>-1.1003300000000001E-2</v>
      </c>
      <c r="Q314" s="6">
        <v>0.75600000000000001</v>
      </c>
      <c r="R314" s="1">
        <v>2.3648900000000001E-3</v>
      </c>
      <c r="S314" s="7">
        <v>-0.09</v>
      </c>
    </row>
    <row r="315" spans="1:19" x14ac:dyDescent="0.2">
      <c r="A315">
        <v>314</v>
      </c>
      <c r="B315">
        <v>39</v>
      </c>
      <c r="C315" t="s">
        <v>313</v>
      </c>
      <c r="D315" s="13" t="s">
        <v>913</v>
      </c>
      <c r="E315" s="1">
        <v>4.8824399999999999</v>
      </c>
      <c r="F315">
        <v>4.2800200000000004</v>
      </c>
      <c r="G315" s="1">
        <v>4.93914967544075</v>
      </c>
      <c r="H315" s="1">
        <v>4.3537348750087004</v>
      </c>
      <c r="I315">
        <f>VLOOKUP(C315,'[1]phenotypes-895'!$A$2:$G$896,7,FALSE)</f>
        <v>98</v>
      </c>
      <c r="J315" s="1">
        <v>-8.9521400000000001E-2</v>
      </c>
      <c r="K315" s="1">
        <f>VLOOKUP(C315,'[1]phenotypes-895'!$A$2:$I$896,9,FALSE)</f>
        <v>0</v>
      </c>
      <c r="L315" s="1">
        <v>-3.2012499999999999E-2</v>
      </c>
      <c r="M315" s="4">
        <v>0</v>
      </c>
      <c r="N315" s="1">
        <v>-3.4882000000000003E-2</v>
      </c>
      <c r="O315" s="8">
        <v>0</v>
      </c>
      <c r="P315" s="1">
        <v>4.6701800000000002E-2</v>
      </c>
      <c r="Q315">
        <v>0.84199999999999997</v>
      </c>
      <c r="R315" s="1">
        <v>1.8556099999999999E-2</v>
      </c>
      <c r="S315" s="2">
        <v>-0.06</v>
      </c>
    </row>
    <row r="316" spans="1:19" x14ac:dyDescent="0.2">
      <c r="A316">
        <v>315</v>
      </c>
      <c r="B316">
        <v>5</v>
      </c>
      <c r="C316" t="s">
        <v>314</v>
      </c>
      <c r="D316" s="12" t="s">
        <v>913</v>
      </c>
      <c r="E316" s="1">
        <v>-6.8602699999999999</v>
      </c>
      <c r="F316">
        <v>-9.6665399999999995</v>
      </c>
      <c r="G316" s="1">
        <v>-6.5719667006471303</v>
      </c>
      <c r="H316" s="1">
        <v>-9.3344704636122202</v>
      </c>
      <c r="I316">
        <f>VLOOKUP(C316,'[1]phenotypes-895'!$A$2:$G$896,7,FALSE)</f>
        <v>98</v>
      </c>
      <c r="J316" s="1">
        <v>8.4599999999999995E-2</v>
      </c>
      <c r="K316" s="1">
        <f>VLOOKUP(C316,'[1]phenotypes-895'!$A$2:$I$896,9,FALSE)</f>
        <v>0</v>
      </c>
      <c r="L316" s="1">
        <v>0.116407</v>
      </c>
      <c r="M316" s="4">
        <v>0</v>
      </c>
      <c r="N316" s="1">
        <v>2.15675E-2</v>
      </c>
      <c r="O316" s="8">
        <v>0</v>
      </c>
      <c r="P316" s="1">
        <v>-8.0898300000000006E-2</v>
      </c>
      <c r="Q316" s="6">
        <v>6.4000000000000001E-2</v>
      </c>
      <c r="R316" s="1">
        <v>-0.11795700000000001</v>
      </c>
      <c r="S316" s="7">
        <v>-0.9</v>
      </c>
    </row>
    <row r="317" spans="1:19" x14ac:dyDescent="0.2">
      <c r="A317">
        <v>316</v>
      </c>
      <c r="B317">
        <v>40</v>
      </c>
      <c r="C317" t="s">
        <v>315</v>
      </c>
      <c r="D317" s="13" t="s">
        <v>913</v>
      </c>
      <c r="E317" s="1">
        <v>-1.8746499999999999</v>
      </c>
      <c r="F317">
        <v>-2.4775299999999998</v>
      </c>
      <c r="G317" s="1">
        <v>-1.89391836588534</v>
      </c>
      <c r="H317" s="1">
        <v>-2.50281268174647</v>
      </c>
      <c r="I317">
        <f>VLOOKUP(C317,'[1]phenotypes-895'!$A$2:$G$896,7,FALSE)</f>
        <v>68</v>
      </c>
      <c r="J317" s="1">
        <v>6.7966399999999996E-2</v>
      </c>
      <c r="K317" s="1">
        <f>VLOOKUP(C317,'[1]phenotypes-895'!$A$2:$I$896,9,FALSE)</f>
        <v>0.50289665903625924</v>
      </c>
      <c r="L317" s="1">
        <v>-1.13827E-3</v>
      </c>
      <c r="M317" s="4">
        <v>4.1721439288774667</v>
      </c>
      <c r="N317" s="1">
        <v>2.1776899999999998E-2</v>
      </c>
      <c r="O317" s="8">
        <v>1</v>
      </c>
      <c r="P317" s="1">
        <v>9.3151399999999995E-2</v>
      </c>
      <c r="Q317">
        <v>1.117</v>
      </c>
      <c r="R317" s="1">
        <v>4.6094000000000003E-2</v>
      </c>
      <c r="S317" s="2">
        <v>0.03</v>
      </c>
    </row>
    <row r="318" spans="1:19" x14ac:dyDescent="0.2">
      <c r="A318">
        <v>317</v>
      </c>
      <c r="B318">
        <v>16</v>
      </c>
      <c r="C318" t="s">
        <v>316</v>
      </c>
      <c r="D318" s="12" t="s">
        <v>912</v>
      </c>
      <c r="E318" s="1">
        <v>-7.4740599999999997</v>
      </c>
      <c r="F318">
        <v>-7.4114000000000004</v>
      </c>
      <c r="G318" s="1">
        <v>-7.5943394849981098</v>
      </c>
      <c r="H318" s="1">
        <v>-7.54335571136206</v>
      </c>
      <c r="I318">
        <f>VLOOKUP(C318,'[1]phenotypes-895'!$A$2:$G$896,7,FALSE)</f>
        <v>49</v>
      </c>
      <c r="J318" s="1">
        <v>4.7062100000000003E-2</v>
      </c>
      <c r="K318" s="1">
        <f>VLOOKUP(C318,'[1]phenotypes-895'!$A$2:$I$896,9,FALSE)</f>
        <v>0.62137223526769214</v>
      </c>
      <c r="L318" s="1">
        <v>-3.3109699999999999E-2</v>
      </c>
      <c r="M318" s="4">
        <v>4.0673316041270278</v>
      </c>
      <c r="N318" s="1">
        <v>9.5882799999999994E-3</v>
      </c>
      <c r="O318" s="8">
        <v>1</v>
      </c>
      <c r="P318" s="1">
        <v>3.5904100000000001E-2</v>
      </c>
      <c r="Q318" s="6">
        <v>0.83099999999999996</v>
      </c>
      <c r="R318" s="1">
        <v>2.0108500000000001E-2</v>
      </c>
      <c r="S318" s="7">
        <v>-0.06</v>
      </c>
    </row>
    <row r="319" spans="1:19" x14ac:dyDescent="0.2">
      <c r="A319">
        <v>318</v>
      </c>
      <c r="B319">
        <v>9</v>
      </c>
      <c r="C319" t="s">
        <v>317</v>
      </c>
      <c r="D319" s="12" t="s">
        <v>912</v>
      </c>
      <c r="E319" s="1">
        <v>-1.20211</v>
      </c>
      <c r="F319">
        <v>-1.0369299999999999</v>
      </c>
      <c r="G319" s="1">
        <v>-1.1005719195050401</v>
      </c>
      <c r="H319" s="1">
        <v>-0.92828603191967296</v>
      </c>
      <c r="I319">
        <f>VLOOKUP(C319,'[1]phenotypes-895'!$A$2:$G$896,7,FALSE)</f>
        <v>98</v>
      </c>
      <c r="J319" s="1">
        <v>5.1156200000000004E-3</v>
      </c>
      <c r="K319" s="1">
        <f>VLOOKUP(C319,'[1]phenotypes-895'!$A$2:$I$896,9,FALSE)</f>
        <v>0</v>
      </c>
      <c r="L319" s="1">
        <v>4.0323100000000001E-2</v>
      </c>
      <c r="M319" s="4">
        <v>0</v>
      </c>
      <c r="N319" s="1">
        <v>-6.1671499999999997E-3</v>
      </c>
      <c r="O319" s="8">
        <v>0</v>
      </c>
      <c r="P319" s="1">
        <v>-1.47046E-2</v>
      </c>
      <c r="Q319" s="6">
        <v>1.0660000000000001</v>
      </c>
      <c r="R319" s="1">
        <v>-4.5008599999999998E-3</v>
      </c>
      <c r="S319" s="7">
        <v>0.02</v>
      </c>
    </row>
    <row r="320" spans="1:19" x14ac:dyDescent="0.2">
      <c r="A320">
        <v>319</v>
      </c>
      <c r="B320">
        <v>3</v>
      </c>
      <c r="C320" t="s">
        <v>318</v>
      </c>
      <c r="D320" s="12" t="s">
        <v>913</v>
      </c>
      <c r="E320" s="1">
        <v>-0.150815</v>
      </c>
      <c r="F320">
        <v>-2.7656999999999998</v>
      </c>
      <c r="G320" s="1">
        <v>-0.223307567508506</v>
      </c>
      <c r="H320" s="1">
        <v>-2.8444793129886499</v>
      </c>
      <c r="I320">
        <f>VLOOKUP(C320,'[1]phenotypes-895'!$A$2:$G$896,7,FALSE)</f>
        <v>64</v>
      </c>
      <c r="J320" s="1">
        <v>8.5729900000000008E-3</v>
      </c>
      <c r="K320" s="1">
        <f>VLOOKUP(C320,'[1]phenotypes-895'!$A$2:$I$896,9,FALSE)</f>
        <v>0.74614334795276205</v>
      </c>
      <c r="L320" s="1">
        <v>-1.20456E-2</v>
      </c>
      <c r="M320" s="4">
        <v>5.0291809438760975</v>
      </c>
      <c r="N320" s="1">
        <v>5.4812200000000002E-3</v>
      </c>
      <c r="O320" s="8">
        <v>1</v>
      </c>
      <c r="P320" s="1">
        <v>6.5712900000000005E-2</v>
      </c>
      <c r="Q320" s="6">
        <v>0.86099999999999999</v>
      </c>
      <c r="R320" s="1">
        <v>3.30663E-2</v>
      </c>
      <c r="S320" s="7">
        <v>-0.05</v>
      </c>
    </row>
    <row r="321" spans="1:19" x14ac:dyDescent="0.2">
      <c r="A321">
        <v>320</v>
      </c>
      <c r="B321">
        <v>8</v>
      </c>
      <c r="C321" t="s">
        <v>319</v>
      </c>
      <c r="D321" s="12" t="s">
        <v>913</v>
      </c>
      <c r="E321" s="1">
        <v>5.4950700000000001</v>
      </c>
      <c r="F321">
        <v>4.1447700000000003</v>
      </c>
      <c r="G321" s="1">
        <v>5.4447044291841902</v>
      </c>
      <c r="H321" s="1">
        <v>4.0920339499113503</v>
      </c>
      <c r="I321">
        <f>VLOOKUP(C321,'[1]phenotypes-895'!$A$2:$G$896,7,FALSE)</f>
        <v>98</v>
      </c>
      <c r="J321" s="1">
        <v>-3.1860800000000002E-2</v>
      </c>
      <c r="K321" s="1">
        <f>VLOOKUP(C321,'[1]phenotypes-895'!$A$2:$I$896,9,FALSE)</f>
        <v>0.31580077526682099</v>
      </c>
      <c r="L321" s="1">
        <v>8.3130399999999993E-2</v>
      </c>
      <c r="M321" s="4">
        <v>3.9198381413404739</v>
      </c>
      <c r="N321" s="1">
        <v>-6.9621199999999996E-3</v>
      </c>
      <c r="O321" s="8">
        <v>1</v>
      </c>
      <c r="P321" s="1">
        <v>2.7963100000000001E-2</v>
      </c>
      <c r="Q321" s="6">
        <v>0.89100000000000001</v>
      </c>
      <c r="R321" s="1">
        <v>1.7262E-2</v>
      </c>
      <c r="S321" s="7">
        <v>-0.04</v>
      </c>
    </row>
    <row r="322" spans="1:19" x14ac:dyDescent="0.2">
      <c r="A322">
        <v>321</v>
      </c>
      <c r="B322">
        <v>20</v>
      </c>
      <c r="C322" t="s">
        <v>320</v>
      </c>
      <c r="D322" s="12" t="s">
        <v>912</v>
      </c>
      <c r="E322" s="1">
        <v>-2.8936299999999999</v>
      </c>
      <c r="F322">
        <v>-1.60589</v>
      </c>
      <c r="G322" s="1">
        <v>-2.74377006899471</v>
      </c>
      <c r="H322" s="1">
        <v>-1.46659234045177</v>
      </c>
      <c r="I322">
        <f>VLOOKUP(C322,'[1]phenotypes-895'!$A$2:$G$896,7,FALSE)</f>
        <v>72</v>
      </c>
      <c r="J322" s="1">
        <v>4.0051999999999997E-2</v>
      </c>
      <c r="K322" s="1">
        <f>VLOOKUP(C322,'[1]phenotypes-895'!$A$2:$I$896,9,FALSE)</f>
        <v>0.60340133589288314</v>
      </c>
      <c r="L322" s="1">
        <v>9.7298499999999996E-2</v>
      </c>
      <c r="M322" s="4">
        <v>5.2609514505363375</v>
      </c>
      <c r="N322" s="1">
        <v>3.3878699999999998E-2</v>
      </c>
      <c r="O322" s="8">
        <v>1</v>
      </c>
      <c r="P322" s="1">
        <v>-8.0274200000000004E-2</v>
      </c>
      <c r="Q322" s="6">
        <v>0.99099999999999999</v>
      </c>
      <c r="R322" s="1">
        <v>-3.1434999999999998E-2</v>
      </c>
      <c r="S322" s="7">
        <v>0</v>
      </c>
    </row>
    <row r="323" spans="1:19" x14ac:dyDescent="0.2">
      <c r="A323">
        <v>322</v>
      </c>
      <c r="B323">
        <v>11</v>
      </c>
      <c r="C323" t="s">
        <v>321</v>
      </c>
      <c r="D323" s="12" t="s">
        <v>912</v>
      </c>
      <c r="E323" s="1">
        <v>-8.0095299999999998</v>
      </c>
      <c r="F323">
        <v>-7.8420100000000001</v>
      </c>
      <c r="G323" s="1">
        <v>-8.0427826473516308</v>
      </c>
      <c r="H323" s="1">
        <v>-7.8748929741171896</v>
      </c>
      <c r="I323">
        <f>VLOOKUP(C323,'[1]phenotypes-895'!$A$2:$G$896,7,FALSE)</f>
        <v>53</v>
      </c>
      <c r="J323" s="1">
        <v>4.3696499999999999E-2</v>
      </c>
      <c r="K323" s="1">
        <f>VLOOKUP(C323,'[1]phenotypes-895'!$A$2:$I$896,9,FALSE)</f>
        <v>9.8324846625533993E-2</v>
      </c>
      <c r="L323" s="1">
        <v>0.246446</v>
      </c>
      <c r="M323" s="4">
        <v>3.0660281761986035</v>
      </c>
      <c r="N323" s="1">
        <v>1.8231899999999999E-2</v>
      </c>
      <c r="O323" s="8">
        <v>1</v>
      </c>
      <c r="P323" s="1">
        <v>-3.8479699999999999E-2</v>
      </c>
      <c r="Q323" s="6">
        <v>0.94299999999999995</v>
      </c>
      <c r="R323" s="1">
        <v>-4.6723199999999998E-3</v>
      </c>
      <c r="S323" s="7">
        <v>-0.02</v>
      </c>
    </row>
    <row r="324" spans="1:19" x14ac:dyDescent="0.2">
      <c r="A324">
        <v>323</v>
      </c>
      <c r="B324">
        <v>4</v>
      </c>
      <c r="C324" t="s">
        <v>322</v>
      </c>
      <c r="D324" s="12" t="s">
        <v>913</v>
      </c>
      <c r="E324" s="1">
        <v>-1.58585</v>
      </c>
      <c r="F324">
        <v>-3.4772099999999999</v>
      </c>
      <c r="G324" s="1">
        <v>-1.4508864070426499</v>
      </c>
      <c r="H324" s="1">
        <v>-3.3197830291798001</v>
      </c>
      <c r="I324">
        <f>VLOOKUP(C324,'[1]phenotypes-895'!$A$2:$G$896,7,FALSE)</f>
        <v>98</v>
      </c>
      <c r="J324" s="1">
        <v>5.7411499999999997E-2</v>
      </c>
      <c r="K324" s="1">
        <f>VLOOKUP(C324,'[1]phenotypes-895'!$A$2:$I$896,9,FALSE)</f>
        <v>0</v>
      </c>
      <c r="L324" s="1">
        <v>4.5915600000000001E-2</v>
      </c>
      <c r="M324" s="4">
        <v>0</v>
      </c>
      <c r="N324" s="1">
        <v>1.1128300000000001E-2</v>
      </c>
      <c r="O324" s="8">
        <v>0</v>
      </c>
      <c r="P324" s="1">
        <v>4.1842800000000003E-3</v>
      </c>
      <c r="Q324" s="6">
        <v>0.92900000000000005</v>
      </c>
      <c r="R324" s="1">
        <v>7.5508600000000004E-3</v>
      </c>
      <c r="S324" s="7">
        <v>-0.02</v>
      </c>
    </row>
    <row r="325" spans="1:19" x14ac:dyDescent="0.2">
      <c r="A325">
        <v>324</v>
      </c>
      <c r="B325">
        <v>8</v>
      </c>
      <c r="C325" t="s">
        <v>323</v>
      </c>
      <c r="D325" s="12" t="s">
        <v>913</v>
      </c>
      <c r="E325" s="1">
        <v>-2.9443600000000001</v>
      </c>
      <c r="F325">
        <v>-4.2028999999999996</v>
      </c>
      <c r="G325" s="1">
        <v>-2.9044815654875298</v>
      </c>
      <c r="H325" s="1">
        <v>-4.1593547766130303</v>
      </c>
      <c r="I325">
        <f>VLOOKUP(C325,'[1]phenotypes-895'!$A$2:$G$896,7,FALSE)</f>
        <v>53</v>
      </c>
      <c r="J325" s="1">
        <v>2.2459199999999999E-2</v>
      </c>
      <c r="K325" s="1">
        <f>VLOOKUP(C325,'[1]phenotypes-895'!$A$2:$I$896,9,FALSE)</f>
        <v>0.43929368558964349</v>
      </c>
      <c r="L325" s="1">
        <v>8.7987999999999997E-2</v>
      </c>
      <c r="M325" s="4">
        <v>4.0626938418592458</v>
      </c>
      <c r="N325" s="1">
        <v>9.6323499999999996E-3</v>
      </c>
      <c r="O325" s="8">
        <v>1</v>
      </c>
      <c r="P325" s="1">
        <v>6.6912399999999997E-2</v>
      </c>
      <c r="Q325" s="6">
        <v>1.093</v>
      </c>
      <c r="R325" s="1">
        <v>2.73476E-2</v>
      </c>
      <c r="S325" s="7">
        <v>0.03</v>
      </c>
    </row>
    <row r="326" spans="1:19" x14ac:dyDescent="0.2">
      <c r="A326">
        <v>325</v>
      </c>
      <c r="B326">
        <v>5</v>
      </c>
      <c r="C326" t="s">
        <v>324</v>
      </c>
      <c r="D326" s="12" t="s">
        <v>913</v>
      </c>
      <c r="E326" s="1">
        <v>-6.9304399999999999</v>
      </c>
      <c r="F326">
        <v>-9.2909100000000002</v>
      </c>
      <c r="G326" s="1">
        <v>-6.7858545393817797</v>
      </c>
      <c r="H326" s="1">
        <v>-9.1272354917631606</v>
      </c>
      <c r="I326">
        <f>VLOOKUP(C326,'[1]phenotypes-895'!$A$2:$G$896,7,FALSE)</f>
        <v>57</v>
      </c>
      <c r="J326" s="1">
        <v>0.13822599999999999</v>
      </c>
      <c r="K326" s="1">
        <f>VLOOKUP(C326,'[1]phenotypes-895'!$A$2:$I$896,9,FALSE)</f>
        <v>0.86795962397042892</v>
      </c>
      <c r="L326" s="1">
        <v>0.108588</v>
      </c>
      <c r="M326" s="4">
        <v>4.734265920573705</v>
      </c>
      <c r="N326" s="1">
        <v>3.3855499999999997E-2</v>
      </c>
      <c r="O326" s="8">
        <v>1</v>
      </c>
      <c r="P326" s="1">
        <v>6.8338599999999999E-2</v>
      </c>
      <c r="Q326" s="6">
        <v>1.137</v>
      </c>
      <c r="R326" s="1">
        <v>1.45725E-2</v>
      </c>
      <c r="S326" s="7">
        <v>0.04</v>
      </c>
    </row>
    <row r="327" spans="1:19" x14ac:dyDescent="0.2">
      <c r="A327">
        <v>326</v>
      </c>
      <c r="B327">
        <v>16</v>
      </c>
      <c r="C327" t="s">
        <v>325</v>
      </c>
      <c r="D327" s="12" t="s">
        <v>912</v>
      </c>
      <c r="E327" s="1">
        <v>-8.8287999999999993</v>
      </c>
      <c r="F327">
        <v>-8.6996900000000004</v>
      </c>
      <c r="G327" s="1">
        <v>-8.8585123311067004</v>
      </c>
      <c r="H327" s="1">
        <v>-8.7249637936794606</v>
      </c>
      <c r="I327">
        <f>VLOOKUP(C327,'[1]phenotypes-895'!$A$2:$G$896,7,FALSE)</f>
        <v>61</v>
      </c>
      <c r="J327" s="1">
        <v>6.7131800000000005E-2</v>
      </c>
      <c r="K327" s="1">
        <f>VLOOKUP(C327,'[1]phenotypes-895'!$A$2:$I$896,9,FALSE)</f>
        <v>0.4228228987715944</v>
      </c>
      <c r="L327" s="1">
        <v>-4.23037E-2</v>
      </c>
      <c r="M327" s="4">
        <v>3.9445120153030615</v>
      </c>
      <c r="N327" s="1">
        <v>2.05527E-2</v>
      </c>
      <c r="O327" s="8">
        <v>1</v>
      </c>
      <c r="P327" s="1">
        <v>0.141295</v>
      </c>
      <c r="Q327" s="6">
        <v>1.2110000000000001</v>
      </c>
      <c r="R327" s="1">
        <v>5.14347E-2</v>
      </c>
      <c r="S327" s="7">
        <v>0.06</v>
      </c>
    </row>
    <row r="328" spans="1:19" x14ac:dyDescent="0.2">
      <c r="A328">
        <v>327</v>
      </c>
      <c r="B328">
        <v>17</v>
      </c>
      <c r="C328" t="s">
        <v>326</v>
      </c>
      <c r="D328" s="12" t="s">
        <v>912</v>
      </c>
      <c r="E328" s="1">
        <v>-7.4250499999999997</v>
      </c>
      <c r="F328">
        <v>-7.2861000000000002</v>
      </c>
      <c r="G328" s="1">
        <v>-7.4506457635752303</v>
      </c>
      <c r="H328" s="1">
        <v>-7.31687681413747</v>
      </c>
      <c r="I328">
        <f>VLOOKUP(C328,'[1]phenotypes-895'!$A$2:$G$896,7,FALSE)</f>
        <v>53</v>
      </c>
      <c r="J328" s="1">
        <v>9.1384800000000002E-2</v>
      </c>
      <c r="K328" s="1">
        <f>VLOOKUP(C328,'[1]phenotypes-895'!$A$2:$I$896,9,FALSE)</f>
        <v>0.72993978729152365</v>
      </c>
      <c r="L328" s="1">
        <v>-8.1373100000000004E-2</v>
      </c>
      <c r="M328" s="4">
        <v>3.9340582819575016</v>
      </c>
      <c r="N328" s="1">
        <v>9.7058500000000002E-3</v>
      </c>
      <c r="O328" s="8">
        <v>1</v>
      </c>
      <c r="P328" s="1">
        <v>5.41086E-2</v>
      </c>
      <c r="Q328" s="6">
        <v>1.0920000000000001</v>
      </c>
      <c r="R328" s="1">
        <v>2.2325500000000002E-2</v>
      </c>
      <c r="S328" s="7">
        <v>0.03</v>
      </c>
    </row>
    <row r="329" spans="1:19" x14ac:dyDescent="0.2">
      <c r="A329">
        <v>328</v>
      </c>
      <c r="B329">
        <v>5</v>
      </c>
      <c r="C329" t="s">
        <v>327</v>
      </c>
      <c r="D329" s="12" t="s">
        <v>913</v>
      </c>
      <c r="E329" s="1">
        <v>-7.6668799999999999</v>
      </c>
      <c r="F329">
        <v>-10.509399999999999</v>
      </c>
      <c r="G329" s="1">
        <v>-7.6707948997212299</v>
      </c>
      <c r="H329" s="1">
        <v>-10.522486401954501</v>
      </c>
      <c r="I329">
        <f>VLOOKUP(C329,'[1]phenotypes-895'!$A$2:$G$896,7,FALSE)</f>
        <v>62</v>
      </c>
      <c r="J329" s="1">
        <v>9.5762299999999995E-2</v>
      </c>
      <c r="K329" s="1">
        <f>VLOOKUP(C329,'[1]phenotypes-895'!$A$2:$I$896,9,FALSE)</f>
        <v>0.5703746497584119</v>
      </c>
      <c r="L329" s="1">
        <v>8.4451200000000004E-2</v>
      </c>
      <c r="M329" s="4">
        <v>4.1485417543356098</v>
      </c>
      <c r="N329" s="1">
        <v>3.2994000000000002E-2</v>
      </c>
      <c r="O329" s="8">
        <v>1</v>
      </c>
      <c r="P329" s="1">
        <v>2.4753600000000001E-2</v>
      </c>
      <c r="Q329" s="6">
        <v>0.85</v>
      </c>
      <c r="R329" s="1">
        <v>-7.4717500000000001E-3</v>
      </c>
      <c r="S329" s="7">
        <v>-0.05</v>
      </c>
    </row>
    <row r="330" spans="1:19" x14ac:dyDescent="0.2">
      <c r="A330">
        <v>329</v>
      </c>
      <c r="B330">
        <v>13</v>
      </c>
      <c r="C330" t="s">
        <v>328</v>
      </c>
      <c r="D330" s="12" t="s">
        <v>912</v>
      </c>
      <c r="E330" s="1">
        <v>-3.05586</v>
      </c>
      <c r="F330">
        <v>-2.5463499999999999</v>
      </c>
      <c r="G330" s="1">
        <v>-3.0115893570366699</v>
      </c>
      <c r="H330" s="1">
        <v>-2.4968712697222299</v>
      </c>
      <c r="I330">
        <f>VLOOKUP(C330,'[1]phenotypes-895'!$A$2:$G$896,7,FALSE)</f>
        <v>98</v>
      </c>
      <c r="J330" s="1">
        <v>5.5215100000000003E-2</v>
      </c>
      <c r="K330" s="1">
        <f>VLOOKUP(C330,'[1]phenotypes-895'!$A$2:$I$896,9,FALSE)</f>
        <v>0</v>
      </c>
      <c r="L330" s="1">
        <v>1.8192699999999999E-2</v>
      </c>
      <c r="M330" s="4">
        <v>0</v>
      </c>
      <c r="N330" s="1">
        <v>-1.3152799999999999E-2</v>
      </c>
      <c r="O330" s="8">
        <v>0</v>
      </c>
      <c r="P330" s="1">
        <v>-4.2144500000000001E-2</v>
      </c>
      <c r="Q330" s="6">
        <v>0.91500000000000004</v>
      </c>
      <c r="R330" s="1">
        <v>-1.41151E-2</v>
      </c>
      <c r="S330" s="7">
        <v>-0.03</v>
      </c>
    </row>
    <row r="331" spans="1:19" x14ac:dyDescent="0.2">
      <c r="A331">
        <v>330</v>
      </c>
      <c r="B331">
        <v>1</v>
      </c>
      <c r="C331" t="s">
        <v>329</v>
      </c>
      <c r="D331" s="12" t="s">
        <v>913</v>
      </c>
      <c r="E331" s="1">
        <v>-3.5916800000000002</v>
      </c>
      <c r="F331">
        <v>-5.2907700000000002</v>
      </c>
      <c r="G331" s="1">
        <v>-3.52538893567568</v>
      </c>
      <c r="H331" s="1">
        <v>-5.2136560022460703</v>
      </c>
      <c r="I331">
        <f>VLOOKUP(C331,'[1]phenotypes-895'!$A$2:$G$896,7,FALSE)</f>
        <v>48</v>
      </c>
      <c r="J331" s="1">
        <v>6.2504699999999996E-2</v>
      </c>
      <c r="K331" s="1">
        <f>VLOOKUP(C331,'[1]phenotypes-895'!$A$2:$I$896,9,FALSE)</f>
        <v>1.0710173662461711</v>
      </c>
      <c r="L331" s="1">
        <v>-7.1029900000000007E-2</v>
      </c>
      <c r="M331" s="4">
        <v>4.5597463900913473</v>
      </c>
      <c r="N331" s="1">
        <v>-1.8305200000000001E-2</v>
      </c>
      <c r="O331" s="8">
        <v>1</v>
      </c>
      <c r="P331" s="1">
        <v>0.13670099999999999</v>
      </c>
      <c r="Q331" s="6">
        <v>1.0589999999999999</v>
      </c>
      <c r="R331" s="1">
        <v>5.1866799999999998E-2</v>
      </c>
      <c r="S331" s="7">
        <v>0.02</v>
      </c>
    </row>
    <row r="332" spans="1:19" x14ac:dyDescent="0.2">
      <c r="A332">
        <v>331</v>
      </c>
      <c r="B332">
        <v>9</v>
      </c>
      <c r="C332" t="s">
        <v>330</v>
      </c>
      <c r="D332" s="12" t="s">
        <v>912</v>
      </c>
      <c r="E332" s="1">
        <v>5.1863300000000003E-3</v>
      </c>
      <c r="F332">
        <v>0.86906700000000003</v>
      </c>
      <c r="G332" s="1">
        <v>3.01965426052304E-2</v>
      </c>
      <c r="H332" s="1">
        <v>0.89943391930607297</v>
      </c>
      <c r="I332">
        <f>VLOOKUP(C332,'[1]phenotypes-895'!$A$2:$G$896,7,FALSE)</f>
        <v>98</v>
      </c>
      <c r="J332" s="1">
        <v>-2.9474400000000001E-2</v>
      </c>
      <c r="K332" s="1">
        <f>VLOOKUP(C332,'[1]phenotypes-895'!$A$2:$I$896,9,FALSE)</f>
        <v>0</v>
      </c>
      <c r="L332" s="1">
        <v>-1.0020100000000001E-2</v>
      </c>
      <c r="M332" s="4">
        <v>0</v>
      </c>
      <c r="N332" s="1">
        <v>-2.52987E-2</v>
      </c>
      <c r="O332" s="8">
        <v>0</v>
      </c>
      <c r="P332" s="1">
        <v>4.7694899999999998E-2</v>
      </c>
      <c r="Q332" s="6">
        <v>1.123</v>
      </c>
      <c r="R332" s="1">
        <v>2.1428200000000001E-2</v>
      </c>
      <c r="S332" s="7">
        <v>0.04</v>
      </c>
    </row>
    <row r="333" spans="1:19" x14ac:dyDescent="0.2">
      <c r="A333">
        <v>332</v>
      </c>
      <c r="B333">
        <v>5</v>
      </c>
      <c r="C333" t="s">
        <v>331</v>
      </c>
      <c r="D333" s="12" t="s">
        <v>913</v>
      </c>
      <c r="E333" s="1">
        <v>-9.2810199999999998</v>
      </c>
      <c r="F333">
        <v>-12.502800000000001</v>
      </c>
      <c r="G333" s="1">
        <v>-9.3295795308114595</v>
      </c>
      <c r="H333" s="1">
        <v>-12.5644024185432</v>
      </c>
      <c r="I333">
        <f>VLOOKUP(C333,'[1]phenotypes-895'!$A$2:$G$896,7,FALSE)</f>
        <v>51</v>
      </c>
      <c r="J333" s="1">
        <v>0.15418499999999999</v>
      </c>
      <c r="K333" s="1">
        <f>VLOOKUP(C333,'[1]phenotypes-895'!$A$2:$I$896,9,FALSE)</f>
        <v>1.0324640095030371</v>
      </c>
      <c r="L333" s="1">
        <v>0.14218900000000001</v>
      </c>
      <c r="M333" s="4">
        <v>4.9822712916924647</v>
      </c>
      <c r="N333" s="1">
        <v>3.2306799999999997E-2</v>
      </c>
      <c r="O333" s="8">
        <v>1</v>
      </c>
      <c r="P333" s="1">
        <v>5.0031100000000002E-2</v>
      </c>
      <c r="Q333" s="6">
        <v>0.94599999999999995</v>
      </c>
      <c r="R333" s="1">
        <v>2.0311599999999999E-2</v>
      </c>
      <c r="S333" s="7">
        <v>-0.02</v>
      </c>
    </row>
    <row r="334" spans="1:19" x14ac:dyDescent="0.2">
      <c r="A334">
        <v>333</v>
      </c>
      <c r="B334">
        <v>4</v>
      </c>
      <c r="C334" t="s">
        <v>332</v>
      </c>
      <c r="D334" s="12" t="s">
        <v>913</v>
      </c>
      <c r="E334" s="1">
        <v>-4.6402299999999999</v>
      </c>
      <c r="F334">
        <v>-7.2487399999999997</v>
      </c>
      <c r="G334" s="1">
        <v>-4.5332131951600099</v>
      </c>
      <c r="H334" s="1">
        <v>-7.1263139102674904</v>
      </c>
      <c r="I334">
        <f>VLOOKUP(C334,'[1]phenotypes-895'!$A$2:$G$896,7,FALSE)</f>
        <v>62</v>
      </c>
      <c r="J334" s="1">
        <v>0.120604</v>
      </c>
      <c r="K334" s="1">
        <f>VLOOKUP(C334,'[1]phenotypes-895'!$A$2:$I$896,9,FALSE)</f>
        <v>0.67764593981273813</v>
      </c>
      <c r="L334" s="1">
        <v>5.0616099999999997E-2</v>
      </c>
      <c r="M334" s="4">
        <v>4.6061319773132894</v>
      </c>
      <c r="N334" s="1">
        <v>2.4434000000000001E-2</v>
      </c>
      <c r="O334" s="8">
        <v>1</v>
      </c>
      <c r="P334" s="1">
        <v>-6.9891700000000003E-3</v>
      </c>
      <c r="Q334" s="6">
        <v>0.86699999999999999</v>
      </c>
      <c r="R334" s="1">
        <v>5.9342800000000001E-3</v>
      </c>
      <c r="S334" s="7">
        <v>-0.05</v>
      </c>
    </row>
    <row r="335" spans="1:19" x14ac:dyDescent="0.2">
      <c r="A335">
        <v>334</v>
      </c>
      <c r="B335">
        <v>4</v>
      </c>
      <c r="C335" t="s">
        <v>333</v>
      </c>
      <c r="D335" s="12" t="s">
        <v>913</v>
      </c>
      <c r="E335" s="1">
        <v>-1.97956</v>
      </c>
      <c r="F335">
        <v>-4.2021600000000001</v>
      </c>
      <c r="G335" s="1">
        <v>-2.01268149394055</v>
      </c>
      <c r="H335" s="1">
        <v>-4.2218148035761702</v>
      </c>
      <c r="I335">
        <f>VLOOKUP(C335,'[1]phenotypes-895'!$A$2:$G$896,7,FALSE)</f>
        <v>80</v>
      </c>
      <c r="J335" s="1">
        <v>9.4840300000000002E-2</v>
      </c>
      <c r="K335" s="1">
        <f>VLOOKUP(C335,'[1]phenotypes-895'!$A$2:$I$896,9,FALSE)</f>
        <v>0.537522350885279</v>
      </c>
      <c r="L335" s="1">
        <v>3.0582499999999999E-2</v>
      </c>
      <c r="M335" s="4">
        <v>4.324941480949466</v>
      </c>
      <c r="N335" s="1">
        <v>2.2863600000000001E-2</v>
      </c>
      <c r="O335" s="8">
        <v>1</v>
      </c>
      <c r="P335" s="1">
        <v>8.4341199999999998E-3</v>
      </c>
      <c r="Q335" s="6">
        <v>1.024</v>
      </c>
      <c r="R335" s="1">
        <v>1.5486700000000001E-2</v>
      </c>
      <c r="S335" s="7">
        <v>0.01</v>
      </c>
    </row>
    <row r="336" spans="1:19" x14ac:dyDescent="0.2">
      <c r="A336">
        <v>335</v>
      </c>
      <c r="B336">
        <v>4</v>
      </c>
      <c r="C336" t="s">
        <v>334</v>
      </c>
      <c r="D336" s="12" t="s">
        <v>913</v>
      </c>
      <c r="E336" s="1">
        <v>-4.3816600000000001</v>
      </c>
      <c r="F336">
        <v>-6.4669299999999996</v>
      </c>
      <c r="G336" s="1">
        <v>-4.2412533144518303</v>
      </c>
      <c r="H336" s="1">
        <v>-6.3043474564004498</v>
      </c>
      <c r="I336">
        <f>VLOOKUP(C336,'[1]phenotypes-895'!$A$2:$G$896,7,FALSE)</f>
        <v>63</v>
      </c>
      <c r="J336" s="1">
        <v>9.6821099999999993E-2</v>
      </c>
      <c r="K336" s="1">
        <f>VLOOKUP(C336,'[1]phenotypes-895'!$A$2:$I$896,9,FALSE)</f>
        <v>0.53417939535017722</v>
      </c>
      <c r="L336" s="1">
        <v>2.0939800000000001E-2</v>
      </c>
      <c r="M336" s="4">
        <v>3.8401142924977605</v>
      </c>
      <c r="N336" s="1">
        <v>2.3485200000000001E-2</v>
      </c>
      <c r="O336" s="8">
        <v>1</v>
      </c>
      <c r="P336" s="1">
        <v>-3.9853100000000002E-2</v>
      </c>
      <c r="Q336" s="6">
        <v>0.77200000000000002</v>
      </c>
      <c r="R336" s="1">
        <v>-1.06827E-2</v>
      </c>
      <c r="S336" s="7">
        <v>-0.09</v>
      </c>
    </row>
    <row r="337" spans="1:19" x14ac:dyDescent="0.2">
      <c r="A337">
        <v>336</v>
      </c>
      <c r="B337">
        <v>4</v>
      </c>
      <c r="C337" t="s">
        <v>335</v>
      </c>
      <c r="D337" s="12" t="s">
        <v>913</v>
      </c>
      <c r="E337" s="1">
        <v>0.36942399999999997</v>
      </c>
      <c r="F337">
        <v>-1.33786</v>
      </c>
      <c r="G337" s="1">
        <v>0.342470375919815</v>
      </c>
      <c r="H337" s="1">
        <v>-1.37454896937658</v>
      </c>
      <c r="I337">
        <f>VLOOKUP(C337,'[1]phenotypes-895'!$A$2:$G$896,7,FALSE)</f>
        <v>98</v>
      </c>
      <c r="J337" s="1">
        <v>2.6854599999999999E-2</v>
      </c>
      <c r="K337" s="1">
        <f>VLOOKUP(C337,'[1]phenotypes-895'!$A$2:$I$896,9,FALSE)</f>
        <v>0</v>
      </c>
      <c r="L337" s="1">
        <v>6.2312599999999998E-3</v>
      </c>
      <c r="M337" s="4">
        <v>0</v>
      </c>
      <c r="N337" s="1">
        <v>1.23085E-2</v>
      </c>
      <c r="O337" s="8">
        <v>0</v>
      </c>
      <c r="P337" s="1">
        <v>2.2840400000000002E-3</v>
      </c>
      <c r="Q337" s="6">
        <v>1.069</v>
      </c>
      <c r="R337" s="1">
        <v>5.1637499999999999E-3</v>
      </c>
      <c r="S337" s="7">
        <v>0.02</v>
      </c>
    </row>
    <row r="338" spans="1:19" x14ac:dyDescent="0.2">
      <c r="A338">
        <v>337</v>
      </c>
      <c r="B338">
        <v>6</v>
      </c>
      <c r="C338" t="s">
        <v>336</v>
      </c>
      <c r="D338" s="12" t="s">
        <v>913</v>
      </c>
      <c r="E338" s="1">
        <v>0.40073700000000001</v>
      </c>
      <c r="F338">
        <v>-1.19994</v>
      </c>
      <c r="G338" s="1">
        <v>0.54776121242807696</v>
      </c>
      <c r="H338" s="1">
        <v>-1.0126031375553299</v>
      </c>
      <c r="I338">
        <f>VLOOKUP(C338,'[1]phenotypes-895'!$A$2:$G$896,7,FALSE)</f>
        <v>98</v>
      </c>
      <c r="J338" s="1">
        <v>-2.3979299999999999E-3</v>
      </c>
      <c r="K338" s="1">
        <f>VLOOKUP(C338,'[1]phenotypes-895'!$A$2:$I$896,9,FALSE)</f>
        <v>0.44270525626822033</v>
      </c>
      <c r="L338" s="1">
        <v>-0.13494200000000001</v>
      </c>
      <c r="M338" s="4">
        <v>3.7207633114530965</v>
      </c>
      <c r="N338" s="1">
        <v>-1.1455099999999999E-2</v>
      </c>
      <c r="O338" s="8">
        <v>1</v>
      </c>
      <c r="P338" s="1">
        <v>8.6005899999999996E-2</v>
      </c>
      <c r="Q338" s="6">
        <v>1.0960000000000001</v>
      </c>
      <c r="R338" s="1">
        <v>3.8434599999999999E-2</v>
      </c>
      <c r="S338" s="7">
        <v>0.03</v>
      </c>
    </row>
    <row r="339" spans="1:19" x14ac:dyDescent="0.2">
      <c r="A339">
        <v>338</v>
      </c>
      <c r="B339">
        <v>8</v>
      </c>
      <c r="C339" t="s">
        <v>337</v>
      </c>
      <c r="D339" s="12" t="s">
        <v>913</v>
      </c>
      <c r="E339" s="1">
        <v>4.0063300000000002</v>
      </c>
      <c r="F339">
        <v>1.95583</v>
      </c>
      <c r="G339" s="1">
        <v>3.9724198822505201</v>
      </c>
      <c r="H339" s="1">
        <v>1.9364441457505099</v>
      </c>
      <c r="I339">
        <f>VLOOKUP(C339,'[1]phenotypes-895'!$A$2:$G$896,7,FALSE)</f>
        <v>76</v>
      </c>
      <c r="J339" s="1">
        <v>-2.4281699999999999E-3</v>
      </c>
      <c r="K339" s="1">
        <f>VLOOKUP(C339,'[1]phenotypes-895'!$A$2:$I$896,9,FALSE)</f>
        <v>0.54720250965131378</v>
      </c>
      <c r="L339" s="1">
        <v>3.61012E-2</v>
      </c>
      <c r="M339" s="4">
        <v>3.9935744342210824</v>
      </c>
      <c r="N339" s="1">
        <v>-1.6722200000000001E-3</v>
      </c>
      <c r="O339" s="8">
        <v>1</v>
      </c>
      <c r="P339" s="1">
        <v>3.4972799999999998E-2</v>
      </c>
      <c r="Q339" s="6">
        <v>0.90100000000000002</v>
      </c>
      <c r="R339" s="1">
        <v>2.4725299999999999E-2</v>
      </c>
      <c r="S339" s="7">
        <v>-0.03</v>
      </c>
    </row>
    <row r="340" spans="1:19" x14ac:dyDescent="0.2">
      <c r="A340">
        <v>339</v>
      </c>
      <c r="B340">
        <v>4</v>
      </c>
      <c r="C340" t="s">
        <v>338</v>
      </c>
      <c r="D340" s="12" t="s">
        <v>913</v>
      </c>
      <c r="E340" s="1">
        <v>-2.8084899999999999</v>
      </c>
      <c r="F340">
        <v>-5.32165</v>
      </c>
      <c r="G340" s="1">
        <v>-2.7871460829435799</v>
      </c>
      <c r="H340" s="1">
        <v>-5.2970022415440798</v>
      </c>
      <c r="I340">
        <f>VLOOKUP(C340,'[1]phenotypes-895'!$A$2:$G$896,7,FALSE)</f>
        <v>62</v>
      </c>
      <c r="J340" s="1">
        <v>3.4728700000000001E-2</v>
      </c>
      <c r="K340" s="1">
        <f>VLOOKUP(C340,'[1]phenotypes-895'!$A$2:$I$896,9,FALSE)</f>
        <v>0.41425091534577269</v>
      </c>
      <c r="L340" s="1">
        <v>-5.1973999999999999E-2</v>
      </c>
      <c r="M340" s="4">
        <v>3.795917788413596</v>
      </c>
      <c r="N340" s="1">
        <v>8.7514499999999992E-3</v>
      </c>
      <c r="O340" s="8">
        <v>1</v>
      </c>
      <c r="P340" s="1">
        <v>1.8856500000000002E-2</v>
      </c>
      <c r="Q340" s="6">
        <v>0.871</v>
      </c>
      <c r="R340" s="1">
        <v>1.44987E-2</v>
      </c>
      <c r="S340" s="7">
        <v>-0.04</v>
      </c>
    </row>
    <row r="341" spans="1:19" x14ac:dyDescent="0.2">
      <c r="A341">
        <v>340</v>
      </c>
      <c r="B341">
        <v>14</v>
      </c>
      <c r="C341" t="s">
        <v>339</v>
      </c>
      <c r="D341" s="12" t="s">
        <v>912</v>
      </c>
      <c r="E341" s="1">
        <v>-1.6227</v>
      </c>
      <c r="F341">
        <v>-2.13198</v>
      </c>
      <c r="G341" s="1">
        <v>-1.60333898414868</v>
      </c>
      <c r="H341" s="1">
        <v>-2.1169272674938702</v>
      </c>
      <c r="I341">
        <f>VLOOKUP(C341,'[1]phenotypes-895'!$A$2:$G$896,7,FALSE)</f>
        <v>74</v>
      </c>
      <c r="J341" s="1">
        <v>7.26276E-2</v>
      </c>
      <c r="K341" s="1">
        <f>VLOOKUP(C341,'[1]phenotypes-895'!$A$2:$I$896,9,FALSE)</f>
        <v>0.48207852557501141</v>
      </c>
      <c r="L341" s="1">
        <v>-7.1921600000000004E-3</v>
      </c>
      <c r="M341" s="4">
        <v>4.7275328570315782</v>
      </c>
      <c r="N341" s="1">
        <v>3.7226500000000003E-2</v>
      </c>
      <c r="O341" s="8">
        <v>1</v>
      </c>
      <c r="P341" s="1">
        <v>2.82752E-2</v>
      </c>
      <c r="Q341" s="6">
        <v>0.79100000000000004</v>
      </c>
      <c r="R341" s="1">
        <v>6.4068099999999998E-3</v>
      </c>
      <c r="S341" s="7">
        <v>-0.08</v>
      </c>
    </row>
    <row r="342" spans="1:19" x14ac:dyDescent="0.2">
      <c r="A342">
        <v>341</v>
      </c>
      <c r="B342">
        <v>3</v>
      </c>
      <c r="C342" t="s">
        <v>340</v>
      </c>
      <c r="D342" s="12" t="s">
        <v>913</v>
      </c>
      <c r="E342" s="1">
        <v>-2.0659900000000002</v>
      </c>
      <c r="F342">
        <v>-4.5352499999999996</v>
      </c>
      <c r="G342" s="1">
        <v>-2.0277591588627599</v>
      </c>
      <c r="H342" s="1">
        <v>-4.5001264191092396</v>
      </c>
      <c r="I342">
        <f>VLOOKUP(C342,'[1]phenotypes-895'!$A$2:$G$896,7,FALSE)</f>
        <v>57</v>
      </c>
      <c r="J342" s="1">
        <v>8.2550100000000001E-2</v>
      </c>
      <c r="K342" s="1">
        <f>VLOOKUP(C342,'[1]phenotypes-895'!$A$2:$I$896,9,FALSE)</f>
        <v>0.86479627211175369</v>
      </c>
      <c r="L342" s="1">
        <v>6.9354999999999998E-3</v>
      </c>
      <c r="M342" s="4">
        <v>4.1385510208323053</v>
      </c>
      <c r="N342" s="1">
        <v>2.1557199999999999E-2</v>
      </c>
      <c r="O342" s="8">
        <v>1</v>
      </c>
      <c r="P342" s="1">
        <v>4.5101000000000004E-3</v>
      </c>
      <c r="Q342" s="6">
        <v>0.92600000000000005</v>
      </c>
      <c r="R342" s="1">
        <v>1.4182699999999999E-2</v>
      </c>
      <c r="S342" s="7">
        <v>-0.02</v>
      </c>
    </row>
    <row r="343" spans="1:19" x14ac:dyDescent="0.2">
      <c r="A343">
        <v>342</v>
      </c>
      <c r="B343">
        <v>11</v>
      </c>
      <c r="C343" t="s">
        <v>341</v>
      </c>
      <c r="D343" s="12" t="s">
        <v>912</v>
      </c>
      <c r="E343" s="1">
        <v>-7.5301900000000005E-2</v>
      </c>
      <c r="F343">
        <v>0.100315</v>
      </c>
      <c r="G343" s="1">
        <v>-7.2824001768231006E-2</v>
      </c>
      <c r="H343" s="1">
        <v>0.10388169629917</v>
      </c>
      <c r="I343">
        <f>VLOOKUP(C343,'[1]phenotypes-895'!$A$2:$G$896,7,FALSE)</f>
        <v>98</v>
      </c>
      <c r="J343" s="1">
        <v>-1.19831E-2</v>
      </c>
      <c r="K343" s="1">
        <f>VLOOKUP(C343,'[1]phenotypes-895'!$A$2:$I$896,9,FALSE)</f>
        <v>0</v>
      </c>
      <c r="L343" s="1">
        <v>2.05142E-2</v>
      </c>
      <c r="M343" s="4">
        <v>0</v>
      </c>
      <c r="N343" s="1">
        <v>-1.2701799999999999E-2</v>
      </c>
      <c r="O343" s="8">
        <v>0</v>
      </c>
      <c r="P343" s="1">
        <v>1.1236400000000001E-2</v>
      </c>
      <c r="Q343" s="6">
        <v>0.97199999999999998</v>
      </c>
      <c r="R343" s="1">
        <v>8.7750799999999993E-3</v>
      </c>
      <c r="S343" s="7">
        <v>-0.01</v>
      </c>
    </row>
    <row r="344" spans="1:19" x14ac:dyDescent="0.2">
      <c r="A344">
        <v>343</v>
      </c>
      <c r="B344">
        <v>2</v>
      </c>
      <c r="C344" t="s">
        <v>342</v>
      </c>
      <c r="D344" s="12" t="s">
        <v>913</v>
      </c>
      <c r="E344" s="1">
        <v>-3.6444999999999999</v>
      </c>
      <c r="F344">
        <v>-5.7506899999999996</v>
      </c>
      <c r="G344" s="1">
        <v>-3.4901200816115199</v>
      </c>
      <c r="H344" s="1">
        <v>-5.5834252473666997</v>
      </c>
      <c r="I344">
        <f>VLOOKUP(C344,'[1]phenotypes-895'!$A$2:$G$896,7,FALSE)</f>
        <v>98</v>
      </c>
      <c r="J344" s="1">
        <v>1.8755299999999999E-2</v>
      </c>
      <c r="K344" s="1">
        <f>VLOOKUP(C344,'[1]phenotypes-895'!$A$2:$I$896,9,FALSE)</f>
        <v>0</v>
      </c>
      <c r="L344" s="1">
        <v>-8.0733100000000002E-2</v>
      </c>
      <c r="M344" s="4">
        <v>0</v>
      </c>
      <c r="N344" s="9" t="s">
        <v>907</v>
      </c>
      <c r="O344" s="8">
        <v>0</v>
      </c>
      <c r="P344" s="1">
        <v>0.16189300000000001</v>
      </c>
      <c r="Q344" s="6">
        <v>1.1559999999999999</v>
      </c>
      <c r="R344" s="1">
        <v>6.3353800000000002E-2</v>
      </c>
      <c r="S344" s="7">
        <v>0.05</v>
      </c>
    </row>
    <row r="345" spans="1:19" x14ac:dyDescent="0.2">
      <c r="A345">
        <v>344</v>
      </c>
      <c r="B345">
        <v>50</v>
      </c>
      <c r="C345" t="s">
        <v>343</v>
      </c>
      <c r="D345" s="13" t="s">
        <v>912</v>
      </c>
      <c r="E345" s="1">
        <v>1.32429</v>
      </c>
      <c r="F345">
        <v>4.1034699999999997</v>
      </c>
      <c r="G345" s="1">
        <v>1.3351841152911601</v>
      </c>
      <c r="H345" s="1">
        <v>4.11820452266661</v>
      </c>
      <c r="I345">
        <f>VLOOKUP(C345,'[1]phenotypes-895'!$A$2:$G$896,7,FALSE)</f>
        <v>98</v>
      </c>
      <c r="J345" s="1">
        <v>-5.2880399999999999E-3</v>
      </c>
      <c r="K345" s="1">
        <f>VLOOKUP(C345,'[1]phenotypes-895'!$A$2:$I$896,9,FALSE)</f>
        <v>0.22800800991986911</v>
      </c>
      <c r="L345" s="1">
        <v>-2.1923700000000001E-2</v>
      </c>
      <c r="M345" s="4">
        <v>3.7714901976265307</v>
      </c>
      <c r="N345" s="1">
        <v>3.8433599999999998E-2</v>
      </c>
      <c r="O345" s="8">
        <v>1</v>
      </c>
      <c r="P345" s="1">
        <v>-0.16572400000000001</v>
      </c>
      <c r="Q345">
        <v>0.61699999999999999</v>
      </c>
      <c r="R345" s="1">
        <v>-7.1630799999999994E-2</v>
      </c>
      <c r="S345" s="2">
        <v>-0.16</v>
      </c>
    </row>
    <row r="346" spans="1:19" x14ac:dyDescent="0.2">
      <c r="A346">
        <v>345</v>
      </c>
      <c r="B346">
        <v>27</v>
      </c>
      <c r="C346" t="s">
        <v>344</v>
      </c>
      <c r="D346" s="13" t="s">
        <v>913</v>
      </c>
      <c r="E346" s="1">
        <v>5.5400099999999997</v>
      </c>
      <c r="F346">
        <v>4.5159000000000002</v>
      </c>
      <c r="G346" s="1">
        <v>5.5609832680813698</v>
      </c>
      <c r="H346" s="1">
        <v>4.5362116847238001</v>
      </c>
      <c r="I346">
        <f>VLOOKUP(C346,'[1]phenotypes-895'!$A$2:$G$896,7,FALSE)</f>
        <v>86</v>
      </c>
      <c r="J346" s="1">
        <v>-5.25073E-2</v>
      </c>
      <c r="K346" s="1">
        <f>VLOOKUP(C346,'[1]phenotypes-895'!$A$2:$I$896,9,FALSE)</f>
        <v>0.41730737134161322</v>
      </c>
      <c r="L346" s="1">
        <v>-0.129247</v>
      </c>
      <c r="M346" s="4">
        <v>4.4540233818243182</v>
      </c>
      <c r="N346" s="1">
        <v>-2.0850500000000001E-2</v>
      </c>
      <c r="O346" s="8">
        <v>1</v>
      </c>
      <c r="P346" s="1">
        <v>8.5700799999999994E-2</v>
      </c>
      <c r="Q346">
        <v>1.1659999999999999</v>
      </c>
      <c r="R346" s="1">
        <v>2.55687E-2</v>
      </c>
      <c r="S346" s="2">
        <v>0.05</v>
      </c>
    </row>
    <row r="347" spans="1:19" x14ac:dyDescent="0.2">
      <c r="A347">
        <v>346</v>
      </c>
      <c r="B347">
        <v>13</v>
      </c>
      <c r="C347" t="s">
        <v>345</v>
      </c>
      <c r="D347" s="12" t="s">
        <v>912</v>
      </c>
      <c r="E347" s="1">
        <v>-6.4476399999999998</v>
      </c>
      <c r="F347">
        <v>-6.2219800000000003</v>
      </c>
      <c r="G347" s="1">
        <v>-6.2893618453939402</v>
      </c>
      <c r="H347" s="1">
        <v>-6.0543146805802497</v>
      </c>
      <c r="I347">
        <f>VLOOKUP(C347,'[1]phenotypes-895'!$A$2:$G$896,7,FALSE)</f>
        <v>91</v>
      </c>
      <c r="J347" s="1">
        <v>0.18063199999999999</v>
      </c>
      <c r="K347" s="1">
        <f>VLOOKUP(C347,'[1]phenotypes-895'!$A$2:$I$896,9,FALSE)</f>
        <v>1.1932585995025251</v>
      </c>
      <c r="L347" s="1">
        <v>0.12586900000000001</v>
      </c>
      <c r="M347" s="4">
        <v>5.1861226363540851</v>
      </c>
      <c r="N347" s="1">
        <v>5.0191599999999999E-3</v>
      </c>
      <c r="O347" s="8">
        <v>1</v>
      </c>
      <c r="P347" s="1">
        <v>-4.9213599999999996E-3</v>
      </c>
      <c r="Q347" s="6">
        <v>0.91300000000000003</v>
      </c>
      <c r="R347" s="1">
        <v>5.4887299999999998E-3</v>
      </c>
      <c r="S347" s="7">
        <v>-0.03</v>
      </c>
    </row>
    <row r="348" spans="1:19" x14ac:dyDescent="0.2">
      <c r="A348">
        <v>347</v>
      </c>
      <c r="B348">
        <v>53</v>
      </c>
      <c r="C348" t="s">
        <v>346</v>
      </c>
      <c r="D348" s="13" t="s">
        <v>912</v>
      </c>
      <c r="E348" s="1">
        <v>0.91207499999999997</v>
      </c>
      <c r="F348">
        <v>2.7762099999999998</v>
      </c>
      <c r="G348" s="1">
        <v>0.88445552175585695</v>
      </c>
      <c r="H348" s="1">
        <v>2.7577886962624598</v>
      </c>
      <c r="I348">
        <f>VLOOKUP(C348,'[1]phenotypes-895'!$A$2:$G$896,7,FALSE)</f>
        <v>60</v>
      </c>
      <c r="J348" s="1">
        <v>-2.6634499999999998E-2</v>
      </c>
      <c r="K348" s="1">
        <f>VLOOKUP(C348,'[1]phenotypes-895'!$A$2:$I$896,9,FALSE)</f>
        <v>0.43753051231149392</v>
      </c>
      <c r="L348" s="1">
        <v>9.6252000000000004E-2</v>
      </c>
      <c r="M348" s="4">
        <v>3.8605690635935535</v>
      </c>
      <c r="N348" s="1">
        <v>-5.7040900000000002E-3</v>
      </c>
      <c r="O348" s="8">
        <v>1</v>
      </c>
      <c r="P348" s="1">
        <v>-0.151283</v>
      </c>
      <c r="Q348">
        <v>0.54800000000000004</v>
      </c>
      <c r="R348" s="1">
        <v>-7.0094100000000006E-2</v>
      </c>
      <c r="S348" s="2">
        <v>-0.2</v>
      </c>
    </row>
    <row r="349" spans="1:19" x14ac:dyDescent="0.2">
      <c r="A349">
        <v>348</v>
      </c>
      <c r="B349">
        <v>36</v>
      </c>
      <c r="C349" t="s">
        <v>347</v>
      </c>
      <c r="D349" s="13" t="s">
        <v>913</v>
      </c>
      <c r="E349" s="1">
        <v>4.5109599999999999</v>
      </c>
      <c r="F349">
        <v>5.6636100000000003</v>
      </c>
      <c r="G349" s="1">
        <v>4.5118218275171502</v>
      </c>
      <c r="H349" s="1">
        <v>5.6663027961698296</v>
      </c>
      <c r="I349">
        <f>VLOOKUP(C349,'[1]phenotypes-895'!$A$2:$G$896,7,FALSE)</f>
        <v>84</v>
      </c>
      <c r="J349" s="1">
        <v>-0.10992300000000001</v>
      </c>
      <c r="K349" s="1">
        <f>VLOOKUP(C349,'[1]phenotypes-895'!$A$2:$I$896,9,FALSE)</f>
        <v>0.17469240795962321</v>
      </c>
      <c r="L349" s="1">
        <v>-0.13754</v>
      </c>
      <c r="M349" s="4">
        <v>3.7822112280035398</v>
      </c>
      <c r="N349" s="1">
        <v>-3.3191699999999998E-2</v>
      </c>
      <c r="O349" s="8">
        <v>1</v>
      </c>
      <c r="P349" s="1">
        <v>0.12703999999999999</v>
      </c>
      <c r="Q349">
        <v>1.181</v>
      </c>
      <c r="R349" s="1">
        <v>3.9314200000000001E-2</v>
      </c>
      <c r="S349" s="2">
        <v>0.05</v>
      </c>
    </row>
    <row r="350" spans="1:19" x14ac:dyDescent="0.2">
      <c r="A350">
        <v>349</v>
      </c>
      <c r="B350">
        <v>15</v>
      </c>
      <c r="C350" t="s">
        <v>348</v>
      </c>
      <c r="D350" s="12" t="s">
        <v>912</v>
      </c>
      <c r="E350" s="1">
        <v>-4.0264499999999996</v>
      </c>
      <c r="F350">
        <v>-4.4502499999999996</v>
      </c>
      <c r="G350" s="1">
        <v>-3.9456643437717198</v>
      </c>
      <c r="H350" s="1">
        <v>-4.3654422600538103</v>
      </c>
      <c r="I350">
        <f>VLOOKUP(C350,'[1]phenotypes-895'!$A$2:$G$896,7,FALSE)</f>
        <v>64</v>
      </c>
      <c r="J350" s="1">
        <v>2.5729800000000001E-2</v>
      </c>
      <c r="K350" s="1">
        <f>VLOOKUP(C350,'[1]phenotypes-895'!$A$2:$I$896,9,FALSE)</f>
        <v>0.34330930334171861</v>
      </c>
      <c r="L350" s="1">
        <v>5.0062500000000003E-2</v>
      </c>
      <c r="M350" s="4">
        <v>3.6752852936406781</v>
      </c>
      <c r="N350" s="1">
        <v>8.1568200000000004E-3</v>
      </c>
      <c r="O350" s="8">
        <v>1</v>
      </c>
      <c r="P350" s="1">
        <v>3.4778400000000001E-2</v>
      </c>
      <c r="Q350" s="6">
        <v>0.94799999999999995</v>
      </c>
      <c r="R350" s="1">
        <v>2.1165300000000001E-2</v>
      </c>
      <c r="S350" s="7">
        <v>-0.02</v>
      </c>
    </row>
    <row r="351" spans="1:19" x14ac:dyDescent="0.2">
      <c r="A351">
        <v>350</v>
      </c>
      <c r="B351">
        <v>39</v>
      </c>
      <c r="C351" t="s">
        <v>349</v>
      </c>
      <c r="D351" s="13" t="s">
        <v>913</v>
      </c>
      <c r="E351" s="1">
        <v>2.1382599999999998</v>
      </c>
      <c r="F351">
        <v>1.6046</v>
      </c>
      <c r="G351" s="1">
        <v>2.1794292722834299</v>
      </c>
      <c r="H351" s="1">
        <v>1.6446982557666501</v>
      </c>
      <c r="I351">
        <f>VLOOKUP(C351,'[1]phenotypes-895'!$A$2:$G$896,7,FALSE)</f>
        <v>67</v>
      </c>
      <c r="J351" s="1">
        <v>-2.61727E-2</v>
      </c>
      <c r="K351" s="1">
        <f>VLOOKUP(C351,'[1]phenotypes-895'!$A$2:$I$896,9,FALSE)</f>
        <v>0.44689365797959357</v>
      </c>
      <c r="L351" s="1">
        <v>4.5240000000000002E-2</v>
      </c>
      <c r="M351" s="4">
        <v>4.3689120825829102</v>
      </c>
      <c r="N351" s="1">
        <v>-1.78684E-2</v>
      </c>
      <c r="O351" s="8">
        <v>1</v>
      </c>
      <c r="P351" s="1">
        <v>8.86271E-2</v>
      </c>
      <c r="Q351">
        <v>1.1579999999999999</v>
      </c>
      <c r="R351" s="1">
        <v>3.5569400000000001E-2</v>
      </c>
      <c r="S351" s="2">
        <v>0.05</v>
      </c>
    </row>
    <row r="352" spans="1:19" x14ac:dyDescent="0.2">
      <c r="A352">
        <v>351</v>
      </c>
      <c r="B352">
        <v>13</v>
      </c>
      <c r="C352" t="s">
        <v>350</v>
      </c>
      <c r="D352" s="12" t="s">
        <v>912</v>
      </c>
      <c r="E352" s="1">
        <v>-6.5410899999999996</v>
      </c>
      <c r="F352">
        <v>-5.7841199999999997</v>
      </c>
      <c r="G352" s="1">
        <v>-6.5300736868106997</v>
      </c>
      <c r="H352" s="1">
        <v>-5.7665885167103204</v>
      </c>
      <c r="I352">
        <f>VLOOKUP(C352,'[1]phenotypes-895'!$A$2:$G$896,7,FALSE)</f>
        <v>71</v>
      </c>
      <c r="J352" s="1">
        <v>0.11348800000000001</v>
      </c>
      <c r="K352" s="1">
        <f>VLOOKUP(C352,'[1]phenotypes-895'!$A$2:$I$896,9,FALSE)</f>
        <v>0.69498003061479674</v>
      </c>
      <c r="L352" s="1">
        <v>4.6425800000000003E-2</v>
      </c>
      <c r="M352" s="4">
        <v>4.6162340935733122</v>
      </c>
      <c r="N352" s="1">
        <v>2.5957699999999998E-3</v>
      </c>
      <c r="O352" s="8">
        <v>1</v>
      </c>
      <c r="P352" s="1">
        <v>-2.99525E-2</v>
      </c>
      <c r="Q352" s="6">
        <v>1.012</v>
      </c>
      <c r="R352" s="1">
        <v>-5.5384099999999997E-3</v>
      </c>
      <c r="S352" s="7">
        <v>0</v>
      </c>
    </row>
    <row r="353" spans="1:19" x14ac:dyDescent="0.2">
      <c r="A353">
        <v>352</v>
      </c>
      <c r="B353">
        <v>44</v>
      </c>
      <c r="C353" t="s">
        <v>351</v>
      </c>
      <c r="D353" s="13" t="s">
        <v>912</v>
      </c>
      <c r="E353" s="1">
        <v>5.1710700000000003</v>
      </c>
      <c r="F353">
        <v>7.2972299999999999</v>
      </c>
      <c r="G353" s="1">
        <v>5.1942882385679603</v>
      </c>
      <c r="H353" s="1">
        <v>7.3294724822694999</v>
      </c>
      <c r="I353">
        <f>VLOOKUP(C353,'[1]phenotypes-895'!$A$2:$G$896,7,FALSE)</f>
        <v>98</v>
      </c>
      <c r="J353" s="1">
        <v>-4.5444199999999997E-2</v>
      </c>
      <c r="K353" s="1">
        <f>VLOOKUP(C353,'[1]phenotypes-895'!$A$2:$I$896,9,FALSE)</f>
        <v>0.25395060260870539</v>
      </c>
      <c r="L353" s="1">
        <v>0.25357099999999999</v>
      </c>
      <c r="M353" s="4">
        <v>3.8017494578560416</v>
      </c>
      <c r="N353" s="1">
        <v>-1.08462E-2</v>
      </c>
      <c r="O353" s="8">
        <v>1</v>
      </c>
      <c r="P353" s="1">
        <v>-0.13419300000000001</v>
      </c>
      <c r="Q353">
        <v>0.57799999999999996</v>
      </c>
      <c r="R353" s="1">
        <v>-5.4931500000000001E-2</v>
      </c>
      <c r="S353" s="2">
        <v>-0.19</v>
      </c>
    </row>
    <row r="354" spans="1:19" x14ac:dyDescent="0.2">
      <c r="A354">
        <v>353</v>
      </c>
      <c r="B354">
        <v>6</v>
      </c>
      <c r="C354" t="s">
        <v>352</v>
      </c>
      <c r="D354" s="12" t="s">
        <v>913</v>
      </c>
      <c r="E354" s="1">
        <v>-3.86029</v>
      </c>
      <c r="F354">
        <v>-6.1973099999999999</v>
      </c>
      <c r="G354" s="1">
        <v>-3.8120751409193998</v>
      </c>
      <c r="H354" s="1">
        <v>-6.1413415033992296</v>
      </c>
      <c r="I354">
        <f>VLOOKUP(C354,'[1]phenotypes-895'!$A$2:$G$896,7,FALSE)</f>
        <v>53</v>
      </c>
      <c r="J354" s="1">
        <v>7.2458999999999996E-2</v>
      </c>
      <c r="K354" s="1">
        <f>VLOOKUP(C354,'[1]phenotypes-895'!$A$2:$I$896,9,FALSE)</f>
        <v>0.77088649508646234</v>
      </c>
      <c r="L354" s="1">
        <v>-8.3492399999999994E-2</v>
      </c>
      <c r="M354" s="4">
        <v>4.1718040528418454</v>
      </c>
      <c r="N354" s="1">
        <v>3.1070999999999998E-3</v>
      </c>
      <c r="O354" s="8">
        <v>1</v>
      </c>
      <c r="P354" s="1">
        <v>8.3300200000000005E-2</v>
      </c>
      <c r="Q354" s="6">
        <v>1.0409999999999999</v>
      </c>
      <c r="R354" s="1">
        <v>3.8670900000000001E-2</v>
      </c>
      <c r="S354" s="7">
        <v>0.01</v>
      </c>
    </row>
    <row r="355" spans="1:19" x14ac:dyDescent="0.2">
      <c r="A355">
        <v>354</v>
      </c>
      <c r="B355">
        <v>53</v>
      </c>
      <c r="C355" t="s">
        <v>353</v>
      </c>
      <c r="D355" s="13" t="s">
        <v>912</v>
      </c>
      <c r="E355" s="1">
        <v>1.9054199999999999</v>
      </c>
      <c r="F355">
        <v>3.9607600000000001</v>
      </c>
      <c r="G355" s="1">
        <v>1.9060658817665901</v>
      </c>
      <c r="H355" s="1">
        <v>3.9613469158484902</v>
      </c>
      <c r="I355">
        <f>VLOOKUP(C355,'[1]phenotypes-895'!$A$2:$G$896,7,FALSE)</f>
        <v>62</v>
      </c>
      <c r="J355" s="1">
        <v>-5.4887999999999999E-2</v>
      </c>
      <c r="K355" s="1">
        <f>VLOOKUP(C355,'[1]phenotypes-895'!$A$2:$I$896,9,FALSE)</f>
        <v>0.51399173358109262</v>
      </c>
      <c r="L355" s="1">
        <v>4.9258099999999999E-2</v>
      </c>
      <c r="M355" s="4">
        <v>3.8481041945551686</v>
      </c>
      <c r="N355" s="1">
        <v>-1.2615299999999999E-2</v>
      </c>
      <c r="O355" s="8">
        <v>1</v>
      </c>
      <c r="P355" s="1">
        <v>-0.200604</v>
      </c>
      <c r="Q355">
        <v>0.53100000000000003</v>
      </c>
      <c r="R355" s="1">
        <v>-8.9633000000000004E-2</v>
      </c>
      <c r="S355" s="2">
        <v>-0.21</v>
      </c>
    </row>
    <row r="356" spans="1:19" x14ac:dyDescent="0.2">
      <c r="A356">
        <v>355</v>
      </c>
      <c r="B356">
        <v>6</v>
      </c>
      <c r="C356" t="s">
        <v>354</v>
      </c>
      <c r="D356" s="12" t="s">
        <v>913</v>
      </c>
      <c r="E356" s="1">
        <v>0.73555000000000004</v>
      </c>
      <c r="F356">
        <v>-1.09982</v>
      </c>
      <c r="G356" s="1">
        <v>0.79108461270241204</v>
      </c>
      <c r="H356" s="1">
        <v>-1.02940614732413</v>
      </c>
      <c r="I356">
        <f>VLOOKUP(C356,'[1]phenotypes-895'!$A$2:$G$896,7,FALSE)</f>
        <v>98</v>
      </c>
      <c r="J356" s="1">
        <v>-3.0247099999999999E-3</v>
      </c>
      <c r="K356" s="1">
        <f>VLOOKUP(C356,'[1]phenotypes-895'!$A$2:$I$896,9,FALSE)</f>
        <v>0</v>
      </c>
      <c r="L356" s="1">
        <v>-0.106084</v>
      </c>
      <c r="M356" s="4">
        <v>0</v>
      </c>
      <c r="N356" s="1">
        <v>-2.10382E-2</v>
      </c>
      <c r="O356" s="8">
        <v>0</v>
      </c>
      <c r="P356" s="1">
        <v>7.1402999999999994E-2</v>
      </c>
      <c r="Q356" s="6">
        <v>0.89400000000000002</v>
      </c>
      <c r="R356" s="1">
        <v>3.1875800000000003E-2</v>
      </c>
      <c r="S356" s="7">
        <v>-0.04</v>
      </c>
    </row>
    <row r="357" spans="1:19" x14ac:dyDescent="0.2">
      <c r="A357">
        <v>356</v>
      </c>
      <c r="B357">
        <v>35</v>
      </c>
      <c r="C357" t="s">
        <v>355</v>
      </c>
      <c r="D357" s="13" t="s">
        <v>913</v>
      </c>
      <c r="E357" s="1">
        <v>0.165299</v>
      </c>
      <c r="F357">
        <v>-0.42991600000000002</v>
      </c>
      <c r="G357" s="1">
        <v>0.143765513724676</v>
      </c>
      <c r="H357" s="1">
        <v>-0.46959278076938099</v>
      </c>
      <c r="I357">
        <f>VLOOKUP(C357,'[1]phenotypes-895'!$A$2:$G$896,7,FALSE)</f>
        <v>42</v>
      </c>
      <c r="J357" s="1">
        <v>1.26198E-3</v>
      </c>
      <c r="K357" s="1">
        <f>VLOOKUP(C357,'[1]phenotypes-895'!$A$2:$I$896,9,FALSE)</f>
        <v>0.78746786455792162</v>
      </c>
      <c r="L357" s="1">
        <v>-2.9458000000000002E-2</v>
      </c>
      <c r="M357" s="4">
        <v>4.3775399787981231</v>
      </c>
      <c r="N357" s="1">
        <v>-3.0489100000000002E-2</v>
      </c>
      <c r="O357" s="8">
        <v>1</v>
      </c>
      <c r="P357" s="1">
        <v>3.34659E-2</v>
      </c>
      <c r="Q357">
        <v>0.96199999999999997</v>
      </c>
      <c r="R357" s="1">
        <v>1.5707800000000001E-2</v>
      </c>
      <c r="S357" s="2">
        <v>-0.01</v>
      </c>
    </row>
    <row r="358" spans="1:19" x14ac:dyDescent="0.2">
      <c r="A358">
        <v>357</v>
      </c>
      <c r="B358">
        <v>6</v>
      </c>
      <c r="C358" t="s">
        <v>356</v>
      </c>
      <c r="D358" s="12" t="s">
        <v>913</v>
      </c>
      <c r="E358" s="1">
        <v>-1.49126</v>
      </c>
      <c r="F358">
        <v>-3.5909300000000002</v>
      </c>
      <c r="G358" s="1">
        <v>-1.43473890029942</v>
      </c>
      <c r="H358" s="1">
        <v>-3.5306283898019601</v>
      </c>
      <c r="I358">
        <f>VLOOKUP(C358,'[1]phenotypes-895'!$A$2:$G$896,7,FALSE)</f>
        <v>69</v>
      </c>
      <c r="J358" s="1">
        <v>2.99887E-2</v>
      </c>
      <c r="K358" s="1">
        <f>VLOOKUP(C358,'[1]phenotypes-895'!$A$2:$I$896,9,FALSE)</f>
        <v>0.7425631321857985</v>
      </c>
      <c r="L358" s="1">
        <v>-0.15312500000000001</v>
      </c>
      <c r="M358" s="4">
        <v>4.5821539149484405</v>
      </c>
      <c r="N358" s="1">
        <v>-6.5979200000000002E-3</v>
      </c>
      <c r="O358" s="8">
        <v>1</v>
      </c>
      <c r="P358" s="1">
        <v>8.5583500000000007E-2</v>
      </c>
      <c r="Q358" s="6">
        <v>0.871</v>
      </c>
      <c r="R358" s="1">
        <v>4.2085200000000003E-2</v>
      </c>
      <c r="S358" s="7">
        <v>-0.04</v>
      </c>
    </row>
    <row r="359" spans="1:19" x14ac:dyDescent="0.2">
      <c r="A359">
        <v>358</v>
      </c>
      <c r="B359">
        <v>40</v>
      </c>
      <c r="C359" t="s">
        <v>357</v>
      </c>
      <c r="D359" s="13" t="s">
        <v>913</v>
      </c>
      <c r="E359" s="1">
        <v>-0.935311</v>
      </c>
      <c r="F359">
        <v>-1.36015</v>
      </c>
      <c r="G359" s="1">
        <v>-0.96311662297850398</v>
      </c>
      <c r="H359" s="1">
        <v>-1.3864962132110601</v>
      </c>
      <c r="I359">
        <f>VLOOKUP(C359,'[1]phenotypes-895'!$A$2:$G$896,7,FALSE)</f>
        <v>49</v>
      </c>
      <c r="J359" s="1">
        <v>-2.7102799999999998E-3</v>
      </c>
      <c r="K359" s="1">
        <f>VLOOKUP(C359,'[1]phenotypes-895'!$A$2:$I$896,9,FALSE)</f>
        <v>0.54361293637451347</v>
      </c>
      <c r="L359" s="1">
        <v>-2.1135000000000001E-2</v>
      </c>
      <c r="M359" s="4">
        <v>4.026750611053127</v>
      </c>
      <c r="N359" s="1">
        <v>8.5504499999999994E-3</v>
      </c>
      <c r="O359" s="8">
        <v>1</v>
      </c>
      <c r="P359" s="1">
        <v>1.35243E-2</v>
      </c>
      <c r="Q359">
        <v>1.081</v>
      </c>
      <c r="R359" s="1">
        <v>1.2373800000000001E-2</v>
      </c>
      <c r="S359" s="2">
        <v>0.02</v>
      </c>
    </row>
    <row r="360" spans="1:19" x14ac:dyDescent="0.2">
      <c r="A360">
        <v>359</v>
      </c>
      <c r="B360">
        <v>2</v>
      </c>
      <c r="C360" t="s">
        <v>358</v>
      </c>
      <c r="D360" s="12" t="s">
        <v>913</v>
      </c>
      <c r="E360" s="1">
        <v>-6.8281200000000002</v>
      </c>
      <c r="F360">
        <v>-9.3616700000000002</v>
      </c>
      <c r="G360" s="1">
        <v>-6.90437225799303</v>
      </c>
      <c r="H360" s="1">
        <v>-9.4596759860478308</v>
      </c>
      <c r="I360">
        <f>VLOOKUP(C360,'[1]phenotypes-895'!$A$2:$G$896,7,FALSE)</f>
        <v>42</v>
      </c>
      <c r="J360" s="1">
        <v>8.4981200000000007E-2</v>
      </c>
      <c r="K360" s="1">
        <f>VLOOKUP(C360,'[1]phenotypes-895'!$A$2:$I$896,9,FALSE)</f>
        <v>0.77294805650484089</v>
      </c>
      <c r="L360" s="1">
        <v>-2.6861199999999998E-2</v>
      </c>
      <c r="M360" s="4">
        <v>4.4439419325297811</v>
      </c>
      <c r="N360" s="1">
        <v>8.7947100000000007E-3</v>
      </c>
      <c r="O360" s="8">
        <v>1</v>
      </c>
      <c r="P360" s="1">
        <v>0.12411899999999999</v>
      </c>
      <c r="Q360" s="6">
        <v>0.95299999999999996</v>
      </c>
      <c r="R360" s="1">
        <v>4.9779700000000003E-2</v>
      </c>
      <c r="S360" s="7">
        <v>-0.02</v>
      </c>
    </row>
    <row r="361" spans="1:19" x14ac:dyDescent="0.2">
      <c r="A361">
        <v>360</v>
      </c>
      <c r="B361">
        <v>27</v>
      </c>
      <c r="C361" t="s">
        <v>359</v>
      </c>
      <c r="D361" s="13" t="s">
        <v>913</v>
      </c>
      <c r="E361" s="1">
        <v>4.6888300000000003</v>
      </c>
      <c r="F361">
        <v>3.5444100000000001</v>
      </c>
      <c r="G361" s="1">
        <v>4.6570891236598602</v>
      </c>
      <c r="H361" s="1">
        <v>3.5074878047638198</v>
      </c>
      <c r="I361">
        <f>VLOOKUP(C361,'[1]phenotypes-895'!$A$2:$G$896,7,FALSE)</f>
        <v>98</v>
      </c>
      <c r="J361" s="1">
        <v>-5.5178900000000003E-2</v>
      </c>
      <c r="K361" s="1">
        <f>VLOOKUP(C361,'[1]phenotypes-895'!$A$2:$I$896,9,FALSE)</f>
        <v>0</v>
      </c>
      <c r="L361" s="1">
        <v>-7.7243900000000004E-2</v>
      </c>
      <c r="M361" s="4">
        <v>0</v>
      </c>
      <c r="N361" s="1">
        <v>-1.6991099999999999E-2</v>
      </c>
      <c r="O361" s="8">
        <v>0</v>
      </c>
      <c r="P361" s="1">
        <v>9.58923E-2</v>
      </c>
      <c r="Q361">
        <v>1.0009999999999999</v>
      </c>
      <c r="R361" s="1">
        <v>3.3377799999999999E-2</v>
      </c>
      <c r="S361" s="2">
        <v>0</v>
      </c>
    </row>
    <row r="362" spans="1:19" x14ac:dyDescent="0.2">
      <c r="A362">
        <v>361</v>
      </c>
      <c r="B362">
        <v>52</v>
      </c>
      <c r="C362" t="s">
        <v>360</v>
      </c>
      <c r="D362" s="13" t="s">
        <v>912</v>
      </c>
      <c r="E362" s="1">
        <v>6.0518799999999997</v>
      </c>
      <c r="F362">
        <v>8.3489400000000007</v>
      </c>
      <c r="G362" s="1">
        <v>5.9216647728075396</v>
      </c>
      <c r="H362" s="1">
        <v>8.1527082723043396</v>
      </c>
      <c r="I362">
        <f>VLOOKUP(C362,'[1]phenotypes-895'!$A$2:$G$896,7,FALSE)</f>
        <v>94</v>
      </c>
      <c r="J362" s="1">
        <v>-6.6782900000000006E-2</v>
      </c>
      <c r="K362" s="1">
        <f>VLOOKUP(C362,'[1]phenotypes-895'!$A$2:$I$896,9,FALSE)</f>
        <v>0.26619509269243991</v>
      </c>
      <c r="L362" s="1">
        <v>-5.99465E-2</v>
      </c>
      <c r="M362" s="4">
        <v>4.0584623714383072</v>
      </c>
      <c r="N362" s="1">
        <v>1.2685399999999999E-2</v>
      </c>
      <c r="O362" s="8">
        <v>1</v>
      </c>
      <c r="P362" s="1">
        <v>-0.191221</v>
      </c>
      <c r="Q362">
        <v>0.79600000000000004</v>
      </c>
      <c r="R362" s="1">
        <v>-7.8821299999999997E-2</v>
      </c>
      <c r="S362" s="2">
        <v>-7.0000000000000007E-2</v>
      </c>
    </row>
    <row r="363" spans="1:19" x14ac:dyDescent="0.2">
      <c r="A363">
        <v>362</v>
      </c>
      <c r="B363">
        <v>36</v>
      </c>
      <c r="C363" t="s">
        <v>361</v>
      </c>
      <c r="D363" s="13" t="s">
        <v>913</v>
      </c>
      <c r="E363" s="1">
        <v>4.9531200000000002</v>
      </c>
      <c r="F363">
        <v>4.1362399999999999</v>
      </c>
      <c r="G363" s="1">
        <v>4.9528341797584003</v>
      </c>
      <c r="H363" s="1">
        <v>4.1371596676485698</v>
      </c>
      <c r="I363">
        <f>VLOOKUP(C363,'[1]phenotypes-895'!$A$2:$G$896,7,FALSE)</f>
        <v>98</v>
      </c>
      <c r="J363" s="1">
        <v>-5.0823E-2</v>
      </c>
      <c r="K363" s="1">
        <f>VLOOKUP(C363,'[1]phenotypes-895'!$A$2:$I$896,9,FALSE)</f>
        <v>0</v>
      </c>
      <c r="L363" s="1">
        <v>-4.8895000000000001E-2</v>
      </c>
      <c r="M363" s="4">
        <v>0</v>
      </c>
      <c r="N363" s="1">
        <v>-3.5358399999999998E-2</v>
      </c>
      <c r="O363" s="8">
        <v>0</v>
      </c>
      <c r="P363" s="1">
        <v>0.18194299999999999</v>
      </c>
      <c r="Q363">
        <v>1.35</v>
      </c>
      <c r="R363" s="1">
        <v>5.7015799999999998E-2</v>
      </c>
      <c r="S363" s="2">
        <v>0.09</v>
      </c>
    </row>
    <row r="364" spans="1:19" x14ac:dyDescent="0.2">
      <c r="A364">
        <v>363</v>
      </c>
      <c r="B364">
        <v>42</v>
      </c>
      <c r="C364" t="s">
        <v>362</v>
      </c>
      <c r="D364" s="13" t="s">
        <v>912</v>
      </c>
      <c r="E364" s="1">
        <v>2.4273099999999999</v>
      </c>
      <c r="F364">
        <v>1.33931</v>
      </c>
      <c r="G364" s="1">
        <v>2.3889571857991898</v>
      </c>
      <c r="H364" s="1">
        <v>1.2975216561949601</v>
      </c>
      <c r="I364">
        <f>VLOOKUP(C364,'[1]phenotypes-895'!$A$2:$G$896,7,FALSE)</f>
        <v>76</v>
      </c>
      <c r="J364" s="1">
        <v>-8.0983100000000002E-2</v>
      </c>
      <c r="K364" s="1">
        <f>VLOOKUP(C364,'[1]phenotypes-895'!$A$2:$I$896,9,FALSE)</f>
        <v>0</v>
      </c>
      <c r="L364" s="1">
        <v>-0.101817</v>
      </c>
      <c r="M364" s="4">
        <v>0</v>
      </c>
      <c r="N364" s="1">
        <v>-3.0760699999999998E-2</v>
      </c>
      <c r="O364" s="8">
        <v>0</v>
      </c>
      <c r="P364" s="1">
        <v>5.8819799999999998E-2</v>
      </c>
      <c r="Q364">
        <v>0.70699999999999996</v>
      </c>
      <c r="R364" s="1">
        <v>2.97451E-2</v>
      </c>
      <c r="S364" s="2">
        <v>-0.11</v>
      </c>
    </row>
    <row r="365" spans="1:19" x14ac:dyDescent="0.2">
      <c r="A365">
        <v>364</v>
      </c>
      <c r="B365">
        <v>44</v>
      </c>
      <c r="C365" t="s">
        <v>363</v>
      </c>
      <c r="D365" s="13" t="s">
        <v>912</v>
      </c>
      <c r="E365" s="1">
        <v>0.47370400000000001</v>
      </c>
      <c r="F365">
        <v>0.102134</v>
      </c>
      <c r="G365" s="1">
        <v>0.48750062772000402</v>
      </c>
      <c r="H365" s="1">
        <v>0.120949372273725</v>
      </c>
      <c r="I365">
        <f>VLOOKUP(C365,'[1]phenotypes-895'!$A$2:$G$896,7,FALSE)</f>
        <v>98</v>
      </c>
      <c r="J365" s="1">
        <v>2.9472000000000002E-2</v>
      </c>
      <c r="K365" s="1">
        <f>VLOOKUP(C365,'[1]phenotypes-895'!$A$2:$I$896,9,FALSE)</f>
        <v>0.37036318738735963</v>
      </c>
      <c r="L365" s="1">
        <v>-1.1619600000000001E-2</v>
      </c>
      <c r="M365" s="4">
        <v>4.4049158253870786</v>
      </c>
      <c r="N365" s="1">
        <v>2.2047600000000001E-2</v>
      </c>
      <c r="O365" s="8">
        <v>1</v>
      </c>
      <c r="P365" s="1">
        <v>3.7548999999999999E-2</v>
      </c>
      <c r="Q365">
        <v>0.85799999999999998</v>
      </c>
      <c r="R365" s="1">
        <v>2.32944E-2</v>
      </c>
      <c r="S365" s="2">
        <v>-0.05</v>
      </c>
    </row>
    <row r="366" spans="1:19" x14ac:dyDescent="0.2">
      <c r="A366">
        <v>365</v>
      </c>
      <c r="B366">
        <v>50</v>
      </c>
      <c r="C366" t="s">
        <v>364</v>
      </c>
      <c r="D366" s="13" t="s">
        <v>912</v>
      </c>
      <c r="E366" s="1">
        <v>7.0283100000000003</v>
      </c>
      <c r="F366">
        <v>6.3228200000000001</v>
      </c>
      <c r="G366" s="1">
        <v>7.0480213906095797</v>
      </c>
      <c r="H366" s="1">
        <v>6.3365057564751002</v>
      </c>
      <c r="I366">
        <f>VLOOKUP(C366,'[1]phenotypes-895'!$A$2:$G$896,7,FALSE)</f>
        <v>98</v>
      </c>
      <c r="J366" s="1">
        <v>-8.4587399999999993E-2</v>
      </c>
      <c r="K366" s="1">
        <f>VLOOKUP(C366,'[1]phenotypes-895'!$A$2:$I$896,9,FALSE)</f>
        <v>0</v>
      </c>
      <c r="L366" s="1">
        <v>-0.14788899999999999</v>
      </c>
      <c r="M366" s="4">
        <v>0</v>
      </c>
      <c r="N366" s="1">
        <v>-3.0912599999999998E-2</v>
      </c>
      <c r="O366" s="8">
        <v>0</v>
      </c>
      <c r="P366" s="1">
        <v>5.5523799999999998E-2</v>
      </c>
      <c r="Q366">
        <v>0.47699999999999998</v>
      </c>
      <c r="R366" s="1">
        <v>9.76314E-3</v>
      </c>
      <c r="S366" s="2">
        <v>-0.25</v>
      </c>
    </row>
    <row r="367" spans="1:19" x14ac:dyDescent="0.2">
      <c r="A367">
        <v>366</v>
      </c>
      <c r="B367">
        <v>50</v>
      </c>
      <c r="C367" t="s">
        <v>365</v>
      </c>
      <c r="D367" s="13" t="s">
        <v>912</v>
      </c>
      <c r="E367" s="1">
        <v>3.2122799999999998</v>
      </c>
      <c r="F367">
        <v>3.3071600000000001</v>
      </c>
      <c r="G367" s="1">
        <v>3.2146692857941899</v>
      </c>
      <c r="H367" s="1">
        <v>3.3153832271372101</v>
      </c>
      <c r="I367">
        <f>VLOOKUP(C367,'[1]phenotypes-895'!$A$2:$G$896,7,FALSE)</f>
        <v>98</v>
      </c>
      <c r="J367" s="1">
        <v>-1.24922E-2</v>
      </c>
      <c r="K367" s="1">
        <f>VLOOKUP(C367,'[1]phenotypes-895'!$A$2:$I$896,9,FALSE)</f>
        <v>0</v>
      </c>
      <c r="L367" s="1">
        <v>0.11530700000000001</v>
      </c>
      <c r="M367" s="4">
        <v>0</v>
      </c>
      <c r="N367" s="1">
        <v>-9.6093900000000006E-3</v>
      </c>
      <c r="O367" s="8">
        <v>0</v>
      </c>
      <c r="P367" s="1">
        <v>-2.0583000000000001E-2</v>
      </c>
      <c r="Q367">
        <v>0.76300000000000001</v>
      </c>
      <c r="R367" s="1">
        <v>-3.7001600000000001E-3</v>
      </c>
      <c r="S367" s="2">
        <v>-0.09</v>
      </c>
    </row>
    <row r="368" spans="1:19" x14ac:dyDescent="0.2">
      <c r="A368">
        <v>367</v>
      </c>
      <c r="B368">
        <v>44</v>
      </c>
      <c r="C368" t="s">
        <v>366</v>
      </c>
      <c r="D368" s="13" t="s">
        <v>912</v>
      </c>
      <c r="E368" s="1">
        <v>1.58792</v>
      </c>
      <c r="F368">
        <v>1.49631</v>
      </c>
      <c r="G368" s="1">
        <v>1.5225822673067899</v>
      </c>
      <c r="H368" s="1">
        <v>1.4336802091630201</v>
      </c>
      <c r="I368">
        <f>VLOOKUP(C368,'[1]phenotypes-895'!$A$2:$G$896,7,FALSE)</f>
        <v>69</v>
      </c>
      <c r="J368" s="1">
        <v>-1.80669E-2</v>
      </c>
      <c r="K368" s="1">
        <f>VLOOKUP(C368,'[1]phenotypes-895'!$A$2:$I$896,9,FALSE)</f>
        <v>0.39518613381022388</v>
      </c>
      <c r="L368" s="1">
        <v>-3.3697499999999998E-2</v>
      </c>
      <c r="M368" s="4">
        <v>4.0489648136216303</v>
      </c>
      <c r="N368" s="1">
        <v>7.2105900000000002E-3</v>
      </c>
      <c r="O368" s="8">
        <v>1</v>
      </c>
      <c r="P368" s="1">
        <v>-7.5080800000000003E-2</v>
      </c>
      <c r="Q368">
        <v>0.67</v>
      </c>
      <c r="R368" s="1">
        <v>-2.41408E-2</v>
      </c>
      <c r="S368" s="2">
        <v>-0.13</v>
      </c>
    </row>
    <row r="369" spans="1:19" x14ac:dyDescent="0.2">
      <c r="A369">
        <v>368</v>
      </c>
      <c r="B369">
        <v>44</v>
      </c>
      <c r="C369" t="s">
        <v>367</v>
      </c>
      <c r="D369" s="13" t="s">
        <v>912</v>
      </c>
      <c r="E369" s="1">
        <v>0.112899</v>
      </c>
      <c r="F369">
        <v>-1.0425</v>
      </c>
      <c r="G369" s="1">
        <v>3.9516574347692797E-2</v>
      </c>
      <c r="H369" s="1">
        <v>-1.1157237365357699</v>
      </c>
      <c r="I369">
        <f>VLOOKUP(C369,'[1]phenotypes-895'!$A$2:$G$896,7,FALSE)</f>
        <v>66</v>
      </c>
      <c r="J369" s="1">
        <v>-1.28714E-3</v>
      </c>
      <c r="K369" s="1">
        <f>VLOOKUP(C369,'[1]phenotypes-895'!$A$2:$I$896,9,FALSE)</f>
        <v>0.6672785933429265</v>
      </c>
      <c r="L369" s="1">
        <v>-0.121408</v>
      </c>
      <c r="M369" s="4">
        <v>4.2023711052861445</v>
      </c>
      <c r="N369" s="1">
        <v>-1.6604600000000001E-2</v>
      </c>
      <c r="O369" s="8">
        <v>1</v>
      </c>
      <c r="P369" s="1">
        <v>9.64391E-2</v>
      </c>
      <c r="Q369">
        <v>0.96299999999999997</v>
      </c>
      <c r="R369" s="1">
        <v>4.5985999999999999E-2</v>
      </c>
      <c r="S369" s="2">
        <v>-0.01</v>
      </c>
    </row>
    <row r="370" spans="1:19" x14ac:dyDescent="0.2">
      <c r="A370">
        <v>369</v>
      </c>
      <c r="B370">
        <v>42</v>
      </c>
      <c r="C370" t="s">
        <v>368</v>
      </c>
      <c r="D370" s="13" t="s">
        <v>912</v>
      </c>
      <c r="E370" s="1">
        <v>1.56454</v>
      </c>
      <c r="F370">
        <v>0.59935499999999997</v>
      </c>
      <c r="G370" s="1">
        <v>1.54585047434543</v>
      </c>
      <c r="H370" s="1">
        <v>0.57126376651840205</v>
      </c>
      <c r="I370">
        <f>VLOOKUP(C370,'[1]phenotypes-895'!$A$2:$G$896,7,FALSE)</f>
        <v>70</v>
      </c>
      <c r="J370" s="1">
        <v>-2.42501E-2</v>
      </c>
      <c r="K370" s="1">
        <f>VLOOKUP(C370,'[1]phenotypes-895'!$A$2:$I$896,9,FALSE)</f>
        <v>0.44665291465256041</v>
      </c>
      <c r="L370" s="1">
        <v>5.6937700000000001E-2</v>
      </c>
      <c r="M370" s="4">
        <v>4.8271245864626202</v>
      </c>
      <c r="N370" s="1">
        <v>-8.3913000000000008E-3</v>
      </c>
      <c r="O370" s="8">
        <v>1</v>
      </c>
      <c r="P370" s="1">
        <v>-3.4857100000000002E-2</v>
      </c>
      <c r="Q370">
        <v>0.85299999999999998</v>
      </c>
      <c r="R370" s="1">
        <v>-4.8506000000000001E-3</v>
      </c>
      <c r="S370" s="2">
        <v>-0.05</v>
      </c>
    </row>
    <row r="371" spans="1:19" x14ac:dyDescent="0.2">
      <c r="A371">
        <v>370</v>
      </c>
      <c r="B371">
        <v>46</v>
      </c>
      <c r="C371" t="s">
        <v>369</v>
      </c>
      <c r="D371" s="13" t="s">
        <v>912</v>
      </c>
      <c r="E371" s="1">
        <v>-1.13934</v>
      </c>
      <c r="F371">
        <v>-2.4574799999999999</v>
      </c>
      <c r="G371" s="1">
        <v>-1.19671149871977</v>
      </c>
      <c r="H371" s="1">
        <v>-2.5291863562197001</v>
      </c>
      <c r="I371">
        <f>VLOOKUP(C371,'[1]phenotypes-895'!$A$2:$G$896,7,FALSE)</f>
        <v>62</v>
      </c>
      <c r="J371" s="1">
        <v>1.84444E-2</v>
      </c>
      <c r="K371" s="1">
        <f>VLOOKUP(C371,'[1]phenotypes-895'!$A$2:$I$896,9,FALSE)</f>
        <v>0.50024925095262962</v>
      </c>
      <c r="L371" s="1">
        <v>-7.5973200000000005E-2</v>
      </c>
      <c r="M371" s="4">
        <v>4.4675363746730499</v>
      </c>
      <c r="N371" s="1">
        <v>-1.23266E-2</v>
      </c>
      <c r="O371" s="8">
        <v>1</v>
      </c>
      <c r="P371" s="1">
        <v>9.12858E-2</v>
      </c>
      <c r="Q371">
        <v>0.878</v>
      </c>
      <c r="R371" s="1">
        <v>3.9859899999999997E-2</v>
      </c>
      <c r="S371" s="2">
        <v>-0.04</v>
      </c>
    </row>
    <row r="372" spans="1:19" x14ac:dyDescent="0.2">
      <c r="A372">
        <v>371</v>
      </c>
      <c r="B372">
        <v>50</v>
      </c>
      <c r="C372" t="s">
        <v>370</v>
      </c>
      <c r="D372" s="13" t="s">
        <v>912</v>
      </c>
      <c r="E372" s="1">
        <v>-3.0445099999999998</v>
      </c>
      <c r="F372">
        <v>-2.42706</v>
      </c>
      <c r="G372" s="1">
        <v>-3.0197003293055098</v>
      </c>
      <c r="H372" s="1">
        <v>-2.4011630407880098</v>
      </c>
      <c r="I372">
        <f>VLOOKUP(C372,'[1]phenotypes-895'!$A$2:$G$896,7,FALSE)</f>
        <v>48</v>
      </c>
      <c r="J372" s="1">
        <v>7.0193599999999995E-2</v>
      </c>
      <c r="K372" s="1">
        <f>VLOOKUP(C372,'[1]phenotypes-895'!$A$2:$I$896,9,FALSE)</f>
        <v>0.86946343400805515</v>
      </c>
      <c r="L372" s="1">
        <v>0.15209800000000001</v>
      </c>
      <c r="M372" s="4">
        <v>5.2471587080273023</v>
      </c>
      <c r="N372" s="1">
        <v>3.5094100000000003E-2</v>
      </c>
      <c r="O372" s="8">
        <v>1</v>
      </c>
      <c r="P372" s="1">
        <v>-5.2344099999999998E-2</v>
      </c>
      <c r="Q372">
        <v>0.82199999999999995</v>
      </c>
      <c r="R372" s="1">
        <v>-1.54193E-2</v>
      </c>
      <c r="S372" s="2">
        <v>-0.06</v>
      </c>
    </row>
    <row r="373" spans="1:19" x14ac:dyDescent="0.2">
      <c r="A373">
        <v>372</v>
      </c>
      <c r="B373">
        <v>48</v>
      </c>
      <c r="C373" t="s">
        <v>371</v>
      </c>
      <c r="D373" s="13" t="s">
        <v>912</v>
      </c>
      <c r="E373" s="1">
        <v>0.27023999999999998</v>
      </c>
      <c r="F373">
        <v>1.64544</v>
      </c>
      <c r="G373" s="1">
        <v>0.25546280204059901</v>
      </c>
      <c r="H373" s="1">
        <v>1.6325813185106299</v>
      </c>
      <c r="I373">
        <f>VLOOKUP(C373,'[1]phenotypes-895'!$A$2:$G$896,7,FALSE)</f>
        <v>74</v>
      </c>
      <c r="J373" s="1">
        <v>-1.7372599999999998E-2</v>
      </c>
      <c r="K373" s="1">
        <f>VLOOKUP(C373,'[1]phenotypes-895'!$A$2:$I$896,9,FALSE)</f>
        <v>0.27668230419449352</v>
      </c>
      <c r="L373" s="1">
        <v>-3.7703E-2</v>
      </c>
      <c r="M373" s="4">
        <v>3.8536451233796924</v>
      </c>
      <c r="N373" s="1">
        <v>1.2168E-2</v>
      </c>
      <c r="O373" s="8">
        <v>1</v>
      </c>
      <c r="P373" s="1">
        <v>-9.8974000000000006E-2</v>
      </c>
      <c r="Q373">
        <v>0.77500000000000002</v>
      </c>
      <c r="R373" s="1">
        <v>-3.4834400000000001E-2</v>
      </c>
      <c r="S373" s="2">
        <v>-0.08</v>
      </c>
    </row>
    <row r="374" spans="1:19" x14ac:dyDescent="0.2">
      <c r="A374">
        <v>373</v>
      </c>
      <c r="B374">
        <v>50</v>
      </c>
      <c r="C374" t="s">
        <v>372</v>
      </c>
      <c r="D374" s="13" t="s">
        <v>912</v>
      </c>
      <c r="E374" s="1">
        <v>4.2862400000000003</v>
      </c>
      <c r="F374">
        <v>6.048</v>
      </c>
      <c r="G374" s="1">
        <v>4.2155241860900601</v>
      </c>
      <c r="H374" s="1">
        <v>5.9828552755867896</v>
      </c>
      <c r="I374">
        <f>VLOOKUP(C374,'[1]phenotypes-895'!$A$2:$G$896,7,FALSE)</f>
        <v>98</v>
      </c>
      <c r="J374" s="1">
        <v>-7.5003799999999995E-2</v>
      </c>
      <c r="K374" s="1">
        <f>VLOOKUP(C374,'[1]phenotypes-895'!$A$2:$I$896,9,FALSE)</f>
        <v>0</v>
      </c>
      <c r="L374" s="1">
        <v>0.200345</v>
      </c>
      <c r="M374" s="4">
        <v>0</v>
      </c>
      <c r="N374" s="1">
        <v>-1.76159E-2</v>
      </c>
      <c r="O374" s="8">
        <v>0</v>
      </c>
      <c r="P374" s="1">
        <v>-0.10645300000000001</v>
      </c>
      <c r="Q374">
        <v>0.63200000000000001</v>
      </c>
      <c r="R374" s="1">
        <v>-4.4870899999999998E-2</v>
      </c>
      <c r="S374" s="2">
        <v>-0.15</v>
      </c>
    </row>
    <row r="375" spans="1:19" x14ac:dyDescent="0.2">
      <c r="A375">
        <v>374</v>
      </c>
      <c r="B375">
        <v>48</v>
      </c>
      <c r="C375" t="s">
        <v>373</v>
      </c>
      <c r="D375" s="13" t="s">
        <v>912</v>
      </c>
      <c r="E375" s="1">
        <v>0.59576799999999996</v>
      </c>
      <c r="F375">
        <v>0.46844799999999998</v>
      </c>
      <c r="G375" s="1">
        <v>0.57590262083413402</v>
      </c>
      <c r="H375" s="1">
        <v>0.456435121860717</v>
      </c>
      <c r="I375">
        <f>VLOOKUP(C375,'[1]phenotypes-895'!$A$2:$G$896,7,FALSE)</f>
        <v>98</v>
      </c>
      <c r="J375" s="1">
        <v>2.3888E-2</v>
      </c>
      <c r="K375" s="1">
        <f>VLOOKUP(C375,'[1]phenotypes-895'!$A$2:$I$896,9,FALSE)</f>
        <v>0.14735983806021399</v>
      </c>
      <c r="L375" s="1">
        <v>-6.93474E-3</v>
      </c>
      <c r="M375" s="4">
        <v>2.2498040409417794</v>
      </c>
      <c r="N375" s="1">
        <v>2.0524500000000001E-2</v>
      </c>
      <c r="O375" s="8">
        <v>1</v>
      </c>
      <c r="P375" s="1">
        <v>2.33089E-2</v>
      </c>
      <c r="Q375">
        <v>0.99099999999999999</v>
      </c>
      <c r="R375" s="1">
        <v>1.8120299999999999E-2</v>
      </c>
      <c r="S375" s="2">
        <v>0</v>
      </c>
    </row>
    <row r="376" spans="1:19" x14ac:dyDescent="0.2">
      <c r="A376">
        <v>375</v>
      </c>
      <c r="B376">
        <v>44</v>
      </c>
      <c r="C376" t="s">
        <v>374</v>
      </c>
      <c r="D376" s="13" t="s">
        <v>912</v>
      </c>
      <c r="E376" s="1">
        <v>-0.63250399999999996</v>
      </c>
      <c r="F376">
        <v>1.8788199999999999</v>
      </c>
      <c r="G376" s="1">
        <v>-0.63844689972151203</v>
      </c>
      <c r="H376" s="1">
        <v>1.8714608645233699</v>
      </c>
      <c r="I376">
        <f>VLOOKUP(C376,'[1]phenotypes-895'!$A$2:$G$896,7,FALSE)</f>
        <v>62</v>
      </c>
      <c r="J376" s="1">
        <v>3.0793500000000001E-2</v>
      </c>
      <c r="K376" s="1">
        <f>VLOOKUP(C376,'[1]phenotypes-895'!$A$2:$I$896,9,FALSE)</f>
        <v>0.50464716534979481</v>
      </c>
      <c r="L376" s="1">
        <v>9.1761099999999998E-2</v>
      </c>
      <c r="M376" s="4">
        <v>4.1856516294619661</v>
      </c>
      <c r="N376" s="1">
        <v>2.9459200000000001E-2</v>
      </c>
      <c r="O376" s="8">
        <v>1</v>
      </c>
      <c r="P376" s="1">
        <v>-0.19087000000000001</v>
      </c>
      <c r="Q376">
        <v>0.82499999999999996</v>
      </c>
      <c r="R376" s="1">
        <v>-7.6636499999999996E-2</v>
      </c>
      <c r="S376" s="2">
        <v>-0.06</v>
      </c>
    </row>
    <row r="377" spans="1:19" x14ac:dyDescent="0.2">
      <c r="A377">
        <v>376</v>
      </c>
      <c r="B377">
        <v>49</v>
      </c>
      <c r="C377" t="s">
        <v>375</v>
      </c>
      <c r="D377" s="13" t="s">
        <v>912</v>
      </c>
      <c r="E377" s="1">
        <v>3.1914199999999997E-2</v>
      </c>
      <c r="F377">
        <v>0.27909800000000001</v>
      </c>
      <c r="G377" s="1">
        <v>4.4276156261879897E-2</v>
      </c>
      <c r="H377" s="1">
        <v>0.29592798787866498</v>
      </c>
      <c r="I377">
        <f>VLOOKUP(C377,'[1]phenotypes-895'!$A$2:$G$896,7,FALSE)</f>
        <v>88</v>
      </c>
      <c r="J377" s="1">
        <v>-2.3050499999999999E-3</v>
      </c>
      <c r="K377" s="1">
        <f>VLOOKUP(C377,'[1]phenotypes-895'!$A$2:$I$896,9,FALSE)</f>
        <v>0.28324506065152011</v>
      </c>
      <c r="L377" s="1">
        <v>0.13888800000000001</v>
      </c>
      <c r="M377" s="4">
        <v>3.9916310169197007</v>
      </c>
      <c r="N377" s="1">
        <v>1.6412900000000001E-2</v>
      </c>
      <c r="O377" s="8">
        <v>1</v>
      </c>
      <c r="P377" s="1">
        <v>2.60576E-2</v>
      </c>
      <c r="Q377">
        <v>0.92600000000000005</v>
      </c>
      <c r="R377" s="1">
        <v>1.9769499999999999E-2</v>
      </c>
      <c r="S377" s="2">
        <v>-0.02</v>
      </c>
    </row>
    <row r="378" spans="1:19" x14ac:dyDescent="0.2">
      <c r="A378">
        <v>377</v>
      </c>
      <c r="B378">
        <v>41</v>
      </c>
      <c r="C378" t="s">
        <v>376</v>
      </c>
      <c r="D378" s="13" t="s">
        <v>912</v>
      </c>
      <c r="E378" s="1">
        <v>4.2357199999999997</v>
      </c>
      <c r="F378">
        <v>5.1834600000000002</v>
      </c>
      <c r="G378" s="1">
        <v>4.2037489265058898</v>
      </c>
      <c r="H378" s="1">
        <v>5.1514822994522804</v>
      </c>
      <c r="I378">
        <f>VLOOKUP(C378,'[1]phenotypes-895'!$A$2:$G$896,7,FALSE)</f>
        <v>98</v>
      </c>
      <c r="J378" s="1">
        <v>-9.6474400000000002E-2</v>
      </c>
      <c r="K378" s="1">
        <f>VLOOKUP(C378,'[1]phenotypes-895'!$A$2:$I$896,9,FALSE)</f>
        <v>0</v>
      </c>
      <c r="L378" s="1">
        <v>-0.16723499999999999</v>
      </c>
      <c r="M378" s="4">
        <v>0</v>
      </c>
      <c r="N378" s="1">
        <v>-3.8984199999999997E-2</v>
      </c>
      <c r="O378" s="8">
        <v>0</v>
      </c>
      <c r="P378" s="1">
        <v>0.143787</v>
      </c>
      <c r="Q378">
        <v>1.214</v>
      </c>
      <c r="R378" s="1">
        <v>4.9156400000000003E-2</v>
      </c>
      <c r="S378" s="2">
        <v>0.06</v>
      </c>
    </row>
    <row r="379" spans="1:19" x14ac:dyDescent="0.2">
      <c r="A379">
        <v>378</v>
      </c>
      <c r="B379">
        <v>50</v>
      </c>
      <c r="C379" t="s">
        <v>377</v>
      </c>
      <c r="D379" s="13" t="s">
        <v>912</v>
      </c>
      <c r="E379" s="1">
        <v>3.5406300000000002</v>
      </c>
      <c r="F379">
        <v>6.0476999999999999</v>
      </c>
      <c r="G379" s="1">
        <v>3.5806071029691799</v>
      </c>
      <c r="H379" s="1">
        <v>6.09821731722558</v>
      </c>
      <c r="I379">
        <f>VLOOKUP(C379,'[1]phenotypes-895'!$A$2:$G$896,7,FALSE)</f>
        <v>98</v>
      </c>
      <c r="J379" s="1">
        <v>-7.0198200000000002E-2</v>
      </c>
      <c r="K379" s="1">
        <f>VLOOKUP(C379,'[1]phenotypes-895'!$A$2:$I$896,9,FALSE)</f>
        <v>0</v>
      </c>
      <c r="L379" s="1">
        <v>2.2985800000000001E-2</v>
      </c>
      <c r="M379" s="4">
        <v>0</v>
      </c>
      <c r="N379" s="1">
        <v>4.7559100000000003E-3</v>
      </c>
      <c r="O379" s="8">
        <v>0</v>
      </c>
      <c r="P379" s="1">
        <v>-0.169346</v>
      </c>
      <c r="Q379">
        <v>0.72299999999999998</v>
      </c>
      <c r="R379" s="1">
        <v>-7.2217900000000002E-2</v>
      </c>
      <c r="S379" s="2">
        <v>-0.11</v>
      </c>
    </row>
    <row r="380" spans="1:19" x14ac:dyDescent="0.2">
      <c r="A380">
        <v>379</v>
      </c>
      <c r="B380">
        <v>44</v>
      </c>
      <c r="C380" t="s">
        <v>378</v>
      </c>
      <c r="D380" s="13" t="s">
        <v>912</v>
      </c>
      <c r="E380" s="1">
        <v>0.49864599999999998</v>
      </c>
      <c r="F380">
        <v>-0.42891800000000002</v>
      </c>
      <c r="G380" s="1">
        <v>0.484544860650022</v>
      </c>
      <c r="H380" s="1">
        <v>-0.446800850110742</v>
      </c>
      <c r="I380">
        <f>VLOOKUP(C380,'[1]phenotypes-895'!$A$2:$G$896,7,FALSE)</f>
        <v>98</v>
      </c>
      <c r="J380" s="1">
        <v>1.51708E-2</v>
      </c>
      <c r="K380" s="1">
        <f>VLOOKUP(C380,'[1]phenotypes-895'!$A$2:$I$896,9,FALSE)</f>
        <v>0.1241983564244911</v>
      </c>
      <c r="L380" s="1">
        <v>1.34549E-3</v>
      </c>
      <c r="M380" s="4">
        <v>2.6737080872470895</v>
      </c>
      <c r="N380" s="1">
        <v>2.0237399999999999E-2</v>
      </c>
      <c r="O380" s="8">
        <v>1</v>
      </c>
      <c r="P380" s="1">
        <v>6.4330300000000002E-4</v>
      </c>
      <c r="Q380">
        <v>0.71299999999999997</v>
      </c>
      <c r="R380" s="1">
        <v>4.6735400000000003E-3</v>
      </c>
      <c r="S380" s="2">
        <v>-0.11</v>
      </c>
    </row>
    <row r="381" spans="1:19" x14ac:dyDescent="0.2">
      <c r="A381">
        <v>380</v>
      </c>
      <c r="B381">
        <v>36</v>
      </c>
      <c r="C381" t="s">
        <v>379</v>
      </c>
      <c r="D381" s="13" t="s">
        <v>913</v>
      </c>
      <c r="E381" s="1">
        <v>4.6991100000000001</v>
      </c>
      <c r="F381">
        <v>6.0912499999999996</v>
      </c>
      <c r="G381" s="1">
        <v>4.6360127043599997</v>
      </c>
      <c r="H381" s="1">
        <v>6.0021842037984898</v>
      </c>
      <c r="I381">
        <f>VLOOKUP(C381,'[1]phenotypes-895'!$A$2:$G$896,7,FALSE)</f>
        <v>98</v>
      </c>
      <c r="J381" s="1">
        <v>-7.0412799999999998E-2</v>
      </c>
      <c r="K381" s="1">
        <f>VLOOKUP(C381,'[1]phenotypes-895'!$A$2:$I$896,9,FALSE)</f>
        <v>0</v>
      </c>
      <c r="L381" s="1">
        <v>0.18926999999999999</v>
      </c>
      <c r="M381" s="4">
        <v>0</v>
      </c>
      <c r="N381" s="1">
        <v>-1.4278799999999999E-2</v>
      </c>
      <c r="O381" s="8">
        <v>0</v>
      </c>
      <c r="P381" s="1">
        <v>-2.1721500000000001E-2</v>
      </c>
      <c r="Q381">
        <v>1.369</v>
      </c>
      <c r="R381" s="1">
        <v>-1.8604599999999999E-2</v>
      </c>
      <c r="S381" s="2">
        <v>0.1</v>
      </c>
    </row>
    <row r="382" spans="1:19" x14ac:dyDescent="0.2">
      <c r="A382">
        <v>381</v>
      </c>
      <c r="B382">
        <v>50</v>
      </c>
      <c r="C382" t="s">
        <v>380</v>
      </c>
      <c r="D382" s="13" t="s">
        <v>912</v>
      </c>
      <c r="E382" s="1">
        <v>1.82382</v>
      </c>
      <c r="F382">
        <v>1.21427</v>
      </c>
      <c r="G382" s="1">
        <v>1.7702187982737501</v>
      </c>
      <c r="H382" s="1">
        <v>1.16291348748391</v>
      </c>
      <c r="I382">
        <f>VLOOKUP(C382,'[1]phenotypes-895'!$A$2:$G$896,7,FALSE)</f>
        <v>98</v>
      </c>
      <c r="J382" s="1">
        <v>-2.5311799999999999E-2</v>
      </c>
      <c r="K382" s="1">
        <f>VLOOKUP(C382,'[1]phenotypes-895'!$A$2:$I$896,9,FALSE)</f>
        <v>1.831630831520601E-2</v>
      </c>
      <c r="L382" s="1">
        <v>-0.112467</v>
      </c>
      <c r="M382" s="4">
        <v>2.0295811239775157</v>
      </c>
      <c r="N382" s="1">
        <v>-1.04143E-2</v>
      </c>
      <c r="O382" s="8">
        <v>1</v>
      </c>
      <c r="P382" s="1">
        <v>3.6774000000000001E-2</v>
      </c>
      <c r="Q382">
        <v>0.80400000000000005</v>
      </c>
      <c r="R382" s="1">
        <v>2.3171500000000001E-2</v>
      </c>
      <c r="S382" s="2">
        <v>-7.0000000000000007E-2</v>
      </c>
    </row>
    <row r="383" spans="1:19" x14ac:dyDescent="0.2">
      <c r="A383">
        <v>382</v>
      </c>
      <c r="B383">
        <v>27</v>
      </c>
      <c r="C383" t="s">
        <v>381</v>
      </c>
      <c r="D383" s="12" t="s">
        <v>913</v>
      </c>
      <c r="E383" s="1">
        <v>4.9565400000000004</v>
      </c>
      <c r="F383">
        <v>3.218</v>
      </c>
      <c r="G383" s="1">
        <v>4.9625316865833602</v>
      </c>
      <c r="H383" s="1">
        <v>3.2184166467561299</v>
      </c>
      <c r="I383">
        <f>VLOOKUP(C383,'[1]phenotypes-895'!$A$2:$G$896,7,FALSE)</f>
        <v>61</v>
      </c>
      <c r="J383" s="1">
        <v>-9.1046600000000005E-2</v>
      </c>
      <c r="K383" s="1">
        <f>VLOOKUP(C383,'[1]phenotypes-895'!$A$2:$I$896,9,FALSE)</f>
        <v>0.41698989880547832</v>
      </c>
      <c r="L383" s="1">
        <v>-9.6158400000000005E-2</v>
      </c>
      <c r="M383" s="4">
        <v>3.1525079795373925</v>
      </c>
      <c r="N383" s="1">
        <v>-1.8781699999999998E-2</v>
      </c>
      <c r="O383" s="8">
        <v>1</v>
      </c>
      <c r="P383" s="1">
        <v>0.10985300000000001</v>
      </c>
      <c r="Q383">
        <v>1.1319999999999999</v>
      </c>
      <c r="R383" s="1">
        <v>4.1341700000000002E-2</v>
      </c>
      <c r="S383" s="2">
        <v>0.04</v>
      </c>
    </row>
    <row r="384" spans="1:19" x14ac:dyDescent="0.2">
      <c r="A384">
        <v>383</v>
      </c>
      <c r="B384">
        <v>49</v>
      </c>
      <c r="C384" t="s">
        <v>382</v>
      </c>
      <c r="D384" s="13" t="s">
        <v>912</v>
      </c>
      <c r="E384" s="1">
        <v>2.0196000000000001</v>
      </c>
      <c r="F384">
        <v>1.2360199999999999</v>
      </c>
      <c r="G384" s="1">
        <v>1.99871117116812</v>
      </c>
      <c r="H384" s="1">
        <v>1.2108575575060401</v>
      </c>
      <c r="I384">
        <f>VLOOKUP(C384,'[1]phenotypes-895'!$A$2:$G$896,7,FALSE)</f>
        <v>57</v>
      </c>
      <c r="J384" s="1">
        <v>-2.1569999999999999E-2</v>
      </c>
      <c r="K384" s="1">
        <f>VLOOKUP(C384,'[1]phenotypes-895'!$A$2:$I$896,9,FALSE)</f>
        <v>0.79910497564815675</v>
      </c>
      <c r="L384" s="1">
        <v>-0.19999900000000001</v>
      </c>
      <c r="M384" s="4">
        <v>4.258807216839493</v>
      </c>
      <c r="N384" s="1">
        <v>-1.7107000000000001E-2</v>
      </c>
      <c r="O384" s="8">
        <v>1</v>
      </c>
      <c r="P384" s="1">
        <v>-2.3383299999999999E-2</v>
      </c>
      <c r="Q384">
        <v>0.83599999999999997</v>
      </c>
      <c r="R384" s="1">
        <v>-1.49027E-2</v>
      </c>
      <c r="S384" s="2">
        <v>-0.05</v>
      </c>
    </row>
    <row r="385" spans="1:19" x14ac:dyDescent="0.2">
      <c r="A385">
        <v>384</v>
      </c>
      <c r="B385">
        <v>46</v>
      </c>
      <c r="C385" t="s">
        <v>383</v>
      </c>
      <c r="D385" s="13" t="s">
        <v>912</v>
      </c>
      <c r="E385" s="1">
        <v>2.6340599999999998</v>
      </c>
      <c r="F385">
        <v>2.6936100000000001</v>
      </c>
      <c r="G385" s="1">
        <v>2.6227951940296501</v>
      </c>
      <c r="H385" s="1">
        <v>2.6842134683463201</v>
      </c>
      <c r="I385">
        <f>VLOOKUP(C385,'[1]phenotypes-895'!$A$2:$G$896,7,FALSE)</f>
        <v>89</v>
      </c>
      <c r="J385" s="1">
        <v>-9.0443999999999997E-2</v>
      </c>
      <c r="K385" s="1">
        <f>VLOOKUP(C385,'[1]phenotypes-895'!$A$2:$I$896,9,FALSE)</f>
        <v>0.42608856428626002</v>
      </c>
      <c r="L385" s="1">
        <v>-0.116907</v>
      </c>
      <c r="M385" s="4">
        <v>3.5667329520107987</v>
      </c>
      <c r="N385" s="1">
        <v>-3.6781800000000003E-2</v>
      </c>
      <c r="O385" s="8">
        <v>1</v>
      </c>
      <c r="P385" s="1">
        <v>-1.7008800000000001E-2</v>
      </c>
      <c r="Q385">
        <v>0.68300000000000005</v>
      </c>
      <c r="R385" s="1">
        <v>-5.6794200000000001E-3</v>
      </c>
      <c r="S385" s="2">
        <v>-0.13</v>
      </c>
    </row>
    <row r="386" spans="1:19" x14ac:dyDescent="0.2">
      <c r="A386">
        <v>385</v>
      </c>
      <c r="B386">
        <v>49</v>
      </c>
      <c r="C386" t="s">
        <v>384</v>
      </c>
      <c r="D386" s="13" t="s">
        <v>912</v>
      </c>
      <c r="E386" s="1">
        <v>-4.3852000000000002</v>
      </c>
      <c r="F386">
        <v>-4.1043599999999998</v>
      </c>
      <c r="G386" s="1">
        <v>-4.4369668320327902</v>
      </c>
      <c r="H386" s="1">
        <v>-4.1565717966769302</v>
      </c>
      <c r="I386">
        <f>VLOOKUP(C386,'[1]phenotypes-895'!$A$2:$G$896,7,FALSE)</f>
        <v>51</v>
      </c>
      <c r="J386" s="1">
        <v>7.7946600000000005E-2</v>
      </c>
      <c r="K386" s="1">
        <f>VLOOKUP(C386,'[1]phenotypes-895'!$A$2:$I$896,9,FALSE)</f>
        <v>0.47706729141631071</v>
      </c>
      <c r="L386" s="1">
        <v>6.9217699999999993E-2</v>
      </c>
      <c r="M386" s="4">
        <v>4.1235118800184365</v>
      </c>
      <c r="N386" s="1">
        <v>4.3519099999999998E-2</v>
      </c>
      <c r="O386" s="8">
        <v>1</v>
      </c>
      <c r="P386" s="1">
        <v>-0.101054</v>
      </c>
      <c r="Q386">
        <v>0.70899999999999996</v>
      </c>
      <c r="R386" s="1">
        <v>-3.6321699999999998E-2</v>
      </c>
      <c r="S386" s="2">
        <v>-0.11</v>
      </c>
    </row>
    <row r="387" spans="1:19" x14ac:dyDescent="0.2">
      <c r="A387">
        <v>386</v>
      </c>
      <c r="B387">
        <v>49</v>
      </c>
      <c r="C387" t="s">
        <v>385</v>
      </c>
      <c r="D387" s="13" t="s">
        <v>912</v>
      </c>
      <c r="E387" s="1">
        <v>3.7589100000000002</v>
      </c>
      <c r="F387">
        <v>2.4095200000000001</v>
      </c>
      <c r="G387" s="1">
        <v>3.7279017889339401</v>
      </c>
      <c r="H387" s="1">
        <v>2.36936115331505</v>
      </c>
      <c r="I387">
        <f>VLOOKUP(C387,'[1]phenotypes-895'!$A$2:$G$896,7,FALSE)</f>
        <v>75</v>
      </c>
      <c r="J387" s="1">
        <v>-8.7248500000000007E-2</v>
      </c>
      <c r="K387" s="1">
        <f>VLOOKUP(C387,'[1]phenotypes-895'!$A$2:$I$896,9,FALSE)</f>
        <v>0.38408471675958578</v>
      </c>
      <c r="L387" s="1">
        <v>-0.146258</v>
      </c>
      <c r="M387" s="4">
        <v>4.0045813161704427</v>
      </c>
      <c r="N387" s="1">
        <v>-1.54757E-2</v>
      </c>
      <c r="O387" s="8">
        <v>1</v>
      </c>
      <c r="P387" s="1">
        <v>4.1100600000000001E-2</v>
      </c>
      <c r="Q387">
        <v>0.93899999999999995</v>
      </c>
      <c r="R387" s="1">
        <v>1.39735E-2</v>
      </c>
      <c r="S387" s="2">
        <v>-0.02</v>
      </c>
    </row>
    <row r="388" spans="1:19" x14ac:dyDescent="0.2">
      <c r="A388">
        <v>387</v>
      </c>
      <c r="B388">
        <v>44</v>
      </c>
      <c r="C388" t="s">
        <v>386</v>
      </c>
      <c r="D388" s="13" t="s">
        <v>912</v>
      </c>
      <c r="E388" s="1">
        <v>-1.15045</v>
      </c>
      <c r="F388">
        <v>0.51309300000000002</v>
      </c>
      <c r="G388" s="1">
        <v>-1.16915576915095</v>
      </c>
      <c r="H388" s="1">
        <v>0.50087164703699705</v>
      </c>
      <c r="I388">
        <f>VLOOKUP(C388,'[1]phenotypes-895'!$A$2:$G$896,7,FALSE)</f>
        <v>98</v>
      </c>
      <c r="J388" s="1">
        <v>7.0059199999999997E-3</v>
      </c>
      <c r="K388" s="1">
        <f>VLOOKUP(C388,'[1]phenotypes-895'!$A$2:$I$896,9,FALSE)</f>
        <v>0.1857198399293801</v>
      </c>
      <c r="L388" s="1">
        <v>-9.1210700000000006E-2</v>
      </c>
      <c r="M388" s="4">
        <v>3.1784033239974101</v>
      </c>
      <c r="N388" s="1">
        <v>-2.8422399999999998E-3</v>
      </c>
      <c r="O388" s="8">
        <v>1</v>
      </c>
      <c r="P388" s="1">
        <v>-0.123235</v>
      </c>
      <c r="Q388">
        <v>0.63</v>
      </c>
      <c r="R388" s="1">
        <v>-5.1528200000000003E-2</v>
      </c>
      <c r="S388" s="2">
        <v>-0.15</v>
      </c>
    </row>
    <row r="389" spans="1:19" x14ac:dyDescent="0.2">
      <c r="A389">
        <v>388</v>
      </c>
      <c r="B389">
        <v>52</v>
      </c>
      <c r="C389" t="s">
        <v>387</v>
      </c>
      <c r="D389" s="13" t="s">
        <v>912</v>
      </c>
      <c r="E389" s="1">
        <v>5.04223</v>
      </c>
      <c r="F389">
        <v>4.8026</v>
      </c>
      <c r="G389" s="1">
        <v>5.0338494475214404</v>
      </c>
      <c r="H389" s="1">
        <v>4.7959494544153598</v>
      </c>
      <c r="I389">
        <f>VLOOKUP(C389,'[1]phenotypes-895'!$A$2:$G$896,7,FALSE)</f>
        <v>98</v>
      </c>
      <c r="J389" s="1">
        <v>-6.8024299999999996E-2</v>
      </c>
      <c r="K389" s="1">
        <f>VLOOKUP(C389,'[1]phenotypes-895'!$A$2:$I$896,9,FALSE)</f>
        <v>0</v>
      </c>
      <c r="L389" s="1">
        <v>-0.10409400000000001</v>
      </c>
      <c r="M389" s="4">
        <v>0</v>
      </c>
      <c r="N389" s="1">
        <v>-3.9678100000000001E-2</v>
      </c>
      <c r="O389" s="8">
        <v>0</v>
      </c>
      <c r="P389" s="1">
        <v>6.6869600000000001E-2</v>
      </c>
      <c r="Q389">
        <v>0.76300000000000001</v>
      </c>
      <c r="R389" s="1">
        <v>2.43196E-2</v>
      </c>
      <c r="S389" s="2">
        <v>-0.09</v>
      </c>
    </row>
    <row r="390" spans="1:19" x14ac:dyDescent="0.2">
      <c r="A390">
        <v>389</v>
      </c>
      <c r="B390">
        <v>50</v>
      </c>
      <c r="C390" t="s">
        <v>388</v>
      </c>
      <c r="D390" s="13" t="s">
        <v>912</v>
      </c>
      <c r="E390" s="1">
        <v>-0.19969300000000001</v>
      </c>
      <c r="F390">
        <v>1.13626</v>
      </c>
      <c r="G390" s="1">
        <v>-0.19321171230641601</v>
      </c>
      <c r="H390" s="1">
        <v>1.15213192484718</v>
      </c>
      <c r="I390">
        <f>VLOOKUP(C390,'[1]phenotypes-895'!$A$2:$G$896,7,FALSE)</f>
        <v>98</v>
      </c>
      <c r="J390" s="1">
        <v>-6.3830600000000001E-2</v>
      </c>
      <c r="K390" s="1">
        <f>VLOOKUP(C390,'[1]phenotypes-895'!$A$2:$I$896,9,FALSE)</f>
        <v>0</v>
      </c>
      <c r="L390" s="1">
        <v>-2.8364199999999999E-2</v>
      </c>
      <c r="M390" s="4">
        <v>0</v>
      </c>
      <c r="N390" s="1">
        <v>-2.3690900000000001E-2</v>
      </c>
      <c r="O390" s="8">
        <v>0</v>
      </c>
      <c r="P390" s="1">
        <v>-5.6207600000000003E-2</v>
      </c>
      <c r="Q390">
        <v>0.73699999999999999</v>
      </c>
      <c r="R390" s="1">
        <v>-1.4703300000000001E-2</v>
      </c>
      <c r="S390" s="2">
        <v>-0.1</v>
      </c>
    </row>
    <row r="391" spans="1:19" x14ac:dyDescent="0.2">
      <c r="A391">
        <v>390</v>
      </c>
      <c r="B391">
        <v>42</v>
      </c>
      <c r="C391" t="s">
        <v>389</v>
      </c>
      <c r="D391" s="13" t="s">
        <v>912</v>
      </c>
      <c r="E391" s="1">
        <v>4.3111100000000002</v>
      </c>
      <c r="F391">
        <v>4.4431599999999998</v>
      </c>
      <c r="G391" s="1">
        <v>4.3360946091663299</v>
      </c>
      <c r="H391" s="1">
        <v>4.4719288352750404</v>
      </c>
      <c r="I391">
        <f>VLOOKUP(C391,'[1]phenotypes-895'!$A$2:$G$896,7,FALSE)</f>
        <v>98</v>
      </c>
      <c r="J391" s="1">
        <v>-3.0622199999999999E-2</v>
      </c>
      <c r="K391" s="1">
        <f>VLOOKUP(C391,'[1]phenotypes-895'!$A$2:$I$896,9,FALSE)</f>
        <v>0.14182569204914641</v>
      </c>
      <c r="L391" s="1">
        <v>0.13544400000000001</v>
      </c>
      <c r="M391" s="4">
        <v>3.3659013439006102</v>
      </c>
      <c r="N391" s="1">
        <v>-4.1330000000000002E-4</v>
      </c>
      <c r="O391" s="8">
        <v>1</v>
      </c>
      <c r="P391" s="1">
        <v>9.1470499999999996E-2</v>
      </c>
      <c r="Q391">
        <v>0.78600000000000003</v>
      </c>
      <c r="R391" s="1">
        <v>3.4006300000000003E-2</v>
      </c>
      <c r="S391" s="2">
        <v>-0.08</v>
      </c>
    </row>
    <row r="392" spans="1:19" x14ac:dyDescent="0.2">
      <c r="A392">
        <v>391</v>
      </c>
      <c r="B392">
        <v>44</v>
      </c>
      <c r="C392" t="s">
        <v>390</v>
      </c>
      <c r="D392" s="13" t="s">
        <v>912</v>
      </c>
      <c r="E392" s="1">
        <v>6.2154800000000003</v>
      </c>
      <c r="F392">
        <v>7.1928799999999997</v>
      </c>
      <c r="G392" s="1">
        <v>6.2454642062755097</v>
      </c>
      <c r="H392" s="1">
        <v>7.2214419939567502</v>
      </c>
      <c r="I392">
        <f>VLOOKUP(C392,'[1]phenotypes-895'!$A$2:$G$896,7,FALSE)</f>
        <v>98</v>
      </c>
      <c r="J392" s="1">
        <v>-0.14233699999999999</v>
      </c>
      <c r="K392" s="1">
        <f>VLOOKUP(C392,'[1]phenotypes-895'!$A$2:$I$896,9,FALSE)</f>
        <v>0</v>
      </c>
      <c r="L392" s="1">
        <v>-0.159382</v>
      </c>
      <c r="M392" s="4">
        <v>0</v>
      </c>
      <c r="N392" s="1">
        <v>-4.6433599999999998E-2</v>
      </c>
      <c r="O392" s="8">
        <v>0</v>
      </c>
      <c r="P392" s="1">
        <v>0.116746</v>
      </c>
      <c r="Q392">
        <v>0.96499999999999997</v>
      </c>
      <c r="R392" s="1">
        <v>4.1580100000000002E-2</v>
      </c>
      <c r="S392" s="2">
        <v>-0.01</v>
      </c>
    </row>
    <row r="393" spans="1:19" x14ac:dyDescent="0.2">
      <c r="A393">
        <v>392</v>
      </c>
      <c r="B393">
        <v>49</v>
      </c>
      <c r="C393" t="s">
        <v>391</v>
      </c>
      <c r="D393" s="13" t="s">
        <v>912</v>
      </c>
      <c r="E393" s="1">
        <v>6.9691299999999998</v>
      </c>
      <c r="F393">
        <v>7.0050600000000003</v>
      </c>
      <c r="G393" s="1">
        <v>6.9646075431372196</v>
      </c>
      <c r="H393" s="1">
        <v>6.9992536789184401</v>
      </c>
      <c r="I393">
        <f>VLOOKUP(C393,'[1]phenotypes-895'!$A$2:$G$896,7,FALSE)</f>
        <v>98</v>
      </c>
      <c r="J393" s="1">
        <v>-0.11873300000000001</v>
      </c>
      <c r="K393" s="1">
        <f>VLOOKUP(C393,'[1]phenotypes-895'!$A$2:$I$896,9,FALSE)</f>
        <v>0</v>
      </c>
      <c r="L393" s="1">
        <v>-6.0075799999999999E-2</v>
      </c>
      <c r="M393" s="4">
        <v>0</v>
      </c>
      <c r="N393" s="1">
        <v>-3.46413E-2</v>
      </c>
      <c r="O393" s="8">
        <v>0</v>
      </c>
      <c r="P393" s="1">
        <v>-4.9391900000000002E-2</v>
      </c>
      <c r="Q393">
        <v>0.73399999999999999</v>
      </c>
      <c r="R393" s="1">
        <v>-1.33055E-2</v>
      </c>
      <c r="S393" s="2">
        <v>-0.1</v>
      </c>
    </row>
    <row r="394" spans="1:19" x14ac:dyDescent="0.2">
      <c r="A394">
        <v>393</v>
      </c>
      <c r="B394">
        <v>54</v>
      </c>
      <c r="C394" t="s">
        <v>392</v>
      </c>
      <c r="D394" s="13" t="s">
        <v>912</v>
      </c>
      <c r="E394" s="1">
        <v>-0.429147</v>
      </c>
      <c r="F394">
        <v>0.86742200000000003</v>
      </c>
      <c r="G394" s="1">
        <v>-0.42535324483939002</v>
      </c>
      <c r="H394" s="1">
        <v>0.87065969680237498</v>
      </c>
      <c r="I394">
        <f>VLOOKUP(C394,'[1]phenotypes-895'!$A$2:$G$896,7,FALSE)</f>
        <v>76</v>
      </c>
      <c r="J394" s="1">
        <v>-1.3847600000000001E-3</v>
      </c>
      <c r="K394" s="1">
        <f>VLOOKUP(C394,'[1]phenotypes-895'!$A$2:$I$896,9,FALSE)</f>
        <v>0.3526359334354604</v>
      </c>
      <c r="L394" s="1">
        <v>2.9581900000000001E-2</v>
      </c>
      <c r="M394" s="4">
        <v>4.1384231408701231</v>
      </c>
      <c r="N394" s="1">
        <v>-7.1133199999999996E-4</v>
      </c>
      <c r="O394" s="8">
        <v>1</v>
      </c>
      <c r="P394" s="1">
        <v>-0.10968899999999999</v>
      </c>
      <c r="Q394">
        <v>0.79600000000000004</v>
      </c>
      <c r="R394" s="1">
        <v>-4.8196999999999997E-2</v>
      </c>
      <c r="S394" s="2">
        <v>-7.0000000000000007E-2</v>
      </c>
    </row>
    <row r="395" spans="1:19" x14ac:dyDescent="0.2">
      <c r="A395">
        <v>394</v>
      </c>
      <c r="B395">
        <v>42</v>
      </c>
      <c r="C395" t="s">
        <v>393</v>
      </c>
      <c r="D395" s="13" t="s">
        <v>912</v>
      </c>
      <c r="E395" s="1">
        <v>3.0309599999999999</v>
      </c>
      <c r="F395">
        <v>3.69068</v>
      </c>
      <c r="G395" s="1">
        <v>3.0185937546367301</v>
      </c>
      <c r="H395" s="1">
        <v>3.68489103460151</v>
      </c>
      <c r="I395">
        <f>VLOOKUP(C395,'[1]phenotypes-895'!$A$2:$G$896,7,FALSE)</f>
        <v>98</v>
      </c>
      <c r="J395" s="1">
        <v>-3.7668899999999998E-2</v>
      </c>
      <c r="K395" s="1">
        <f>VLOOKUP(C395,'[1]phenotypes-895'!$A$2:$I$896,9,FALSE)</f>
        <v>0</v>
      </c>
      <c r="L395" s="1">
        <v>0.23014699999999999</v>
      </c>
      <c r="M395" s="4">
        <v>0</v>
      </c>
      <c r="N395" s="1">
        <v>-5.9836300000000002E-3</v>
      </c>
      <c r="O395" s="8">
        <v>0</v>
      </c>
      <c r="P395" s="1">
        <v>-6.2450199999999997E-2</v>
      </c>
      <c r="Q395">
        <v>0.79700000000000004</v>
      </c>
      <c r="R395" s="1">
        <v>-2.1899600000000002E-2</v>
      </c>
      <c r="S395" s="2">
        <v>-7.0000000000000007E-2</v>
      </c>
    </row>
    <row r="396" spans="1:19" x14ac:dyDescent="0.2">
      <c r="A396">
        <v>395</v>
      </c>
      <c r="B396">
        <v>44</v>
      </c>
      <c r="C396" t="s">
        <v>394</v>
      </c>
      <c r="D396" s="13" t="s">
        <v>912</v>
      </c>
      <c r="E396" s="1">
        <v>5.02515</v>
      </c>
      <c r="F396">
        <v>4.9599900000000003</v>
      </c>
      <c r="G396" s="1">
        <v>5.0353814272933297</v>
      </c>
      <c r="H396" s="1">
        <v>4.9777217686233604</v>
      </c>
      <c r="I396">
        <f>VLOOKUP(C396,'[1]phenotypes-895'!$A$2:$G$896,7,FALSE)</f>
        <v>98</v>
      </c>
      <c r="J396" s="1">
        <v>-2.70567E-2</v>
      </c>
      <c r="K396" s="1">
        <f>VLOOKUP(C396,'[1]phenotypes-895'!$A$2:$I$896,9,FALSE)</f>
        <v>0.31689774972064633</v>
      </c>
      <c r="L396" s="1">
        <v>6.9955400000000001E-2</v>
      </c>
      <c r="M396" s="4">
        <v>3.9142653097798061</v>
      </c>
      <c r="N396" s="1">
        <v>-7.02704E-3</v>
      </c>
      <c r="O396" s="8">
        <v>1</v>
      </c>
      <c r="P396" s="1">
        <v>-7.0811399999999997E-3</v>
      </c>
      <c r="Q396">
        <v>0.69</v>
      </c>
      <c r="R396" s="1">
        <v>-2.4961200000000001E-3</v>
      </c>
      <c r="S396" s="2">
        <v>-0.12</v>
      </c>
    </row>
    <row r="397" spans="1:19" x14ac:dyDescent="0.2">
      <c r="A397">
        <v>396</v>
      </c>
      <c r="B397">
        <v>49</v>
      </c>
      <c r="C397" t="s">
        <v>395</v>
      </c>
      <c r="D397" s="13" t="s">
        <v>912</v>
      </c>
      <c r="E397" s="1">
        <v>1.5810299999999999</v>
      </c>
      <c r="F397">
        <v>2.3482599999999998</v>
      </c>
      <c r="G397" s="1">
        <v>1.5440644436782101</v>
      </c>
      <c r="H397" s="1">
        <v>2.3285802275418099</v>
      </c>
      <c r="I397">
        <f>VLOOKUP(C397,'[1]phenotypes-895'!$A$2:$G$896,7,FALSE)</f>
        <v>60</v>
      </c>
      <c r="J397" s="1">
        <v>-8.7219399999999996E-4</v>
      </c>
      <c r="K397" s="1">
        <f>VLOOKUP(C397,'[1]phenotypes-895'!$A$2:$I$896,9,FALSE)</f>
        <v>0.70397788139823203</v>
      </c>
      <c r="L397" s="1">
        <v>-2.7752200000000001E-2</v>
      </c>
      <c r="M397" s="4">
        <v>4.4219808719405531</v>
      </c>
      <c r="N397" s="1">
        <v>-7.7292500000000004E-4</v>
      </c>
      <c r="O397" s="8">
        <v>1</v>
      </c>
      <c r="P397" s="1">
        <v>-3.0705E-2</v>
      </c>
      <c r="Q397">
        <v>0.749</v>
      </c>
      <c r="R397" s="1">
        <v>-1.05643E-2</v>
      </c>
      <c r="S397" s="2">
        <v>-0.09</v>
      </c>
    </row>
    <row r="398" spans="1:19" x14ac:dyDescent="0.2">
      <c r="A398">
        <v>397</v>
      </c>
      <c r="B398">
        <v>50</v>
      </c>
      <c r="C398" t="s">
        <v>396</v>
      </c>
      <c r="D398" s="13" t="s">
        <v>912</v>
      </c>
      <c r="E398" s="1">
        <v>-2.4886400000000002</v>
      </c>
      <c r="F398">
        <v>-4.4392199999999997</v>
      </c>
      <c r="G398" s="1">
        <v>-2.5854951541707298</v>
      </c>
      <c r="H398" s="1">
        <v>-4.5495419539091797</v>
      </c>
      <c r="I398">
        <f>VLOOKUP(C398,'[1]phenotypes-895'!$A$2:$G$896,7,FALSE)</f>
        <v>61</v>
      </c>
      <c r="J398" s="1">
        <v>2.51153E-2</v>
      </c>
      <c r="K398" s="1">
        <f>VLOOKUP(C398,'[1]phenotypes-895'!$A$2:$I$896,9,FALSE)</f>
        <v>0.5347646244119485</v>
      </c>
      <c r="L398" s="1">
        <v>-9.2788999999999996E-2</v>
      </c>
      <c r="M398" s="4">
        <v>4.0549211886717806</v>
      </c>
      <c r="N398" s="1">
        <v>-8.0550699999999992E-3</v>
      </c>
      <c r="O398" s="8">
        <v>1</v>
      </c>
      <c r="P398" s="1">
        <v>8.4099900000000005E-2</v>
      </c>
      <c r="Q398">
        <v>0.80700000000000005</v>
      </c>
      <c r="R398" s="1">
        <v>3.6446399999999997E-2</v>
      </c>
      <c r="S398" s="2">
        <v>-7.0000000000000007E-2</v>
      </c>
    </row>
    <row r="399" spans="1:19" x14ac:dyDescent="0.2">
      <c r="A399">
        <v>398</v>
      </c>
      <c r="B399">
        <v>43</v>
      </c>
      <c r="C399" t="s">
        <v>397</v>
      </c>
      <c r="D399" s="13" t="s">
        <v>912</v>
      </c>
      <c r="E399" s="1">
        <v>-2.8388599999999999</v>
      </c>
      <c r="F399">
        <v>-3.2392599999999998</v>
      </c>
      <c r="G399" s="1">
        <v>-2.8566650237274498</v>
      </c>
      <c r="H399" s="1">
        <v>-3.2549043413465002</v>
      </c>
      <c r="I399">
        <f>VLOOKUP(C399,'[1]phenotypes-895'!$A$2:$G$896,7,FALSE)</f>
        <v>69</v>
      </c>
      <c r="J399" s="1">
        <v>8.2308099999999995E-2</v>
      </c>
      <c r="K399" s="1">
        <f>VLOOKUP(C399,'[1]phenotypes-895'!$A$2:$I$896,9,FALSE)</f>
        <v>0.5311977171190454</v>
      </c>
      <c r="L399" s="1">
        <v>5.9873500000000003E-2</v>
      </c>
      <c r="M399" s="4">
        <v>4.9663197721004488</v>
      </c>
      <c r="N399" s="1">
        <v>4.1721300000000003E-2</v>
      </c>
      <c r="O399" s="8">
        <v>1</v>
      </c>
      <c r="P399" s="1">
        <v>2.2355099999999999E-2</v>
      </c>
      <c r="Q399">
        <v>1.1719999999999999</v>
      </c>
      <c r="R399" s="1">
        <v>8.0962699999999992E-3</v>
      </c>
      <c r="S399" s="2">
        <v>0.05</v>
      </c>
    </row>
    <row r="400" spans="1:19" x14ac:dyDescent="0.2">
      <c r="A400">
        <v>399</v>
      </c>
      <c r="B400">
        <v>50</v>
      </c>
      <c r="C400" t="s">
        <v>398</v>
      </c>
      <c r="D400" s="13" t="s">
        <v>912</v>
      </c>
      <c r="E400" s="1">
        <v>-2.6175999999999999</v>
      </c>
      <c r="F400">
        <v>-1.79539</v>
      </c>
      <c r="G400" s="1">
        <v>-2.6555552719526898</v>
      </c>
      <c r="H400" s="1">
        <v>-1.8285242877221599</v>
      </c>
      <c r="I400">
        <f>VLOOKUP(C400,'[1]phenotypes-895'!$A$2:$G$896,7,FALSE)</f>
        <v>92</v>
      </c>
      <c r="J400" s="1">
        <v>6.0118900000000003E-2</v>
      </c>
      <c r="K400" s="1">
        <f>VLOOKUP(C400,'[1]phenotypes-895'!$A$2:$I$896,9,FALSE)</f>
        <v>0.28507182691149408</v>
      </c>
      <c r="L400" s="1">
        <v>0.103714</v>
      </c>
      <c r="M400" s="4">
        <v>3.8625833255947928</v>
      </c>
      <c r="N400" s="1">
        <v>3.7043800000000002E-2</v>
      </c>
      <c r="O400" s="8">
        <v>1</v>
      </c>
      <c r="P400" s="1">
        <v>-0.119001</v>
      </c>
      <c r="Q400">
        <v>0.7</v>
      </c>
      <c r="R400" s="1">
        <v>-4.5750699999999998E-2</v>
      </c>
      <c r="S400" s="2">
        <v>-0.12</v>
      </c>
    </row>
    <row r="401" spans="1:19" x14ac:dyDescent="0.2">
      <c r="A401">
        <v>400</v>
      </c>
      <c r="B401">
        <v>50</v>
      </c>
      <c r="C401" t="s">
        <v>399</v>
      </c>
      <c r="D401" s="13" t="s">
        <v>912</v>
      </c>
      <c r="E401" s="1">
        <v>1.69208</v>
      </c>
      <c r="F401">
        <v>1.3944399999999999</v>
      </c>
      <c r="G401" s="1">
        <v>1.6508017294983901</v>
      </c>
      <c r="H401" s="1">
        <v>1.35363733387015</v>
      </c>
      <c r="I401">
        <f>VLOOKUP(C401,'[1]phenotypes-895'!$A$2:$G$896,7,FALSE)</f>
        <v>98</v>
      </c>
      <c r="J401" s="1">
        <v>-4.6363700000000001E-2</v>
      </c>
      <c r="K401" s="1">
        <f>VLOOKUP(C401,'[1]phenotypes-895'!$A$2:$I$896,9,FALSE)</f>
        <v>0</v>
      </c>
      <c r="L401" s="1">
        <v>-0.103342</v>
      </c>
      <c r="M401" s="4">
        <v>0</v>
      </c>
      <c r="N401" s="1">
        <v>-1.19763E-2</v>
      </c>
      <c r="O401" s="8">
        <v>0</v>
      </c>
      <c r="P401" s="1">
        <v>4.6798600000000003E-2</v>
      </c>
      <c r="Q401">
        <v>0.75700000000000001</v>
      </c>
      <c r="R401" s="1">
        <v>1.65906E-2</v>
      </c>
      <c r="S401" s="2">
        <v>-0.09</v>
      </c>
    </row>
    <row r="402" spans="1:19" x14ac:dyDescent="0.2">
      <c r="A402">
        <v>401</v>
      </c>
      <c r="B402">
        <v>35</v>
      </c>
      <c r="C402" t="s">
        <v>400</v>
      </c>
      <c r="D402" s="13" t="s">
        <v>913</v>
      </c>
      <c r="E402" s="1">
        <v>0.59662199999999999</v>
      </c>
      <c r="F402">
        <v>-0.80612700000000004</v>
      </c>
      <c r="G402" s="1">
        <v>0.60659310625876695</v>
      </c>
      <c r="H402" s="1">
        <v>-0.79734393013782501</v>
      </c>
      <c r="I402">
        <f>VLOOKUP(C402,'[1]phenotypes-895'!$A$2:$G$896,7,FALSE)</f>
        <v>98</v>
      </c>
      <c r="J402" s="1">
        <v>-2.1184399999999999E-2</v>
      </c>
      <c r="K402" s="1">
        <f>VLOOKUP(C402,'[1]phenotypes-895'!$A$2:$I$896,9,FALSE)</f>
        <v>0</v>
      </c>
      <c r="L402" s="1">
        <v>-5.1610799999999998E-2</v>
      </c>
      <c r="M402" s="4">
        <v>0</v>
      </c>
      <c r="N402" s="1">
        <v>6.7719199999999998E-3</v>
      </c>
      <c r="O402" s="8">
        <v>0</v>
      </c>
      <c r="P402" s="1">
        <v>6.1114300000000002E-3</v>
      </c>
      <c r="Q402">
        <v>0.97199999999999998</v>
      </c>
      <c r="R402" s="1">
        <v>7.2081699999999999E-3</v>
      </c>
      <c r="S402" s="2">
        <v>-0.01</v>
      </c>
    </row>
    <row r="403" spans="1:19" x14ac:dyDescent="0.2">
      <c r="A403">
        <v>402</v>
      </c>
      <c r="B403">
        <v>50</v>
      </c>
      <c r="C403" t="s">
        <v>401</v>
      </c>
      <c r="D403" s="13" t="s">
        <v>912</v>
      </c>
      <c r="E403" s="1">
        <v>-7.14616E-2</v>
      </c>
      <c r="F403">
        <v>2.1779099999999998</v>
      </c>
      <c r="G403" s="1">
        <v>-9.7003241306297797E-2</v>
      </c>
      <c r="H403" s="1">
        <v>2.1723615950519601</v>
      </c>
      <c r="I403">
        <f>VLOOKUP(C403,'[1]phenotypes-895'!$A$2:$G$896,7,FALSE)</f>
        <v>75</v>
      </c>
      <c r="J403" s="1">
        <v>1.4209299999999999E-2</v>
      </c>
      <c r="K403" s="1">
        <f>VLOOKUP(C403,'[1]phenotypes-895'!$A$2:$I$896,9,FALSE)</f>
        <v>0.42170859123947341</v>
      </c>
      <c r="L403" s="1">
        <v>-4.67044E-2</v>
      </c>
      <c r="M403" s="4">
        <v>3.8757333393412643</v>
      </c>
      <c r="N403" s="1">
        <v>1.28234E-2</v>
      </c>
      <c r="O403" s="8">
        <v>1</v>
      </c>
      <c r="P403" s="1">
        <v>-0.13531599999999999</v>
      </c>
      <c r="Q403">
        <v>0.78600000000000003</v>
      </c>
      <c r="R403" s="1">
        <v>-5.4898700000000002E-2</v>
      </c>
      <c r="S403" s="2">
        <v>-0.08</v>
      </c>
    </row>
    <row r="404" spans="1:19" x14ac:dyDescent="0.2">
      <c r="A404">
        <v>403</v>
      </c>
      <c r="B404">
        <v>34</v>
      </c>
      <c r="C404" t="s">
        <v>402</v>
      </c>
      <c r="D404" s="13" t="s">
        <v>913</v>
      </c>
      <c r="E404" s="1">
        <v>-0.30308000000000002</v>
      </c>
      <c r="F404">
        <v>0.37373600000000001</v>
      </c>
      <c r="G404" s="1">
        <v>-0.33099676254099503</v>
      </c>
      <c r="H404" s="1">
        <v>0.34467162550217101</v>
      </c>
      <c r="I404">
        <f>VLOOKUP(C404,'[1]phenotypes-895'!$A$2:$G$896,7,FALSE)</f>
        <v>69</v>
      </c>
      <c r="J404" s="1">
        <v>-1.4392500000000001E-2</v>
      </c>
      <c r="K404" s="1">
        <f>VLOOKUP(C404,'[1]phenotypes-895'!$A$2:$I$896,9,FALSE)</f>
        <v>0.36484829942014002</v>
      </c>
      <c r="L404" s="1">
        <v>-2.3323799999999999E-2</v>
      </c>
      <c r="M404" s="4">
        <v>4.2577856437458674</v>
      </c>
      <c r="N404" s="1">
        <v>1.06128E-2</v>
      </c>
      <c r="O404" s="8">
        <v>1</v>
      </c>
      <c r="P404" s="1">
        <v>-8.8467299999999999E-2</v>
      </c>
      <c r="Q404">
        <v>1.0609999999999999</v>
      </c>
      <c r="R404" s="1">
        <v>-2.9542100000000002E-2</v>
      </c>
      <c r="S404" s="2">
        <v>0.02</v>
      </c>
    </row>
    <row r="405" spans="1:19" x14ac:dyDescent="0.2">
      <c r="A405">
        <v>404</v>
      </c>
      <c r="B405">
        <v>49</v>
      </c>
      <c r="C405" t="s">
        <v>403</v>
      </c>
      <c r="D405" s="13" t="s">
        <v>912</v>
      </c>
      <c r="E405" s="1">
        <v>-1.9314199999999999</v>
      </c>
      <c r="F405">
        <v>-3.3584900000000002</v>
      </c>
      <c r="G405" s="1">
        <v>-1.9768914169879801</v>
      </c>
      <c r="H405" s="1">
        <v>-3.41048820778401</v>
      </c>
      <c r="I405">
        <f>VLOOKUP(C405,'[1]phenotypes-895'!$A$2:$G$896,7,FALSE)</f>
        <v>66</v>
      </c>
      <c r="J405" s="1">
        <v>3.8136000000000003E-2</v>
      </c>
      <c r="K405" s="1">
        <f>VLOOKUP(C405,'[1]phenotypes-895'!$A$2:$I$896,9,FALSE)</f>
        <v>0.49514226384138538</v>
      </c>
      <c r="L405" s="1">
        <v>-0.105904</v>
      </c>
      <c r="M405" s="4">
        <v>4.3678200899125361</v>
      </c>
      <c r="N405" s="1">
        <v>-3.9069999999999999E-3</v>
      </c>
      <c r="O405" s="8">
        <v>1</v>
      </c>
      <c r="P405" s="1">
        <v>6.3962599999999994E-2</v>
      </c>
      <c r="Q405">
        <v>0.98099999999999998</v>
      </c>
      <c r="R405" s="1">
        <v>2.9156399999999999E-2</v>
      </c>
      <c r="S405" s="2">
        <v>-0.01</v>
      </c>
    </row>
    <row r="406" spans="1:19" x14ac:dyDescent="0.2">
      <c r="A406">
        <v>405</v>
      </c>
      <c r="B406">
        <v>48</v>
      </c>
      <c r="C406" t="s">
        <v>404</v>
      </c>
      <c r="D406" s="13" t="s">
        <v>912</v>
      </c>
      <c r="E406" s="1">
        <v>4.4845800000000002</v>
      </c>
      <c r="F406">
        <v>3.9264999999999999</v>
      </c>
      <c r="G406" s="1">
        <v>4.5110025673214196</v>
      </c>
      <c r="H406" s="1">
        <v>3.9535652223487601</v>
      </c>
      <c r="I406">
        <f>VLOOKUP(C406,'[1]phenotypes-895'!$A$2:$G$896,7,FALSE)</f>
        <v>98</v>
      </c>
      <c r="J406" s="1">
        <v>-8.7382199999999993E-2</v>
      </c>
      <c r="K406" s="1">
        <f>VLOOKUP(C406,'[1]phenotypes-895'!$A$2:$I$896,9,FALSE)</f>
        <v>0</v>
      </c>
      <c r="L406" s="1">
        <v>-4.4956000000000003E-2</v>
      </c>
      <c r="M406" s="4">
        <v>0</v>
      </c>
      <c r="N406" s="1">
        <v>-3.1118199999999999E-2</v>
      </c>
      <c r="O406" s="8">
        <v>0</v>
      </c>
      <c r="P406" s="1">
        <v>4.1952299999999998E-2</v>
      </c>
      <c r="Q406">
        <v>0.81399999999999995</v>
      </c>
      <c r="R406" s="1">
        <v>1.8783000000000001E-2</v>
      </c>
      <c r="S406" s="2">
        <v>-7.0000000000000007E-2</v>
      </c>
    </row>
    <row r="407" spans="1:19" x14ac:dyDescent="0.2">
      <c r="A407">
        <v>406</v>
      </c>
      <c r="B407">
        <v>50</v>
      </c>
      <c r="C407" t="s">
        <v>405</v>
      </c>
      <c r="D407" s="13" t="s">
        <v>912</v>
      </c>
      <c r="E407" s="1">
        <v>-1.44238</v>
      </c>
      <c r="F407">
        <v>0.29015800000000003</v>
      </c>
      <c r="G407" s="1">
        <v>-1.44953130789088</v>
      </c>
      <c r="H407" s="1">
        <v>0.29241006553125198</v>
      </c>
      <c r="I407">
        <f>VLOOKUP(C407,'[1]phenotypes-895'!$A$2:$G$896,7,FALSE)</f>
        <v>56</v>
      </c>
      <c r="J407" s="1">
        <v>7.1474499999999996E-3</v>
      </c>
      <c r="K407" s="1">
        <f>VLOOKUP(C407,'[1]phenotypes-895'!$A$2:$I$896,9,FALSE)</f>
        <v>0.71694040126932501</v>
      </c>
      <c r="L407" s="1">
        <v>-4.5948599999999999E-2</v>
      </c>
      <c r="M407" s="4">
        <v>4.675861882057105</v>
      </c>
      <c r="N407" s="1">
        <v>3.1121899999999999E-3</v>
      </c>
      <c r="O407" s="8">
        <v>1</v>
      </c>
      <c r="P407" s="1">
        <v>-0.154311</v>
      </c>
      <c r="Q407">
        <v>0.629</v>
      </c>
      <c r="R407" s="1">
        <v>-5.6369099999999998E-2</v>
      </c>
      <c r="S407" s="2">
        <v>-0.15</v>
      </c>
    </row>
    <row r="408" spans="1:19" x14ac:dyDescent="0.2">
      <c r="A408">
        <v>407</v>
      </c>
      <c r="B408">
        <v>51</v>
      </c>
      <c r="C408" t="s">
        <v>406</v>
      </c>
      <c r="D408" s="13" t="s">
        <v>912</v>
      </c>
      <c r="E408" s="1">
        <v>4.7504400000000002E-2</v>
      </c>
      <c r="F408">
        <v>-0.36465599999999998</v>
      </c>
      <c r="G408" s="1">
        <v>6.69885897918339E-3</v>
      </c>
      <c r="H408" s="1">
        <v>-0.41299807845035202</v>
      </c>
      <c r="I408">
        <f>VLOOKUP(C408,'[1]phenotypes-895'!$A$2:$G$896,7,FALSE)</f>
        <v>65</v>
      </c>
      <c r="J408" s="1">
        <v>2.5660700000000002E-2</v>
      </c>
      <c r="K408" s="1">
        <f>VLOOKUP(C408,'[1]phenotypes-895'!$A$2:$I$896,9,FALSE)</f>
        <v>0.71538550640195719</v>
      </c>
      <c r="L408" s="1">
        <v>6.6300799999999993E-2</v>
      </c>
      <c r="M408" s="4">
        <v>4.532304626138882</v>
      </c>
      <c r="N408" s="1">
        <v>-1.0383099999999999E-2</v>
      </c>
      <c r="O408" s="8">
        <v>1</v>
      </c>
      <c r="P408" s="1">
        <v>7.4117799999999998E-2</v>
      </c>
      <c r="Q408">
        <v>1.012</v>
      </c>
      <c r="R408" s="1">
        <v>3.2871200000000003E-2</v>
      </c>
      <c r="S408" s="2">
        <v>0</v>
      </c>
    </row>
    <row r="409" spans="1:19" x14ac:dyDescent="0.2">
      <c r="A409">
        <v>408</v>
      </c>
      <c r="B409">
        <v>49</v>
      </c>
      <c r="C409" t="s">
        <v>407</v>
      </c>
      <c r="D409" s="13" t="s">
        <v>912</v>
      </c>
      <c r="E409" s="1">
        <v>2.1350600000000002</v>
      </c>
      <c r="F409">
        <v>2.4356800000000001</v>
      </c>
      <c r="G409" s="1">
        <v>2.14680813230426</v>
      </c>
      <c r="H409" s="1">
        <v>2.4479825239569899</v>
      </c>
      <c r="I409">
        <f>VLOOKUP(C409,'[1]phenotypes-895'!$A$2:$G$896,7,FALSE)</f>
        <v>60</v>
      </c>
      <c r="J409" s="1">
        <v>2.08711E-2</v>
      </c>
      <c r="K409" s="1">
        <f>VLOOKUP(C409,'[1]phenotypes-895'!$A$2:$I$896,9,FALSE)</f>
        <v>0.74572475496682089</v>
      </c>
      <c r="L409" s="1">
        <v>-6.6280000000000006E-2</v>
      </c>
      <c r="M409" s="4">
        <v>4.6095537920692564</v>
      </c>
      <c r="N409" s="1">
        <v>-1.6836299999999998E-2</v>
      </c>
      <c r="O409" s="8">
        <v>1</v>
      </c>
      <c r="P409" s="1">
        <v>-2.38511E-2</v>
      </c>
      <c r="Q409">
        <v>0.71299999999999997</v>
      </c>
      <c r="R409" s="1">
        <v>-9.0901799999999998E-3</v>
      </c>
      <c r="S409" s="2">
        <v>-0.11</v>
      </c>
    </row>
    <row r="410" spans="1:19" x14ac:dyDescent="0.2">
      <c r="A410">
        <v>409</v>
      </c>
      <c r="B410">
        <v>51</v>
      </c>
      <c r="C410" t="s">
        <v>408</v>
      </c>
      <c r="D410" s="13" t="s">
        <v>912</v>
      </c>
      <c r="E410" s="1">
        <v>5.9782500000000001</v>
      </c>
      <c r="F410">
        <v>6.0870699999999998</v>
      </c>
      <c r="G410" s="1">
        <v>6.0006079125526401</v>
      </c>
      <c r="H410" s="1">
        <v>6.1285661197806798</v>
      </c>
      <c r="I410">
        <f>VLOOKUP(C410,'[1]phenotypes-895'!$A$2:$G$896,7,FALSE)</f>
        <v>98</v>
      </c>
      <c r="J410" s="1">
        <v>-9.3488799999999997E-2</v>
      </c>
      <c r="K410" s="1">
        <f>VLOOKUP(C410,'[1]phenotypes-895'!$A$2:$I$896,9,FALSE)</f>
        <v>0</v>
      </c>
      <c r="L410" s="1">
        <v>-1.9224499999999999E-2</v>
      </c>
      <c r="M410" s="4">
        <v>0</v>
      </c>
      <c r="N410" s="1">
        <v>-2.7614699999999999E-2</v>
      </c>
      <c r="O410" s="8">
        <v>0</v>
      </c>
      <c r="P410" s="1">
        <v>-2.30339E-2</v>
      </c>
      <c r="Q410">
        <v>0.998</v>
      </c>
      <c r="R410" s="1">
        <v>-9.3585400000000003E-3</v>
      </c>
      <c r="S410" s="2">
        <v>0</v>
      </c>
    </row>
    <row r="411" spans="1:19" x14ac:dyDescent="0.2">
      <c r="A411">
        <v>410</v>
      </c>
      <c r="B411">
        <v>50</v>
      </c>
      <c r="C411" t="s">
        <v>409</v>
      </c>
      <c r="D411" s="13" t="s">
        <v>912</v>
      </c>
      <c r="E411" s="1">
        <v>1.6336299999999999</v>
      </c>
      <c r="F411">
        <v>1.50491</v>
      </c>
      <c r="G411" s="1">
        <v>1.63908336795512</v>
      </c>
      <c r="H411" s="1">
        <v>1.5111961110934899</v>
      </c>
      <c r="I411">
        <f>VLOOKUP(C411,'[1]phenotypes-895'!$A$2:$G$896,7,FALSE)</f>
        <v>54</v>
      </c>
      <c r="J411" s="1">
        <v>1.9401500000000001E-3</v>
      </c>
      <c r="K411" s="1">
        <f>VLOOKUP(C411,'[1]phenotypes-895'!$A$2:$I$896,9,FALSE)</f>
        <v>0.63237694319242466</v>
      </c>
      <c r="L411" s="1">
        <v>0.120222</v>
      </c>
      <c r="M411" s="4">
        <v>4.0481406667597479</v>
      </c>
      <c r="N411" s="1">
        <v>-3.1182800000000002E-3</v>
      </c>
      <c r="O411" s="8">
        <v>1</v>
      </c>
      <c r="P411" s="1">
        <v>-4.8302600000000001E-2</v>
      </c>
      <c r="Q411">
        <v>0.57499999999999996</v>
      </c>
      <c r="R411" s="1">
        <v>-1.6534299999999998E-2</v>
      </c>
      <c r="S411" s="2">
        <v>-0.18</v>
      </c>
    </row>
    <row r="412" spans="1:19" x14ac:dyDescent="0.2">
      <c r="A412">
        <v>411</v>
      </c>
      <c r="B412">
        <v>50</v>
      </c>
      <c r="C412" t="s">
        <v>410</v>
      </c>
      <c r="D412" s="13" t="s">
        <v>912</v>
      </c>
      <c r="E412" s="1">
        <v>6.9359099999999998</v>
      </c>
      <c r="F412">
        <v>6.69381</v>
      </c>
      <c r="G412" s="1">
        <v>6.9758249164645401</v>
      </c>
      <c r="H412" s="1">
        <v>6.7363865646855796</v>
      </c>
      <c r="I412">
        <f>VLOOKUP(C412,'[1]phenotypes-895'!$A$2:$G$896,7,FALSE)</f>
        <v>98</v>
      </c>
      <c r="J412" s="1">
        <v>-0.12113400000000001</v>
      </c>
      <c r="K412" s="1">
        <f>VLOOKUP(C412,'[1]phenotypes-895'!$A$2:$I$896,9,FALSE)</f>
        <v>0.13357018118390851</v>
      </c>
      <c r="L412" s="1">
        <v>-4.9517600000000002E-2</v>
      </c>
      <c r="M412" s="4">
        <v>2.8435239241238093</v>
      </c>
      <c r="N412" s="1">
        <v>-2.8553100000000001E-2</v>
      </c>
      <c r="O412" s="8">
        <v>1</v>
      </c>
      <c r="P412" s="1">
        <v>2.4628799999999999E-2</v>
      </c>
      <c r="Q412">
        <v>0.77100000000000002</v>
      </c>
      <c r="R412" s="1">
        <v>1.2789699999999999E-2</v>
      </c>
      <c r="S412" s="2">
        <v>-0.09</v>
      </c>
    </row>
    <row r="413" spans="1:19" x14ac:dyDescent="0.2">
      <c r="A413">
        <v>412</v>
      </c>
      <c r="B413">
        <v>53</v>
      </c>
      <c r="C413" t="s">
        <v>411</v>
      </c>
      <c r="D413" s="13" t="s">
        <v>912</v>
      </c>
      <c r="E413" s="1">
        <v>5.8912399999999998</v>
      </c>
      <c r="F413">
        <v>6.0685200000000004</v>
      </c>
      <c r="G413" s="1">
        <v>5.8998151541066797</v>
      </c>
      <c r="H413" s="1">
        <v>6.0730468547740299</v>
      </c>
      <c r="I413">
        <f>VLOOKUP(C413,'[1]phenotypes-895'!$A$2:$G$896,7,FALSE)</f>
        <v>98</v>
      </c>
      <c r="J413" s="1">
        <v>-0.115855</v>
      </c>
      <c r="K413" s="1">
        <f>VLOOKUP(C413,'[1]phenotypes-895'!$A$2:$I$896,9,FALSE)</f>
        <v>0</v>
      </c>
      <c r="L413" s="1">
        <v>-9.8423800000000006E-2</v>
      </c>
      <c r="M413" s="4">
        <v>0</v>
      </c>
      <c r="N413" s="1">
        <v>-5.1782599999999998E-2</v>
      </c>
      <c r="O413" s="8">
        <v>0</v>
      </c>
      <c r="P413" s="1">
        <v>-3.2654900000000001E-2</v>
      </c>
      <c r="Q413">
        <v>0.56999999999999995</v>
      </c>
      <c r="R413" s="1">
        <v>-1.27829E-2</v>
      </c>
      <c r="S413" s="2">
        <v>-0.19</v>
      </c>
    </row>
    <row r="414" spans="1:19" x14ac:dyDescent="0.2">
      <c r="A414">
        <v>413</v>
      </c>
      <c r="B414">
        <v>49</v>
      </c>
      <c r="C414" t="s">
        <v>412</v>
      </c>
      <c r="D414" s="13" t="s">
        <v>912</v>
      </c>
      <c r="E414" s="1">
        <v>0.18284800000000001</v>
      </c>
      <c r="F414">
        <v>0.52948099999999998</v>
      </c>
      <c r="G414" s="1">
        <v>0.17804075965684801</v>
      </c>
      <c r="H414" s="1">
        <v>0.52638615946669798</v>
      </c>
      <c r="I414">
        <f>VLOOKUP(C414,'[1]phenotypes-895'!$A$2:$G$896,7,FALSE)</f>
        <v>98</v>
      </c>
      <c r="J414" s="1">
        <v>1.8900699999999999E-2</v>
      </c>
      <c r="K414" s="1">
        <f>VLOOKUP(C414,'[1]phenotypes-895'!$A$2:$I$896,9,FALSE)</f>
        <v>8.5190822896124438E-2</v>
      </c>
      <c r="L414" s="1">
        <v>-2.60085E-3</v>
      </c>
      <c r="M414" s="4">
        <v>2.3741670803366741</v>
      </c>
      <c r="N414" s="1">
        <v>4.2565499999999999E-2</v>
      </c>
      <c r="O414" s="8">
        <v>1</v>
      </c>
      <c r="P414" s="1">
        <v>-0.116009</v>
      </c>
      <c r="Q414">
        <v>0.69099999999999995</v>
      </c>
      <c r="R414" s="1">
        <v>-4.8771000000000002E-2</v>
      </c>
      <c r="S414" s="2">
        <v>-0.12</v>
      </c>
    </row>
    <row r="415" spans="1:19" x14ac:dyDescent="0.2">
      <c r="A415">
        <v>414</v>
      </c>
      <c r="B415">
        <v>50</v>
      </c>
      <c r="C415" t="s">
        <v>413</v>
      </c>
      <c r="D415" s="13" t="s">
        <v>912</v>
      </c>
      <c r="E415" s="1">
        <v>5.7973800000000004</v>
      </c>
      <c r="F415">
        <v>7.5705400000000003</v>
      </c>
      <c r="G415" s="1">
        <v>5.8005614606581499</v>
      </c>
      <c r="H415" s="1">
        <v>7.5867450872722202</v>
      </c>
      <c r="I415">
        <f>VLOOKUP(C415,'[1]phenotypes-895'!$A$2:$G$896,7,FALSE)</f>
        <v>89</v>
      </c>
      <c r="J415" s="1">
        <v>-9.0772199999999997E-2</v>
      </c>
      <c r="K415" s="1">
        <f>VLOOKUP(C415,'[1]phenotypes-895'!$A$2:$I$896,9,FALSE)</f>
        <v>0.26229790073755899</v>
      </c>
      <c r="L415" s="1">
        <v>-5.5458300000000002E-2</v>
      </c>
      <c r="M415" s="4">
        <v>3.4569205662506262</v>
      </c>
      <c r="N415" s="1">
        <v>2.5870200000000002E-3</v>
      </c>
      <c r="O415" s="8">
        <v>1</v>
      </c>
      <c r="P415" s="1">
        <v>-0.111676</v>
      </c>
      <c r="Q415">
        <v>0.71899999999999997</v>
      </c>
      <c r="R415" s="1">
        <v>-4.00878E-2</v>
      </c>
      <c r="S415" s="2">
        <v>-0.11</v>
      </c>
    </row>
    <row r="416" spans="1:19" x14ac:dyDescent="0.2">
      <c r="A416">
        <v>415</v>
      </c>
      <c r="B416">
        <v>48</v>
      </c>
      <c r="C416" t="s">
        <v>414</v>
      </c>
      <c r="D416" s="13" t="s">
        <v>912</v>
      </c>
      <c r="E416" s="1">
        <v>3.1771099999999999</v>
      </c>
      <c r="F416">
        <v>4.4854099999999999</v>
      </c>
      <c r="G416" s="1">
        <v>3.20881309834279</v>
      </c>
      <c r="H416" s="1">
        <v>4.5312506169971503</v>
      </c>
      <c r="I416">
        <f>VLOOKUP(C416,'[1]phenotypes-895'!$A$2:$G$896,7,FALSE)</f>
        <v>91</v>
      </c>
      <c r="J416" s="1">
        <v>-3.3918400000000001E-2</v>
      </c>
      <c r="K416" s="1">
        <f>VLOOKUP(C416,'[1]phenotypes-895'!$A$2:$I$896,9,FALSE)</f>
        <v>0.28778066498586757</v>
      </c>
      <c r="L416" s="1">
        <v>-6.5703300000000001E-3</v>
      </c>
      <c r="M416" s="4">
        <v>4.1629362296111374</v>
      </c>
      <c r="N416" s="1">
        <v>-2.5199200000000001E-3</v>
      </c>
      <c r="O416" s="8">
        <v>1</v>
      </c>
      <c r="P416" s="1">
        <v>-0.155801</v>
      </c>
      <c r="Q416">
        <v>0.93300000000000005</v>
      </c>
      <c r="R416" s="1">
        <v>-6.2569700000000006E-2</v>
      </c>
      <c r="S416" s="2">
        <v>-0.02</v>
      </c>
    </row>
    <row r="417" spans="1:19" x14ac:dyDescent="0.2">
      <c r="A417">
        <v>416</v>
      </c>
      <c r="B417">
        <v>45</v>
      </c>
      <c r="C417" t="s">
        <v>415</v>
      </c>
      <c r="D417" s="13" t="s">
        <v>912</v>
      </c>
      <c r="E417" s="1">
        <v>-1.68919</v>
      </c>
      <c r="F417">
        <v>-1.87795</v>
      </c>
      <c r="G417" s="1">
        <v>-1.47681647902423</v>
      </c>
      <c r="H417" s="1">
        <v>-1.63006054501116</v>
      </c>
      <c r="I417">
        <f>VLOOKUP(C417,'[1]phenotypes-895'!$A$2:$G$896,7,FALSE)</f>
        <v>98</v>
      </c>
      <c r="J417" s="1">
        <v>2.6570799999999999E-2</v>
      </c>
      <c r="K417" s="1">
        <f>VLOOKUP(C417,'[1]phenotypes-895'!$A$2:$I$896,9,FALSE)</f>
        <v>0</v>
      </c>
      <c r="L417" s="1">
        <v>0.14612900000000001</v>
      </c>
      <c r="M417" s="4">
        <v>0</v>
      </c>
      <c r="N417" s="1">
        <v>5.6631600000000004E-3</v>
      </c>
      <c r="O417" s="8">
        <v>0</v>
      </c>
      <c r="P417" s="1">
        <v>1.52368E-2</v>
      </c>
      <c r="Q417">
        <v>0.90300000000000002</v>
      </c>
      <c r="R417" s="1">
        <v>1.16548E-2</v>
      </c>
      <c r="S417" s="2">
        <v>-0.03</v>
      </c>
    </row>
    <row r="418" spans="1:19" x14ac:dyDescent="0.2">
      <c r="A418">
        <v>417</v>
      </c>
      <c r="B418">
        <v>42</v>
      </c>
      <c r="C418" t="s">
        <v>416</v>
      </c>
      <c r="D418" s="13" t="s">
        <v>912</v>
      </c>
      <c r="E418" s="1">
        <v>-0.12798300000000001</v>
      </c>
      <c r="F418">
        <v>2.2175699999999998</v>
      </c>
      <c r="G418" s="1">
        <v>-0.13218201977156099</v>
      </c>
      <c r="H418" s="1">
        <v>2.22706098033462</v>
      </c>
      <c r="I418">
        <f>VLOOKUP(C418,'[1]phenotypes-895'!$A$2:$G$896,7,FALSE)</f>
        <v>88</v>
      </c>
      <c r="J418" s="1">
        <v>3.4700700000000001E-2</v>
      </c>
      <c r="K418" s="1">
        <f>VLOOKUP(C418,'[1]phenotypes-895'!$A$2:$I$896,9,FALSE)</f>
        <v>0.79607722163630112</v>
      </c>
      <c r="L418" s="1">
        <v>-3.8646699999999999E-2</v>
      </c>
      <c r="M418" s="4">
        <v>4.1080867962924668</v>
      </c>
      <c r="N418" s="1">
        <v>1.40743E-2</v>
      </c>
      <c r="O418" s="8">
        <v>1</v>
      </c>
      <c r="P418" s="1">
        <v>-0.16200300000000001</v>
      </c>
      <c r="Q418">
        <v>0.76700000000000002</v>
      </c>
      <c r="R418" s="1">
        <v>-6.7369700000000005E-2</v>
      </c>
      <c r="S418" s="2">
        <v>-0.09</v>
      </c>
    </row>
    <row r="419" spans="1:19" x14ac:dyDescent="0.2">
      <c r="A419">
        <v>418</v>
      </c>
      <c r="B419">
        <v>42</v>
      </c>
      <c r="C419" t="s">
        <v>417</v>
      </c>
      <c r="D419" s="13" t="s">
        <v>912</v>
      </c>
      <c r="E419" s="1">
        <v>-1.3471500000000001</v>
      </c>
      <c r="F419">
        <v>0.81960299999999997</v>
      </c>
      <c r="G419" s="1">
        <v>-1.4036679095246001</v>
      </c>
      <c r="H419" s="1">
        <v>0.76305074285948304</v>
      </c>
      <c r="I419">
        <f>VLOOKUP(C419,'[1]phenotypes-895'!$A$2:$G$896,7,FALSE)</f>
        <v>98</v>
      </c>
      <c r="J419" s="1">
        <v>4.31533E-4</v>
      </c>
      <c r="K419" s="1">
        <f>VLOOKUP(C419,'[1]phenotypes-895'!$A$2:$I$896,9,FALSE)</f>
        <v>0</v>
      </c>
      <c r="L419" s="1">
        <v>-3.6200200000000002E-2</v>
      </c>
      <c r="M419" s="4">
        <v>0</v>
      </c>
      <c r="N419" s="1">
        <v>2.83863E-3</v>
      </c>
      <c r="O419" s="8">
        <v>0</v>
      </c>
      <c r="P419" s="1">
        <v>-0.114578</v>
      </c>
      <c r="Q419">
        <v>0.85099999999999998</v>
      </c>
      <c r="R419" s="1">
        <v>-4.0123100000000002E-2</v>
      </c>
      <c r="S419" s="2">
        <v>-0.05</v>
      </c>
    </row>
    <row r="420" spans="1:19" x14ac:dyDescent="0.2">
      <c r="A420">
        <v>419</v>
      </c>
      <c r="B420">
        <v>54</v>
      </c>
      <c r="C420" t="s">
        <v>418</v>
      </c>
      <c r="D420" s="13" t="s">
        <v>912</v>
      </c>
      <c r="E420" s="1">
        <v>7.5720000000000001</v>
      </c>
      <c r="F420">
        <v>7.4266500000000004</v>
      </c>
      <c r="G420" s="1">
        <v>7.56373008637813</v>
      </c>
      <c r="H420" s="1">
        <v>7.4206804020258996</v>
      </c>
      <c r="I420">
        <f>VLOOKUP(C420,'[1]phenotypes-895'!$A$2:$G$896,7,FALSE)</f>
        <v>98</v>
      </c>
      <c r="J420" s="1">
        <v>-0.11813</v>
      </c>
      <c r="K420" s="1">
        <f>VLOOKUP(C420,'[1]phenotypes-895'!$A$2:$I$896,9,FALSE)</f>
        <v>0</v>
      </c>
      <c r="L420" s="1">
        <v>-3.2206499999999999E-2</v>
      </c>
      <c r="M420" s="4">
        <v>0</v>
      </c>
      <c r="N420" s="1">
        <v>-3.3206600000000003E-2</v>
      </c>
      <c r="O420" s="8">
        <v>0</v>
      </c>
      <c r="P420" s="1">
        <v>-1.0485599999999999E-2</v>
      </c>
      <c r="Q420">
        <v>0.72299999999999998</v>
      </c>
      <c r="R420" s="1">
        <v>-2.15512E-3</v>
      </c>
      <c r="S420" s="2">
        <v>-0.11</v>
      </c>
    </row>
    <row r="421" spans="1:19" x14ac:dyDescent="0.2">
      <c r="A421">
        <v>420</v>
      </c>
      <c r="B421">
        <v>53</v>
      </c>
      <c r="C421" t="s">
        <v>419</v>
      </c>
      <c r="D421" s="13" t="s">
        <v>912</v>
      </c>
      <c r="E421" s="1">
        <v>1.50989</v>
      </c>
      <c r="F421">
        <v>-0.35772100000000001</v>
      </c>
      <c r="G421" s="1">
        <v>1.4831853823433301</v>
      </c>
      <c r="H421" s="1">
        <v>-0.385457529675863</v>
      </c>
      <c r="I421">
        <f>VLOOKUP(C421,'[1]phenotypes-895'!$A$2:$G$896,7,FALSE)</f>
        <v>98</v>
      </c>
      <c r="J421" s="1">
        <v>-2.00538E-2</v>
      </c>
      <c r="K421" s="1">
        <f>VLOOKUP(C421,'[1]phenotypes-895'!$A$2:$I$896,9,FALSE)</f>
        <v>0</v>
      </c>
      <c r="L421" s="1">
        <v>-0.154031</v>
      </c>
      <c r="M421" s="4">
        <v>0</v>
      </c>
      <c r="N421" s="1">
        <v>-2.21085E-2</v>
      </c>
      <c r="O421" s="8">
        <v>0</v>
      </c>
      <c r="P421" s="1">
        <v>2.0723399999999999E-2</v>
      </c>
      <c r="Q421">
        <v>0.61899999999999999</v>
      </c>
      <c r="R421" s="1">
        <v>6.5640300000000002E-3</v>
      </c>
      <c r="S421" s="2">
        <v>-0.15</v>
      </c>
    </row>
    <row r="422" spans="1:19" x14ac:dyDescent="0.2">
      <c r="A422">
        <v>421</v>
      </c>
      <c r="B422">
        <v>42</v>
      </c>
      <c r="C422" t="s">
        <v>420</v>
      </c>
      <c r="D422" s="13" t="s">
        <v>912</v>
      </c>
      <c r="E422" s="1">
        <v>1.01799</v>
      </c>
      <c r="F422">
        <v>2.4302800000000002</v>
      </c>
      <c r="G422" s="1">
        <v>1.01706662229444</v>
      </c>
      <c r="H422" s="1">
        <v>2.4366155254940298</v>
      </c>
      <c r="I422">
        <f>VLOOKUP(C422,'[1]phenotypes-895'!$A$2:$G$896,7,FALSE)</f>
        <v>98</v>
      </c>
      <c r="J422" s="1">
        <v>-1.9827500000000001E-2</v>
      </c>
      <c r="K422" s="1">
        <f>VLOOKUP(C422,'[1]phenotypes-895'!$A$2:$I$896,9,FALSE)</f>
        <v>0</v>
      </c>
      <c r="L422" s="1">
        <v>-7.9244400000000007E-2</v>
      </c>
      <c r="M422" s="4">
        <v>0</v>
      </c>
      <c r="N422" s="1">
        <v>-1.0491800000000001E-2</v>
      </c>
      <c r="O422" s="8">
        <v>0</v>
      </c>
      <c r="P422" s="1">
        <v>-0.116396</v>
      </c>
      <c r="Q422">
        <v>0.747</v>
      </c>
      <c r="R422" s="1">
        <v>-4.6461099999999998E-2</v>
      </c>
      <c r="S422" s="2">
        <v>-0.09</v>
      </c>
    </row>
    <row r="423" spans="1:19" x14ac:dyDescent="0.2">
      <c r="A423">
        <v>422</v>
      </c>
      <c r="B423">
        <v>31</v>
      </c>
      <c r="C423" t="s">
        <v>421</v>
      </c>
      <c r="D423" s="13" t="s">
        <v>913</v>
      </c>
      <c r="E423" s="1">
        <v>-2.0294300000000001</v>
      </c>
      <c r="F423">
        <v>-4.2826199999999996</v>
      </c>
      <c r="G423" s="1">
        <v>-2.0324411775077702</v>
      </c>
      <c r="H423" s="1">
        <v>-4.2834191576376899</v>
      </c>
      <c r="I423">
        <f>VLOOKUP(C423,'[1]phenotypes-895'!$A$2:$G$896,7,FALSE)</f>
        <v>64</v>
      </c>
      <c r="J423" s="1">
        <v>4.05977E-2</v>
      </c>
      <c r="K423" s="1">
        <f>VLOOKUP(C423,'[1]phenotypes-895'!$A$2:$I$896,9,FALSE)</f>
        <v>0.52242804952731026</v>
      </c>
      <c r="L423" s="1">
        <v>-1.6916500000000001E-2</v>
      </c>
      <c r="M423" s="4">
        <v>3.7847732763733335</v>
      </c>
      <c r="N423" s="1">
        <v>2.3393899999999999E-2</v>
      </c>
      <c r="O423" s="8">
        <v>1</v>
      </c>
      <c r="P423" s="1">
        <v>4.6918000000000001E-2</v>
      </c>
      <c r="Q423">
        <v>1.137</v>
      </c>
      <c r="R423" s="1">
        <v>2.7764500000000001E-2</v>
      </c>
      <c r="S423" s="2">
        <v>0.04</v>
      </c>
    </row>
    <row r="424" spans="1:19" x14ac:dyDescent="0.2">
      <c r="A424">
        <v>423</v>
      </c>
      <c r="B424">
        <v>48</v>
      </c>
      <c r="C424" t="s">
        <v>422</v>
      </c>
      <c r="D424" s="13" t="s">
        <v>912</v>
      </c>
      <c r="E424" s="1">
        <v>-3.4721299999999999</v>
      </c>
      <c r="F424">
        <v>-3.1672600000000002</v>
      </c>
      <c r="G424" s="1">
        <v>-3.4936634349507898</v>
      </c>
      <c r="H424" s="1">
        <v>-3.1912623136307601</v>
      </c>
      <c r="I424">
        <f>VLOOKUP(C424,'[1]phenotypes-895'!$A$2:$G$896,7,FALSE)</f>
        <v>58</v>
      </c>
      <c r="J424" s="1">
        <v>2.78243E-2</v>
      </c>
      <c r="K424" s="1">
        <f>VLOOKUP(C424,'[1]phenotypes-895'!$A$2:$I$896,9,FALSE)</f>
        <v>0.52025797629535142</v>
      </c>
      <c r="L424" s="1">
        <v>0.12944900000000001</v>
      </c>
      <c r="M424" s="4">
        <v>4.6481514382733247</v>
      </c>
      <c r="N424" s="1">
        <v>5.7187599999999998E-3</v>
      </c>
      <c r="O424" s="8">
        <v>1</v>
      </c>
      <c r="P424" s="1">
        <v>-4.4379399999999999E-2</v>
      </c>
      <c r="Q424">
        <v>0.82799999999999996</v>
      </c>
      <c r="R424" s="1">
        <v>-9.0379499999999995E-3</v>
      </c>
      <c r="S424" s="2">
        <v>-0.06</v>
      </c>
    </row>
    <row r="425" spans="1:19" x14ac:dyDescent="0.2">
      <c r="A425">
        <v>424</v>
      </c>
      <c r="B425">
        <v>29</v>
      </c>
      <c r="C425" t="s">
        <v>423</v>
      </c>
      <c r="D425" s="13" t="s">
        <v>913</v>
      </c>
      <c r="E425" s="1">
        <v>1.1731199999999999</v>
      </c>
      <c r="F425">
        <v>0.41060000000000002</v>
      </c>
      <c r="G425" s="1">
        <v>1.19055925047803</v>
      </c>
      <c r="H425" s="1">
        <v>0.431436826786738</v>
      </c>
      <c r="I425">
        <f>VLOOKUP(C425,'[1]phenotypes-895'!$A$2:$G$896,7,FALSE)</f>
        <v>98</v>
      </c>
      <c r="J425" s="1">
        <v>-1.5756900000000001E-2</v>
      </c>
      <c r="K425" s="1">
        <f>VLOOKUP(C425,'[1]phenotypes-895'!$A$2:$I$896,9,FALSE)</f>
        <v>0</v>
      </c>
      <c r="L425" s="1">
        <v>8.5759299999999997E-2</v>
      </c>
      <c r="M425" s="4">
        <v>0</v>
      </c>
      <c r="N425" s="1">
        <v>7.7703700000000004E-3</v>
      </c>
      <c r="O425" s="8">
        <v>0</v>
      </c>
      <c r="P425" s="1">
        <v>7.6297699999999996E-2</v>
      </c>
      <c r="Q425">
        <v>1.115</v>
      </c>
      <c r="R425" s="1">
        <v>3.5402900000000001E-2</v>
      </c>
      <c r="S425" s="2">
        <v>0.03</v>
      </c>
    </row>
    <row r="426" spans="1:19" x14ac:dyDescent="0.2">
      <c r="A426">
        <v>425</v>
      </c>
      <c r="B426">
        <v>52</v>
      </c>
      <c r="C426" t="s">
        <v>424</v>
      </c>
      <c r="D426" s="13" t="s">
        <v>912</v>
      </c>
      <c r="E426" s="1">
        <v>2.53125</v>
      </c>
      <c r="F426">
        <v>4.4090400000000001</v>
      </c>
      <c r="G426" s="1">
        <v>2.5038908871185401</v>
      </c>
      <c r="H426" s="1">
        <v>4.3817990963529798</v>
      </c>
      <c r="I426">
        <f>VLOOKUP(C426,'[1]phenotypes-895'!$A$2:$G$896,7,FALSE)</f>
        <v>57</v>
      </c>
      <c r="J426" s="1">
        <v>-5.0383799999999999E-2</v>
      </c>
      <c r="K426" s="1">
        <f>VLOOKUP(C426,'[1]phenotypes-895'!$A$2:$I$896,9,FALSE)</f>
        <v>0.59139519201014545</v>
      </c>
      <c r="L426" s="1">
        <v>-5.76401E-2</v>
      </c>
      <c r="M426" s="4">
        <v>3.9603389485610601</v>
      </c>
      <c r="N426" s="1">
        <v>7.21267E-3</v>
      </c>
      <c r="O426" s="8">
        <v>1</v>
      </c>
      <c r="P426" s="1">
        <v>-9.4942399999999996E-2</v>
      </c>
      <c r="Q426">
        <v>0.85899999999999999</v>
      </c>
      <c r="R426" s="1">
        <v>-3.3764799999999998E-2</v>
      </c>
      <c r="S426" s="2">
        <v>-0.05</v>
      </c>
    </row>
    <row r="427" spans="1:19" x14ac:dyDescent="0.2">
      <c r="A427">
        <v>426</v>
      </c>
      <c r="B427">
        <v>50</v>
      </c>
      <c r="C427" t="s">
        <v>425</v>
      </c>
      <c r="D427" s="13" t="s">
        <v>912</v>
      </c>
      <c r="E427" s="1">
        <v>4.4461399999999998</v>
      </c>
      <c r="F427">
        <v>5.4512799999999997</v>
      </c>
      <c r="G427" s="1">
        <v>4.4769087832134504</v>
      </c>
      <c r="H427" s="1">
        <v>5.4920118764738604</v>
      </c>
      <c r="I427">
        <f>VLOOKUP(C427,'[1]phenotypes-895'!$A$2:$G$896,7,FALSE)</f>
        <v>98</v>
      </c>
      <c r="J427" s="1">
        <v>-4.4066500000000002E-2</v>
      </c>
      <c r="K427" s="1">
        <f>VLOOKUP(C427,'[1]phenotypes-895'!$A$2:$I$896,9,FALSE)</f>
        <v>0</v>
      </c>
      <c r="L427" s="1">
        <v>1.06753E-2</v>
      </c>
      <c r="M427" s="4">
        <v>0</v>
      </c>
      <c r="N427" s="1">
        <v>-1.6465199999999999E-2</v>
      </c>
      <c r="O427" s="8">
        <v>0</v>
      </c>
      <c r="P427" s="1">
        <v>-2.3848399999999999E-2</v>
      </c>
      <c r="Q427">
        <v>0.56100000000000005</v>
      </c>
      <c r="R427" s="1">
        <v>-1.6962999999999999E-2</v>
      </c>
      <c r="S427" s="2">
        <v>-0.2</v>
      </c>
    </row>
    <row r="428" spans="1:19" x14ac:dyDescent="0.2">
      <c r="A428">
        <v>427</v>
      </c>
      <c r="B428">
        <v>49</v>
      </c>
      <c r="C428" t="s">
        <v>426</v>
      </c>
      <c r="D428" s="13" t="s">
        <v>912</v>
      </c>
      <c r="E428" s="1">
        <v>3.4056099999999998</v>
      </c>
      <c r="F428">
        <v>4.9260099999999998</v>
      </c>
      <c r="G428" s="1">
        <v>3.3609481409626998</v>
      </c>
      <c r="H428" s="1">
        <v>4.8901822553393304</v>
      </c>
      <c r="I428">
        <f>VLOOKUP(C428,'[1]phenotypes-895'!$A$2:$G$896,7,FALSE)</f>
        <v>63</v>
      </c>
      <c r="J428" s="1">
        <v>-8.9191099999999995E-2</v>
      </c>
      <c r="K428" s="1">
        <f>VLOOKUP(C428,'[1]phenotypes-895'!$A$2:$I$896,9,FALSE)</f>
        <v>0.59446887674050219</v>
      </c>
      <c r="L428" s="1">
        <v>-3.3627799999999999E-2</v>
      </c>
      <c r="M428" s="4">
        <v>4.6927355029412752</v>
      </c>
      <c r="N428" s="1">
        <v>-1.8170800000000001E-2</v>
      </c>
      <c r="O428" s="8">
        <v>1</v>
      </c>
      <c r="P428" s="1">
        <v>-0.108136</v>
      </c>
      <c r="Q428">
        <v>0.755</v>
      </c>
      <c r="R428" s="1">
        <v>-3.9585299999999997E-2</v>
      </c>
      <c r="S428" s="2">
        <v>-0.09</v>
      </c>
    </row>
    <row r="429" spans="1:19" x14ac:dyDescent="0.2">
      <c r="A429">
        <v>428</v>
      </c>
      <c r="B429">
        <v>53</v>
      </c>
      <c r="C429" t="s">
        <v>427</v>
      </c>
      <c r="D429" s="13" t="s">
        <v>912</v>
      </c>
      <c r="E429" s="1">
        <v>-2.7669999999999999</v>
      </c>
      <c r="F429">
        <v>-2.2209699999999999</v>
      </c>
      <c r="G429" s="1">
        <v>-2.7876757324235002</v>
      </c>
      <c r="H429" s="1">
        <v>-2.2422700728341098</v>
      </c>
      <c r="I429">
        <f>VLOOKUP(C429,'[1]phenotypes-895'!$A$2:$G$896,7,FALSE)</f>
        <v>62</v>
      </c>
      <c r="J429" s="1">
        <v>6.2332400000000003E-2</v>
      </c>
      <c r="K429" s="1">
        <f>VLOOKUP(C429,'[1]phenotypes-895'!$A$2:$I$896,9,FALSE)</f>
        <v>0.6113882003560962</v>
      </c>
      <c r="L429" s="1">
        <v>0.143343</v>
      </c>
      <c r="M429" s="4">
        <v>4.5816846699596718</v>
      </c>
      <c r="N429" s="1">
        <v>2.4789499999999999E-2</v>
      </c>
      <c r="O429" s="8">
        <v>1</v>
      </c>
      <c r="P429" s="1">
        <v>-4.0589600000000003E-2</v>
      </c>
      <c r="Q429">
        <v>0.60299999999999998</v>
      </c>
      <c r="R429" s="1">
        <v>-9.2282500000000003E-3</v>
      </c>
      <c r="S429" s="2">
        <v>-0.17</v>
      </c>
    </row>
    <row r="430" spans="1:19" x14ac:dyDescent="0.2">
      <c r="A430">
        <v>429</v>
      </c>
      <c r="B430">
        <v>50</v>
      </c>
      <c r="C430" t="s">
        <v>428</v>
      </c>
      <c r="D430" s="13" t="s">
        <v>912</v>
      </c>
      <c r="E430" s="1">
        <v>4.0796900000000003</v>
      </c>
      <c r="F430">
        <v>6.4139999999999997</v>
      </c>
      <c r="G430" s="1">
        <v>4.0624680563467601</v>
      </c>
      <c r="H430" s="1">
        <v>6.3952503947185697</v>
      </c>
      <c r="I430">
        <f>VLOOKUP(C430,'[1]phenotypes-895'!$A$2:$G$896,7,FALSE)</f>
        <v>98</v>
      </c>
      <c r="J430" s="1">
        <v>-5.8324599999999997E-2</v>
      </c>
      <c r="K430" s="1">
        <f>VLOOKUP(C430,'[1]phenotypes-895'!$A$2:$I$896,9,FALSE)</f>
        <v>0</v>
      </c>
      <c r="L430" s="1">
        <v>9.0907599999999998E-3</v>
      </c>
      <c r="M430" s="4">
        <v>0</v>
      </c>
      <c r="N430" s="1">
        <v>1.7328199999999998E-2</v>
      </c>
      <c r="O430" s="8">
        <v>0</v>
      </c>
      <c r="P430" s="1">
        <v>-0.201957</v>
      </c>
      <c r="Q430">
        <v>0.73199999999999998</v>
      </c>
      <c r="R430" s="1">
        <v>-8.1820799999999999E-2</v>
      </c>
      <c r="S430" s="2">
        <v>-0.1</v>
      </c>
    </row>
    <row r="431" spans="1:19" x14ac:dyDescent="0.2">
      <c r="A431">
        <v>430</v>
      </c>
      <c r="B431">
        <v>43</v>
      </c>
      <c r="C431" t="s">
        <v>429</v>
      </c>
      <c r="D431" s="13" t="s">
        <v>912</v>
      </c>
      <c r="E431" s="1">
        <v>-1.9359200000000001</v>
      </c>
      <c r="F431">
        <v>-2.1298400000000002</v>
      </c>
      <c r="G431" s="1">
        <v>-1.8860847484727701</v>
      </c>
      <c r="H431" s="1">
        <v>-2.0708859648620002</v>
      </c>
      <c r="I431">
        <f>VLOOKUP(C431,'[1]phenotypes-895'!$A$2:$G$896,7,FALSE)</f>
        <v>68</v>
      </c>
      <c r="J431" s="1">
        <v>1.28244E-2</v>
      </c>
      <c r="K431" s="1">
        <f>VLOOKUP(C431,'[1]phenotypes-895'!$A$2:$I$896,9,FALSE)</f>
        <v>0.34623126851598851</v>
      </c>
      <c r="L431" s="1">
        <v>0.107059</v>
      </c>
      <c r="M431" s="4">
        <v>4.2722905203010626</v>
      </c>
      <c r="N431" s="1">
        <v>9.1981000000000007E-3</v>
      </c>
      <c r="O431" s="8">
        <v>1</v>
      </c>
      <c r="P431" s="1">
        <v>3.6031500000000001E-2</v>
      </c>
      <c r="Q431">
        <v>1.0569999999999999</v>
      </c>
      <c r="R431" s="1">
        <v>2.1127799999999999E-2</v>
      </c>
      <c r="S431" s="2">
        <v>0.02</v>
      </c>
    </row>
    <row r="432" spans="1:19" x14ac:dyDescent="0.2">
      <c r="A432">
        <v>431</v>
      </c>
      <c r="B432">
        <v>42</v>
      </c>
      <c r="C432" t="s">
        <v>430</v>
      </c>
      <c r="D432" s="13" t="s">
        <v>912</v>
      </c>
      <c r="E432" s="1">
        <v>-2.0209000000000001</v>
      </c>
      <c r="F432">
        <v>-3.9965799999999998</v>
      </c>
      <c r="G432" s="1">
        <v>-2.0667891525827198</v>
      </c>
      <c r="H432" s="1">
        <v>-4.04520457010935</v>
      </c>
      <c r="I432">
        <f>VLOOKUP(C432,'[1]phenotypes-895'!$A$2:$G$896,7,FALSE)</f>
        <v>65</v>
      </c>
      <c r="J432" s="1">
        <v>3.6014999999999998E-2</v>
      </c>
      <c r="K432" s="1">
        <f>VLOOKUP(C432,'[1]phenotypes-895'!$A$2:$I$896,9,FALSE)</f>
        <v>0.68762767900822208</v>
      </c>
      <c r="L432" s="1">
        <v>-0.11733</v>
      </c>
      <c r="M432" s="4">
        <v>4.3573235131248298</v>
      </c>
      <c r="N432" s="1">
        <v>-1.1453400000000001E-2</v>
      </c>
      <c r="O432" s="8">
        <v>1</v>
      </c>
      <c r="P432" s="1">
        <v>6.6559499999999994E-2</v>
      </c>
      <c r="Q432">
        <v>0.90400000000000003</v>
      </c>
      <c r="R432" s="1">
        <v>2.5644900000000002E-2</v>
      </c>
      <c r="S432" s="2">
        <v>-0.03</v>
      </c>
    </row>
    <row r="433" spans="1:19" x14ac:dyDescent="0.2">
      <c r="A433">
        <v>432</v>
      </c>
      <c r="B433">
        <v>50</v>
      </c>
      <c r="C433" t="s">
        <v>431</v>
      </c>
      <c r="D433" s="13" t="s">
        <v>912</v>
      </c>
      <c r="E433" s="1">
        <v>3.96469</v>
      </c>
      <c r="F433">
        <v>5.1337700000000002</v>
      </c>
      <c r="G433" s="1">
        <v>3.9752450150886198</v>
      </c>
      <c r="H433" s="1">
        <v>5.1645111422493102</v>
      </c>
      <c r="I433">
        <f>VLOOKUP(C433,'[1]phenotypes-895'!$A$2:$G$896,7,FALSE)</f>
        <v>98</v>
      </c>
      <c r="J433" s="1">
        <v>-4.4333299999999999E-2</v>
      </c>
      <c r="K433" s="1">
        <f>VLOOKUP(C433,'[1]phenotypes-895'!$A$2:$I$896,9,FALSE)</f>
        <v>0</v>
      </c>
      <c r="L433" s="1">
        <v>2.80615E-2</v>
      </c>
      <c r="M433" s="4">
        <v>0</v>
      </c>
      <c r="N433" s="1">
        <v>-1.0435E-2</v>
      </c>
      <c r="O433" s="8">
        <v>0</v>
      </c>
      <c r="P433" s="1">
        <v>-0.17271900000000001</v>
      </c>
      <c r="Q433">
        <v>0.57699999999999996</v>
      </c>
      <c r="R433" s="1">
        <v>-7.4100600000000003E-2</v>
      </c>
      <c r="S433" s="2">
        <v>-0.2</v>
      </c>
    </row>
    <row r="434" spans="1:19" x14ac:dyDescent="0.2">
      <c r="A434">
        <v>433</v>
      </c>
      <c r="B434">
        <v>45</v>
      </c>
      <c r="C434" t="s">
        <v>432</v>
      </c>
      <c r="D434" s="13" t="s">
        <v>912</v>
      </c>
      <c r="E434" s="1">
        <v>5.2541799999999999</v>
      </c>
      <c r="F434">
        <v>7.2420900000000001</v>
      </c>
      <c r="G434" s="1">
        <v>5.3090349417568703</v>
      </c>
      <c r="H434" s="1">
        <v>7.2980141326748003</v>
      </c>
      <c r="I434">
        <f>VLOOKUP(C434,'[1]phenotypes-895'!$A$2:$G$896,7,FALSE)</f>
        <v>98</v>
      </c>
      <c r="J434" s="1">
        <v>-0.10612000000000001</v>
      </c>
      <c r="K434" s="1">
        <f>VLOOKUP(C434,'[1]phenotypes-895'!$A$2:$I$896,9,FALSE)</f>
        <v>0</v>
      </c>
      <c r="L434" s="1">
        <v>3.7006400000000002E-2</v>
      </c>
      <c r="M434" s="4">
        <v>0</v>
      </c>
      <c r="N434" s="1">
        <v>5.4017099999999997E-3</v>
      </c>
      <c r="O434" s="8">
        <v>0</v>
      </c>
      <c r="P434" s="1">
        <v>-0.16389500000000001</v>
      </c>
      <c r="Q434">
        <v>0.78600000000000003</v>
      </c>
      <c r="R434" s="1">
        <v>-6.6457299999999997E-2</v>
      </c>
      <c r="S434" s="2">
        <v>-0.08</v>
      </c>
    </row>
    <row r="435" spans="1:19" x14ac:dyDescent="0.2">
      <c r="A435">
        <v>434</v>
      </c>
      <c r="B435">
        <v>42</v>
      </c>
      <c r="C435" t="s">
        <v>433</v>
      </c>
      <c r="D435" s="13" t="s">
        <v>912</v>
      </c>
      <c r="E435" s="1">
        <v>3.1104099999999999</v>
      </c>
      <c r="F435">
        <v>2.8022800000000001</v>
      </c>
      <c r="G435" s="1">
        <v>3.0628279635201401</v>
      </c>
      <c r="H435" s="1">
        <v>2.7581256049902398</v>
      </c>
      <c r="I435">
        <f>VLOOKUP(C435,'[1]phenotypes-895'!$A$2:$G$896,7,FALSE)</f>
        <v>98</v>
      </c>
      <c r="J435" s="1">
        <v>-7.02435E-2</v>
      </c>
      <c r="K435" s="1">
        <f>VLOOKUP(C435,'[1]phenotypes-895'!$A$2:$I$896,9,FALSE)</f>
        <v>0</v>
      </c>
      <c r="L435" s="1">
        <v>-8.5696800000000004E-2</v>
      </c>
      <c r="M435" s="4">
        <v>0</v>
      </c>
      <c r="N435" s="1">
        <v>-1.67677E-2</v>
      </c>
      <c r="O435" s="8">
        <v>0</v>
      </c>
      <c r="P435" s="1">
        <v>1.08988E-2</v>
      </c>
      <c r="Q435">
        <v>0.70399999999999996</v>
      </c>
      <c r="R435" s="1">
        <v>6.0120099999999999E-3</v>
      </c>
      <c r="S435" s="2">
        <v>-0.11</v>
      </c>
    </row>
    <row r="436" spans="1:19" x14ac:dyDescent="0.2">
      <c r="A436">
        <v>435</v>
      </c>
      <c r="B436">
        <v>42</v>
      </c>
      <c r="C436" t="s">
        <v>434</v>
      </c>
      <c r="D436" s="13" t="s">
        <v>912</v>
      </c>
      <c r="E436" s="1">
        <v>2.82355</v>
      </c>
      <c r="F436">
        <v>3.71766</v>
      </c>
      <c r="G436" s="1">
        <v>2.7805716890732501</v>
      </c>
      <c r="H436" s="1">
        <v>3.6733234024071901</v>
      </c>
      <c r="I436">
        <f>VLOOKUP(C436,'[1]phenotypes-895'!$A$2:$G$896,7,FALSE)</f>
        <v>98</v>
      </c>
      <c r="J436" s="1">
        <v>-4.5884300000000003E-2</v>
      </c>
      <c r="K436" s="1">
        <f>VLOOKUP(C436,'[1]phenotypes-895'!$A$2:$I$896,9,FALSE)</f>
        <v>-3.5212525183069478E-2</v>
      </c>
      <c r="L436" s="1">
        <v>-4.8294700000000003E-2</v>
      </c>
      <c r="M436" s="4">
        <v>2.4517594005740366</v>
      </c>
      <c r="N436" s="1">
        <v>7.5383100000000003E-3</v>
      </c>
      <c r="O436" s="8">
        <v>1</v>
      </c>
      <c r="P436" s="1">
        <v>-9.1454400000000005E-2</v>
      </c>
      <c r="Q436">
        <v>0.80200000000000005</v>
      </c>
      <c r="R436" s="1">
        <v>-3.1792300000000003E-2</v>
      </c>
      <c r="S436" s="2">
        <v>-7.0000000000000007E-2</v>
      </c>
    </row>
    <row r="437" spans="1:19" x14ac:dyDescent="0.2">
      <c r="A437">
        <v>436</v>
      </c>
      <c r="B437">
        <v>41</v>
      </c>
      <c r="C437" t="s">
        <v>435</v>
      </c>
      <c r="D437" s="13" t="s">
        <v>912</v>
      </c>
      <c r="E437" s="1">
        <v>1.1284700000000001</v>
      </c>
      <c r="F437">
        <v>1.0967199999999999</v>
      </c>
      <c r="G437" s="1">
        <v>1.11952179074268</v>
      </c>
      <c r="H437" s="1">
        <v>1.0749524787390099</v>
      </c>
      <c r="I437">
        <f>VLOOKUP(C437,'[1]phenotypes-895'!$A$2:$G$896,7,FALSE)</f>
        <v>98</v>
      </c>
      <c r="J437" s="1">
        <v>3.4788699999999998E-3</v>
      </c>
      <c r="K437" s="1">
        <f>VLOOKUP(C437,'[1]phenotypes-895'!$A$2:$I$896,9,FALSE)</f>
        <v>0</v>
      </c>
      <c r="L437" s="1">
        <v>0.13911999999999999</v>
      </c>
      <c r="M437" s="4">
        <v>0</v>
      </c>
      <c r="N437" s="1">
        <v>-7.9505200000000009E-3</v>
      </c>
      <c r="O437" s="8">
        <v>0</v>
      </c>
      <c r="P437" s="1">
        <v>0.20560500000000001</v>
      </c>
      <c r="Q437">
        <v>1.294</v>
      </c>
      <c r="R437" s="1">
        <v>7.0188399999999998E-2</v>
      </c>
      <c r="S437" s="2">
        <v>0.08</v>
      </c>
    </row>
    <row r="438" spans="1:19" x14ac:dyDescent="0.2">
      <c r="A438">
        <v>437</v>
      </c>
      <c r="B438">
        <v>49</v>
      </c>
      <c r="C438" t="s">
        <v>436</v>
      </c>
      <c r="D438" s="13" t="s">
        <v>912</v>
      </c>
      <c r="E438" s="1">
        <v>-1.3715999999999999</v>
      </c>
      <c r="F438">
        <v>0.13663900000000001</v>
      </c>
      <c r="G438" s="1">
        <v>-1.3986730053379299</v>
      </c>
      <c r="H438" s="1">
        <v>0.11543765334202701</v>
      </c>
      <c r="I438">
        <f>VLOOKUP(C438,'[1]phenotypes-895'!$A$2:$G$896,7,FALSE)</f>
        <v>98</v>
      </c>
      <c r="J438" s="1">
        <v>-1.6872000000000002E-2</v>
      </c>
      <c r="K438" s="1">
        <f>VLOOKUP(C438,'[1]phenotypes-895'!$A$2:$I$896,9,FALSE)</f>
        <v>0</v>
      </c>
      <c r="L438" s="1">
        <v>-8.3488999999999994E-2</v>
      </c>
      <c r="M438" s="4">
        <v>0</v>
      </c>
      <c r="N438" s="1">
        <v>-1.6634599999999999E-2</v>
      </c>
      <c r="O438" s="8">
        <v>0</v>
      </c>
      <c r="P438" s="1">
        <v>-9.9789900000000001E-2</v>
      </c>
      <c r="Q438">
        <v>0.90100000000000002</v>
      </c>
      <c r="R438" s="1">
        <v>-4.1067800000000002E-2</v>
      </c>
      <c r="S438" s="2">
        <v>-0.03</v>
      </c>
    </row>
    <row r="439" spans="1:19" x14ac:dyDescent="0.2">
      <c r="A439">
        <v>438</v>
      </c>
      <c r="B439">
        <v>50</v>
      </c>
      <c r="C439" t="s">
        <v>437</v>
      </c>
      <c r="D439" s="13" t="s">
        <v>912</v>
      </c>
      <c r="E439" s="1">
        <v>-1.3385499999999999</v>
      </c>
      <c r="F439">
        <v>-1.5850900000000001</v>
      </c>
      <c r="G439" s="1">
        <v>-1.3429637912624</v>
      </c>
      <c r="H439" s="1">
        <v>-1.5771203980561099</v>
      </c>
      <c r="I439">
        <f>VLOOKUP(C439,'[1]phenotypes-895'!$A$2:$G$896,7,FALSE)</f>
        <v>88</v>
      </c>
      <c r="J439" s="1">
        <v>5.2483299999999997E-2</v>
      </c>
      <c r="K439" s="1">
        <f>VLOOKUP(C439,'[1]phenotypes-895'!$A$2:$I$896,9,FALSE)</f>
        <v>0.50451818731149667</v>
      </c>
      <c r="L439" s="1">
        <v>-1.8569700000000001E-2</v>
      </c>
      <c r="M439" s="4">
        <v>3.5475534818917742</v>
      </c>
      <c r="N439" s="1">
        <v>3.2832800000000002E-2</v>
      </c>
      <c r="O439" s="8">
        <v>1</v>
      </c>
      <c r="P439" s="1">
        <v>-5.9765499999999999E-2</v>
      </c>
      <c r="Q439">
        <v>0.69299999999999995</v>
      </c>
      <c r="R439" s="1">
        <v>-1.8624499999999999E-2</v>
      </c>
      <c r="S439" s="2">
        <v>-0.12</v>
      </c>
    </row>
    <row r="440" spans="1:19" x14ac:dyDescent="0.2">
      <c r="A440">
        <v>439</v>
      </c>
      <c r="B440">
        <v>54</v>
      </c>
      <c r="C440" t="s">
        <v>438</v>
      </c>
      <c r="D440" s="13" t="s">
        <v>912</v>
      </c>
      <c r="E440" s="1">
        <v>0.82457899999999995</v>
      </c>
      <c r="F440">
        <v>-0.33439600000000003</v>
      </c>
      <c r="G440" s="1">
        <v>0.81382719435669704</v>
      </c>
      <c r="H440" s="1">
        <v>-0.341298352342366</v>
      </c>
      <c r="I440">
        <f>VLOOKUP(C440,'[1]phenotypes-895'!$A$2:$G$896,7,FALSE)</f>
        <v>98</v>
      </c>
      <c r="J440" s="1">
        <v>3.8842600000000001E-3</v>
      </c>
      <c r="K440" s="1">
        <f>VLOOKUP(C440,'[1]phenotypes-895'!$A$2:$I$896,9,FALSE)</f>
        <v>0.20915257419901809</v>
      </c>
      <c r="L440" s="1">
        <v>-9.8200300000000004E-2</v>
      </c>
      <c r="M440" s="4">
        <v>3.916576471477963</v>
      </c>
      <c r="N440" s="1">
        <v>-1.3222899999999999E-2</v>
      </c>
      <c r="O440" s="8">
        <v>1</v>
      </c>
      <c r="P440" s="1">
        <v>1.8611099999999998E-2</v>
      </c>
      <c r="Q440">
        <v>0.69099999999999995</v>
      </c>
      <c r="R440" s="1">
        <v>1.40517E-2</v>
      </c>
      <c r="S440" s="2">
        <v>-0.12</v>
      </c>
    </row>
    <row r="441" spans="1:19" x14ac:dyDescent="0.2">
      <c r="A441">
        <v>440</v>
      </c>
      <c r="B441">
        <v>52</v>
      </c>
      <c r="C441" t="s">
        <v>439</v>
      </c>
      <c r="D441" s="13" t="s">
        <v>912</v>
      </c>
      <c r="E441" s="1">
        <v>-0.95933199999999996</v>
      </c>
      <c r="F441">
        <v>-0.85239200000000004</v>
      </c>
      <c r="G441" s="1">
        <v>-0.998655066677688</v>
      </c>
      <c r="H441" s="1">
        <v>-0.899455317930134</v>
      </c>
      <c r="I441">
        <f>VLOOKUP(C441,'[1]phenotypes-895'!$A$2:$G$896,7,FALSE)</f>
        <v>98</v>
      </c>
      <c r="J441" s="1">
        <v>3.1940099999999999E-2</v>
      </c>
      <c r="K441" s="1">
        <f>VLOOKUP(C441,'[1]phenotypes-895'!$A$2:$I$896,9,FALSE)</f>
        <v>0</v>
      </c>
      <c r="L441" s="1">
        <v>0.173176</v>
      </c>
      <c r="M441" s="4">
        <v>0</v>
      </c>
      <c r="N441" s="1">
        <v>1.31001E-2</v>
      </c>
      <c r="O441" s="8">
        <v>0</v>
      </c>
      <c r="P441" s="1">
        <v>1.1508300000000001E-2</v>
      </c>
      <c r="Q441">
        <v>0.90700000000000003</v>
      </c>
      <c r="R441" s="1">
        <v>9.5797199999999999E-3</v>
      </c>
      <c r="S441" s="2">
        <v>-0.03</v>
      </c>
    </row>
    <row r="442" spans="1:19" x14ac:dyDescent="0.2">
      <c r="A442">
        <v>441</v>
      </c>
      <c r="B442">
        <v>40</v>
      </c>
      <c r="C442" t="s">
        <v>440</v>
      </c>
      <c r="D442" s="13" t="s">
        <v>913</v>
      </c>
      <c r="E442" s="1">
        <v>0.64957200000000004</v>
      </c>
      <c r="F442">
        <v>1.07988</v>
      </c>
      <c r="G442" s="1">
        <v>0.67220981406346303</v>
      </c>
      <c r="H442" s="1">
        <v>1.0931138034105901</v>
      </c>
      <c r="I442">
        <f>VLOOKUP(C442,'[1]phenotypes-895'!$A$2:$G$896,7,FALSE)</f>
        <v>98</v>
      </c>
      <c r="J442" s="1">
        <v>-2.2199900000000002E-2</v>
      </c>
      <c r="K442" s="1">
        <f>VLOOKUP(C442,'[1]phenotypes-895'!$A$2:$I$896,9,FALSE)</f>
        <v>0</v>
      </c>
      <c r="L442" s="1">
        <v>-4.68762E-2</v>
      </c>
      <c r="M442" s="4">
        <v>0</v>
      </c>
      <c r="N442" s="1">
        <v>2.7071100000000001E-2</v>
      </c>
      <c r="O442" s="8">
        <v>0</v>
      </c>
      <c r="P442" s="1">
        <v>-8.9263899999999993E-2</v>
      </c>
      <c r="Q442">
        <v>1</v>
      </c>
      <c r="R442" s="1">
        <v>-4.0147299999999997E-2</v>
      </c>
      <c r="S442" s="2">
        <v>0</v>
      </c>
    </row>
    <row r="443" spans="1:19" x14ac:dyDescent="0.2">
      <c r="A443">
        <v>442</v>
      </c>
      <c r="B443">
        <v>50</v>
      </c>
      <c r="C443" t="s">
        <v>441</v>
      </c>
      <c r="D443" s="13" t="s">
        <v>912</v>
      </c>
      <c r="E443" s="1">
        <v>2.9879099999999998</v>
      </c>
      <c r="F443">
        <v>1.63028</v>
      </c>
      <c r="G443" s="1">
        <v>2.8938812366159001</v>
      </c>
      <c r="H443" s="1">
        <v>1.52598856745833</v>
      </c>
      <c r="I443">
        <f>VLOOKUP(C443,'[1]phenotypes-895'!$A$2:$G$896,7,FALSE)</f>
        <v>98</v>
      </c>
      <c r="J443" s="1">
        <v>-5.28485E-2</v>
      </c>
      <c r="K443" s="1">
        <f>VLOOKUP(C443,'[1]phenotypes-895'!$A$2:$I$896,9,FALSE)</f>
        <v>0</v>
      </c>
      <c r="L443" s="1">
        <v>-0.158608</v>
      </c>
      <c r="M443" s="4">
        <v>0</v>
      </c>
      <c r="N443" s="1">
        <v>-2.4973700000000001E-2</v>
      </c>
      <c r="O443" s="8">
        <v>0</v>
      </c>
      <c r="P443" s="1">
        <v>9.2652899999999996E-2</v>
      </c>
      <c r="Q443">
        <v>0.73499999999999999</v>
      </c>
      <c r="R443" s="1">
        <v>4.1285299999999997E-2</v>
      </c>
      <c r="S443" s="2">
        <v>-0.1</v>
      </c>
    </row>
    <row r="444" spans="1:19" x14ac:dyDescent="0.2">
      <c r="A444">
        <v>443</v>
      </c>
      <c r="B444">
        <v>29</v>
      </c>
      <c r="C444" t="s">
        <v>442</v>
      </c>
      <c r="D444" s="13" t="s">
        <v>913</v>
      </c>
      <c r="E444" s="1">
        <v>5.4689300000000003</v>
      </c>
      <c r="F444">
        <v>3.9498899999999999</v>
      </c>
      <c r="G444" s="1">
        <v>5.4602834169780996</v>
      </c>
      <c r="H444" s="1">
        <v>3.9396022339609398</v>
      </c>
      <c r="I444">
        <f>VLOOKUP(C444,'[1]phenotypes-895'!$A$2:$G$896,7,FALSE)</f>
        <v>98</v>
      </c>
      <c r="J444" s="1">
        <v>-6.3429200000000005E-2</v>
      </c>
      <c r="K444" s="1">
        <f>VLOOKUP(C444,'[1]phenotypes-895'!$A$2:$I$896,9,FALSE)</f>
        <v>0</v>
      </c>
      <c r="L444" s="1">
        <v>-0.101789</v>
      </c>
      <c r="M444" s="4">
        <v>0</v>
      </c>
      <c r="N444" s="1">
        <v>-1.9283100000000001E-2</v>
      </c>
      <c r="O444" s="8">
        <v>0</v>
      </c>
      <c r="P444" s="1">
        <v>0.11150599999999999</v>
      </c>
      <c r="Q444">
        <v>0.77600000000000002</v>
      </c>
      <c r="R444" s="1">
        <v>4.1140099999999999E-2</v>
      </c>
      <c r="S444" s="2">
        <v>-0.08</v>
      </c>
    </row>
    <row r="445" spans="1:19" x14ac:dyDescent="0.2">
      <c r="A445">
        <v>444</v>
      </c>
      <c r="B445">
        <v>46</v>
      </c>
      <c r="C445" t="s">
        <v>443</v>
      </c>
      <c r="D445" s="13" t="s">
        <v>912</v>
      </c>
      <c r="E445" s="1">
        <v>3.2056</v>
      </c>
      <c r="F445">
        <v>2.0336400000000001</v>
      </c>
      <c r="G445" s="1">
        <v>3.19566242732343</v>
      </c>
      <c r="H445" s="1">
        <v>2.0208042235034398</v>
      </c>
      <c r="I445">
        <f>VLOOKUP(C445,'[1]phenotypes-895'!$A$2:$G$896,7,FALSE)</f>
        <v>60</v>
      </c>
      <c r="J445" s="1">
        <v>-2.2805300000000001E-2</v>
      </c>
      <c r="K445" s="1">
        <f>VLOOKUP(C445,'[1]phenotypes-895'!$A$2:$I$896,9,FALSE)</f>
        <v>0.6553511908771541</v>
      </c>
      <c r="L445" s="1">
        <v>-0.13284000000000001</v>
      </c>
      <c r="M445" s="4">
        <v>4.1898577106680559</v>
      </c>
      <c r="N445" s="1">
        <v>-1.13626E-2</v>
      </c>
      <c r="O445" s="8">
        <v>1</v>
      </c>
      <c r="P445" s="1">
        <v>9.2296400000000001E-2</v>
      </c>
      <c r="Q445">
        <v>0.72099999999999997</v>
      </c>
      <c r="R445" s="1">
        <v>3.3305899999999999E-2</v>
      </c>
      <c r="S445" s="2">
        <v>-0.11</v>
      </c>
    </row>
    <row r="446" spans="1:19" x14ac:dyDescent="0.2">
      <c r="A446">
        <v>445</v>
      </c>
      <c r="B446">
        <v>52</v>
      </c>
      <c r="C446" t="s">
        <v>444</v>
      </c>
      <c r="D446" s="13" t="s">
        <v>912</v>
      </c>
      <c r="E446" s="1">
        <v>2.33487</v>
      </c>
      <c r="F446">
        <v>3.6137100000000002</v>
      </c>
      <c r="G446" s="1">
        <v>2.32113676346161</v>
      </c>
      <c r="H446" s="1">
        <v>3.6018254135438101</v>
      </c>
      <c r="I446">
        <f>VLOOKUP(C446,'[1]phenotypes-895'!$A$2:$G$896,7,FALSE)</f>
        <v>85</v>
      </c>
      <c r="J446" s="1">
        <v>-1.7779900000000001E-2</v>
      </c>
      <c r="K446" s="1">
        <f>VLOOKUP(C446,'[1]phenotypes-895'!$A$2:$I$896,9,FALSE)</f>
        <v>0.43567405445917678</v>
      </c>
      <c r="L446" s="1">
        <v>-5.7938299999999998E-2</v>
      </c>
      <c r="M446" s="4">
        <v>4.8525893353807064</v>
      </c>
      <c r="N446" s="1">
        <v>1.40257E-2</v>
      </c>
      <c r="O446" s="8">
        <v>1</v>
      </c>
      <c r="P446" s="1">
        <v>-0.12709200000000001</v>
      </c>
      <c r="Q446">
        <v>0.84499999999999997</v>
      </c>
      <c r="R446" s="1">
        <v>-4.4953300000000002E-2</v>
      </c>
      <c r="S446" s="2">
        <v>-0.05</v>
      </c>
    </row>
    <row r="447" spans="1:19" x14ac:dyDescent="0.2">
      <c r="A447">
        <v>446</v>
      </c>
      <c r="B447">
        <v>46</v>
      </c>
      <c r="C447" t="s">
        <v>445</v>
      </c>
      <c r="D447" s="13" t="s">
        <v>912</v>
      </c>
      <c r="E447" s="1">
        <v>0.26169100000000001</v>
      </c>
      <c r="F447">
        <v>1.89347</v>
      </c>
      <c r="G447" s="1">
        <v>0.241877822867436</v>
      </c>
      <c r="H447" s="1">
        <v>1.8832980741743699</v>
      </c>
      <c r="I447">
        <f>VLOOKUP(C447,'[1]phenotypes-895'!$A$2:$G$896,7,FALSE)</f>
        <v>98</v>
      </c>
      <c r="J447" s="1">
        <v>2.0153900000000002E-3</v>
      </c>
      <c r="K447" s="1">
        <f>VLOOKUP(C447,'[1]phenotypes-895'!$A$2:$I$896,9,FALSE)</f>
        <v>0.29567061265411188</v>
      </c>
      <c r="L447" s="1">
        <v>-4.3280399999999997E-2</v>
      </c>
      <c r="M447" s="4">
        <v>3.4820164918962564</v>
      </c>
      <c r="N447" s="1">
        <v>1.53312E-2</v>
      </c>
      <c r="O447" s="8">
        <v>1</v>
      </c>
      <c r="P447" s="1">
        <v>-9.8050399999999996E-2</v>
      </c>
      <c r="Q447">
        <v>0.85099999999999998</v>
      </c>
      <c r="R447" s="1">
        <v>-3.5625499999999997E-2</v>
      </c>
      <c r="S447" s="2">
        <v>-0.05</v>
      </c>
    </row>
    <row r="448" spans="1:19" x14ac:dyDescent="0.2">
      <c r="A448">
        <v>447</v>
      </c>
      <c r="B448">
        <v>50</v>
      </c>
      <c r="C448" t="s">
        <v>446</v>
      </c>
      <c r="D448" s="13" t="s">
        <v>912</v>
      </c>
      <c r="E448" s="1">
        <v>-4.9533800000000001</v>
      </c>
      <c r="F448">
        <v>-3.3810500000000001</v>
      </c>
      <c r="G448" s="1">
        <v>-4.9372549670406602</v>
      </c>
      <c r="H448" s="1">
        <v>-3.3716506685216499</v>
      </c>
      <c r="I448">
        <f>VLOOKUP(C448,'[1]phenotypes-895'!$A$2:$G$896,7,FALSE)</f>
        <v>60</v>
      </c>
      <c r="J448" s="1">
        <v>3.01598E-2</v>
      </c>
      <c r="K448" s="1">
        <f>VLOOKUP(C448,'[1]phenotypes-895'!$A$2:$I$896,9,FALSE)</f>
        <v>0.53292449514216755</v>
      </c>
      <c r="L448" s="1">
        <v>-7.8772400000000006E-2</v>
      </c>
      <c r="M448" s="4">
        <v>4.1092003034308666</v>
      </c>
      <c r="N448" s="1">
        <v>-1.01128E-2</v>
      </c>
      <c r="O448" s="8">
        <v>1</v>
      </c>
      <c r="P448" s="1">
        <v>-0.15871199999999999</v>
      </c>
      <c r="Q448">
        <v>0.58499999999999996</v>
      </c>
      <c r="R448" s="1">
        <v>-6.8072900000000006E-2</v>
      </c>
      <c r="S448" s="2">
        <v>-0.2</v>
      </c>
    </row>
    <row r="449" spans="1:19" x14ac:dyDescent="0.2">
      <c r="A449">
        <v>448</v>
      </c>
      <c r="B449">
        <v>42</v>
      </c>
      <c r="C449" t="s">
        <v>447</v>
      </c>
      <c r="D449" s="13" t="s">
        <v>912</v>
      </c>
      <c r="E449" s="1">
        <v>-2.70025</v>
      </c>
      <c r="F449">
        <v>-3.4931700000000001</v>
      </c>
      <c r="G449" s="1">
        <v>-2.7465239669776098</v>
      </c>
      <c r="H449" s="1">
        <v>-3.5421439209751102</v>
      </c>
      <c r="I449">
        <f>VLOOKUP(C449,'[1]phenotypes-895'!$A$2:$G$896,7,FALSE)</f>
        <v>55</v>
      </c>
      <c r="J449" s="1">
        <v>7.1590299999999996E-2</v>
      </c>
      <c r="K449" s="1">
        <f>VLOOKUP(C449,'[1]phenotypes-895'!$A$2:$I$896,9,FALSE)</f>
        <v>1.0331257608294371</v>
      </c>
      <c r="L449" s="1">
        <v>0.211116</v>
      </c>
      <c r="M449" s="4">
        <v>5.1153470476702685</v>
      </c>
      <c r="N449" s="1">
        <v>1.23935E-2</v>
      </c>
      <c r="O449" s="8">
        <v>1</v>
      </c>
      <c r="P449" s="1">
        <v>4.8628499999999998E-2</v>
      </c>
      <c r="Q449">
        <v>0.93200000000000005</v>
      </c>
      <c r="R449" s="1">
        <v>2.69812E-2</v>
      </c>
      <c r="S449" s="2">
        <v>-0.02</v>
      </c>
    </row>
    <row r="450" spans="1:19" x14ac:dyDescent="0.2">
      <c r="A450">
        <v>449</v>
      </c>
      <c r="B450">
        <v>53</v>
      </c>
      <c r="C450" t="s">
        <v>448</v>
      </c>
      <c r="D450" s="13" t="s">
        <v>912</v>
      </c>
      <c r="E450" s="1">
        <v>2.7604199999999999</v>
      </c>
      <c r="F450">
        <v>4.2444800000000003</v>
      </c>
      <c r="G450" s="1">
        <v>2.7728239206459802</v>
      </c>
      <c r="H450" s="1">
        <v>4.2683215459233796</v>
      </c>
      <c r="I450">
        <f>VLOOKUP(C450,'[1]phenotypes-895'!$A$2:$G$896,7,FALSE)</f>
        <v>98</v>
      </c>
      <c r="J450" s="1">
        <v>-2.92176E-2</v>
      </c>
      <c r="K450" s="1">
        <f>VLOOKUP(C450,'[1]phenotypes-895'!$A$2:$I$896,9,FALSE)</f>
        <v>0</v>
      </c>
      <c r="L450" s="1">
        <v>-2.9667499999999999E-2</v>
      </c>
      <c r="M450" s="4">
        <v>0</v>
      </c>
      <c r="N450" s="1">
        <v>3.0457499999999998E-2</v>
      </c>
      <c r="O450" s="8">
        <v>0</v>
      </c>
      <c r="P450" s="1">
        <v>-0.14602799999999999</v>
      </c>
      <c r="Q450">
        <v>0.64800000000000002</v>
      </c>
      <c r="R450" s="1">
        <v>-5.9844799999999997E-2</v>
      </c>
      <c r="S450" s="2">
        <v>-0.14000000000000001</v>
      </c>
    </row>
    <row r="451" spans="1:19" x14ac:dyDescent="0.2">
      <c r="A451">
        <v>450</v>
      </c>
      <c r="B451">
        <v>49</v>
      </c>
      <c r="C451" t="s">
        <v>449</v>
      </c>
      <c r="D451" s="13" t="s">
        <v>912</v>
      </c>
      <c r="E451" s="1">
        <v>0.63095800000000002</v>
      </c>
      <c r="F451">
        <v>-1.0782099999999999</v>
      </c>
      <c r="G451" s="1">
        <v>0.62503270217071105</v>
      </c>
      <c r="H451" s="1">
        <v>-1.0808992135433</v>
      </c>
      <c r="I451">
        <f>VLOOKUP(C451,'[1]phenotypes-895'!$A$2:$G$896,7,FALSE)</f>
        <v>98</v>
      </c>
      <c r="J451" s="1">
        <v>-1.8385100000000001E-2</v>
      </c>
      <c r="K451" s="1">
        <f>VLOOKUP(C451,'[1]phenotypes-895'!$A$2:$I$896,9,FALSE)</f>
        <v>0.20481069001820909</v>
      </c>
      <c r="L451" s="1">
        <v>-7.2005899999999998E-2</v>
      </c>
      <c r="M451" s="4">
        <v>3.206550077663997</v>
      </c>
      <c r="N451" s="1">
        <v>8.0150900000000008E-3</v>
      </c>
      <c r="O451" s="8">
        <v>1</v>
      </c>
      <c r="P451" s="1">
        <v>-1.1413299999999999E-2</v>
      </c>
      <c r="Q451">
        <v>0.68799999999999994</v>
      </c>
      <c r="R451" s="1">
        <v>-4.63081E-3</v>
      </c>
      <c r="S451" s="2">
        <v>-0.12</v>
      </c>
    </row>
    <row r="452" spans="1:19" x14ac:dyDescent="0.2">
      <c r="A452">
        <v>451</v>
      </c>
      <c r="B452">
        <v>44</v>
      </c>
      <c r="C452" t="s">
        <v>450</v>
      </c>
      <c r="D452" s="13" t="s">
        <v>912</v>
      </c>
      <c r="E452" s="1">
        <v>-0.25298999999999999</v>
      </c>
      <c r="F452">
        <v>1.26457</v>
      </c>
      <c r="G452" s="1">
        <v>-0.247801055903382</v>
      </c>
      <c r="H452" s="1">
        <v>1.2755250837712999</v>
      </c>
      <c r="I452">
        <f>VLOOKUP(C452,'[1]phenotypes-895'!$A$2:$G$896,7,FALSE)</f>
        <v>67</v>
      </c>
      <c r="J452" s="1">
        <v>-1.39557E-2</v>
      </c>
      <c r="K452" s="1">
        <f>VLOOKUP(C452,'[1]phenotypes-895'!$A$2:$I$896,9,FALSE)</f>
        <v>0.43011052081406997</v>
      </c>
      <c r="L452" s="1">
        <v>6.9603E-3</v>
      </c>
      <c r="M452" s="4">
        <v>3.7865889911183213</v>
      </c>
      <c r="N452" s="1">
        <v>1.4585000000000001E-2</v>
      </c>
      <c r="O452" s="8">
        <v>1</v>
      </c>
      <c r="P452" s="1">
        <v>-0.17163</v>
      </c>
      <c r="Q452">
        <v>0.84599999999999997</v>
      </c>
      <c r="R452" s="1">
        <v>-7.1370799999999998E-2</v>
      </c>
      <c r="S452" s="2">
        <v>-0.05</v>
      </c>
    </row>
    <row r="453" spans="1:19" x14ac:dyDescent="0.2">
      <c r="A453">
        <v>452</v>
      </c>
      <c r="B453">
        <v>42</v>
      </c>
      <c r="C453" t="s">
        <v>451</v>
      </c>
      <c r="D453" s="13" t="s">
        <v>912</v>
      </c>
      <c r="E453" s="1">
        <v>1.14954</v>
      </c>
      <c r="F453">
        <v>0.39653100000000002</v>
      </c>
      <c r="G453" s="1">
        <v>1.1836751091556501</v>
      </c>
      <c r="H453" s="1">
        <v>0.43582175546523999</v>
      </c>
      <c r="I453">
        <f>VLOOKUP(C453,'[1]phenotypes-895'!$A$2:$G$896,7,FALSE)</f>
        <v>88</v>
      </c>
      <c r="J453" s="1">
        <v>-5.3880200000000003E-3</v>
      </c>
      <c r="K453" s="1">
        <f>VLOOKUP(C453,'[1]phenotypes-895'!$A$2:$I$896,9,FALSE)</f>
        <v>0.43476362544890063</v>
      </c>
      <c r="L453" s="1">
        <v>5.0585900000000003E-2</v>
      </c>
      <c r="M453" s="4">
        <v>3.5419592579953938</v>
      </c>
      <c r="N453" s="1">
        <v>-1.1463299999999999E-2</v>
      </c>
      <c r="O453" s="8">
        <v>1</v>
      </c>
      <c r="P453" s="1">
        <v>-1.9174000000000001E-3</v>
      </c>
      <c r="Q453">
        <v>0.67300000000000004</v>
      </c>
      <c r="R453" s="1">
        <v>2.4421299999999998E-3</v>
      </c>
      <c r="S453" s="2">
        <v>-0.13</v>
      </c>
    </row>
    <row r="454" spans="1:19" x14ac:dyDescent="0.2">
      <c r="A454">
        <v>453</v>
      </c>
      <c r="B454">
        <v>53</v>
      </c>
      <c r="C454" t="s">
        <v>452</v>
      </c>
      <c r="D454" s="13" t="s">
        <v>912</v>
      </c>
      <c r="E454" s="1">
        <v>4.1669700000000001</v>
      </c>
      <c r="F454">
        <v>5.2870200000000001</v>
      </c>
      <c r="G454" s="1">
        <v>4.1674438599312902</v>
      </c>
      <c r="H454" s="1">
        <v>5.2872768264483501</v>
      </c>
      <c r="I454">
        <f>VLOOKUP(C454,'[1]phenotypes-895'!$A$2:$G$896,7,FALSE)</f>
        <v>98</v>
      </c>
      <c r="J454" s="1">
        <v>-0.11600100000000001</v>
      </c>
      <c r="K454" s="1">
        <f>VLOOKUP(C454,'[1]phenotypes-895'!$A$2:$I$896,9,FALSE)</f>
        <v>0</v>
      </c>
      <c r="L454" s="1">
        <v>-0.124143</v>
      </c>
      <c r="M454" s="4">
        <v>0</v>
      </c>
      <c r="N454" s="1">
        <v>-3.4332799999999997E-2</v>
      </c>
      <c r="O454" s="8">
        <v>0</v>
      </c>
      <c r="P454" s="1">
        <v>3.6858099999999998E-2</v>
      </c>
      <c r="Q454">
        <v>0.86799999999999999</v>
      </c>
      <c r="R454" s="1">
        <v>1.6426799999999998E-2</v>
      </c>
      <c r="S454" s="2">
        <v>-0.05</v>
      </c>
    </row>
    <row r="455" spans="1:19" x14ac:dyDescent="0.2">
      <c r="A455">
        <v>454</v>
      </c>
      <c r="B455">
        <v>45</v>
      </c>
      <c r="C455" t="s">
        <v>453</v>
      </c>
      <c r="D455" s="13" t="s">
        <v>912</v>
      </c>
      <c r="E455" s="1">
        <v>-2.0098799999999999</v>
      </c>
      <c r="F455">
        <v>0.49082199999999998</v>
      </c>
      <c r="G455" s="1">
        <v>-1.99443840534548</v>
      </c>
      <c r="H455" s="1">
        <v>0.50806266428605695</v>
      </c>
      <c r="I455">
        <f>VLOOKUP(C455,'[1]phenotypes-895'!$A$2:$G$896,7,FALSE)</f>
        <v>74</v>
      </c>
      <c r="J455" s="1">
        <v>-4.9942500000000004E-3</v>
      </c>
      <c r="K455" s="1">
        <f>VLOOKUP(C455,'[1]phenotypes-895'!$A$2:$I$896,9,FALSE)</f>
        <v>0.56082689734711177</v>
      </c>
      <c r="L455" s="1">
        <v>7.7103900000000003E-2</v>
      </c>
      <c r="M455" s="4">
        <v>3.9212530406937196</v>
      </c>
      <c r="N455" s="1">
        <v>2.5803400000000001E-2</v>
      </c>
      <c r="O455" s="8">
        <v>1</v>
      </c>
      <c r="P455" s="1">
        <v>-0.218226</v>
      </c>
      <c r="Q455">
        <v>0.78700000000000003</v>
      </c>
      <c r="R455" s="1">
        <v>-8.6769899999999997E-2</v>
      </c>
      <c r="S455" s="2">
        <v>-0.08</v>
      </c>
    </row>
    <row r="456" spans="1:19" x14ac:dyDescent="0.2">
      <c r="A456">
        <v>455</v>
      </c>
      <c r="B456">
        <v>48</v>
      </c>
      <c r="C456" t="s">
        <v>454</v>
      </c>
      <c r="D456" s="13" t="s">
        <v>912</v>
      </c>
      <c r="E456" s="1">
        <v>4.8283699999999996</v>
      </c>
      <c r="F456">
        <v>4.5803099999999999</v>
      </c>
      <c r="G456" s="1">
        <v>4.8093390981219697</v>
      </c>
      <c r="H456" s="1">
        <v>4.5648227726479504</v>
      </c>
      <c r="I456">
        <f>VLOOKUP(C456,'[1]phenotypes-895'!$A$2:$G$896,7,FALSE)</f>
        <v>81</v>
      </c>
      <c r="J456" s="1">
        <v>-3.23472E-2</v>
      </c>
      <c r="K456" s="1">
        <f>VLOOKUP(C456,'[1]phenotypes-895'!$A$2:$I$896,9,FALSE)</f>
        <v>0.40816151134575918</v>
      </c>
      <c r="L456" s="1">
        <v>0.14605399999999999</v>
      </c>
      <c r="M456" s="4">
        <v>3.9340788547867631</v>
      </c>
      <c r="N456" s="1">
        <v>-1.20436E-2</v>
      </c>
      <c r="O456" s="8">
        <v>1</v>
      </c>
      <c r="P456" s="1">
        <v>1.5595100000000001E-2</v>
      </c>
      <c r="Q456">
        <v>0.80700000000000005</v>
      </c>
      <c r="R456" s="1">
        <v>1.1652300000000001E-2</v>
      </c>
      <c r="S456" s="2">
        <v>-7.0000000000000007E-2</v>
      </c>
    </row>
    <row r="457" spans="1:19" x14ac:dyDescent="0.2">
      <c r="A457">
        <v>456</v>
      </c>
      <c r="B457">
        <v>53</v>
      </c>
      <c r="C457" t="s">
        <v>455</v>
      </c>
      <c r="D457" s="13" t="s">
        <v>912</v>
      </c>
      <c r="E457" s="1">
        <v>1.5047900000000001</v>
      </c>
      <c r="F457">
        <v>4.0269199999999996</v>
      </c>
      <c r="G457" s="1">
        <v>1.52335665660538</v>
      </c>
      <c r="H457" s="1">
        <v>4.0474303280938404</v>
      </c>
      <c r="I457">
        <f>VLOOKUP(C457,'[1]phenotypes-895'!$A$2:$G$896,7,FALSE)</f>
        <v>98</v>
      </c>
      <c r="J457" s="1">
        <v>-5.5787200000000002E-2</v>
      </c>
      <c r="K457" s="1">
        <f>VLOOKUP(C457,'[1]phenotypes-895'!$A$2:$I$896,9,FALSE)</f>
        <v>0</v>
      </c>
      <c r="L457" s="1">
        <v>4.9929800000000003E-2</v>
      </c>
      <c r="M457" s="4">
        <v>0</v>
      </c>
      <c r="N457" s="1">
        <v>1.54161E-2</v>
      </c>
      <c r="O457" s="8">
        <v>0</v>
      </c>
      <c r="P457" s="1">
        <v>-0.20133400000000001</v>
      </c>
      <c r="Q457">
        <v>0.80400000000000005</v>
      </c>
      <c r="R457" s="1">
        <v>-7.8734799999999994E-2</v>
      </c>
      <c r="S457" s="2">
        <v>-7.0000000000000007E-2</v>
      </c>
    </row>
    <row r="458" spans="1:19" x14ac:dyDescent="0.2">
      <c r="A458">
        <v>457</v>
      </c>
      <c r="B458">
        <v>45</v>
      </c>
      <c r="C458" t="s">
        <v>456</v>
      </c>
      <c r="D458" s="13" t="s">
        <v>912</v>
      </c>
      <c r="E458" s="1">
        <v>5.9687299999999999</v>
      </c>
      <c r="F458">
        <v>5.6480399999999999</v>
      </c>
      <c r="G458" s="1">
        <v>5.9382648635000397</v>
      </c>
      <c r="H458" s="1">
        <v>5.61458037917465</v>
      </c>
      <c r="I458">
        <f>VLOOKUP(C458,'[1]phenotypes-895'!$A$2:$G$896,7,FALSE)</f>
        <v>98</v>
      </c>
      <c r="J458" s="1">
        <v>-0.105688</v>
      </c>
      <c r="K458" s="1">
        <f>VLOOKUP(C458,'[1]phenotypes-895'!$A$2:$I$896,9,FALSE)</f>
        <v>0</v>
      </c>
      <c r="L458" s="1">
        <v>-9.9422399999999994E-2</v>
      </c>
      <c r="M458" s="4">
        <v>0</v>
      </c>
      <c r="N458" s="1">
        <v>-2.20973E-2</v>
      </c>
      <c r="O458" s="8">
        <v>0</v>
      </c>
      <c r="P458" s="1">
        <v>9.36583E-2</v>
      </c>
      <c r="Q458">
        <v>0.96599999999999997</v>
      </c>
      <c r="R458" s="1">
        <v>3.7032799999999998E-2</v>
      </c>
      <c r="S458" s="2">
        <v>-0.01</v>
      </c>
    </row>
    <row r="459" spans="1:19" x14ac:dyDescent="0.2">
      <c r="A459">
        <v>458</v>
      </c>
      <c r="B459">
        <v>50</v>
      </c>
      <c r="C459" t="s">
        <v>457</v>
      </c>
      <c r="D459" s="13" t="s">
        <v>912</v>
      </c>
      <c r="E459" s="1">
        <v>-0.83291099999999996</v>
      </c>
      <c r="F459">
        <v>-2.0944500000000001</v>
      </c>
      <c r="G459" s="1">
        <v>-0.90394052301587302</v>
      </c>
      <c r="H459" s="1">
        <v>-2.1761905493539202</v>
      </c>
      <c r="I459">
        <f>VLOOKUP(C459,'[1]phenotypes-895'!$A$2:$G$896,7,FALSE)</f>
        <v>57</v>
      </c>
      <c r="J459" s="1">
        <v>-4.7679300000000001E-3</v>
      </c>
      <c r="K459" s="1">
        <f>VLOOKUP(C459,'[1]phenotypes-895'!$A$2:$I$896,9,FALSE)</f>
        <v>0.478677828572941</v>
      </c>
      <c r="L459" s="1">
        <v>-7.5202000000000005E-2</v>
      </c>
      <c r="M459" s="4">
        <v>4.5213316913752202</v>
      </c>
      <c r="N459" s="1">
        <v>-1.22658E-2</v>
      </c>
      <c r="O459" s="8">
        <v>1</v>
      </c>
      <c r="P459" s="1">
        <v>2.9319100000000001E-2</v>
      </c>
      <c r="Q459">
        <v>0.76</v>
      </c>
      <c r="R459" s="1">
        <v>1.7713300000000001E-2</v>
      </c>
      <c r="S459" s="2">
        <v>-0.09</v>
      </c>
    </row>
    <row r="460" spans="1:19" x14ac:dyDescent="0.2">
      <c r="A460">
        <v>459</v>
      </c>
      <c r="B460">
        <v>47</v>
      </c>
      <c r="C460" t="s">
        <v>458</v>
      </c>
      <c r="D460" s="13" t="s">
        <v>912</v>
      </c>
      <c r="E460" s="1">
        <v>-1.78359</v>
      </c>
      <c r="F460">
        <v>8.70457E-3</v>
      </c>
      <c r="G460" s="1">
        <v>-1.8110870443048199</v>
      </c>
      <c r="H460" s="1">
        <v>-2.94667296032332E-2</v>
      </c>
      <c r="I460">
        <f>VLOOKUP(C460,'[1]phenotypes-895'!$A$2:$G$896,7,FALSE)</f>
        <v>66</v>
      </c>
      <c r="J460" s="1">
        <v>5.5591199999999999E-3</v>
      </c>
      <c r="K460" s="1">
        <f>VLOOKUP(C460,'[1]phenotypes-895'!$A$2:$I$896,9,FALSE)</f>
        <v>0.41262008460922378</v>
      </c>
      <c r="L460" s="1">
        <v>3.8304999999999999E-2</v>
      </c>
      <c r="M460" s="4">
        <v>3.3208695857251551</v>
      </c>
      <c r="N460" s="1">
        <v>2.33482E-2</v>
      </c>
      <c r="O460" s="8">
        <v>1</v>
      </c>
      <c r="P460" s="1">
        <v>-0.20122300000000001</v>
      </c>
      <c r="Q460">
        <v>0.98</v>
      </c>
      <c r="R460" s="1">
        <v>-8.0543100000000006E-2</v>
      </c>
      <c r="S460" s="2">
        <v>-0.01</v>
      </c>
    </row>
    <row r="461" spans="1:19" x14ac:dyDescent="0.2">
      <c r="A461">
        <v>460</v>
      </c>
      <c r="B461">
        <v>50</v>
      </c>
      <c r="C461" t="s">
        <v>459</v>
      </c>
      <c r="D461" s="13" t="s">
        <v>912</v>
      </c>
      <c r="E461" s="1">
        <v>0.95165299999999997</v>
      </c>
      <c r="F461">
        <v>2.65368</v>
      </c>
      <c r="G461" s="1">
        <v>0.92205242191608505</v>
      </c>
      <c r="H461" s="1">
        <v>2.6285365862155499</v>
      </c>
      <c r="I461">
        <f>VLOOKUP(C461,'[1]phenotypes-895'!$A$2:$G$896,7,FALSE)</f>
        <v>63</v>
      </c>
      <c r="J461" s="1">
        <v>-1.3782000000000001E-2</v>
      </c>
      <c r="K461" s="1">
        <f>VLOOKUP(C461,'[1]phenotypes-895'!$A$2:$I$896,9,FALSE)</f>
        <v>0.48061059610620949</v>
      </c>
      <c r="L461" s="1">
        <v>1.4378699999999999E-2</v>
      </c>
      <c r="M461" s="4">
        <v>4.6491041159036968</v>
      </c>
      <c r="N461" s="1">
        <v>-4.5250999999999998E-3</v>
      </c>
      <c r="O461" s="8">
        <v>1</v>
      </c>
      <c r="P461" s="1">
        <v>-0.17865600000000001</v>
      </c>
      <c r="Q461">
        <v>0.57099999999999995</v>
      </c>
      <c r="R461" s="1">
        <v>-7.2192400000000004E-2</v>
      </c>
      <c r="S461" s="2">
        <v>-0.19</v>
      </c>
    </row>
    <row r="462" spans="1:19" x14ac:dyDescent="0.2">
      <c r="A462">
        <v>461</v>
      </c>
      <c r="B462">
        <v>51</v>
      </c>
      <c r="C462" t="s">
        <v>460</v>
      </c>
      <c r="D462" s="13" t="s">
        <v>912</v>
      </c>
      <c r="E462" s="1">
        <v>-5.3454899999999999</v>
      </c>
      <c r="F462">
        <v>-7.6600299999999999</v>
      </c>
      <c r="G462" s="1">
        <v>-5.3496746229883696</v>
      </c>
      <c r="H462" s="1">
        <v>-7.6719491574502197</v>
      </c>
      <c r="I462">
        <f>VLOOKUP(C462,'[1]phenotypes-895'!$A$2:$G$896,7,FALSE)</f>
        <v>86</v>
      </c>
      <c r="J462" s="1">
        <v>0.126309</v>
      </c>
      <c r="K462" s="1">
        <f>VLOOKUP(C462,'[1]phenotypes-895'!$A$2:$I$896,9,FALSE)</f>
        <v>0.67488361160730048</v>
      </c>
      <c r="L462" s="1">
        <v>4.5372599999999999E-2</v>
      </c>
      <c r="M462" s="4">
        <v>3.6060515878742647</v>
      </c>
      <c r="N462" s="1">
        <v>2.8848800000000001E-2</v>
      </c>
      <c r="O462" s="8">
        <v>1</v>
      </c>
      <c r="P462" s="1">
        <v>7.5519900000000001E-2</v>
      </c>
      <c r="Q462">
        <v>1.036</v>
      </c>
      <c r="R462" s="1">
        <v>1.09411E-2</v>
      </c>
      <c r="S462" s="2">
        <v>0.01</v>
      </c>
    </row>
    <row r="463" spans="1:19" x14ac:dyDescent="0.2">
      <c r="A463">
        <v>462</v>
      </c>
      <c r="B463">
        <v>32</v>
      </c>
      <c r="C463" t="s">
        <v>461</v>
      </c>
      <c r="D463" s="13" t="s">
        <v>913</v>
      </c>
      <c r="E463" s="1">
        <v>3.8446699999999998</v>
      </c>
      <c r="F463">
        <v>4.8386800000000001</v>
      </c>
      <c r="G463" s="1">
        <v>3.7846169883459999</v>
      </c>
      <c r="H463" s="1">
        <v>4.7741408973888397</v>
      </c>
      <c r="I463">
        <f>VLOOKUP(C463,'[1]phenotypes-895'!$A$2:$G$896,7,FALSE)</f>
        <v>89</v>
      </c>
      <c r="J463" s="1">
        <v>-3.1256899999999997E-2</v>
      </c>
      <c r="K463" s="1">
        <f>VLOOKUP(C463,'[1]phenotypes-895'!$A$2:$I$896,9,FALSE)</f>
        <v>0.5606740979658148</v>
      </c>
      <c r="L463" s="1">
        <v>-5.6013E-2</v>
      </c>
      <c r="M463" s="4">
        <v>5.0331932515403803</v>
      </c>
      <c r="N463" s="1">
        <v>6.0191999999999997E-3</v>
      </c>
      <c r="O463" s="8">
        <v>1</v>
      </c>
      <c r="P463" s="1">
        <v>-4.3891699999999999E-2</v>
      </c>
      <c r="Q463">
        <v>1.216</v>
      </c>
      <c r="R463" s="1">
        <v>-1.9559300000000002E-2</v>
      </c>
      <c r="S463" s="2">
        <v>0.06</v>
      </c>
    </row>
    <row r="464" spans="1:19" x14ac:dyDescent="0.2">
      <c r="A464">
        <v>463</v>
      </c>
      <c r="B464">
        <v>44</v>
      </c>
      <c r="C464" t="s">
        <v>462</v>
      </c>
      <c r="D464" s="13" t="s">
        <v>912</v>
      </c>
      <c r="E464" s="1">
        <v>1.37019</v>
      </c>
      <c r="F464">
        <v>0.176286</v>
      </c>
      <c r="G464" s="1">
        <v>1.3237786754683101</v>
      </c>
      <c r="H464" s="1">
        <v>0.117640843422271</v>
      </c>
      <c r="I464">
        <f>VLOOKUP(C464,'[1]phenotypes-895'!$A$2:$G$896,7,FALSE)</f>
        <v>52</v>
      </c>
      <c r="J464" s="1">
        <v>-5.9164300000000003E-2</v>
      </c>
      <c r="K464" s="1">
        <f>VLOOKUP(C464,'[1]phenotypes-895'!$A$2:$I$896,9,FALSE)</f>
        <v>0.47229540729825342</v>
      </c>
      <c r="L464" s="1">
        <v>-9.9208400000000002E-2</v>
      </c>
      <c r="M464" s="4">
        <v>3.4778072228516042</v>
      </c>
      <c r="N464" s="1">
        <v>-1.2511400000000001E-2</v>
      </c>
      <c r="O464" s="8">
        <v>1</v>
      </c>
      <c r="P464" s="1">
        <v>-2.92134E-2</v>
      </c>
      <c r="Q464">
        <v>0.51400000000000001</v>
      </c>
      <c r="R464" s="1">
        <v>-1.8464700000000001E-2</v>
      </c>
      <c r="S464" s="2">
        <v>-0.23</v>
      </c>
    </row>
    <row r="465" spans="1:19" x14ac:dyDescent="0.2">
      <c r="A465">
        <v>464</v>
      </c>
      <c r="B465">
        <v>21</v>
      </c>
      <c r="C465" t="s">
        <v>463</v>
      </c>
      <c r="D465" s="13" t="s">
        <v>913</v>
      </c>
      <c r="E465" s="1">
        <v>7.8867900000000004</v>
      </c>
      <c r="F465">
        <v>7.6106699999999998</v>
      </c>
      <c r="G465" s="1">
        <v>7.9301999207661202</v>
      </c>
      <c r="H465" s="1">
        <v>7.6541537354650897</v>
      </c>
      <c r="I465">
        <f>VLOOKUP(C465,'[1]phenotypes-895'!$A$2:$G$896,7,FALSE)</f>
        <v>98</v>
      </c>
      <c r="J465" s="1">
        <v>-0.115603</v>
      </c>
      <c r="K465" s="1">
        <f>VLOOKUP(C465,'[1]phenotypes-895'!$A$2:$I$896,9,FALSE)</f>
        <v>0</v>
      </c>
      <c r="L465" s="1">
        <v>-0.15374299999999999</v>
      </c>
      <c r="M465" s="4">
        <v>0</v>
      </c>
      <c r="N465" s="1">
        <v>-5.0973999999999998E-2</v>
      </c>
      <c r="O465" s="8">
        <v>0</v>
      </c>
      <c r="P465" s="1">
        <v>9.4677499999999998E-2</v>
      </c>
      <c r="Q465">
        <v>1.2250000000000001</v>
      </c>
      <c r="R465" s="1">
        <v>3.1683700000000002E-2</v>
      </c>
      <c r="S465" s="2">
        <v>0.06</v>
      </c>
    </row>
    <row r="466" spans="1:19" x14ac:dyDescent="0.2">
      <c r="A466">
        <v>465</v>
      </c>
      <c r="B466">
        <v>52</v>
      </c>
      <c r="C466" t="s">
        <v>464</v>
      </c>
      <c r="D466" s="13" t="s">
        <v>912</v>
      </c>
      <c r="E466" s="1">
        <v>-0.30015500000000001</v>
      </c>
      <c r="F466">
        <v>-0.84989499999999996</v>
      </c>
      <c r="G466" s="1">
        <v>-0.2216790749343</v>
      </c>
      <c r="H466" s="1">
        <v>-0.75544003553850303</v>
      </c>
      <c r="I466">
        <f>VLOOKUP(C466,'[1]phenotypes-895'!$A$2:$G$896,7,FALSE)</f>
        <v>98</v>
      </c>
      <c r="J466" s="1">
        <v>-1.1077200000000001E-2</v>
      </c>
      <c r="K466" s="1">
        <f>VLOOKUP(C466,'[1]phenotypes-895'!$A$2:$I$896,9,FALSE)</f>
        <v>0</v>
      </c>
      <c r="L466" s="1">
        <v>-3.7424199999999998E-2</v>
      </c>
      <c r="M466" s="4">
        <v>0</v>
      </c>
      <c r="N466" s="1">
        <v>5.3198000000000004E-3</v>
      </c>
      <c r="O466" s="8">
        <v>0</v>
      </c>
      <c r="P466" s="1">
        <v>2.94366E-2</v>
      </c>
      <c r="Q466">
        <v>0.79</v>
      </c>
      <c r="R466" s="1">
        <v>2.5749999999999999E-2</v>
      </c>
      <c r="S466" s="2">
        <v>-7.0000000000000007E-2</v>
      </c>
    </row>
    <row r="467" spans="1:19" x14ac:dyDescent="0.2">
      <c r="A467">
        <v>466</v>
      </c>
      <c r="B467">
        <v>54</v>
      </c>
      <c r="C467" t="s">
        <v>465</v>
      </c>
      <c r="D467" s="13" t="s">
        <v>912</v>
      </c>
      <c r="E467" s="1">
        <v>5.6916399999999996</v>
      </c>
      <c r="F467">
        <v>5.1356000000000002</v>
      </c>
      <c r="G467" s="1">
        <v>5.6616599823875697</v>
      </c>
      <c r="H467" s="1">
        <v>5.1134331798890003</v>
      </c>
      <c r="I467">
        <f>VLOOKUP(C467,'[1]phenotypes-895'!$A$2:$G$896,7,FALSE)</f>
        <v>98</v>
      </c>
      <c r="J467" s="1">
        <v>-8.2287899999999997E-2</v>
      </c>
      <c r="K467" s="1">
        <f>VLOOKUP(C467,'[1]phenotypes-895'!$A$2:$I$896,9,FALSE)</f>
        <v>1.0718164304846629E-2</v>
      </c>
      <c r="L467" s="1">
        <v>-0.14885399999999999</v>
      </c>
      <c r="M467" s="4">
        <v>2.5978738480368775</v>
      </c>
      <c r="N467" s="1">
        <v>-1.46546E-2</v>
      </c>
      <c r="O467" s="8">
        <v>1</v>
      </c>
      <c r="P467" s="1">
        <v>5.9175100000000001E-2</v>
      </c>
      <c r="Q467">
        <v>0.83199999999999996</v>
      </c>
      <c r="R467" s="1">
        <v>2.5416899999999999E-2</v>
      </c>
      <c r="S467" s="2">
        <v>-0.06</v>
      </c>
    </row>
    <row r="468" spans="1:19" x14ac:dyDescent="0.2">
      <c r="A468">
        <v>467</v>
      </c>
      <c r="B468">
        <v>42</v>
      </c>
      <c r="C468" t="s">
        <v>466</v>
      </c>
      <c r="D468" s="13" t="s">
        <v>912</v>
      </c>
      <c r="E468" s="1">
        <v>2.98346</v>
      </c>
      <c r="F468">
        <v>3.0640800000000001</v>
      </c>
      <c r="G468" s="1">
        <v>2.9815304337792599</v>
      </c>
      <c r="H468" s="1">
        <v>3.0553354087391602</v>
      </c>
      <c r="I468">
        <f>VLOOKUP(C468,'[1]phenotypes-895'!$A$2:$G$896,7,FALSE)</f>
        <v>98</v>
      </c>
      <c r="J468" s="1">
        <v>-1.25957E-2</v>
      </c>
      <c r="K468" s="1">
        <f>VLOOKUP(C468,'[1]phenotypes-895'!$A$2:$I$896,9,FALSE)</f>
        <v>0</v>
      </c>
      <c r="L468" s="1">
        <v>0.14446300000000001</v>
      </c>
      <c r="M468" s="4">
        <v>0</v>
      </c>
      <c r="N468" s="1">
        <v>-8.3736599999999998E-3</v>
      </c>
      <c r="O468" s="8">
        <v>0</v>
      </c>
      <c r="P468" s="1">
        <v>-2.62685E-2</v>
      </c>
      <c r="Q468">
        <v>0.89600000000000002</v>
      </c>
      <c r="R468" s="1">
        <v>-4.6644700000000004E-3</v>
      </c>
      <c r="S468" s="2">
        <v>-0.04</v>
      </c>
    </row>
    <row r="469" spans="1:19" x14ac:dyDescent="0.2">
      <c r="A469">
        <v>468</v>
      </c>
      <c r="B469">
        <v>44</v>
      </c>
      <c r="C469" t="s">
        <v>467</v>
      </c>
      <c r="D469" s="13" t="s">
        <v>912</v>
      </c>
      <c r="E469" s="1">
        <v>0.74153899999999995</v>
      </c>
      <c r="F469">
        <v>3.0029400000000002</v>
      </c>
      <c r="G469" s="1">
        <v>0.71282541397254295</v>
      </c>
      <c r="H469" s="1">
        <v>2.9848236191102999</v>
      </c>
      <c r="I469">
        <f>VLOOKUP(C469,'[1]phenotypes-895'!$A$2:$G$896,7,FALSE)</f>
        <v>98</v>
      </c>
      <c r="J469" s="1">
        <v>-2.94195E-3</v>
      </c>
      <c r="K469" s="1">
        <f>VLOOKUP(C469,'[1]phenotypes-895'!$A$2:$I$896,9,FALSE)</f>
        <v>0</v>
      </c>
      <c r="L469" s="1">
        <v>-7.8635899999999995E-2</v>
      </c>
      <c r="M469" s="4">
        <v>0</v>
      </c>
      <c r="N469" s="1">
        <v>9.9546900000000004E-3</v>
      </c>
      <c r="O469" s="8">
        <v>0</v>
      </c>
      <c r="P469" s="1">
        <v>-0.19381000000000001</v>
      </c>
      <c r="Q469">
        <v>0.629</v>
      </c>
      <c r="R469" s="1">
        <v>-7.6612600000000003E-2</v>
      </c>
      <c r="S469" s="2">
        <v>-0.15</v>
      </c>
    </row>
    <row r="470" spans="1:19" x14ac:dyDescent="0.2">
      <c r="A470">
        <v>469</v>
      </c>
      <c r="B470">
        <v>47</v>
      </c>
      <c r="C470" t="s">
        <v>468</v>
      </c>
      <c r="D470" s="13" t="s">
        <v>912</v>
      </c>
      <c r="E470" s="1">
        <v>-4.6737900000000003</v>
      </c>
      <c r="F470">
        <v>-3.1859000000000002</v>
      </c>
      <c r="G470" s="1">
        <v>-4.6834830859273699</v>
      </c>
      <c r="H470" s="1">
        <v>-3.2018719258364099</v>
      </c>
      <c r="I470">
        <f>VLOOKUP(C470,'[1]phenotypes-895'!$A$2:$G$896,7,FALSE)</f>
        <v>60</v>
      </c>
      <c r="J470" s="1">
        <v>0.11493399999999999</v>
      </c>
      <c r="K470" s="1">
        <f>VLOOKUP(C470,'[1]phenotypes-895'!$A$2:$I$896,9,FALSE)</f>
        <v>0.92852109022929741</v>
      </c>
      <c r="L470" s="1">
        <v>0.15878200000000001</v>
      </c>
      <c r="M470" s="4">
        <v>4.6986303740801354</v>
      </c>
      <c r="N470" s="1">
        <v>3.9098399999999998E-2</v>
      </c>
      <c r="O470" s="8">
        <v>1</v>
      </c>
      <c r="P470" s="1">
        <v>-0.102287</v>
      </c>
      <c r="Q470">
        <v>1.177</v>
      </c>
      <c r="R470" s="1">
        <v>-4.32945E-2</v>
      </c>
      <c r="S470" s="2">
        <v>0.05</v>
      </c>
    </row>
    <row r="471" spans="1:19" x14ac:dyDescent="0.2">
      <c r="A471">
        <v>470</v>
      </c>
      <c r="B471">
        <v>49</v>
      </c>
      <c r="C471" t="s">
        <v>469</v>
      </c>
      <c r="D471" s="13" t="s">
        <v>912</v>
      </c>
      <c r="E471" s="1">
        <v>5.7366599999999996</v>
      </c>
      <c r="F471">
        <v>4.4210599999999998</v>
      </c>
      <c r="G471" s="1">
        <v>5.6916641234604999</v>
      </c>
      <c r="H471" s="1">
        <v>4.3709871590703102</v>
      </c>
      <c r="I471">
        <f>VLOOKUP(C471,'[1]phenotypes-895'!$A$2:$G$896,7,FALSE)</f>
        <v>98</v>
      </c>
      <c r="J471" s="1">
        <v>-9.5937400000000006E-2</v>
      </c>
      <c r="K471" s="1">
        <f>VLOOKUP(C471,'[1]phenotypes-895'!$A$2:$I$896,9,FALSE)</f>
        <v>0</v>
      </c>
      <c r="L471" s="1">
        <v>-0.150756</v>
      </c>
      <c r="M471" s="4">
        <v>0</v>
      </c>
      <c r="N471" s="1">
        <v>-3.0653E-2</v>
      </c>
      <c r="O471" s="8">
        <v>0</v>
      </c>
      <c r="P471" s="1">
        <v>8.9267200000000005E-2</v>
      </c>
      <c r="Q471">
        <v>0.79900000000000004</v>
      </c>
      <c r="R471" s="1">
        <v>3.2842999999999997E-2</v>
      </c>
      <c r="S471" s="2">
        <v>-7.0000000000000007E-2</v>
      </c>
    </row>
    <row r="472" spans="1:19" x14ac:dyDescent="0.2">
      <c r="A472">
        <v>471</v>
      </c>
      <c r="B472">
        <v>54</v>
      </c>
      <c r="C472" t="s">
        <v>470</v>
      </c>
      <c r="D472" s="13" t="s">
        <v>912</v>
      </c>
      <c r="E472" s="1">
        <v>3.0856599999999998</v>
      </c>
      <c r="F472">
        <v>4.3627099999999999</v>
      </c>
      <c r="G472" s="1">
        <v>3.1138463390354501</v>
      </c>
      <c r="H472" s="1">
        <v>4.4323394936512104</v>
      </c>
      <c r="I472">
        <f>VLOOKUP(C472,'[1]phenotypes-895'!$A$2:$G$896,7,FALSE)</f>
        <v>98</v>
      </c>
      <c r="J472" s="1">
        <v>-4.1599200000000003E-2</v>
      </c>
      <c r="K472" s="1">
        <f>VLOOKUP(C472,'[1]phenotypes-895'!$A$2:$I$896,9,FALSE)</f>
        <v>0</v>
      </c>
      <c r="L472" s="1">
        <v>-1.17229E-2</v>
      </c>
      <c r="M472" s="4">
        <v>0</v>
      </c>
      <c r="N472" s="1">
        <v>-8.7021400000000006E-3</v>
      </c>
      <c r="O472" s="8">
        <v>0</v>
      </c>
      <c r="P472" s="1">
        <v>-6.5598900000000002E-2</v>
      </c>
      <c r="Q472">
        <v>0.72</v>
      </c>
      <c r="R472" s="1">
        <v>-2.5342400000000001E-2</v>
      </c>
      <c r="S472" s="2">
        <v>-0.11</v>
      </c>
    </row>
    <row r="473" spans="1:19" x14ac:dyDescent="0.2">
      <c r="A473">
        <v>472</v>
      </c>
      <c r="B473">
        <v>46</v>
      </c>
      <c r="C473" t="s">
        <v>471</v>
      </c>
      <c r="D473" s="13" t="s">
        <v>912</v>
      </c>
      <c r="E473" s="1">
        <v>0.110498</v>
      </c>
      <c r="F473">
        <v>1.6526000000000001</v>
      </c>
      <c r="G473" s="1">
        <v>9.6234316238574896E-2</v>
      </c>
      <c r="H473" s="1">
        <v>1.6493871153175701</v>
      </c>
      <c r="I473">
        <f>VLOOKUP(C473,'[1]phenotypes-895'!$A$2:$G$896,7,FALSE)</f>
        <v>98</v>
      </c>
      <c r="J473" s="1">
        <v>6.0142499999999996E-3</v>
      </c>
      <c r="K473" s="1">
        <f>VLOOKUP(C473,'[1]phenotypes-895'!$A$2:$I$896,9,FALSE)</f>
        <v>0</v>
      </c>
      <c r="L473" s="1">
        <v>1.18951E-2</v>
      </c>
      <c r="M473" s="4">
        <v>0</v>
      </c>
      <c r="N473" s="1">
        <v>1.5672399999999999E-3</v>
      </c>
      <c r="O473" s="8">
        <v>0</v>
      </c>
      <c r="P473" s="1">
        <v>-0.13981299999999999</v>
      </c>
      <c r="Q473">
        <v>0.76300000000000001</v>
      </c>
      <c r="R473" s="1">
        <v>-5.3548699999999998E-2</v>
      </c>
      <c r="S473" s="2">
        <v>-0.09</v>
      </c>
    </row>
    <row r="474" spans="1:19" x14ac:dyDescent="0.2">
      <c r="A474">
        <v>473</v>
      </c>
      <c r="B474">
        <v>51</v>
      </c>
      <c r="C474" t="s">
        <v>472</v>
      </c>
      <c r="D474" s="13" t="s">
        <v>912</v>
      </c>
      <c r="E474" s="1">
        <v>2.62405</v>
      </c>
      <c r="F474">
        <v>4.5926799999999997</v>
      </c>
      <c r="G474" s="1">
        <v>2.58240128734437</v>
      </c>
      <c r="H474" s="1">
        <v>4.5548805310643603</v>
      </c>
      <c r="I474">
        <f>VLOOKUP(C474,'[1]phenotypes-895'!$A$2:$G$896,7,FALSE)</f>
        <v>98</v>
      </c>
      <c r="J474" s="1">
        <v>-9.86403E-2</v>
      </c>
      <c r="K474" s="1">
        <f>VLOOKUP(C474,'[1]phenotypes-895'!$A$2:$I$896,9,FALSE)</f>
        <v>0</v>
      </c>
      <c r="L474" s="1">
        <v>-2.9461600000000001E-2</v>
      </c>
      <c r="M474" s="4">
        <v>0</v>
      </c>
      <c r="N474" s="1">
        <v>-1.8976099999999999E-2</v>
      </c>
      <c r="O474" s="8">
        <v>0</v>
      </c>
      <c r="P474" s="1">
        <v>-0.108649</v>
      </c>
      <c r="Q474">
        <v>0.94299999999999995</v>
      </c>
      <c r="R474" s="1">
        <v>-4.1370999999999998E-2</v>
      </c>
      <c r="S474" s="2">
        <v>-0.02</v>
      </c>
    </row>
    <row r="475" spans="1:19" x14ac:dyDescent="0.2">
      <c r="A475">
        <v>474</v>
      </c>
      <c r="B475">
        <v>54</v>
      </c>
      <c r="C475" t="s">
        <v>473</v>
      </c>
      <c r="D475" s="13" t="s">
        <v>912</v>
      </c>
      <c r="E475" s="1">
        <v>2.5646599999999999</v>
      </c>
      <c r="F475">
        <v>4.9217399999999998</v>
      </c>
      <c r="G475" s="1">
        <v>2.5671827802761502</v>
      </c>
      <c r="H475" s="1">
        <v>4.9253184725935997</v>
      </c>
      <c r="I475">
        <f>VLOOKUP(C475,'[1]phenotypes-895'!$A$2:$G$896,7,FALSE)</f>
        <v>98</v>
      </c>
      <c r="J475" s="1">
        <v>-8.0760499999999999E-2</v>
      </c>
      <c r="K475" s="1">
        <f>VLOOKUP(C475,'[1]phenotypes-895'!$A$2:$I$896,9,FALSE)</f>
        <v>0</v>
      </c>
      <c r="L475" s="1">
        <v>4.4254099999999998E-2</v>
      </c>
      <c r="M475" s="4">
        <v>0</v>
      </c>
      <c r="N475" s="1">
        <v>1.04408E-2</v>
      </c>
      <c r="O475" s="8">
        <v>0</v>
      </c>
      <c r="P475" s="1">
        <v>-0.19114900000000001</v>
      </c>
      <c r="Q475">
        <v>0.73</v>
      </c>
      <c r="R475" s="1">
        <v>-7.2336800000000007E-2</v>
      </c>
      <c r="S475" s="2">
        <v>-0.1</v>
      </c>
    </row>
    <row r="476" spans="1:19" x14ac:dyDescent="0.2">
      <c r="A476">
        <v>475</v>
      </c>
      <c r="B476">
        <v>44</v>
      </c>
      <c r="C476" t="s">
        <v>474</v>
      </c>
      <c r="D476" s="13" t="s">
        <v>912</v>
      </c>
      <c r="E476" s="1">
        <v>-0.78700000000000003</v>
      </c>
      <c r="F476">
        <v>-0.27319100000000002</v>
      </c>
      <c r="G476" s="1">
        <v>-0.83978251436474505</v>
      </c>
      <c r="H476" s="1">
        <v>-0.32104530487499</v>
      </c>
      <c r="I476">
        <f>VLOOKUP(C476,'[1]phenotypes-895'!$A$2:$G$896,7,FALSE)</f>
        <v>58</v>
      </c>
      <c r="J476" s="1">
        <v>1.9211900000000001E-2</v>
      </c>
      <c r="K476" s="1">
        <f>VLOOKUP(C476,'[1]phenotypes-895'!$A$2:$I$896,9,FALSE)</f>
        <v>0.50888489903448875</v>
      </c>
      <c r="L476" s="1">
        <v>-4.6022399999999998E-2</v>
      </c>
      <c r="M476" s="4">
        <v>4.0364469282017028</v>
      </c>
      <c r="N476" s="1">
        <v>1.40568E-2</v>
      </c>
      <c r="O476" s="8">
        <v>1</v>
      </c>
      <c r="P476" s="1">
        <v>-7.1861700000000001E-2</v>
      </c>
      <c r="Q476">
        <v>0.98199999999999998</v>
      </c>
      <c r="R476" s="1">
        <v>-2.9537799999999999E-2</v>
      </c>
      <c r="S476" s="2">
        <v>-0.01</v>
      </c>
    </row>
    <row r="477" spans="1:19" x14ac:dyDescent="0.2">
      <c r="A477">
        <v>476</v>
      </c>
      <c r="B477">
        <v>45</v>
      </c>
      <c r="C477" t="s">
        <v>475</v>
      </c>
      <c r="D477" s="13" t="s">
        <v>912</v>
      </c>
      <c r="E477" s="1">
        <v>1.7392799999999999</v>
      </c>
      <c r="F477">
        <v>0.36818600000000001</v>
      </c>
      <c r="G477" s="1">
        <v>1.71753606025446</v>
      </c>
      <c r="H477" s="1">
        <v>0.33690243657395003</v>
      </c>
      <c r="I477">
        <f>VLOOKUP(C477,'[1]phenotypes-895'!$A$2:$G$896,7,FALSE)</f>
        <v>86</v>
      </c>
      <c r="J477" s="1">
        <v>-2.5346500000000001E-2</v>
      </c>
      <c r="K477" s="1">
        <f>VLOOKUP(C477,'[1]phenotypes-895'!$A$2:$I$896,9,FALSE)</f>
        <v>0.27797389052317528</v>
      </c>
      <c r="L477" s="1">
        <v>-9.6252199999999996E-2</v>
      </c>
      <c r="M477" s="4">
        <v>4.5840245251556393</v>
      </c>
      <c r="N477" s="1">
        <v>-1.83579E-2</v>
      </c>
      <c r="O477" s="8">
        <v>1</v>
      </c>
      <c r="P477" s="1">
        <v>0.117064</v>
      </c>
      <c r="Q477">
        <v>1.0069999999999999</v>
      </c>
      <c r="R477" s="1">
        <v>4.7416899999999998E-2</v>
      </c>
      <c r="S477" s="2">
        <v>0</v>
      </c>
    </row>
    <row r="478" spans="1:19" x14ac:dyDescent="0.2">
      <c r="A478">
        <v>477</v>
      </c>
      <c r="B478">
        <v>49</v>
      </c>
      <c r="C478" t="s">
        <v>476</v>
      </c>
      <c r="D478" s="13" t="s">
        <v>912</v>
      </c>
      <c r="E478" s="1">
        <v>0.46623599999999998</v>
      </c>
      <c r="F478">
        <v>-0.78026600000000002</v>
      </c>
      <c r="G478" s="1">
        <v>0.46758880421024301</v>
      </c>
      <c r="H478" s="1">
        <v>-0.78247459492849303</v>
      </c>
      <c r="I478">
        <f>VLOOKUP(C478,'[1]phenotypes-895'!$A$2:$G$896,7,FALSE)</f>
        <v>98</v>
      </c>
      <c r="J478" s="1">
        <v>-3.97191E-2</v>
      </c>
      <c r="K478" s="1">
        <f>VLOOKUP(C478,'[1]phenotypes-895'!$A$2:$I$896,9,FALSE)</f>
        <v>0</v>
      </c>
      <c r="L478" s="1">
        <v>-8.2979600000000001E-2</v>
      </c>
      <c r="M478" s="4">
        <v>0</v>
      </c>
      <c r="N478" s="1">
        <v>3.2628700000000002E-3</v>
      </c>
      <c r="O478" s="8">
        <v>0</v>
      </c>
      <c r="P478" s="1">
        <v>4.2270200000000001E-2</v>
      </c>
      <c r="Q478">
        <v>0.89900000000000002</v>
      </c>
      <c r="R478" s="1">
        <v>2.57416E-2</v>
      </c>
      <c r="S478" s="2">
        <v>-0.03</v>
      </c>
    </row>
    <row r="479" spans="1:19" x14ac:dyDescent="0.2">
      <c r="A479">
        <v>478</v>
      </c>
      <c r="B479">
        <v>42</v>
      </c>
      <c r="C479" t="s">
        <v>477</v>
      </c>
      <c r="D479" s="13" t="s">
        <v>912</v>
      </c>
      <c r="E479" s="1">
        <v>1.6489799999999999</v>
      </c>
      <c r="F479">
        <v>1.50031</v>
      </c>
      <c r="G479" s="1">
        <v>1.61334542322887</v>
      </c>
      <c r="H479" s="1">
        <v>1.45580894534311</v>
      </c>
      <c r="I479">
        <f>VLOOKUP(C479,'[1]phenotypes-895'!$A$2:$G$896,7,FALSE)</f>
        <v>66</v>
      </c>
      <c r="J479" s="1">
        <v>-2.0567100000000001E-2</v>
      </c>
      <c r="K479" s="1">
        <f>VLOOKUP(C479,'[1]phenotypes-895'!$A$2:$I$896,9,FALSE)</f>
        <v>0.49838214966526018</v>
      </c>
      <c r="L479" s="1">
        <v>-6.3263899999999998E-2</v>
      </c>
      <c r="M479" s="4">
        <v>4.3619310101986546</v>
      </c>
      <c r="N479" s="1">
        <v>-6.3151800000000001E-3</v>
      </c>
      <c r="O479" s="8">
        <v>1</v>
      </c>
      <c r="P479" s="1">
        <v>3.05058E-2</v>
      </c>
      <c r="Q479">
        <v>0.69099999999999995</v>
      </c>
      <c r="R479" s="1">
        <v>1.0378E-2</v>
      </c>
      <c r="S479" s="2">
        <v>-0.12</v>
      </c>
    </row>
    <row r="480" spans="1:19" x14ac:dyDescent="0.2">
      <c r="A480">
        <v>479</v>
      </c>
      <c r="B480">
        <v>54</v>
      </c>
      <c r="C480" t="s">
        <v>478</v>
      </c>
      <c r="D480" s="13" t="s">
        <v>912</v>
      </c>
      <c r="E480" s="1">
        <v>-2.9578799999999998</v>
      </c>
      <c r="F480">
        <v>-4.4144399999999999</v>
      </c>
      <c r="G480" s="1">
        <v>-2.9622518851397199</v>
      </c>
      <c r="H480" s="1">
        <v>-4.4132350176000701</v>
      </c>
      <c r="I480">
        <f>VLOOKUP(C480,'[1]phenotypes-895'!$A$2:$G$896,7,FALSE)</f>
        <v>62</v>
      </c>
      <c r="J480" s="1">
        <v>1.7693899999999999E-2</v>
      </c>
      <c r="K480" s="1">
        <f>VLOOKUP(C480,'[1]phenotypes-895'!$A$2:$I$896,9,FALSE)</f>
        <v>0.48273821698342489</v>
      </c>
      <c r="L480" s="1">
        <v>-4.96423E-2</v>
      </c>
      <c r="M480" s="4">
        <v>4.4944603472203273</v>
      </c>
      <c r="N480" s="1">
        <v>1.2630799999999999E-2</v>
      </c>
      <c r="O480" s="8">
        <v>1</v>
      </c>
      <c r="P480" s="1">
        <v>-3.17039E-2</v>
      </c>
      <c r="Q480">
        <v>0.63700000000000001</v>
      </c>
      <c r="R480" s="1">
        <v>-1.21967E-2</v>
      </c>
      <c r="S480" s="2">
        <v>-0.15</v>
      </c>
    </row>
    <row r="481" spans="1:19" x14ac:dyDescent="0.2">
      <c r="A481">
        <v>480</v>
      </c>
      <c r="B481">
        <v>53</v>
      </c>
      <c r="C481" t="s">
        <v>479</v>
      </c>
      <c r="D481" s="13" t="s">
        <v>912</v>
      </c>
      <c r="E481" s="1">
        <v>5.8782800000000002</v>
      </c>
      <c r="F481">
        <v>5.9789899999999996</v>
      </c>
      <c r="G481" s="1">
        <v>5.8678976888934304</v>
      </c>
      <c r="H481" s="1">
        <v>5.9590126125409704</v>
      </c>
      <c r="I481">
        <f>VLOOKUP(C481,'[1]phenotypes-895'!$A$2:$G$896,7,FALSE)</f>
        <v>98</v>
      </c>
      <c r="J481" s="1">
        <v>-0.11264299999999999</v>
      </c>
      <c r="K481" s="1">
        <f>VLOOKUP(C481,'[1]phenotypes-895'!$A$2:$I$896,9,FALSE)</f>
        <v>0</v>
      </c>
      <c r="L481" s="1">
        <v>-7.1354200000000007E-2</v>
      </c>
      <c r="M481" s="4">
        <v>0</v>
      </c>
      <c r="N481" s="1">
        <v>-4.2482899999999997E-2</v>
      </c>
      <c r="O481" s="8">
        <v>0</v>
      </c>
      <c r="P481" s="1">
        <v>-2.4126600000000002E-2</v>
      </c>
      <c r="Q481">
        <v>0.629</v>
      </c>
      <c r="R481" s="1">
        <v>-1.07548E-2</v>
      </c>
      <c r="S481" s="2">
        <v>-0.15</v>
      </c>
    </row>
    <row r="482" spans="1:19" x14ac:dyDescent="0.2">
      <c r="A482">
        <v>481</v>
      </c>
      <c r="B482">
        <v>34</v>
      </c>
      <c r="C482" t="s">
        <v>480</v>
      </c>
      <c r="D482" s="13" t="s">
        <v>913</v>
      </c>
      <c r="E482" s="1">
        <v>6.0089199999999998</v>
      </c>
      <c r="F482">
        <v>4.4082600000000003</v>
      </c>
      <c r="G482" s="1">
        <v>6.0064249661289004</v>
      </c>
      <c r="H482" s="1">
        <v>4.4166087078993996</v>
      </c>
      <c r="I482">
        <f>VLOOKUP(C482,'[1]phenotypes-895'!$A$2:$G$896,7,FALSE)</f>
        <v>98</v>
      </c>
      <c r="J482" s="1">
        <v>-9.0923599999999993E-2</v>
      </c>
      <c r="K482" s="1">
        <f>VLOOKUP(C482,'[1]phenotypes-895'!$A$2:$I$896,9,FALSE)</f>
        <v>0</v>
      </c>
      <c r="L482" s="1">
        <v>5.2248700000000002E-2</v>
      </c>
      <c r="M482" s="4">
        <v>0</v>
      </c>
      <c r="N482" s="1">
        <v>-3.7621599999999998E-2</v>
      </c>
      <c r="O482" s="8">
        <v>0</v>
      </c>
      <c r="P482" s="1">
        <v>7.2375200000000001E-2</v>
      </c>
      <c r="Q482">
        <v>0.96599999999999997</v>
      </c>
      <c r="R482" s="1">
        <v>3.1598500000000002E-2</v>
      </c>
      <c r="S482" s="2">
        <v>-0.01</v>
      </c>
    </row>
    <row r="483" spans="1:19" x14ac:dyDescent="0.2">
      <c r="A483">
        <v>482</v>
      </c>
      <c r="B483">
        <v>50</v>
      </c>
      <c r="C483" t="s">
        <v>481</v>
      </c>
      <c r="D483" s="13" t="s">
        <v>912</v>
      </c>
      <c r="E483" s="1">
        <v>-0.94033999999999995</v>
      </c>
      <c r="F483">
        <v>-2.71401</v>
      </c>
      <c r="G483" s="1">
        <v>-0.95820393342856403</v>
      </c>
      <c r="H483" s="1">
        <v>-2.7380582858679401</v>
      </c>
      <c r="I483">
        <f>VLOOKUP(C483,'[1]phenotypes-895'!$A$2:$G$896,7,FALSE)</f>
        <v>82</v>
      </c>
      <c r="J483" s="1">
        <v>8.8661299999999998E-3</v>
      </c>
      <c r="K483" s="1">
        <f>VLOOKUP(C483,'[1]phenotypes-895'!$A$2:$I$896,9,FALSE)</f>
        <v>0.23711824840899359</v>
      </c>
      <c r="L483" s="1">
        <v>-5.2800700000000004E-3</v>
      </c>
      <c r="M483" s="4">
        <v>3.9668528367230382</v>
      </c>
      <c r="N483" s="1">
        <v>1.80254E-2</v>
      </c>
      <c r="O483" s="8">
        <v>1</v>
      </c>
      <c r="P483" s="1">
        <v>2.6197400000000002E-3</v>
      </c>
      <c r="Q483">
        <v>0.70899999999999996</v>
      </c>
      <c r="R483" s="1">
        <v>1.6149999999999999E-3</v>
      </c>
      <c r="S483" s="2">
        <v>-0.11</v>
      </c>
    </row>
    <row r="484" spans="1:19" x14ac:dyDescent="0.2">
      <c r="A484">
        <v>483</v>
      </c>
      <c r="B484">
        <v>36</v>
      </c>
      <c r="C484" t="s">
        <v>482</v>
      </c>
      <c r="D484" s="13" t="s">
        <v>913</v>
      </c>
      <c r="E484" s="1">
        <v>-5.8658700000000001</v>
      </c>
      <c r="F484">
        <v>-8.4789600000000007</v>
      </c>
      <c r="G484" s="1">
        <v>-5.9444924109360304</v>
      </c>
      <c r="H484" s="1">
        <v>-8.5799010593173204</v>
      </c>
      <c r="I484">
        <f>VLOOKUP(C484,'[1]phenotypes-895'!$A$2:$G$896,7,FALSE)</f>
        <v>57</v>
      </c>
      <c r="J484" s="1">
        <v>5.1906500000000001E-2</v>
      </c>
      <c r="K484" s="1">
        <f>VLOOKUP(C484,'[1]phenotypes-895'!$A$2:$I$896,9,FALSE)</f>
        <v>0.57215239015916219</v>
      </c>
      <c r="L484" s="1">
        <v>0.13194600000000001</v>
      </c>
      <c r="M484" s="4">
        <v>5.2991568167103926</v>
      </c>
      <c r="N484" s="1">
        <v>1.5817500000000002E-2</v>
      </c>
      <c r="O484" s="8">
        <v>1</v>
      </c>
      <c r="P484" s="1">
        <v>-1.8102900000000002E-2</v>
      </c>
      <c r="Q484">
        <v>0.61199999999999999</v>
      </c>
      <c r="R484" s="1">
        <v>-3.3655200000000003E-2</v>
      </c>
      <c r="S484" s="2">
        <v>-0.16</v>
      </c>
    </row>
    <row r="485" spans="1:19" x14ac:dyDescent="0.2">
      <c r="A485">
        <v>484</v>
      </c>
      <c r="B485">
        <v>50</v>
      </c>
      <c r="C485" t="s">
        <v>483</v>
      </c>
      <c r="D485" s="13" t="s">
        <v>912</v>
      </c>
      <c r="E485" s="1">
        <v>2.98963</v>
      </c>
      <c r="F485">
        <v>2.7484899999999999</v>
      </c>
      <c r="G485" s="1">
        <v>2.9653632424473599</v>
      </c>
      <c r="H485" s="1">
        <v>2.7360609724178002</v>
      </c>
      <c r="I485">
        <f>VLOOKUP(C485,'[1]phenotypes-895'!$A$2:$G$896,7,FALSE)</f>
        <v>69</v>
      </c>
      <c r="J485" s="1">
        <v>-6.0322599999999997E-2</v>
      </c>
      <c r="K485" s="1">
        <f>VLOOKUP(C485,'[1]phenotypes-895'!$A$2:$I$896,9,FALSE)</f>
        <v>0.56757725202521947</v>
      </c>
      <c r="L485" s="1">
        <v>-8.2727800000000004E-2</v>
      </c>
      <c r="M485" s="4">
        <v>4.5895191922616272</v>
      </c>
      <c r="N485" s="1">
        <v>-1.5354E-2</v>
      </c>
      <c r="O485" s="8">
        <v>1</v>
      </c>
      <c r="P485" s="1">
        <v>-4.9871500000000001E-3</v>
      </c>
      <c r="Q485">
        <v>0.61899999999999999</v>
      </c>
      <c r="R485" s="1">
        <v>-2.2737899999999999E-3</v>
      </c>
      <c r="S485" s="2">
        <v>-0.16</v>
      </c>
    </row>
    <row r="486" spans="1:19" x14ac:dyDescent="0.2">
      <c r="A486">
        <v>485</v>
      </c>
      <c r="B486">
        <v>50</v>
      </c>
      <c r="C486" t="s">
        <v>484</v>
      </c>
      <c r="D486" s="13" t="s">
        <v>912</v>
      </c>
      <c r="E486" s="1">
        <v>5.00319</v>
      </c>
      <c r="F486">
        <v>4.9448499999999997</v>
      </c>
      <c r="G486" s="1">
        <v>4.9306791789124098</v>
      </c>
      <c r="H486" s="1">
        <v>4.8740806187663601</v>
      </c>
      <c r="I486">
        <f>VLOOKUP(C486,'[1]phenotypes-895'!$A$2:$G$896,7,FALSE)</f>
        <v>92</v>
      </c>
      <c r="J486" s="1">
        <v>-1.54401E-2</v>
      </c>
      <c r="K486" s="1">
        <f>VLOOKUP(C486,'[1]phenotypes-895'!$A$2:$I$896,9,FALSE)</f>
        <v>0.40008184512920753</v>
      </c>
      <c r="L486" s="1">
        <v>-7.9838500000000007E-2</v>
      </c>
      <c r="M486" s="4">
        <v>4.2419977748713054</v>
      </c>
      <c r="N486" s="1">
        <v>-2.5727699999999999E-2</v>
      </c>
      <c r="O486" s="8">
        <v>1</v>
      </c>
      <c r="P486" s="1">
        <v>5.3405700000000002E-3</v>
      </c>
      <c r="Q486">
        <v>0.55500000000000005</v>
      </c>
      <c r="R486" s="1">
        <v>-1.5434300000000001E-4</v>
      </c>
      <c r="S486" s="2">
        <v>-0.2</v>
      </c>
    </row>
    <row r="487" spans="1:19" x14ac:dyDescent="0.2">
      <c r="A487">
        <v>486</v>
      </c>
      <c r="B487">
        <v>50</v>
      </c>
      <c r="C487" t="s">
        <v>485</v>
      </c>
      <c r="D487" s="13" t="s">
        <v>912</v>
      </c>
      <c r="E487" s="1">
        <v>-0.93658699999999995</v>
      </c>
      <c r="F487">
        <v>0.31493399999999999</v>
      </c>
      <c r="G487" s="1">
        <v>-0.95480120540701496</v>
      </c>
      <c r="H487" s="1">
        <v>0.29976530742497098</v>
      </c>
      <c r="I487">
        <f>VLOOKUP(C487,'[1]phenotypes-895'!$A$2:$G$896,7,FALSE)</f>
        <v>64</v>
      </c>
      <c r="J487" s="1">
        <v>1.9922800000000001E-2</v>
      </c>
      <c r="K487" s="1">
        <f>VLOOKUP(C487,'[1]phenotypes-895'!$A$2:$I$896,9,FALSE)</f>
        <v>0.47528606609770813</v>
      </c>
      <c r="L487" s="1">
        <v>1.82282E-3</v>
      </c>
      <c r="M487" s="4">
        <v>4.2396377162494145</v>
      </c>
      <c r="N487" s="1">
        <v>1.13675E-3</v>
      </c>
      <c r="O487" s="8">
        <v>1</v>
      </c>
      <c r="P487" s="1">
        <v>-8.4362800000000002E-2</v>
      </c>
      <c r="Q487">
        <v>0.623</v>
      </c>
      <c r="R487" s="1">
        <v>-3.25077E-2</v>
      </c>
      <c r="S487" s="2">
        <v>-0.15</v>
      </c>
    </row>
    <row r="488" spans="1:19" x14ac:dyDescent="0.2">
      <c r="A488">
        <v>487</v>
      </c>
      <c r="B488">
        <v>48</v>
      </c>
      <c r="C488" t="s">
        <v>486</v>
      </c>
      <c r="D488" s="13" t="s">
        <v>912</v>
      </c>
      <c r="E488" s="1">
        <v>0.52186200000000005</v>
      </c>
      <c r="F488">
        <v>0.84175500000000003</v>
      </c>
      <c r="G488" s="1">
        <v>0.52397697926355502</v>
      </c>
      <c r="H488" s="1">
        <v>0.84480627309080203</v>
      </c>
      <c r="I488">
        <f>VLOOKUP(C488,'[1]phenotypes-895'!$A$2:$G$896,7,FALSE)</f>
        <v>98</v>
      </c>
      <c r="J488" s="1">
        <v>2.8289000000000002E-2</v>
      </c>
      <c r="K488" s="1">
        <f>VLOOKUP(C488,'[1]phenotypes-895'!$A$2:$I$896,9,FALSE)</f>
        <v>0.26625446186625967</v>
      </c>
      <c r="L488" s="1">
        <v>0.13590099999999999</v>
      </c>
      <c r="M488" s="4">
        <v>4.562500181518522</v>
      </c>
      <c r="N488" s="1">
        <v>1.7841599999999999E-2</v>
      </c>
      <c r="O488" s="8">
        <v>1</v>
      </c>
      <c r="P488" s="1">
        <v>5.3158299999999997E-3</v>
      </c>
      <c r="Q488">
        <v>0.88100000000000001</v>
      </c>
      <c r="R488" s="1">
        <v>1.3296000000000001E-2</v>
      </c>
      <c r="S488" s="2">
        <v>-0.04</v>
      </c>
    </row>
    <row r="489" spans="1:19" x14ac:dyDescent="0.2">
      <c r="A489">
        <v>488</v>
      </c>
      <c r="B489">
        <v>46</v>
      </c>
      <c r="C489" t="s">
        <v>487</v>
      </c>
      <c r="D489" s="13" t="s">
        <v>912</v>
      </c>
      <c r="E489" s="1">
        <v>-1.42875</v>
      </c>
      <c r="F489">
        <v>-2.3905500000000002</v>
      </c>
      <c r="G489" s="1">
        <v>-1.4973091826291001</v>
      </c>
      <c r="H489" s="1">
        <v>-2.4603807199787102</v>
      </c>
      <c r="I489">
        <f>VLOOKUP(C489,'[1]phenotypes-895'!$A$2:$G$896,7,FALSE)</f>
        <v>69</v>
      </c>
      <c r="J489" s="1">
        <v>5.5528599999999997E-3</v>
      </c>
      <c r="K489" s="1">
        <f>VLOOKUP(C489,'[1]phenotypes-895'!$A$2:$I$896,9,FALSE)</f>
        <v>0.36462028121904733</v>
      </c>
      <c r="L489" s="1">
        <v>-3.6606199999999998E-3</v>
      </c>
      <c r="M489" s="4">
        <v>4.7656890205493374</v>
      </c>
      <c r="N489" s="1">
        <v>1.5248899999999999E-2</v>
      </c>
      <c r="O489" s="8">
        <v>1</v>
      </c>
      <c r="P489" s="1">
        <v>-9.1560200000000008E-3</v>
      </c>
      <c r="Q489">
        <v>0.70399999999999996</v>
      </c>
      <c r="R489" s="1">
        <v>6.5341599999999998E-4</v>
      </c>
      <c r="S489" s="2">
        <v>-0.12</v>
      </c>
    </row>
    <row r="490" spans="1:19" x14ac:dyDescent="0.2">
      <c r="A490">
        <v>489</v>
      </c>
      <c r="B490">
        <v>50</v>
      </c>
      <c r="C490" t="s">
        <v>488</v>
      </c>
      <c r="D490" s="13" t="s">
        <v>912</v>
      </c>
      <c r="E490" s="1">
        <v>0.87680999999999998</v>
      </c>
      <c r="F490">
        <v>3.5503900000000002</v>
      </c>
      <c r="G490" s="1">
        <v>0.86217588859304395</v>
      </c>
      <c r="H490" s="1">
        <v>3.5425899906459701</v>
      </c>
      <c r="I490">
        <f>VLOOKUP(C490,'[1]phenotypes-895'!$A$2:$G$896,7,FALSE)</f>
        <v>69</v>
      </c>
      <c r="J490" s="1">
        <v>1.8628599999999999E-2</v>
      </c>
      <c r="K490" s="1">
        <f>VLOOKUP(C490,'[1]phenotypes-895'!$A$2:$I$896,9,FALSE)</f>
        <v>0.6598322222044869</v>
      </c>
      <c r="L490" s="1">
        <v>0.293711</v>
      </c>
      <c r="M490" s="4">
        <v>5.7194284918218736</v>
      </c>
      <c r="N490" s="1">
        <v>2.7389799999999999E-2</v>
      </c>
      <c r="O490" s="8">
        <v>1</v>
      </c>
      <c r="P490" s="1">
        <v>-0.16638</v>
      </c>
      <c r="Q490">
        <v>0.81100000000000005</v>
      </c>
      <c r="R490" s="1">
        <v>-6.5804500000000002E-2</v>
      </c>
      <c r="S490" s="2">
        <v>-7.0000000000000007E-2</v>
      </c>
    </row>
    <row r="491" spans="1:19" x14ac:dyDescent="0.2">
      <c r="A491">
        <v>490</v>
      </c>
      <c r="B491">
        <v>46</v>
      </c>
      <c r="C491" t="s">
        <v>489</v>
      </c>
      <c r="D491" s="13" t="s">
        <v>912</v>
      </c>
      <c r="E491" s="1">
        <v>6.4124100000000004</v>
      </c>
      <c r="F491">
        <v>6.5284700000000004</v>
      </c>
      <c r="G491" s="1">
        <v>6.4249127477141403</v>
      </c>
      <c r="H491" s="1">
        <v>6.5365992740422696</v>
      </c>
      <c r="I491">
        <f>VLOOKUP(C491,'[1]phenotypes-895'!$A$2:$G$896,7,FALSE)</f>
        <v>98</v>
      </c>
      <c r="J491" s="1">
        <v>-0.135597</v>
      </c>
      <c r="K491" s="1">
        <f>VLOOKUP(C491,'[1]phenotypes-895'!$A$2:$I$896,9,FALSE)</f>
        <v>0</v>
      </c>
      <c r="L491" s="1">
        <v>-0.100092</v>
      </c>
      <c r="M491" s="4">
        <v>0</v>
      </c>
      <c r="N491" s="1">
        <v>-5.26533E-2</v>
      </c>
      <c r="O491" s="8">
        <v>0</v>
      </c>
      <c r="P491" s="1">
        <v>-6.1147700000000003E-3</v>
      </c>
      <c r="Q491">
        <v>0.78400000000000003</v>
      </c>
      <c r="R491" s="1">
        <v>-9.6283399999999998E-4</v>
      </c>
      <c r="S491" s="2">
        <v>-0.08</v>
      </c>
    </row>
    <row r="492" spans="1:19" x14ac:dyDescent="0.2">
      <c r="A492">
        <v>491</v>
      </c>
      <c r="B492">
        <v>46</v>
      </c>
      <c r="C492" t="s">
        <v>490</v>
      </c>
      <c r="D492" s="13" t="s">
        <v>912</v>
      </c>
      <c r="E492" s="1">
        <v>0.99517</v>
      </c>
      <c r="F492">
        <v>3.5589400000000002</v>
      </c>
      <c r="G492" s="1">
        <v>0.97583064186992896</v>
      </c>
      <c r="H492" s="1">
        <v>3.5536571610096099</v>
      </c>
      <c r="I492">
        <f>VLOOKUP(C492,'[1]phenotypes-895'!$A$2:$G$896,7,FALSE)</f>
        <v>80</v>
      </c>
      <c r="J492" s="1">
        <v>7.5348500000000001E-3</v>
      </c>
      <c r="K492" s="1">
        <f>VLOOKUP(C492,'[1]phenotypes-895'!$A$2:$I$896,9,FALSE)</f>
        <v>0.37776790423792428</v>
      </c>
      <c r="L492" s="1">
        <v>-5.3988800000000003E-2</v>
      </c>
      <c r="M492" s="4">
        <v>3.8955764081870168</v>
      </c>
      <c r="N492" s="1">
        <v>1.15789E-2</v>
      </c>
      <c r="O492" s="8">
        <v>1</v>
      </c>
      <c r="P492" s="1">
        <v>-0.17608599999999999</v>
      </c>
      <c r="Q492">
        <v>0.82299999999999995</v>
      </c>
      <c r="R492" s="1">
        <v>-6.7625599999999994E-2</v>
      </c>
      <c r="S492" s="2">
        <v>-0.06</v>
      </c>
    </row>
    <row r="493" spans="1:19" x14ac:dyDescent="0.2">
      <c r="A493">
        <v>492</v>
      </c>
      <c r="B493">
        <v>48</v>
      </c>
      <c r="C493" t="s">
        <v>491</v>
      </c>
      <c r="D493" s="13" t="s">
        <v>912</v>
      </c>
      <c r="E493" s="1">
        <v>-0.73399000000000003</v>
      </c>
      <c r="F493">
        <v>1.09941</v>
      </c>
      <c r="G493" s="1">
        <v>-0.703181514720985</v>
      </c>
      <c r="H493" s="1">
        <v>1.13972432371183</v>
      </c>
      <c r="I493">
        <f>VLOOKUP(C493,'[1]phenotypes-895'!$A$2:$G$896,7,FALSE)</f>
        <v>98</v>
      </c>
      <c r="J493" s="1">
        <v>-2.56323E-2</v>
      </c>
      <c r="K493" s="1">
        <f>VLOOKUP(C493,'[1]phenotypes-895'!$A$2:$I$896,9,FALSE)</f>
        <v>0</v>
      </c>
      <c r="L493" s="1">
        <v>2.45487E-2</v>
      </c>
      <c r="M493" s="4">
        <v>0</v>
      </c>
      <c r="N493" s="1">
        <v>-1.19589E-2</v>
      </c>
      <c r="O493" s="8">
        <v>0</v>
      </c>
      <c r="P493" s="1">
        <v>-0.101935</v>
      </c>
      <c r="Q493">
        <v>0.93100000000000005</v>
      </c>
      <c r="R493" s="1">
        <v>-3.3491E-2</v>
      </c>
      <c r="S493" s="2">
        <v>-0.02</v>
      </c>
    </row>
    <row r="494" spans="1:19" x14ac:dyDescent="0.2">
      <c r="A494">
        <v>493</v>
      </c>
      <c r="B494">
        <v>50</v>
      </c>
      <c r="C494" t="s">
        <v>492</v>
      </c>
      <c r="D494" s="13" t="s">
        <v>912</v>
      </c>
      <c r="E494" s="1">
        <v>5.28911</v>
      </c>
      <c r="F494">
        <v>4.9295799999999996</v>
      </c>
      <c r="G494" s="1">
        <v>5.2835747556229604</v>
      </c>
      <c r="H494" s="1">
        <v>4.9316406347109201</v>
      </c>
      <c r="I494">
        <f>VLOOKUP(C494,'[1]phenotypes-895'!$A$2:$G$896,7,FALSE)</f>
        <v>98</v>
      </c>
      <c r="J494" s="1">
        <v>-0.105267</v>
      </c>
      <c r="K494" s="1">
        <f>VLOOKUP(C494,'[1]phenotypes-895'!$A$2:$I$896,9,FALSE)</f>
        <v>0</v>
      </c>
      <c r="L494" s="1">
        <v>8.9623399999999992E-3</v>
      </c>
      <c r="M494" s="4">
        <v>0</v>
      </c>
      <c r="N494" s="1">
        <v>-3.5346000000000002E-2</v>
      </c>
      <c r="O494" s="8">
        <v>0</v>
      </c>
      <c r="P494" s="1">
        <v>-3.54965E-2</v>
      </c>
      <c r="Q494">
        <v>0.64700000000000002</v>
      </c>
      <c r="R494" s="1">
        <v>-1.0089000000000001E-2</v>
      </c>
      <c r="S494" s="2">
        <v>-0.14000000000000001</v>
      </c>
    </row>
    <row r="495" spans="1:19" x14ac:dyDescent="0.2">
      <c r="A495">
        <v>494</v>
      </c>
      <c r="B495">
        <v>47</v>
      </c>
      <c r="C495" t="s">
        <v>493</v>
      </c>
      <c r="D495" s="13" t="s">
        <v>912</v>
      </c>
      <c r="E495" s="1">
        <v>3.4443700000000002</v>
      </c>
      <c r="F495">
        <v>5.3553300000000004</v>
      </c>
      <c r="G495" s="1">
        <v>3.4515141360763799</v>
      </c>
      <c r="H495" s="1">
        <v>5.3662199311339496</v>
      </c>
      <c r="I495">
        <f>VLOOKUP(C495,'[1]phenotypes-895'!$A$2:$G$896,7,FALSE)</f>
        <v>90</v>
      </c>
      <c r="J495" s="1">
        <v>-4.26536E-2</v>
      </c>
      <c r="K495" s="1">
        <f>VLOOKUP(C495,'[1]phenotypes-895'!$A$2:$I$896,9,FALSE)</f>
        <v>0.32422905662581408</v>
      </c>
      <c r="L495" s="1">
        <v>-9.1347200000000007E-3</v>
      </c>
      <c r="M495" s="4">
        <v>4.5895386842824477</v>
      </c>
      <c r="N495" s="1">
        <v>2.1621999999999999E-2</v>
      </c>
      <c r="O495" s="8">
        <v>1</v>
      </c>
      <c r="P495" s="1">
        <v>-0.13904900000000001</v>
      </c>
      <c r="Q495">
        <v>1.0580000000000001</v>
      </c>
      <c r="R495" s="1">
        <v>-6.11581E-2</v>
      </c>
      <c r="S495" s="2">
        <v>0.02</v>
      </c>
    </row>
    <row r="496" spans="1:19" x14ac:dyDescent="0.2">
      <c r="A496">
        <v>495</v>
      </c>
      <c r="B496">
        <v>50</v>
      </c>
      <c r="C496" t="s">
        <v>494</v>
      </c>
      <c r="D496" s="13" t="s">
        <v>912</v>
      </c>
      <c r="E496" s="1">
        <v>2.88815</v>
      </c>
      <c r="F496">
        <v>1.6649799999999999</v>
      </c>
      <c r="G496" s="1">
        <v>2.8340845972953601</v>
      </c>
      <c r="H496" s="1">
        <v>1.6051601945359699</v>
      </c>
      <c r="I496">
        <f>VLOOKUP(C496,'[1]phenotypes-895'!$A$2:$G$896,7,FALSE)</f>
        <v>57</v>
      </c>
      <c r="J496" s="1">
        <v>-3.2494000000000002E-2</v>
      </c>
      <c r="K496" s="1">
        <f>VLOOKUP(C496,'[1]phenotypes-895'!$A$2:$I$896,9,FALSE)</f>
        <v>0.54346705526806416</v>
      </c>
      <c r="L496" s="1">
        <v>-0.12542600000000001</v>
      </c>
      <c r="M496" s="4">
        <v>4.7415524626395733</v>
      </c>
      <c r="N496" s="1">
        <v>-1.5599099999999999E-2</v>
      </c>
      <c r="O496" s="8">
        <v>1</v>
      </c>
      <c r="P496" s="1">
        <v>3.3780200000000003E-2</v>
      </c>
      <c r="Q496">
        <v>0.6</v>
      </c>
      <c r="R496" s="1">
        <v>1.4005200000000001E-2</v>
      </c>
      <c r="S496" s="2">
        <v>-0.17</v>
      </c>
    </row>
    <row r="497" spans="1:19" x14ac:dyDescent="0.2">
      <c r="A497">
        <v>496</v>
      </c>
      <c r="B497">
        <v>45</v>
      </c>
      <c r="C497" t="s">
        <v>495</v>
      </c>
      <c r="D497" s="13" t="s">
        <v>912</v>
      </c>
      <c r="E497" s="1">
        <v>-0.21127099999999999</v>
      </c>
      <c r="F497">
        <v>-0.54146399999999995</v>
      </c>
      <c r="G497" s="1">
        <v>-0.25480490982102599</v>
      </c>
      <c r="H497" s="1">
        <v>-0.56798589332496097</v>
      </c>
      <c r="I497">
        <f>VLOOKUP(C497,'[1]phenotypes-895'!$A$2:$G$896,7,FALSE)</f>
        <v>74</v>
      </c>
      <c r="J497" s="1">
        <v>-1.01986E-2</v>
      </c>
      <c r="K497" s="1">
        <f>VLOOKUP(C497,'[1]phenotypes-895'!$A$2:$I$896,9,FALSE)</f>
        <v>0.44364013343238401</v>
      </c>
      <c r="L497" s="1">
        <v>8.5713200000000003E-2</v>
      </c>
      <c r="M497" s="4">
        <v>4.5273241878127548</v>
      </c>
      <c r="N497" s="1">
        <v>3.6457400000000002E-3</v>
      </c>
      <c r="O497" s="8">
        <v>1</v>
      </c>
      <c r="P497" s="1">
        <v>3.36768E-2</v>
      </c>
      <c r="Q497">
        <v>0.76300000000000001</v>
      </c>
      <c r="R497" s="1">
        <v>1.5833799999999999E-2</v>
      </c>
      <c r="S497" s="2">
        <v>-0.09</v>
      </c>
    </row>
    <row r="498" spans="1:19" x14ac:dyDescent="0.2">
      <c r="A498">
        <v>497</v>
      </c>
      <c r="B498">
        <v>54</v>
      </c>
      <c r="C498" t="s">
        <v>496</v>
      </c>
      <c r="D498" s="13" t="s">
        <v>912</v>
      </c>
      <c r="E498" s="1">
        <v>4.3685999999999998</v>
      </c>
      <c r="F498">
        <v>2.1710799999999999</v>
      </c>
      <c r="G498" s="1">
        <v>4.3204311391964101</v>
      </c>
      <c r="H498" s="1">
        <v>2.1195281546848501</v>
      </c>
      <c r="I498">
        <f>VLOOKUP(C498,'[1]phenotypes-895'!$A$2:$G$896,7,FALSE)</f>
        <v>98</v>
      </c>
      <c r="J498" s="1">
        <v>-7.6330999999999996E-2</v>
      </c>
      <c r="K498" s="1">
        <f>VLOOKUP(C498,'[1]phenotypes-895'!$A$2:$I$896,9,FALSE)</f>
        <v>0</v>
      </c>
      <c r="L498" s="1">
        <v>-7.3456300000000002E-2</v>
      </c>
      <c r="M498" s="4">
        <v>0</v>
      </c>
      <c r="N498" s="1">
        <v>-2.4428399999999999E-2</v>
      </c>
      <c r="O498" s="8">
        <v>0</v>
      </c>
      <c r="P498" s="1">
        <v>7.5221800000000005E-2</v>
      </c>
      <c r="Q498">
        <v>0.63900000000000001</v>
      </c>
      <c r="R498" s="1">
        <v>2.75491E-2</v>
      </c>
      <c r="S498" s="2">
        <v>-0.15</v>
      </c>
    </row>
    <row r="499" spans="1:19" x14ac:dyDescent="0.2">
      <c r="A499">
        <v>498</v>
      </c>
      <c r="B499">
        <v>49</v>
      </c>
      <c r="C499" t="s">
        <v>497</v>
      </c>
      <c r="D499" s="13" t="s">
        <v>912</v>
      </c>
      <c r="E499" s="1">
        <v>2.55864</v>
      </c>
      <c r="F499">
        <v>2.9462000000000002</v>
      </c>
      <c r="G499" s="1">
        <v>2.5268509974441198</v>
      </c>
      <c r="H499" s="1">
        <v>2.9124507230915802</v>
      </c>
      <c r="I499">
        <f>VLOOKUP(C499,'[1]phenotypes-895'!$A$2:$G$896,7,FALSE)</f>
        <v>98</v>
      </c>
      <c r="J499" s="1">
        <v>-2.59327E-2</v>
      </c>
      <c r="K499" s="1">
        <f>VLOOKUP(C499,'[1]phenotypes-895'!$A$2:$I$896,9,FALSE)</f>
        <v>0</v>
      </c>
      <c r="L499" s="1">
        <v>0.11594699999999999</v>
      </c>
      <c r="M499" s="4">
        <v>0</v>
      </c>
      <c r="N499" s="1">
        <v>8.4158299999999991E-3</v>
      </c>
      <c r="O499" s="8">
        <v>0</v>
      </c>
      <c r="P499" s="1">
        <v>3.8888499999999999E-2</v>
      </c>
      <c r="Q499">
        <v>0.92300000000000004</v>
      </c>
      <c r="R499" s="1">
        <v>2.3673699999999999E-2</v>
      </c>
      <c r="S499" s="2">
        <v>-0.03</v>
      </c>
    </row>
    <row r="500" spans="1:19" x14ac:dyDescent="0.2">
      <c r="A500">
        <v>499</v>
      </c>
      <c r="B500">
        <v>53</v>
      </c>
      <c r="C500" t="s">
        <v>498</v>
      </c>
      <c r="D500" s="13" t="s">
        <v>912</v>
      </c>
      <c r="E500" s="1">
        <v>-0.34317300000000001</v>
      </c>
      <c r="F500">
        <v>-1.6107499999999999</v>
      </c>
      <c r="G500" s="1">
        <v>-0.33798921877667198</v>
      </c>
      <c r="H500" s="1">
        <v>-1.5978810730041599</v>
      </c>
      <c r="I500">
        <f>VLOOKUP(C500,'[1]phenotypes-895'!$A$2:$G$896,7,FALSE)</f>
        <v>98</v>
      </c>
      <c r="J500" s="1">
        <v>-2.2362900000000002E-2</v>
      </c>
      <c r="K500" s="1">
        <f>VLOOKUP(C500,'[1]phenotypes-895'!$A$2:$I$896,9,FALSE)</f>
        <v>0</v>
      </c>
      <c r="L500" s="1">
        <v>-6.7808199999999999E-2</v>
      </c>
      <c r="M500" s="4">
        <v>0</v>
      </c>
      <c r="N500" s="1">
        <v>7.3818299999999998E-3</v>
      </c>
      <c r="O500" s="8">
        <v>0</v>
      </c>
      <c r="P500" s="1">
        <v>-3.9413400000000001E-2</v>
      </c>
      <c r="Q500">
        <v>0.80100000000000005</v>
      </c>
      <c r="R500" s="1">
        <v>-1.49569E-2</v>
      </c>
      <c r="S500" s="2">
        <v>-7.0000000000000007E-2</v>
      </c>
    </row>
    <row r="501" spans="1:19" x14ac:dyDescent="0.2">
      <c r="A501">
        <v>500</v>
      </c>
      <c r="B501">
        <v>36</v>
      </c>
      <c r="C501" t="s">
        <v>499</v>
      </c>
      <c r="D501" s="13" t="s">
        <v>913</v>
      </c>
      <c r="E501" s="1">
        <v>-4.2677899999999998</v>
      </c>
      <c r="F501">
        <v>-3.1256300000000001</v>
      </c>
      <c r="G501" s="1">
        <v>-4.2718752151044903</v>
      </c>
      <c r="H501" s="1">
        <v>-3.1475682028977698</v>
      </c>
      <c r="I501">
        <f>VLOOKUP(C501,'[1]phenotypes-895'!$A$2:$G$896,7,FALSE)</f>
        <v>55</v>
      </c>
      <c r="J501" s="1">
        <v>7.6591699999999999E-2</v>
      </c>
      <c r="K501" s="1">
        <f>VLOOKUP(C501,'[1]phenotypes-895'!$A$2:$I$896,9,FALSE)</f>
        <v>0.67558723381326735</v>
      </c>
      <c r="L501" s="1">
        <v>9.3092300000000003E-2</v>
      </c>
      <c r="M501" s="4">
        <v>4.5313988730847425</v>
      </c>
      <c r="N501" s="1">
        <v>3.3213899999999998E-2</v>
      </c>
      <c r="O501" s="8">
        <v>1</v>
      </c>
      <c r="P501" s="1">
        <v>-0.15893099999999999</v>
      </c>
      <c r="Q501">
        <v>0.68</v>
      </c>
      <c r="R501" s="1">
        <v>-6.0216699999999998E-2</v>
      </c>
      <c r="S501" s="2">
        <v>-0.12</v>
      </c>
    </row>
    <row r="502" spans="1:19" x14ac:dyDescent="0.2">
      <c r="A502">
        <v>501</v>
      </c>
      <c r="B502">
        <v>49</v>
      </c>
      <c r="C502" t="s">
        <v>500</v>
      </c>
      <c r="D502" s="13" t="s">
        <v>912</v>
      </c>
      <c r="E502" s="1">
        <v>4.2464000000000004</v>
      </c>
      <c r="F502">
        <v>3.4479099999999998</v>
      </c>
      <c r="G502" s="1">
        <v>4.2361655504589901</v>
      </c>
      <c r="H502" s="1">
        <v>3.4393455467195699</v>
      </c>
      <c r="I502">
        <f>VLOOKUP(C502,'[1]phenotypes-895'!$A$2:$G$896,7,FALSE)</f>
        <v>98</v>
      </c>
      <c r="J502" s="1">
        <v>-2.10715E-2</v>
      </c>
      <c r="K502" s="1">
        <f>VLOOKUP(C502,'[1]phenotypes-895'!$A$2:$I$896,9,FALSE)</f>
        <v>0</v>
      </c>
      <c r="L502" s="1">
        <v>0.214092</v>
      </c>
      <c r="M502" s="4">
        <v>0</v>
      </c>
      <c r="N502" s="1">
        <v>-1.1373899999999999E-2</v>
      </c>
      <c r="O502" s="8">
        <v>0</v>
      </c>
      <c r="P502" s="1">
        <v>7.8131300000000001E-2</v>
      </c>
      <c r="Q502">
        <v>0.77300000000000002</v>
      </c>
      <c r="R502" s="1">
        <v>3.1461700000000002E-2</v>
      </c>
      <c r="S502" s="2">
        <v>-0.08</v>
      </c>
    </row>
    <row r="503" spans="1:19" x14ac:dyDescent="0.2">
      <c r="A503">
        <v>502</v>
      </c>
      <c r="B503">
        <v>42</v>
      </c>
      <c r="C503" t="s">
        <v>501</v>
      </c>
      <c r="D503" s="13" t="s">
        <v>912</v>
      </c>
      <c r="E503" s="1">
        <v>0.31741599999999998</v>
      </c>
      <c r="F503">
        <v>-0.89603699999999997</v>
      </c>
      <c r="G503" s="1">
        <v>0.36435519391301102</v>
      </c>
      <c r="H503" s="1">
        <v>-0.84868296705217094</v>
      </c>
      <c r="I503">
        <f>VLOOKUP(C503,'[1]phenotypes-895'!$A$2:$G$896,7,FALSE)</f>
        <v>74</v>
      </c>
      <c r="J503" s="1">
        <v>-1.5090900000000001E-2</v>
      </c>
      <c r="K503" s="1">
        <f>VLOOKUP(C503,'[1]phenotypes-895'!$A$2:$I$896,9,FALSE)</f>
        <v>0.35506103435840092</v>
      </c>
      <c r="L503" s="1">
        <v>5.8998200000000001E-2</v>
      </c>
      <c r="M503" s="4">
        <v>3.6372803813309171</v>
      </c>
      <c r="N503" s="1">
        <v>-1.85548E-2</v>
      </c>
      <c r="O503" s="8">
        <v>1</v>
      </c>
      <c r="P503" s="1">
        <v>1.0350099999999999E-2</v>
      </c>
      <c r="Q503">
        <v>0.78100000000000003</v>
      </c>
      <c r="R503" s="1">
        <v>7.6526800000000002E-3</v>
      </c>
      <c r="S503" s="2">
        <v>-0.08</v>
      </c>
    </row>
    <row r="504" spans="1:19" x14ac:dyDescent="0.2">
      <c r="A504">
        <v>503</v>
      </c>
      <c r="B504">
        <v>52</v>
      </c>
      <c r="C504" t="s">
        <v>502</v>
      </c>
      <c r="D504" s="13" t="s">
        <v>912</v>
      </c>
      <c r="E504" s="1">
        <v>4.4537800000000001</v>
      </c>
      <c r="F504">
        <v>3.7345299999999999</v>
      </c>
      <c r="G504" s="1">
        <v>4.4407835854763604</v>
      </c>
      <c r="H504" s="1">
        <v>3.7223836878641801</v>
      </c>
      <c r="I504">
        <f>VLOOKUP(C504,'[1]phenotypes-895'!$A$2:$G$896,7,FALSE)</f>
        <v>83</v>
      </c>
      <c r="J504" s="1">
        <v>-4.7842099999999997E-3</v>
      </c>
      <c r="K504" s="1">
        <f>VLOOKUP(C504,'[1]phenotypes-895'!$A$2:$I$896,9,FALSE)</f>
        <v>0.61705930084459315</v>
      </c>
      <c r="L504" s="1">
        <v>0.34820899999999999</v>
      </c>
      <c r="M504" s="4">
        <v>5.6300419978026781</v>
      </c>
      <c r="N504" s="1">
        <v>-7.7598199999999997E-3</v>
      </c>
      <c r="O504" s="8">
        <v>1</v>
      </c>
      <c r="P504" s="1">
        <v>6.8279500000000007E-2</v>
      </c>
      <c r="Q504">
        <v>0.83399999999999996</v>
      </c>
      <c r="R504" s="1">
        <v>3.3189000000000003E-2</v>
      </c>
      <c r="S504" s="2">
        <v>-0.06</v>
      </c>
    </row>
    <row r="505" spans="1:19" x14ac:dyDescent="0.2">
      <c r="A505">
        <v>504</v>
      </c>
      <c r="B505">
        <v>50</v>
      </c>
      <c r="C505" t="s">
        <v>503</v>
      </c>
      <c r="D505" s="13" t="s">
        <v>912</v>
      </c>
      <c r="E505" s="1">
        <v>4.6416700000000004</v>
      </c>
      <c r="F505">
        <v>4.5592899999999998</v>
      </c>
      <c r="G505" s="1">
        <v>4.6354367727122296</v>
      </c>
      <c r="H505" s="1">
        <v>4.5496471014022797</v>
      </c>
      <c r="I505">
        <f>VLOOKUP(C505,'[1]phenotypes-895'!$A$2:$G$896,7,FALSE)</f>
        <v>98</v>
      </c>
      <c r="J505" s="1">
        <v>-3.3766200000000003E-2</v>
      </c>
      <c r="K505" s="1">
        <f>VLOOKUP(C505,'[1]phenotypes-895'!$A$2:$I$896,9,FALSE)</f>
        <v>0</v>
      </c>
      <c r="L505" s="1">
        <v>0.14371700000000001</v>
      </c>
      <c r="M505" s="4">
        <v>0</v>
      </c>
      <c r="N505" s="1">
        <v>-1.0611799999999999E-2</v>
      </c>
      <c r="O505" s="8">
        <v>0</v>
      </c>
      <c r="P505" s="1">
        <v>-4.4548600000000001E-2</v>
      </c>
      <c r="Q505">
        <v>0.70499999999999996</v>
      </c>
      <c r="R505" s="1">
        <v>-1.37781E-2</v>
      </c>
      <c r="S505" s="2">
        <v>-0.11</v>
      </c>
    </row>
    <row r="506" spans="1:19" x14ac:dyDescent="0.2">
      <c r="A506">
        <v>505</v>
      </c>
      <c r="B506">
        <v>44</v>
      </c>
      <c r="C506" t="s">
        <v>504</v>
      </c>
      <c r="D506" s="13" t="s">
        <v>912</v>
      </c>
      <c r="E506" s="1">
        <v>1.7531399999999999</v>
      </c>
      <c r="F506">
        <v>1.83082E-2</v>
      </c>
      <c r="G506" s="1">
        <v>1.7215802115200001</v>
      </c>
      <c r="H506" s="1">
        <v>-1.1682398804470501E-2</v>
      </c>
      <c r="I506">
        <f>VLOOKUP(C506,'[1]phenotypes-895'!$A$2:$G$896,7,FALSE)</f>
        <v>98</v>
      </c>
      <c r="J506" s="1">
        <v>-1.3866E-2</v>
      </c>
      <c r="K506" s="1">
        <f>VLOOKUP(C506,'[1]phenotypes-895'!$A$2:$I$896,9,FALSE)</f>
        <v>0</v>
      </c>
      <c r="L506" s="1">
        <v>-9.56095E-2</v>
      </c>
      <c r="M506" s="4">
        <v>0</v>
      </c>
      <c r="N506" s="1">
        <v>-2.0250299999999999E-2</v>
      </c>
      <c r="O506" s="8">
        <v>0</v>
      </c>
      <c r="P506" s="1">
        <v>5.9597600000000001E-2</v>
      </c>
      <c r="Q506">
        <v>0.73299999999999998</v>
      </c>
      <c r="R506" s="1">
        <v>2.8480200000000001E-2</v>
      </c>
      <c r="S506" s="2">
        <v>-0.1</v>
      </c>
    </row>
    <row r="507" spans="1:19" x14ac:dyDescent="0.2">
      <c r="A507">
        <v>506</v>
      </c>
      <c r="B507">
        <v>42</v>
      </c>
      <c r="C507" t="s">
        <v>505</v>
      </c>
      <c r="D507" s="13" t="s">
        <v>912</v>
      </c>
      <c r="E507" s="1">
        <v>5.5582000000000003</v>
      </c>
      <c r="F507">
        <v>7.5070800000000002</v>
      </c>
      <c r="G507" s="1">
        <v>5.5667560635529698</v>
      </c>
      <c r="H507" s="1">
        <v>7.5193862836718202</v>
      </c>
      <c r="I507">
        <f>VLOOKUP(C507,'[1]phenotypes-895'!$A$2:$G$896,7,FALSE)</f>
        <v>98</v>
      </c>
      <c r="J507" s="1">
        <v>-7.9721399999999998E-2</v>
      </c>
      <c r="K507" s="1">
        <f>VLOOKUP(C507,'[1]phenotypes-895'!$A$2:$I$896,9,FALSE)</f>
        <v>0.16353899662058621</v>
      </c>
      <c r="L507" s="1">
        <v>-6.9185700000000003E-2</v>
      </c>
      <c r="M507" s="4">
        <v>3.4002038502972063</v>
      </c>
      <c r="N507" s="1">
        <v>3.6843900000000001E-3</v>
      </c>
      <c r="O507" s="8">
        <v>1</v>
      </c>
      <c r="P507" s="1">
        <v>-0.114006</v>
      </c>
      <c r="Q507">
        <v>0.81599999999999995</v>
      </c>
      <c r="R507" s="1">
        <v>-4.3333099999999999E-2</v>
      </c>
      <c r="S507" s="2">
        <v>-7.0000000000000007E-2</v>
      </c>
    </row>
    <row r="508" spans="1:19" x14ac:dyDescent="0.2">
      <c r="A508">
        <v>507</v>
      </c>
      <c r="B508">
        <v>46</v>
      </c>
      <c r="C508" t="s">
        <v>506</v>
      </c>
      <c r="D508" s="13" t="s">
        <v>912</v>
      </c>
      <c r="E508" s="1">
        <v>1.8643000000000001</v>
      </c>
      <c r="F508">
        <v>3.19326</v>
      </c>
      <c r="G508" s="1">
        <v>1.85385045795458</v>
      </c>
      <c r="H508" s="1">
        <v>3.18660662793588</v>
      </c>
      <c r="I508">
        <f>VLOOKUP(C508,'[1]phenotypes-895'!$A$2:$G$896,7,FALSE)</f>
        <v>75</v>
      </c>
      <c r="J508" s="1">
        <v>-2.13292E-2</v>
      </c>
      <c r="K508" s="1">
        <f>VLOOKUP(C508,'[1]phenotypes-895'!$A$2:$I$896,9,FALSE)</f>
        <v>0.47484904126418542</v>
      </c>
      <c r="L508" s="1">
        <v>2.12403E-2</v>
      </c>
      <c r="M508" s="4">
        <v>3.9240390097899569</v>
      </c>
      <c r="N508" s="1">
        <v>2.9610899999999999E-2</v>
      </c>
      <c r="O508" s="8">
        <v>1</v>
      </c>
      <c r="P508" s="1">
        <v>-9.7387799999999997E-2</v>
      </c>
      <c r="Q508">
        <v>0.76800000000000002</v>
      </c>
      <c r="R508" s="1">
        <v>-4.0327399999999999E-2</v>
      </c>
      <c r="S508" s="2">
        <v>-0.09</v>
      </c>
    </row>
    <row r="509" spans="1:19" x14ac:dyDescent="0.2">
      <c r="A509">
        <v>508</v>
      </c>
      <c r="B509">
        <v>50</v>
      </c>
      <c r="C509" t="s">
        <v>507</v>
      </c>
      <c r="D509" s="13" t="s">
        <v>912</v>
      </c>
      <c r="E509" s="1">
        <v>0.75910999999999995</v>
      </c>
      <c r="F509">
        <v>-0.21106</v>
      </c>
      <c r="G509" s="1">
        <v>0.75809691521908895</v>
      </c>
      <c r="H509" s="1">
        <v>-0.21247889017213301</v>
      </c>
      <c r="I509">
        <f>VLOOKUP(C509,'[1]phenotypes-895'!$A$2:$G$896,7,FALSE)</f>
        <v>62</v>
      </c>
      <c r="J509" s="1">
        <v>-1.2463200000000001E-2</v>
      </c>
      <c r="K509" s="1">
        <f>VLOOKUP(C509,'[1]phenotypes-895'!$A$2:$I$896,9,FALSE)</f>
        <v>0.53962423578912122</v>
      </c>
      <c r="L509" s="1">
        <v>6.2644199999999997E-2</v>
      </c>
      <c r="M509" s="4">
        <v>4.3406247868328007</v>
      </c>
      <c r="N509" s="1">
        <v>-1.61555E-2</v>
      </c>
      <c r="O509" s="8">
        <v>1</v>
      </c>
      <c r="P509" s="1">
        <v>-1.89135E-2</v>
      </c>
      <c r="Q509">
        <v>0.67100000000000004</v>
      </c>
      <c r="R509" s="1">
        <v>-2.2281499999999999E-3</v>
      </c>
      <c r="S509" s="2">
        <v>-0.13</v>
      </c>
    </row>
    <row r="510" spans="1:19" x14ac:dyDescent="0.2">
      <c r="A510">
        <v>509</v>
      </c>
      <c r="B510">
        <v>45</v>
      </c>
      <c r="C510" t="s">
        <v>508</v>
      </c>
      <c r="D510" s="13" t="s">
        <v>912</v>
      </c>
      <c r="E510" s="1">
        <v>-1.85355</v>
      </c>
      <c r="F510">
        <v>-2.4374400000000001</v>
      </c>
      <c r="G510" s="1">
        <v>-1.9189480040915201</v>
      </c>
      <c r="H510" s="1">
        <v>-2.4906391124415102</v>
      </c>
      <c r="I510">
        <f>VLOOKUP(C510,'[1]phenotypes-895'!$A$2:$G$896,7,FALSE)</f>
        <v>41</v>
      </c>
      <c r="J510" s="1">
        <v>1.80109E-2</v>
      </c>
      <c r="K510" s="1">
        <f>VLOOKUP(C510,'[1]phenotypes-895'!$A$2:$I$896,9,FALSE)</f>
        <v>0.72293106256798434</v>
      </c>
      <c r="L510" s="1">
        <v>0.10106900000000001</v>
      </c>
      <c r="M510" s="4">
        <v>4.4405979425280115</v>
      </c>
      <c r="N510" s="1">
        <v>5.68602E-3</v>
      </c>
      <c r="O510" s="8">
        <v>1</v>
      </c>
      <c r="P510" s="1">
        <v>4.4279300000000001E-2</v>
      </c>
      <c r="Q510">
        <v>0.90800000000000003</v>
      </c>
      <c r="R510" s="1">
        <v>2.27803E-2</v>
      </c>
      <c r="S510" s="2">
        <v>-0.03</v>
      </c>
    </row>
    <row r="511" spans="1:19" x14ac:dyDescent="0.2">
      <c r="A511">
        <v>510</v>
      </c>
      <c r="B511">
        <v>49</v>
      </c>
      <c r="C511" t="s">
        <v>509</v>
      </c>
      <c r="D511" s="13" t="s">
        <v>912</v>
      </c>
      <c r="E511" s="1">
        <v>4.5418500000000002</v>
      </c>
      <c r="F511">
        <v>6.3788299999999998</v>
      </c>
      <c r="G511" s="1">
        <v>4.5531704751623696</v>
      </c>
      <c r="H511" s="1">
        <v>6.3950130270424497</v>
      </c>
      <c r="I511">
        <f>VLOOKUP(C511,'[1]phenotypes-895'!$A$2:$G$896,7,FALSE)</f>
        <v>98</v>
      </c>
      <c r="J511" s="1">
        <v>-8.6712899999999996E-2</v>
      </c>
      <c r="K511" s="1">
        <f>VLOOKUP(C511,'[1]phenotypes-895'!$A$2:$I$896,9,FALSE)</f>
        <v>0</v>
      </c>
      <c r="L511" s="1">
        <v>-7.0194599999999996E-2</v>
      </c>
      <c r="M511" s="4">
        <v>0</v>
      </c>
      <c r="N511" s="1">
        <v>1.05474E-3</v>
      </c>
      <c r="O511" s="8">
        <v>0</v>
      </c>
      <c r="P511" s="1">
        <v>-7.7086199999999994E-2</v>
      </c>
      <c r="Q511">
        <v>0.872</v>
      </c>
      <c r="R511" s="1">
        <v>-2.82659E-2</v>
      </c>
      <c r="S511" s="2">
        <v>-0.04</v>
      </c>
    </row>
    <row r="512" spans="1:19" x14ac:dyDescent="0.2">
      <c r="A512">
        <v>511</v>
      </c>
      <c r="B512">
        <v>54</v>
      </c>
      <c r="C512" t="s">
        <v>510</v>
      </c>
      <c r="D512" s="13" t="s">
        <v>912</v>
      </c>
      <c r="E512" s="1">
        <v>-3.3871899999999999</v>
      </c>
      <c r="F512">
        <v>-5.5740999999999996</v>
      </c>
      <c r="G512" s="1">
        <v>-3.42968072757566</v>
      </c>
      <c r="H512" s="1">
        <v>-5.6281027763256999</v>
      </c>
      <c r="I512">
        <f>VLOOKUP(C512,'[1]phenotypes-895'!$A$2:$G$896,7,FALSE)</f>
        <v>98</v>
      </c>
      <c r="J512" s="1">
        <v>4.3811999999999997E-2</v>
      </c>
      <c r="K512" s="1">
        <f>VLOOKUP(C512,'[1]phenotypes-895'!$A$2:$I$896,9,FALSE)</f>
        <v>7.8209320067116256E-2</v>
      </c>
      <c r="L512" s="1">
        <v>6.7138299999999998E-2</v>
      </c>
      <c r="M512" s="4">
        <v>2.9578979702970285</v>
      </c>
      <c r="N512" s="1">
        <v>2.6539699999999999E-2</v>
      </c>
      <c r="O512" s="8">
        <v>1</v>
      </c>
      <c r="P512" s="1">
        <v>2.8183400000000001E-2</v>
      </c>
      <c r="Q512">
        <v>0.751</v>
      </c>
      <c r="R512" s="1">
        <v>1.5174200000000001E-2</v>
      </c>
      <c r="S512" s="2">
        <v>-0.09</v>
      </c>
    </row>
    <row r="513" spans="1:19" x14ac:dyDescent="0.2">
      <c r="A513">
        <v>512</v>
      </c>
      <c r="B513">
        <v>50</v>
      </c>
      <c r="C513" t="s">
        <v>511</v>
      </c>
      <c r="D513" s="13" t="s">
        <v>912</v>
      </c>
      <c r="E513" s="1">
        <v>-7.59565</v>
      </c>
      <c r="F513">
        <v>-6.2466400000000002</v>
      </c>
      <c r="G513" s="1">
        <v>-7.6233397526601001</v>
      </c>
      <c r="H513" s="1">
        <v>-6.2783689344140496</v>
      </c>
      <c r="I513">
        <f>VLOOKUP(C513,'[1]phenotypes-895'!$A$2:$G$896,7,FALSE)</f>
        <v>44</v>
      </c>
      <c r="J513" s="1">
        <v>0.15042700000000001</v>
      </c>
      <c r="K513" s="1">
        <f>VLOOKUP(C513,'[1]phenotypes-895'!$A$2:$I$896,9,FALSE)</f>
        <v>1.0246960631572031</v>
      </c>
      <c r="L513" s="1">
        <v>0.100992</v>
      </c>
      <c r="M513" s="4">
        <v>4.9427386735518306</v>
      </c>
      <c r="N513" s="1">
        <v>4.2994499999999998E-2</v>
      </c>
      <c r="O513" s="8">
        <v>1</v>
      </c>
      <c r="P513" s="1">
        <v>-0.207375</v>
      </c>
      <c r="Q513">
        <v>0.70499999999999996</v>
      </c>
      <c r="R513" s="1">
        <v>-7.8538999999999998E-2</v>
      </c>
      <c r="S513" s="2">
        <v>-0.11</v>
      </c>
    </row>
    <row r="514" spans="1:19" x14ac:dyDescent="0.2">
      <c r="A514">
        <v>513</v>
      </c>
      <c r="B514">
        <v>42</v>
      </c>
      <c r="C514" t="s">
        <v>512</v>
      </c>
      <c r="D514" s="13" t="s">
        <v>912</v>
      </c>
      <c r="E514" s="1">
        <v>-0.47287499999999999</v>
      </c>
      <c r="F514">
        <v>1.1732400000000001</v>
      </c>
      <c r="G514" s="1">
        <v>-0.48500627263835</v>
      </c>
      <c r="H514" s="1">
        <v>1.16755117291009</v>
      </c>
      <c r="I514">
        <f>VLOOKUP(C514,'[1]phenotypes-895'!$A$2:$G$896,7,FALSE)</f>
        <v>98</v>
      </c>
      <c r="J514" s="1">
        <v>9.1536699999999992E-3</v>
      </c>
      <c r="K514" s="1">
        <f>VLOOKUP(C514,'[1]phenotypes-895'!$A$2:$I$896,9,FALSE)</f>
        <v>1.824894109261746E-2</v>
      </c>
      <c r="L514" s="1">
        <v>3.0028800000000001E-2</v>
      </c>
      <c r="M514" s="4">
        <v>2.1275654171832121</v>
      </c>
      <c r="N514" s="1">
        <v>4.3246800000000002E-2</v>
      </c>
      <c r="O514" s="8">
        <v>1</v>
      </c>
      <c r="P514" s="1">
        <v>-0.132298</v>
      </c>
      <c r="Q514">
        <v>0.71599999999999997</v>
      </c>
      <c r="R514" s="1">
        <v>-5.4843900000000001E-2</v>
      </c>
      <c r="S514" s="2">
        <v>-0.11</v>
      </c>
    </row>
    <row r="515" spans="1:19" x14ac:dyDescent="0.2">
      <c r="A515">
        <v>514</v>
      </c>
      <c r="B515">
        <v>50</v>
      </c>
      <c r="C515" t="s">
        <v>513</v>
      </c>
      <c r="D515" s="13" t="s">
        <v>912</v>
      </c>
      <c r="E515" s="1">
        <v>5.9580399999999996</v>
      </c>
      <c r="F515">
        <v>5.5158800000000001</v>
      </c>
      <c r="G515" s="1">
        <v>5.9549293914254102</v>
      </c>
      <c r="H515" s="1">
        <v>5.5097643616288501</v>
      </c>
      <c r="I515">
        <f>VLOOKUP(C515,'[1]phenotypes-895'!$A$2:$G$896,7,FALSE)</f>
        <v>74</v>
      </c>
      <c r="J515" s="1">
        <v>-6.74091E-2</v>
      </c>
      <c r="K515" s="1">
        <f>VLOOKUP(C515,'[1]phenotypes-895'!$A$2:$I$896,9,FALSE)</f>
        <v>0.38550771961244712</v>
      </c>
      <c r="L515" s="1">
        <v>-0.16159200000000001</v>
      </c>
      <c r="M515" s="4">
        <v>3.6886174925538628</v>
      </c>
      <c r="N515" s="1">
        <v>-2.05661E-2</v>
      </c>
      <c r="O515" s="8">
        <v>1</v>
      </c>
      <c r="P515" s="1">
        <v>7.5278700000000004E-2</v>
      </c>
      <c r="Q515">
        <v>0.73799999999999999</v>
      </c>
      <c r="R515" s="1">
        <v>2.67786E-2</v>
      </c>
      <c r="S515" s="2">
        <v>-0.1</v>
      </c>
    </row>
    <row r="516" spans="1:19" x14ac:dyDescent="0.2">
      <c r="A516">
        <v>515</v>
      </c>
      <c r="B516">
        <v>54</v>
      </c>
      <c r="C516" t="s">
        <v>514</v>
      </c>
      <c r="D516" s="13" t="s">
        <v>912</v>
      </c>
      <c r="E516" s="1">
        <v>7.2894600000000001</v>
      </c>
      <c r="F516">
        <v>7.8507499999999997</v>
      </c>
      <c r="G516" s="1">
        <v>7.2277164120395598</v>
      </c>
      <c r="H516" s="1">
        <v>7.7945317770549698</v>
      </c>
      <c r="I516">
        <f>VLOOKUP(C516,'[1]phenotypes-895'!$A$2:$G$896,7,FALSE)</f>
        <v>81</v>
      </c>
      <c r="J516" s="1">
        <v>-0.11189499999999999</v>
      </c>
      <c r="K516" s="1">
        <f>VLOOKUP(C516,'[1]phenotypes-895'!$A$2:$I$896,9,FALSE)</f>
        <v>0.38451780302030703</v>
      </c>
      <c r="L516" s="1">
        <v>-0.15815699999999999</v>
      </c>
      <c r="M516" s="4">
        <v>3.9471341334447492</v>
      </c>
      <c r="N516" s="1">
        <v>-4.6351900000000001E-2</v>
      </c>
      <c r="O516" s="8">
        <v>1</v>
      </c>
      <c r="P516" s="1">
        <v>4.0840599999999998E-2</v>
      </c>
      <c r="Q516">
        <v>0.64200000000000002</v>
      </c>
      <c r="R516" s="1">
        <v>1.0301599999999999E-2</v>
      </c>
      <c r="S516" s="2">
        <v>-0.15</v>
      </c>
    </row>
    <row r="517" spans="1:19" x14ac:dyDescent="0.2">
      <c r="A517">
        <v>516</v>
      </c>
      <c r="B517">
        <v>44</v>
      </c>
      <c r="C517" t="s">
        <v>515</v>
      </c>
      <c r="D517" s="13" t="s">
        <v>912</v>
      </c>
      <c r="E517" s="1">
        <v>3.4984899999999999</v>
      </c>
      <c r="F517">
        <v>2.6683400000000002</v>
      </c>
      <c r="G517" s="1">
        <v>3.47903111224934</v>
      </c>
      <c r="H517" s="1">
        <v>2.6595889522745599</v>
      </c>
      <c r="I517">
        <f>VLOOKUP(C517,'[1]phenotypes-895'!$A$2:$G$896,7,FALSE)</f>
        <v>98</v>
      </c>
      <c r="J517" s="1">
        <v>-6.92469E-2</v>
      </c>
      <c r="K517" s="1">
        <f>VLOOKUP(C517,'[1]phenotypes-895'!$A$2:$I$896,9,FALSE)</f>
        <v>0</v>
      </c>
      <c r="L517" s="1">
        <v>-0.104785</v>
      </c>
      <c r="M517" s="4">
        <v>0</v>
      </c>
      <c r="N517" s="1">
        <v>-3.1443400000000003E-2</v>
      </c>
      <c r="O517" s="8">
        <v>0</v>
      </c>
      <c r="P517" s="1">
        <v>4.8485500000000001E-3</v>
      </c>
      <c r="Q517">
        <v>0.70799999999999996</v>
      </c>
      <c r="R517" s="1">
        <v>6.1030900000000003E-3</v>
      </c>
      <c r="S517" s="2">
        <v>-0.11</v>
      </c>
    </row>
    <row r="518" spans="1:19" x14ac:dyDescent="0.2">
      <c r="A518">
        <v>517</v>
      </c>
      <c r="B518">
        <v>49</v>
      </c>
      <c r="C518" t="s">
        <v>516</v>
      </c>
      <c r="D518" s="13" t="s">
        <v>912</v>
      </c>
      <c r="E518" s="1">
        <v>3.3042199999999999</v>
      </c>
      <c r="F518">
        <v>2.1713300000000002</v>
      </c>
      <c r="G518" s="1">
        <v>3.35562449948547</v>
      </c>
      <c r="H518" s="1">
        <v>2.2363585552521101</v>
      </c>
      <c r="I518">
        <f>VLOOKUP(C518,'[1]phenotypes-895'!$A$2:$G$896,7,FALSE)</f>
        <v>98</v>
      </c>
      <c r="J518" s="1">
        <v>-4.6190500000000002E-2</v>
      </c>
      <c r="K518" s="1">
        <f>VLOOKUP(C518,'[1]phenotypes-895'!$A$2:$I$896,9,FALSE)</f>
        <v>0</v>
      </c>
      <c r="L518" s="1">
        <v>1.6926799999999999E-2</v>
      </c>
      <c r="M518" s="4">
        <v>0</v>
      </c>
      <c r="N518" s="1">
        <v>-2.9023699999999999E-2</v>
      </c>
      <c r="O518" s="8">
        <v>0</v>
      </c>
      <c r="P518" s="1">
        <v>2.55494E-2</v>
      </c>
      <c r="Q518">
        <v>0.68600000000000005</v>
      </c>
      <c r="R518" s="1">
        <v>1.0192E-2</v>
      </c>
      <c r="S518" s="2">
        <v>-0.13</v>
      </c>
    </row>
    <row r="519" spans="1:19" x14ac:dyDescent="0.2">
      <c r="A519">
        <v>518</v>
      </c>
      <c r="B519">
        <v>53</v>
      </c>
      <c r="C519" t="s">
        <v>517</v>
      </c>
      <c r="D519" s="13" t="s">
        <v>912</v>
      </c>
      <c r="E519" s="1">
        <v>0.62024100000000004</v>
      </c>
      <c r="F519">
        <v>2.9301300000000001</v>
      </c>
      <c r="G519" s="1">
        <v>0.614376097379848</v>
      </c>
      <c r="H519" s="1">
        <v>2.9477614912544099</v>
      </c>
      <c r="I519">
        <f>VLOOKUP(C519,'[1]phenotypes-895'!$A$2:$G$896,7,FALSE)</f>
        <v>98</v>
      </c>
      <c r="J519" s="1">
        <v>6.5373299999999998E-4</v>
      </c>
      <c r="K519" s="1">
        <f>VLOOKUP(C519,'[1]phenotypes-895'!$A$2:$I$896,9,FALSE)</f>
        <v>0.3442565004826042</v>
      </c>
      <c r="L519" s="1">
        <v>-4.6861699999999999E-2</v>
      </c>
      <c r="M519" s="4">
        <v>4.2166346196411792</v>
      </c>
      <c r="N519" s="1">
        <v>1.3043900000000001E-2</v>
      </c>
      <c r="O519" s="8">
        <v>1</v>
      </c>
      <c r="P519" s="1">
        <v>-0.16270499999999999</v>
      </c>
      <c r="Q519">
        <v>0.71499999999999997</v>
      </c>
      <c r="R519" s="1">
        <v>-6.6830100000000003E-2</v>
      </c>
      <c r="S519" s="2">
        <v>-0.11</v>
      </c>
    </row>
    <row r="520" spans="1:19" x14ac:dyDescent="0.2">
      <c r="A520">
        <v>519</v>
      </c>
      <c r="B520">
        <v>16</v>
      </c>
      <c r="C520" t="s">
        <v>518</v>
      </c>
      <c r="D520" s="12" t="s">
        <v>912</v>
      </c>
      <c r="E520" s="1">
        <v>-9.8275100000000002</v>
      </c>
      <c r="F520">
        <v>-10.1524</v>
      </c>
      <c r="G520" s="1">
        <v>-9.9362592678821304</v>
      </c>
      <c r="H520" s="1">
        <v>-10.2663625564514</v>
      </c>
      <c r="I520">
        <f>VLOOKUP(C520,'[1]phenotypes-895'!$A$2:$G$896,7,FALSE)</f>
        <v>44</v>
      </c>
      <c r="J520" s="1">
        <v>8.7425900000000001E-2</v>
      </c>
      <c r="K520" s="1">
        <f>VLOOKUP(C520,'[1]phenotypes-895'!$A$2:$I$896,9,FALSE)</f>
        <v>0.86362896203480544</v>
      </c>
      <c r="L520" s="1">
        <v>-4.2664800000000003E-2</v>
      </c>
      <c r="M520" s="4">
        <v>4.4055845455784945</v>
      </c>
      <c r="N520" s="1">
        <v>1.6039399999999999E-2</v>
      </c>
      <c r="O520" s="8">
        <v>1</v>
      </c>
      <c r="P520" s="1">
        <v>0.16261300000000001</v>
      </c>
      <c r="Q520" s="6">
        <v>1.2589999999999999</v>
      </c>
      <c r="R520" s="1">
        <v>5.8130399999999999E-2</v>
      </c>
      <c r="S520" s="7">
        <v>7.0000000000000007E-2</v>
      </c>
    </row>
    <row r="521" spans="1:19" x14ac:dyDescent="0.2">
      <c r="A521">
        <v>520</v>
      </c>
      <c r="B521">
        <v>3</v>
      </c>
      <c r="C521" t="s">
        <v>519</v>
      </c>
      <c r="D521" s="12" t="s">
        <v>913</v>
      </c>
      <c r="E521" s="1">
        <v>-1.5284</v>
      </c>
      <c r="F521">
        <v>-4.3743999999999996</v>
      </c>
      <c r="G521" s="1">
        <v>-1.5398924414126101</v>
      </c>
      <c r="H521" s="1">
        <v>-4.3833542048599599</v>
      </c>
      <c r="I521">
        <f>VLOOKUP(C521,'[1]phenotypes-895'!$A$2:$G$896,7,FALSE)</f>
        <v>72</v>
      </c>
      <c r="J521" s="1">
        <v>4.27832E-2</v>
      </c>
      <c r="K521" s="1">
        <f>VLOOKUP(C521,'[1]phenotypes-895'!$A$2:$I$896,9,FALSE)</f>
        <v>0.48648053766222882</v>
      </c>
      <c r="L521" s="1">
        <v>-5.4555800000000002E-2</v>
      </c>
      <c r="M521" s="4">
        <v>4.4521553074391118</v>
      </c>
      <c r="N521" s="1">
        <v>1.0707700000000001E-2</v>
      </c>
      <c r="O521" s="8">
        <v>1</v>
      </c>
      <c r="P521" s="1">
        <v>6.1812100000000002E-2</v>
      </c>
      <c r="Q521" s="6">
        <v>0.90100000000000002</v>
      </c>
      <c r="R521" s="1">
        <v>3.1694199999999999E-2</v>
      </c>
      <c r="S521" s="7">
        <v>-0.03</v>
      </c>
    </row>
    <row r="522" spans="1:19" x14ac:dyDescent="0.2">
      <c r="A522">
        <v>521</v>
      </c>
      <c r="B522">
        <v>21</v>
      </c>
      <c r="C522" t="s">
        <v>520</v>
      </c>
      <c r="D522" s="13" t="s">
        <v>913</v>
      </c>
      <c r="E522" s="1">
        <v>-1.2894000000000001</v>
      </c>
      <c r="F522">
        <v>-2.8228399999999998</v>
      </c>
      <c r="G522" s="1">
        <v>-1.31198832078897</v>
      </c>
      <c r="H522" s="1">
        <v>-2.85762769764515</v>
      </c>
      <c r="I522">
        <f>VLOOKUP(C522,'[1]phenotypes-895'!$A$2:$G$896,7,FALSE)</f>
        <v>49</v>
      </c>
      <c r="J522" s="1">
        <v>2.2093000000000002E-2</v>
      </c>
      <c r="K522" s="1">
        <f>VLOOKUP(C522,'[1]phenotypes-895'!$A$2:$I$896,9,FALSE)</f>
        <v>0.87375047620571211</v>
      </c>
      <c r="L522" s="1">
        <v>-8.2230399999999995E-2</v>
      </c>
      <c r="M522" s="4">
        <v>4.2190362854280306</v>
      </c>
      <c r="N522" s="1">
        <v>-1.5395000000000001E-2</v>
      </c>
      <c r="O522" s="8">
        <v>1</v>
      </c>
      <c r="P522" s="1">
        <v>0.11269800000000001</v>
      </c>
      <c r="Q522">
        <v>1.089</v>
      </c>
      <c r="R522" s="1">
        <v>5.1607800000000002E-2</v>
      </c>
      <c r="S522" s="2">
        <v>0.03</v>
      </c>
    </row>
    <row r="523" spans="1:19" x14ac:dyDescent="0.2">
      <c r="A523">
        <v>522</v>
      </c>
      <c r="B523">
        <v>3</v>
      </c>
      <c r="C523" t="s">
        <v>521</v>
      </c>
      <c r="D523" s="12" t="s">
        <v>913</v>
      </c>
      <c r="E523" s="1">
        <v>1.4111199999999999</v>
      </c>
      <c r="F523">
        <v>-1.35192</v>
      </c>
      <c r="G523" s="1">
        <v>1.4003134197198399</v>
      </c>
      <c r="H523" s="1">
        <v>-1.3811308462845</v>
      </c>
      <c r="I523">
        <f>VLOOKUP(C523,'[1]phenotypes-895'!$A$2:$G$896,7,FALSE)</f>
        <v>98</v>
      </c>
      <c r="J523" s="1">
        <v>-2.3790200000000001E-2</v>
      </c>
      <c r="K523" s="1">
        <f>VLOOKUP(C523,'[1]phenotypes-895'!$A$2:$I$896,9,FALSE)</f>
        <v>0.1196515212122779</v>
      </c>
      <c r="L523" s="1">
        <v>-8.85431E-2</v>
      </c>
      <c r="M523" s="4">
        <v>2.2469535809129364</v>
      </c>
      <c r="N523" s="1">
        <v>6.8267600000000003E-3</v>
      </c>
      <c r="O523" s="8">
        <v>1</v>
      </c>
      <c r="P523" s="1">
        <v>1.9258000000000001E-2</v>
      </c>
      <c r="Q523" s="6">
        <v>0.90900000000000003</v>
      </c>
      <c r="R523" s="1">
        <v>1.7376099999999998E-2</v>
      </c>
      <c r="S523" s="7">
        <v>-0.03</v>
      </c>
    </row>
    <row r="524" spans="1:19" x14ac:dyDescent="0.2">
      <c r="A524">
        <v>523</v>
      </c>
      <c r="B524">
        <v>3</v>
      </c>
      <c r="C524" t="s">
        <v>522</v>
      </c>
      <c r="D524" s="12" t="s">
        <v>913</v>
      </c>
      <c r="E524" s="1">
        <v>-1.1389199999999999</v>
      </c>
      <c r="F524">
        <v>-3.5863100000000001</v>
      </c>
      <c r="G524" s="1">
        <v>-1.2105119789649501</v>
      </c>
      <c r="H524" s="1">
        <v>-3.6729505265884002</v>
      </c>
      <c r="I524">
        <f>VLOOKUP(C524,'[1]phenotypes-895'!$A$2:$G$896,7,FALSE)</f>
        <v>74</v>
      </c>
      <c r="J524" s="1">
        <v>2.1649499999999999E-2</v>
      </c>
      <c r="K524" s="1">
        <f>VLOOKUP(C524,'[1]phenotypes-895'!$A$2:$I$896,9,FALSE)</f>
        <v>0.53039986528419802</v>
      </c>
      <c r="L524" s="1">
        <v>-9.6964999999999996E-2</v>
      </c>
      <c r="M524" s="4">
        <v>3.9428447146815522</v>
      </c>
      <c r="N524" s="1">
        <v>5.6422E-3</v>
      </c>
      <c r="O524" s="8">
        <v>1</v>
      </c>
      <c r="P524" s="1">
        <v>6.0197100000000003E-2</v>
      </c>
      <c r="Q524" s="6">
        <v>1.008</v>
      </c>
      <c r="R524" s="1">
        <v>2.8041900000000002E-2</v>
      </c>
      <c r="S524" s="7">
        <v>0</v>
      </c>
    </row>
    <row r="525" spans="1:19" x14ac:dyDescent="0.2">
      <c r="A525">
        <v>524</v>
      </c>
      <c r="B525">
        <v>30</v>
      </c>
      <c r="C525" t="s">
        <v>523</v>
      </c>
      <c r="D525" s="13" t="s">
        <v>913</v>
      </c>
      <c r="E525" s="1">
        <v>2.70147</v>
      </c>
      <c r="F525">
        <v>1.1914400000000001</v>
      </c>
      <c r="G525" s="1">
        <v>2.6728353831270399</v>
      </c>
      <c r="H525" s="1">
        <v>1.1725958548248101</v>
      </c>
      <c r="I525">
        <f>VLOOKUP(C525,'[1]phenotypes-895'!$A$2:$G$896,7,FALSE)</f>
        <v>98</v>
      </c>
      <c r="J525" s="1">
        <v>-4.7089600000000002E-2</v>
      </c>
      <c r="K525" s="1">
        <f>VLOOKUP(C525,'[1]phenotypes-895'!$A$2:$I$896,9,FALSE)</f>
        <v>0</v>
      </c>
      <c r="L525" s="1">
        <v>-0.15255199999999999</v>
      </c>
      <c r="M525" s="4">
        <v>0</v>
      </c>
      <c r="N525" s="1">
        <v>-2.0990100000000001E-2</v>
      </c>
      <c r="O525" s="8">
        <v>0</v>
      </c>
      <c r="P525" s="1">
        <v>0.102058</v>
      </c>
      <c r="Q525">
        <v>1.0429999999999999</v>
      </c>
      <c r="R525" s="1">
        <v>4.2386600000000003E-2</v>
      </c>
      <c r="S525" s="2">
        <v>0.01</v>
      </c>
    </row>
    <row r="526" spans="1:19" x14ac:dyDescent="0.2">
      <c r="A526">
        <v>525</v>
      </c>
      <c r="B526">
        <v>24</v>
      </c>
      <c r="C526" t="s">
        <v>524</v>
      </c>
      <c r="D526" s="13" t="s">
        <v>913</v>
      </c>
      <c r="E526" s="1">
        <v>-1.7510699999999999</v>
      </c>
      <c r="F526">
        <v>-3.4190299999999998</v>
      </c>
      <c r="G526" s="1">
        <v>-1.80149000436861</v>
      </c>
      <c r="H526" s="1">
        <v>-3.47927342433533</v>
      </c>
      <c r="I526">
        <f>VLOOKUP(C526,'[1]phenotypes-895'!$A$2:$G$896,7,FALSE)</f>
        <v>62</v>
      </c>
      <c r="J526" s="1">
        <v>2.9025700000000001E-2</v>
      </c>
      <c r="K526" s="1">
        <f>VLOOKUP(C526,'[1]phenotypes-895'!$A$2:$I$896,9,FALSE)</f>
        <v>0.41753379067693758</v>
      </c>
      <c r="L526" s="1">
        <v>-7.1538900000000002E-2</v>
      </c>
      <c r="M526" s="4">
        <v>3.9623225796687711</v>
      </c>
      <c r="N526" s="1">
        <v>2.6383199999999999E-2</v>
      </c>
      <c r="O526" s="8">
        <v>1</v>
      </c>
      <c r="P526" s="1">
        <v>2.02414E-2</v>
      </c>
      <c r="Q526">
        <v>1.0049999999999999</v>
      </c>
      <c r="R526" s="1">
        <v>1.1483999999999999E-2</v>
      </c>
      <c r="S526" s="2">
        <v>0</v>
      </c>
    </row>
    <row r="527" spans="1:19" x14ac:dyDescent="0.2">
      <c r="A527">
        <v>526</v>
      </c>
      <c r="B527">
        <v>30</v>
      </c>
      <c r="C527" t="s">
        <v>525</v>
      </c>
      <c r="D527" s="13" t="s">
        <v>913</v>
      </c>
      <c r="E527" s="1">
        <v>1.0531699999999999</v>
      </c>
      <c r="F527">
        <v>-0.115991</v>
      </c>
      <c r="G527" s="1">
        <v>1.01428011372379</v>
      </c>
      <c r="H527" s="1">
        <v>-0.155468468972148</v>
      </c>
      <c r="I527">
        <f>VLOOKUP(C527,'[1]phenotypes-895'!$A$2:$G$896,7,FALSE)</f>
        <v>98</v>
      </c>
      <c r="J527" s="1">
        <v>-2.0068099999999998E-2</v>
      </c>
      <c r="K527" s="1">
        <f>VLOOKUP(C527,'[1]phenotypes-895'!$A$2:$I$896,9,FALSE)</f>
        <v>0</v>
      </c>
      <c r="L527" s="1">
        <v>-0.12712399999999999</v>
      </c>
      <c r="M527" s="4">
        <v>0</v>
      </c>
      <c r="N527" s="1">
        <v>-1.7412400000000001E-2</v>
      </c>
      <c r="O527" s="8">
        <v>0</v>
      </c>
      <c r="P527" s="1">
        <v>2.26967E-2</v>
      </c>
      <c r="Q527">
        <v>1.083</v>
      </c>
      <c r="R527" s="1">
        <v>1.3961599999999999E-2</v>
      </c>
      <c r="S527" s="2">
        <v>0.03</v>
      </c>
    </row>
    <row r="528" spans="1:19" x14ac:dyDescent="0.2">
      <c r="A528">
        <v>527</v>
      </c>
      <c r="B528">
        <v>26</v>
      </c>
      <c r="C528" t="s">
        <v>526</v>
      </c>
      <c r="D528" s="13" t="s">
        <v>913</v>
      </c>
      <c r="E528" s="1">
        <v>4.9606700000000004</v>
      </c>
      <c r="F528">
        <v>4.1878500000000001</v>
      </c>
      <c r="G528" s="1">
        <v>4.9736785885558197</v>
      </c>
      <c r="H528" s="1">
        <v>4.1965279835073801</v>
      </c>
      <c r="I528">
        <f>VLOOKUP(C528,'[1]phenotypes-895'!$A$2:$G$896,7,FALSE)</f>
        <v>68</v>
      </c>
      <c r="J528" s="1">
        <v>-4.6336000000000002E-2</v>
      </c>
      <c r="K528" s="1">
        <f>VLOOKUP(C528,'[1]phenotypes-895'!$A$2:$I$896,9,FALSE)</f>
        <v>0.60562034307865975</v>
      </c>
      <c r="L528" s="1">
        <v>-0.115757</v>
      </c>
      <c r="M528" s="4">
        <v>4.5280533721238596</v>
      </c>
      <c r="N528" s="1">
        <v>-2.4295799999999999E-2</v>
      </c>
      <c r="O528" s="8">
        <v>1</v>
      </c>
      <c r="P528" s="1">
        <v>0.16540099999999999</v>
      </c>
      <c r="Q528">
        <v>1.198</v>
      </c>
      <c r="R528" s="1">
        <v>5.69753E-2</v>
      </c>
      <c r="S528" s="2">
        <v>0.06</v>
      </c>
    </row>
    <row r="529" spans="1:19" x14ac:dyDescent="0.2">
      <c r="A529">
        <v>528</v>
      </c>
      <c r="B529">
        <v>49</v>
      </c>
      <c r="C529" t="s">
        <v>527</v>
      </c>
      <c r="D529" s="13" t="s">
        <v>912</v>
      </c>
      <c r="E529" s="1">
        <v>1.20912</v>
      </c>
      <c r="F529">
        <v>3.5979299999999999</v>
      </c>
      <c r="G529" s="1">
        <v>1.1845489042742301</v>
      </c>
      <c r="H529" s="1">
        <v>3.5902727512180501</v>
      </c>
      <c r="I529">
        <f>VLOOKUP(C529,'[1]phenotypes-895'!$A$2:$G$896,7,FALSE)</f>
        <v>78</v>
      </c>
      <c r="J529" s="1">
        <v>-2.0651799999999998E-3</v>
      </c>
      <c r="K529" s="1">
        <f>VLOOKUP(C529,'[1]phenotypes-895'!$A$2:$I$896,9,FALSE)</f>
        <v>0.32520575458984591</v>
      </c>
      <c r="L529" s="1">
        <v>-6.3938900000000007E-2</v>
      </c>
      <c r="M529" s="4">
        <v>4.3128006881961829</v>
      </c>
      <c r="N529" s="1">
        <v>-1.6619099999999999E-4</v>
      </c>
      <c r="O529" s="8">
        <v>1</v>
      </c>
      <c r="P529" s="1">
        <v>-0.14432400000000001</v>
      </c>
      <c r="Q529">
        <v>0.76</v>
      </c>
      <c r="R529" s="1">
        <v>-5.3770100000000001E-2</v>
      </c>
      <c r="S529" s="2">
        <v>-0.09</v>
      </c>
    </row>
    <row r="530" spans="1:19" x14ac:dyDescent="0.2">
      <c r="A530">
        <v>529</v>
      </c>
      <c r="B530">
        <v>49</v>
      </c>
      <c r="C530" t="s">
        <v>528</v>
      </c>
      <c r="D530" s="13" t="s">
        <v>912</v>
      </c>
      <c r="E530" s="1">
        <v>2.4010600000000002</v>
      </c>
      <c r="F530">
        <v>4.4188900000000002</v>
      </c>
      <c r="G530" s="1">
        <v>2.3863333381898699</v>
      </c>
      <c r="H530" s="1">
        <v>4.4170684992710996</v>
      </c>
      <c r="I530">
        <f>VLOOKUP(C530,'[1]phenotypes-895'!$A$2:$G$896,7,FALSE)</f>
        <v>72</v>
      </c>
      <c r="J530" s="1">
        <v>-1.5912099999999998E-2</v>
      </c>
      <c r="K530" s="1">
        <f>VLOOKUP(C530,'[1]phenotypes-895'!$A$2:$I$896,9,FALSE)</f>
        <v>0.49668662869003372</v>
      </c>
      <c r="L530" s="1">
        <v>-1.0906799999999999E-3</v>
      </c>
      <c r="M530" s="4">
        <v>3.8129888505062022</v>
      </c>
      <c r="N530" s="1">
        <v>5.1602400000000002E-4</v>
      </c>
      <c r="O530" s="8">
        <v>1</v>
      </c>
      <c r="P530" s="1">
        <v>-0.186005</v>
      </c>
      <c r="Q530">
        <v>0.70799999999999996</v>
      </c>
      <c r="R530" s="1">
        <v>-7.1072899999999994E-2</v>
      </c>
      <c r="S530" s="2">
        <v>-0.11</v>
      </c>
    </row>
    <row r="531" spans="1:19" x14ac:dyDescent="0.2">
      <c r="A531">
        <v>530</v>
      </c>
      <c r="B531">
        <v>33</v>
      </c>
      <c r="C531" t="s">
        <v>529</v>
      </c>
      <c r="D531" s="13" t="s">
        <v>913</v>
      </c>
      <c r="E531" s="1">
        <v>-1.82972</v>
      </c>
      <c r="F531">
        <v>-2.3907799999999999</v>
      </c>
      <c r="G531" s="1">
        <v>-1.7897059291978601</v>
      </c>
      <c r="H531" s="1">
        <v>-2.3469078940897901</v>
      </c>
      <c r="I531">
        <f>VLOOKUP(C531,'[1]phenotypes-895'!$A$2:$G$896,7,FALSE)</f>
        <v>75</v>
      </c>
      <c r="J531" s="1">
        <v>3.05951E-2</v>
      </c>
      <c r="K531" s="1">
        <f>VLOOKUP(C531,'[1]phenotypes-895'!$A$2:$I$896,9,FALSE)</f>
        <v>0.48441107644156328</v>
      </c>
      <c r="L531" s="1">
        <v>9.3934799999999999E-2</v>
      </c>
      <c r="M531" s="4">
        <v>3.8915543535605401</v>
      </c>
      <c r="N531" s="1">
        <v>1.753E-2</v>
      </c>
      <c r="O531" s="8">
        <v>1</v>
      </c>
      <c r="P531" s="1">
        <v>4.0319300000000002E-2</v>
      </c>
      <c r="Q531">
        <v>0.95299999999999996</v>
      </c>
      <c r="R531" s="1">
        <v>2.2105099999999999E-2</v>
      </c>
      <c r="S531" s="2">
        <v>-0.02</v>
      </c>
    </row>
    <row r="532" spans="1:19" x14ac:dyDescent="0.2">
      <c r="A532">
        <v>531</v>
      </c>
      <c r="B532">
        <v>34</v>
      </c>
      <c r="C532" t="s">
        <v>530</v>
      </c>
      <c r="D532" s="13" t="s">
        <v>913</v>
      </c>
      <c r="E532" s="1">
        <v>-3.6718299999999999</v>
      </c>
      <c r="F532">
        <v>-3.7749299999999999</v>
      </c>
      <c r="G532" s="1">
        <v>-3.67184674720249</v>
      </c>
      <c r="H532" s="1">
        <v>-3.7837424141395699</v>
      </c>
      <c r="I532">
        <f>VLOOKUP(C532,'[1]phenotypes-895'!$A$2:$G$896,7,FALSE)</f>
        <v>58</v>
      </c>
      <c r="J532" s="1">
        <v>0.11494699999999999</v>
      </c>
      <c r="K532" s="1">
        <f>VLOOKUP(C532,'[1]phenotypes-895'!$A$2:$I$896,9,FALSE)</f>
        <v>1.227401315433529</v>
      </c>
      <c r="L532" s="1">
        <v>0.24401900000000001</v>
      </c>
      <c r="M532" s="4">
        <v>5.2508890661997709</v>
      </c>
      <c r="N532" s="1">
        <v>1.8334099999999999E-2</v>
      </c>
      <c r="O532" s="8">
        <v>1</v>
      </c>
      <c r="P532" s="1">
        <v>3.8681699999999999E-2</v>
      </c>
      <c r="Q532">
        <v>1.018</v>
      </c>
      <c r="R532" s="1">
        <v>2.01099E-2</v>
      </c>
      <c r="S532" s="2">
        <v>0.01</v>
      </c>
    </row>
    <row r="533" spans="1:19" x14ac:dyDescent="0.2">
      <c r="A533">
        <v>532</v>
      </c>
      <c r="B533">
        <v>44</v>
      </c>
      <c r="C533" t="s">
        <v>531</v>
      </c>
      <c r="D533" s="13" t="s">
        <v>912</v>
      </c>
      <c r="E533" s="1">
        <v>-2.3035999999999999</v>
      </c>
      <c r="F533">
        <v>0.46106000000000003</v>
      </c>
      <c r="G533" s="1">
        <v>-2.3131396875452199</v>
      </c>
      <c r="H533" s="1">
        <v>0.45694769785332301</v>
      </c>
      <c r="I533">
        <f>VLOOKUP(C533,'[1]phenotypes-895'!$A$2:$G$896,7,FALSE)</f>
        <v>77</v>
      </c>
      <c r="J533" s="1">
        <v>-1.0991300000000001E-2</v>
      </c>
      <c r="K533" s="1">
        <f>VLOOKUP(C533,'[1]phenotypes-895'!$A$2:$I$896,9,FALSE)</f>
        <v>0.48214645177698878</v>
      </c>
      <c r="L533" s="1">
        <v>4.2222200000000001E-2</v>
      </c>
      <c r="M533" s="4">
        <v>4.4468875580607969</v>
      </c>
      <c r="N533" s="1">
        <v>-2.8822100000000001E-3</v>
      </c>
      <c r="O533" s="8">
        <v>1</v>
      </c>
      <c r="P533" s="1">
        <v>-0.13616500000000001</v>
      </c>
      <c r="Q533">
        <v>0.71499999999999997</v>
      </c>
      <c r="R533" s="1">
        <v>-5.2706799999999998E-2</v>
      </c>
      <c r="S533" s="2">
        <v>-0.11</v>
      </c>
    </row>
    <row r="534" spans="1:19" x14ac:dyDescent="0.2">
      <c r="A534">
        <v>533</v>
      </c>
      <c r="B534">
        <v>42</v>
      </c>
      <c r="C534" t="s">
        <v>532</v>
      </c>
      <c r="D534" s="13" t="s">
        <v>912</v>
      </c>
      <c r="E534" s="1">
        <v>-2.6052399999999998</v>
      </c>
      <c r="F534">
        <v>9.2672900000000002E-2</v>
      </c>
      <c r="G534" s="1">
        <v>-2.6622507658951</v>
      </c>
      <c r="H534" s="1">
        <v>4.3046184559469201E-2</v>
      </c>
      <c r="I534">
        <f>VLOOKUP(C534,'[1]phenotypes-895'!$A$2:$G$896,7,FALSE)</f>
        <v>40</v>
      </c>
      <c r="J534" s="1">
        <v>6.0560500000000003E-2</v>
      </c>
      <c r="K534" s="1">
        <f>VLOOKUP(C534,'[1]phenotypes-895'!$A$2:$I$896,9,FALSE)</f>
        <v>0.69118734316310648</v>
      </c>
      <c r="L534" s="1">
        <v>9.74883E-2</v>
      </c>
      <c r="M534" s="4">
        <v>3.9626253987499322</v>
      </c>
      <c r="N534" s="1">
        <v>2.9277999999999998E-2</v>
      </c>
      <c r="O534" s="8">
        <v>1</v>
      </c>
      <c r="P534" s="1">
        <v>-0.22187999999999999</v>
      </c>
      <c r="Q534">
        <v>0.60299999999999998</v>
      </c>
      <c r="R534" s="1">
        <v>-9.4342400000000007E-2</v>
      </c>
      <c r="S534" s="2">
        <v>-0.17</v>
      </c>
    </row>
    <row r="535" spans="1:19" x14ac:dyDescent="0.2">
      <c r="A535">
        <v>534</v>
      </c>
      <c r="B535">
        <v>31</v>
      </c>
      <c r="C535" t="s">
        <v>533</v>
      </c>
      <c r="D535" s="13" t="s">
        <v>913</v>
      </c>
      <c r="E535" s="1">
        <v>0.52198</v>
      </c>
      <c r="F535">
        <v>0.20145299999999999</v>
      </c>
      <c r="G535" s="1">
        <v>0.54053022543913298</v>
      </c>
      <c r="H535" s="1">
        <v>0.223294179710604</v>
      </c>
      <c r="I535">
        <f>VLOOKUP(C535,'[1]phenotypes-895'!$A$2:$G$896,7,FALSE)</f>
        <v>64</v>
      </c>
      <c r="J535" s="1">
        <v>2.7319E-2</v>
      </c>
      <c r="K535" s="1">
        <f>VLOOKUP(C535,'[1]phenotypes-895'!$A$2:$I$896,9,FALSE)</f>
        <v>0.48787629957041778</v>
      </c>
      <c r="L535" s="1">
        <v>8.68617E-2</v>
      </c>
      <c r="M535" s="4">
        <v>4.2163084132636257</v>
      </c>
      <c r="N535" s="1">
        <v>-1.6733E-3</v>
      </c>
      <c r="O535" s="8">
        <v>1</v>
      </c>
      <c r="P535" s="1">
        <v>5.2732599999999998E-2</v>
      </c>
      <c r="Q535">
        <v>1.0640000000000001</v>
      </c>
      <c r="R535" s="1">
        <v>2.53408E-2</v>
      </c>
      <c r="S535" s="2">
        <v>0.02</v>
      </c>
    </row>
    <row r="536" spans="1:19" x14ac:dyDescent="0.2">
      <c r="A536">
        <v>535</v>
      </c>
      <c r="B536">
        <v>36</v>
      </c>
      <c r="C536" t="s">
        <v>534</v>
      </c>
      <c r="D536" s="13" t="s">
        <v>913</v>
      </c>
      <c r="E536" s="1">
        <v>3.4720900000000001</v>
      </c>
      <c r="F536">
        <v>4.5901699999999996</v>
      </c>
      <c r="G536" s="1">
        <v>3.4538347727361298</v>
      </c>
      <c r="H536" s="1">
        <v>4.5653816744090099</v>
      </c>
      <c r="I536">
        <f>VLOOKUP(C536,'[1]phenotypes-895'!$A$2:$G$896,7,FALSE)</f>
        <v>98</v>
      </c>
      <c r="J536" s="1">
        <v>-0.10413600000000001</v>
      </c>
      <c r="K536" s="1">
        <f>VLOOKUP(C536,'[1]phenotypes-895'!$A$2:$I$896,9,FALSE)</f>
        <v>0</v>
      </c>
      <c r="L536" s="1">
        <v>-0.173508</v>
      </c>
      <c r="M536" s="4">
        <v>0</v>
      </c>
      <c r="N536" s="1">
        <v>-3.7789299999999998E-2</v>
      </c>
      <c r="O536" s="8">
        <v>0</v>
      </c>
      <c r="P536" s="1">
        <v>8.52044E-2</v>
      </c>
      <c r="Q536">
        <v>1.2669999999999999</v>
      </c>
      <c r="R536" s="1">
        <v>2.2184700000000002E-2</v>
      </c>
      <c r="S536" s="2">
        <v>7.0000000000000007E-2</v>
      </c>
    </row>
    <row r="537" spans="1:19" x14ac:dyDescent="0.2">
      <c r="A537">
        <v>536</v>
      </c>
      <c r="B537">
        <v>40</v>
      </c>
      <c r="C537" t="s">
        <v>535</v>
      </c>
      <c r="D537" s="13" t="s">
        <v>913</v>
      </c>
      <c r="E537" s="1">
        <v>-1.6312</v>
      </c>
      <c r="F537">
        <v>-2.2634099999999999</v>
      </c>
      <c r="G537" s="1">
        <v>-1.65469228192447</v>
      </c>
      <c r="H537" s="1">
        <v>-2.2851626637579399</v>
      </c>
      <c r="I537">
        <f>VLOOKUP(C537,'[1]phenotypes-895'!$A$2:$G$896,7,FALSE)</f>
        <v>68</v>
      </c>
      <c r="J537" s="1">
        <v>2.54477E-2</v>
      </c>
      <c r="K537" s="1">
        <f>VLOOKUP(C537,'[1]phenotypes-895'!$A$2:$I$896,9,FALSE)</f>
        <v>0.51009052026907786</v>
      </c>
      <c r="L537" s="1">
        <v>-8.9032499999999997E-3</v>
      </c>
      <c r="M537" s="4">
        <v>4.633498984539556</v>
      </c>
      <c r="N537" s="1">
        <v>1.86272E-2</v>
      </c>
      <c r="O537" s="8">
        <v>1</v>
      </c>
      <c r="P537" s="1">
        <v>7.2376999999999997E-2</v>
      </c>
      <c r="Q537">
        <v>1.0449999999999999</v>
      </c>
      <c r="R537" s="1">
        <v>3.3109899999999998E-2</v>
      </c>
      <c r="S537" s="2">
        <v>0.01</v>
      </c>
    </row>
    <row r="538" spans="1:19" x14ac:dyDescent="0.2">
      <c r="A538">
        <v>537</v>
      </c>
      <c r="B538">
        <v>26</v>
      </c>
      <c r="C538" t="s">
        <v>536</v>
      </c>
      <c r="D538" s="13" t="s">
        <v>913</v>
      </c>
      <c r="E538" s="1">
        <v>4.5863899999999997</v>
      </c>
      <c r="F538">
        <v>3.71252</v>
      </c>
      <c r="G538" s="1">
        <v>4.6176089494121602</v>
      </c>
      <c r="H538" s="1">
        <v>3.7483434304190699</v>
      </c>
      <c r="I538">
        <f>VLOOKUP(C538,'[1]phenotypes-895'!$A$2:$G$896,7,FALSE)</f>
        <v>85</v>
      </c>
      <c r="J538" s="1">
        <v>-3.0113299999999999E-2</v>
      </c>
      <c r="K538" s="1">
        <f>VLOOKUP(C538,'[1]phenotypes-895'!$A$2:$I$896,9,FALSE)</f>
        <v>0.41887490970767421</v>
      </c>
      <c r="L538" s="1">
        <v>-7.8277299999999994E-2</v>
      </c>
      <c r="M538" s="4">
        <v>4.7497736944481321</v>
      </c>
      <c r="N538" s="1">
        <v>-1.7138400000000002E-2</v>
      </c>
      <c r="O538" s="8">
        <v>1</v>
      </c>
      <c r="P538" s="1">
        <v>0.147392</v>
      </c>
      <c r="Q538">
        <v>1.2490000000000001</v>
      </c>
      <c r="R538" s="1">
        <v>5.16123E-2</v>
      </c>
      <c r="S538" s="2">
        <v>7.0000000000000007E-2</v>
      </c>
    </row>
    <row r="539" spans="1:19" x14ac:dyDescent="0.2">
      <c r="A539">
        <v>538</v>
      </c>
      <c r="B539">
        <v>25</v>
      </c>
      <c r="C539" t="s">
        <v>537</v>
      </c>
      <c r="D539" s="13" t="s">
        <v>913</v>
      </c>
      <c r="E539" s="1">
        <v>7.12507</v>
      </c>
      <c r="F539">
        <v>6.7565600000000003</v>
      </c>
      <c r="G539" s="1">
        <v>7.1643470800156503</v>
      </c>
      <c r="H539" s="1">
        <v>6.8053087210185197</v>
      </c>
      <c r="I539">
        <f>VLOOKUP(C539,'[1]phenotypes-895'!$A$2:$G$896,7,FALSE)</f>
        <v>98</v>
      </c>
      <c r="J539" s="1">
        <v>-9.7106999999999999E-2</v>
      </c>
      <c r="K539" s="1">
        <f>VLOOKUP(C539,'[1]phenotypes-895'!$A$2:$I$896,9,FALSE)</f>
        <v>0</v>
      </c>
      <c r="L539" s="1">
        <v>-0.185136</v>
      </c>
      <c r="M539" s="4">
        <v>0</v>
      </c>
      <c r="N539" s="1">
        <v>-2.1800900000000002E-2</v>
      </c>
      <c r="O539" s="8">
        <v>0</v>
      </c>
      <c r="P539" s="1">
        <v>0.13309599999999999</v>
      </c>
      <c r="Q539">
        <v>1.0940000000000001</v>
      </c>
      <c r="R539" s="1">
        <v>4.8007099999999997E-2</v>
      </c>
      <c r="S539" s="2">
        <v>0.03</v>
      </c>
    </row>
    <row r="540" spans="1:19" x14ac:dyDescent="0.2">
      <c r="A540">
        <v>539</v>
      </c>
      <c r="B540">
        <v>49</v>
      </c>
      <c r="C540" t="s">
        <v>538</v>
      </c>
      <c r="D540" s="13" t="s">
        <v>912</v>
      </c>
      <c r="E540" s="1">
        <v>-0.60607900000000003</v>
      </c>
      <c r="F540">
        <v>1.55894</v>
      </c>
      <c r="G540" s="1">
        <v>-0.66127970457393703</v>
      </c>
      <c r="H540" s="1">
        <v>1.51340943431523</v>
      </c>
      <c r="I540">
        <f>VLOOKUP(C540,'[1]phenotypes-895'!$A$2:$G$896,7,FALSE)</f>
        <v>56</v>
      </c>
      <c r="J540" s="1">
        <v>1.1242699999999999E-3</v>
      </c>
      <c r="K540" s="1">
        <f>VLOOKUP(C540,'[1]phenotypes-895'!$A$2:$I$896,9,FALSE)</f>
        <v>0.53939802144809701</v>
      </c>
      <c r="L540" s="1">
        <v>-3.86699E-2</v>
      </c>
      <c r="M540" s="4">
        <v>4.0815971169029606</v>
      </c>
      <c r="N540" s="1">
        <v>-1.9135700000000001E-3</v>
      </c>
      <c r="O540" s="8">
        <v>1</v>
      </c>
      <c r="P540" s="1">
        <v>-0.14363899999999999</v>
      </c>
      <c r="Q540">
        <v>0.73399999999999999</v>
      </c>
      <c r="R540" s="1">
        <v>-5.2261200000000001E-2</v>
      </c>
      <c r="S540" s="2">
        <v>-0.1</v>
      </c>
    </row>
    <row r="541" spans="1:19" x14ac:dyDescent="0.2">
      <c r="A541">
        <v>540</v>
      </c>
      <c r="B541">
        <v>26</v>
      </c>
      <c r="C541" t="s">
        <v>539</v>
      </c>
      <c r="D541" s="13" t="s">
        <v>913</v>
      </c>
      <c r="E541" s="1">
        <v>5.2370900000000002</v>
      </c>
      <c r="F541">
        <v>4.4063499999999998</v>
      </c>
      <c r="G541" s="1">
        <v>5.2068829097124896</v>
      </c>
      <c r="H541" s="1">
        <v>4.3706928684611297</v>
      </c>
      <c r="I541">
        <f>VLOOKUP(C541,'[1]phenotypes-895'!$A$2:$G$896,7,FALSE)</f>
        <v>67</v>
      </c>
      <c r="J541" s="1">
        <v>-5.7880599999999997E-2</v>
      </c>
      <c r="K541" s="1">
        <f>VLOOKUP(C541,'[1]phenotypes-895'!$A$2:$I$896,9,FALSE)</f>
        <v>0.50599359288076795</v>
      </c>
      <c r="L541" s="1">
        <v>-0.134823</v>
      </c>
      <c r="M541" s="4">
        <v>4.1573656379813437</v>
      </c>
      <c r="N541" s="1">
        <v>-2.3621900000000001E-2</v>
      </c>
      <c r="O541" s="8">
        <v>1</v>
      </c>
      <c r="P541" s="1">
        <v>0.12583900000000001</v>
      </c>
      <c r="Q541">
        <v>1.238</v>
      </c>
      <c r="R541" s="1">
        <v>4.3601500000000001E-2</v>
      </c>
      <c r="S541" s="2">
        <v>7.0000000000000007E-2</v>
      </c>
    </row>
    <row r="542" spans="1:19" x14ac:dyDescent="0.2">
      <c r="A542">
        <v>541</v>
      </c>
      <c r="B542">
        <v>45</v>
      </c>
      <c r="C542" t="s">
        <v>540</v>
      </c>
      <c r="D542" s="13" t="s">
        <v>912</v>
      </c>
      <c r="E542" s="1">
        <v>0.96209500000000003</v>
      </c>
      <c r="F542">
        <v>3.0051299999999999</v>
      </c>
      <c r="G542" s="1">
        <v>0.93384182826250905</v>
      </c>
      <c r="H542" s="1">
        <v>2.9793041428901401</v>
      </c>
      <c r="I542">
        <f>VLOOKUP(C542,'[1]phenotypes-895'!$A$2:$G$896,7,FALSE)</f>
        <v>65</v>
      </c>
      <c r="J542" s="1">
        <v>-3.3719800000000001E-2</v>
      </c>
      <c r="K542" s="1">
        <f>VLOOKUP(C542,'[1]phenotypes-895'!$A$2:$I$896,9,FALSE)</f>
        <v>0.42846263072252838</v>
      </c>
      <c r="L542" s="1">
        <v>-5.0336899999999997E-2</v>
      </c>
      <c r="M542" s="4">
        <v>3.5235726688891185</v>
      </c>
      <c r="N542" s="1">
        <v>1.27367E-2</v>
      </c>
      <c r="O542" s="8">
        <v>1</v>
      </c>
      <c r="P542" s="1">
        <v>-0.136383</v>
      </c>
      <c r="Q542">
        <v>0.66900000000000004</v>
      </c>
      <c r="R542" s="1">
        <v>-5.1192700000000001E-2</v>
      </c>
      <c r="S542" s="2">
        <v>-0.14000000000000001</v>
      </c>
    </row>
    <row r="543" spans="1:19" x14ac:dyDescent="0.2">
      <c r="A543">
        <v>542</v>
      </c>
      <c r="B543">
        <v>53</v>
      </c>
      <c r="C543" t="s">
        <v>541</v>
      </c>
      <c r="D543" s="13" t="s">
        <v>912</v>
      </c>
      <c r="E543" s="1">
        <v>0.22178500000000001</v>
      </c>
      <c r="F543">
        <v>1.5316399999999999</v>
      </c>
      <c r="G543" s="1">
        <v>0.19284501086317701</v>
      </c>
      <c r="H543" s="1">
        <v>1.5162455803757799</v>
      </c>
      <c r="I543">
        <f>VLOOKUP(C543,'[1]phenotypes-895'!$A$2:$G$896,7,FALSE)</f>
        <v>70</v>
      </c>
      <c r="J543" s="1">
        <v>4.5318399999999997E-3</v>
      </c>
      <c r="K543" s="1">
        <f>VLOOKUP(C543,'[1]phenotypes-895'!$A$2:$I$896,9,FALSE)</f>
        <v>0.42606773001157328</v>
      </c>
      <c r="L543" s="1">
        <v>0.22566600000000001</v>
      </c>
      <c r="M543" s="4">
        <v>4.7296743485578991</v>
      </c>
      <c r="N543" s="1">
        <v>2.2794299999999998E-3</v>
      </c>
      <c r="O543" s="8">
        <v>1</v>
      </c>
      <c r="P543" s="1">
        <v>-0.10555100000000001</v>
      </c>
      <c r="Q543">
        <v>0.50600000000000001</v>
      </c>
      <c r="R543" s="1">
        <v>-4.2882000000000003E-2</v>
      </c>
      <c r="S543" s="2">
        <v>-0.23</v>
      </c>
    </row>
    <row r="544" spans="1:19" x14ac:dyDescent="0.2">
      <c r="A544">
        <v>543</v>
      </c>
      <c r="B544">
        <v>53</v>
      </c>
      <c r="C544" t="s">
        <v>542</v>
      </c>
      <c r="D544" s="13" t="s">
        <v>912</v>
      </c>
      <c r="E544" s="1">
        <v>5.5727700000000002</v>
      </c>
      <c r="F544">
        <v>7.9142999999999999</v>
      </c>
      <c r="G544" s="1">
        <v>5.5475893693265697</v>
      </c>
      <c r="H544" s="1">
        <v>7.9071991003221402</v>
      </c>
      <c r="I544">
        <f>VLOOKUP(C544,'[1]phenotypes-895'!$A$2:$G$896,7,FALSE)</f>
        <v>98</v>
      </c>
      <c r="J544" s="1">
        <v>-8.4872000000000003E-2</v>
      </c>
      <c r="K544" s="1">
        <f>VLOOKUP(C544,'[1]phenotypes-895'!$A$2:$I$896,9,FALSE)</f>
        <v>0.1701991631895976</v>
      </c>
      <c r="L544" s="1">
        <v>4.6339299999999996E-3</v>
      </c>
      <c r="M544" s="4">
        <v>4.0043147253162275</v>
      </c>
      <c r="N544" s="1">
        <v>-1.3239600000000001E-2</v>
      </c>
      <c r="O544" s="8">
        <v>1</v>
      </c>
      <c r="P544" s="1">
        <v>-0.108074</v>
      </c>
      <c r="Q544">
        <v>0.57299999999999995</v>
      </c>
      <c r="R544" s="1">
        <v>-5.6095199999999998E-2</v>
      </c>
      <c r="S544" s="2">
        <v>-0.19</v>
      </c>
    </row>
    <row r="545" spans="1:19" x14ac:dyDescent="0.2">
      <c r="A545">
        <v>544</v>
      </c>
      <c r="B545">
        <v>39</v>
      </c>
      <c r="C545" t="s">
        <v>543</v>
      </c>
      <c r="D545" s="13" t="s">
        <v>913</v>
      </c>
      <c r="E545" s="1">
        <v>7.2683900000000001</v>
      </c>
      <c r="F545">
        <v>6.9169299999999998</v>
      </c>
      <c r="G545" s="1">
        <v>7.2932048808349297</v>
      </c>
      <c r="H545" s="1">
        <v>6.9389648876650396</v>
      </c>
      <c r="I545">
        <f>VLOOKUP(C545,'[1]phenotypes-895'!$A$2:$G$896,7,FALSE)</f>
        <v>98</v>
      </c>
      <c r="J545" s="1">
        <v>-0.111348</v>
      </c>
      <c r="K545" s="1">
        <f>VLOOKUP(C545,'[1]phenotypes-895'!$A$2:$I$896,9,FALSE)</f>
        <v>0.32642503497008207</v>
      </c>
      <c r="L545" s="1">
        <v>1.0511700000000001E-2</v>
      </c>
      <c r="M545" s="4">
        <v>4.9455079587043533</v>
      </c>
      <c r="N545" s="1">
        <v>-3.00203E-2</v>
      </c>
      <c r="O545" s="8">
        <v>1</v>
      </c>
      <c r="P545" s="1">
        <v>3.48785E-2</v>
      </c>
      <c r="Q545">
        <v>1.06</v>
      </c>
      <c r="R545" s="1">
        <v>1.94392E-2</v>
      </c>
      <c r="S545" s="2">
        <v>0.02</v>
      </c>
    </row>
    <row r="546" spans="1:19" x14ac:dyDescent="0.2">
      <c r="A546">
        <v>545</v>
      </c>
      <c r="B546">
        <v>28</v>
      </c>
      <c r="C546" t="s">
        <v>544</v>
      </c>
      <c r="D546" s="13" t="s">
        <v>913</v>
      </c>
      <c r="E546" s="1">
        <v>-7.59931</v>
      </c>
      <c r="F546">
        <v>-9.9453700000000005</v>
      </c>
      <c r="G546" s="1">
        <v>-7.6130127268063896</v>
      </c>
      <c r="H546" s="1">
        <v>-9.97579027624937</v>
      </c>
      <c r="I546">
        <f>VLOOKUP(C546,'[1]phenotypes-895'!$A$2:$G$896,7,FALSE)</f>
        <v>62</v>
      </c>
      <c r="J546" s="1">
        <v>9.5322799999999999E-2</v>
      </c>
      <c r="K546" s="1">
        <f>VLOOKUP(C546,'[1]phenotypes-895'!$A$2:$I$896,9,FALSE)</f>
        <v>0.55241002264314154</v>
      </c>
      <c r="L546" s="1">
        <v>0.101645</v>
      </c>
      <c r="M546" s="4">
        <v>4.6347907976973266</v>
      </c>
      <c r="N546" s="1">
        <v>3.2280499999999997E-2</v>
      </c>
      <c r="O546" s="8">
        <v>1</v>
      </c>
      <c r="P546" s="1">
        <v>6.8992300000000006E-2</v>
      </c>
      <c r="Q546">
        <v>1.2230000000000001</v>
      </c>
      <c r="R546" s="1">
        <v>1.9100800000000001E-2</v>
      </c>
      <c r="S546" s="2">
        <v>0.06</v>
      </c>
    </row>
    <row r="547" spans="1:19" x14ac:dyDescent="0.2">
      <c r="A547">
        <v>546</v>
      </c>
      <c r="B547">
        <v>54</v>
      </c>
      <c r="C547" t="s">
        <v>545</v>
      </c>
      <c r="D547" s="13" t="s">
        <v>912</v>
      </c>
      <c r="E547" s="1">
        <v>-0.31006499999999998</v>
      </c>
      <c r="F547">
        <v>1.67493</v>
      </c>
      <c r="G547" s="1">
        <v>-0.36465949357743699</v>
      </c>
      <c r="H547" s="1">
        <v>1.6259243303495701</v>
      </c>
      <c r="I547">
        <f>VLOOKUP(C547,'[1]phenotypes-895'!$A$2:$G$896,7,FALSE)</f>
        <v>98</v>
      </c>
      <c r="J547" s="1">
        <v>-2.4953300000000001E-2</v>
      </c>
      <c r="K547" s="1">
        <f>VLOOKUP(C547,'[1]phenotypes-895'!$A$2:$I$896,9,FALSE)</f>
        <v>0</v>
      </c>
      <c r="L547" s="1">
        <v>-7.9477400000000004E-2</v>
      </c>
      <c r="M547" s="4">
        <v>0</v>
      </c>
      <c r="N547" s="1">
        <v>-1.6327600000000001E-2</v>
      </c>
      <c r="O547" s="8">
        <v>0</v>
      </c>
      <c r="P547" s="1">
        <v>-0.129271</v>
      </c>
      <c r="Q547">
        <v>0.59799999999999998</v>
      </c>
      <c r="R547" s="1">
        <v>-5.4189399999999999E-2</v>
      </c>
      <c r="S547" s="2">
        <v>-0.17</v>
      </c>
    </row>
    <row r="548" spans="1:19" x14ac:dyDescent="0.2">
      <c r="A548">
        <v>547</v>
      </c>
      <c r="B548">
        <v>45</v>
      </c>
      <c r="C548" t="s">
        <v>546</v>
      </c>
      <c r="D548" s="13" t="s">
        <v>912</v>
      </c>
      <c r="E548" s="1">
        <v>2.5877599999999998</v>
      </c>
      <c r="F548">
        <v>4.9174300000000004</v>
      </c>
      <c r="G548" s="1">
        <v>2.5859107768188498</v>
      </c>
      <c r="H548" s="1">
        <v>4.9220427131690503</v>
      </c>
      <c r="I548">
        <f>VLOOKUP(C548,'[1]phenotypes-895'!$A$2:$G$896,7,FALSE)</f>
        <v>77</v>
      </c>
      <c r="J548" s="1">
        <v>-3.3348999999999997E-2</v>
      </c>
      <c r="K548" s="1">
        <f>VLOOKUP(C548,'[1]phenotypes-895'!$A$2:$I$896,9,FALSE)</f>
        <v>0.45895124451300728</v>
      </c>
      <c r="L548" s="1">
        <v>9.4447100000000003E-3</v>
      </c>
      <c r="M548" s="4">
        <v>4.1251882369213613</v>
      </c>
      <c r="N548" s="1">
        <v>1.4275400000000001E-2</v>
      </c>
      <c r="O548" s="8">
        <v>1</v>
      </c>
      <c r="P548" s="1">
        <v>-0.12609300000000001</v>
      </c>
      <c r="Q548">
        <v>0.72899999999999998</v>
      </c>
      <c r="R548" s="1">
        <v>-5.0837500000000001E-2</v>
      </c>
      <c r="S548" s="2">
        <v>-0.11</v>
      </c>
    </row>
    <row r="549" spans="1:19" x14ac:dyDescent="0.2">
      <c r="A549">
        <v>548</v>
      </c>
      <c r="B549">
        <v>44</v>
      </c>
      <c r="C549" t="s">
        <v>547</v>
      </c>
      <c r="D549" s="13" t="s">
        <v>912</v>
      </c>
      <c r="E549" s="1">
        <v>2.4674100000000001</v>
      </c>
      <c r="F549">
        <v>4.6287900000000004</v>
      </c>
      <c r="G549" s="1">
        <v>2.4300064926369198</v>
      </c>
      <c r="H549" s="1">
        <v>4.5941887452426702</v>
      </c>
      <c r="I549">
        <f>VLOOKUP(C549,'[1]phenotypes-895'!$A$2:$G$896,7,FALSE)</f>
        <v>54</v>
      </c>
      <c r="J549" s="1">
        <v>-1.3432899999999999E-2</v>
      </c>
      <c r="K549" s="1">
        <f>VLOOKUP(C549,'[1]phenotypes-895'!$A$2:$I$896,9,FALSE)</f>
        <v>0.92881484540637682</v>
      </c>
      <c r="L549" s="1">
        <v>0.390345</v>
      </c>
      <c r="M549" s="4">
        <v>5.5996121365674334</v>
      </c>
      <c r="N549" s="1">
        <v>-7.2642899999999996E-3</v>
      </c>
      <c r="O549" s="8">
        <v>1</v>
      </c>
      <c r="P549" s="1">
        <v>-0.148813</v>
      </c>
      <c r="Q549">
        <v>0.67600000000000005</v>
      </c>
      <c r="R549" s="1">
        <v>-6.3001799999999997E-2</v>
      </c>
      <c r="S549" s="2">
        <v>-0.13</v>
      </c>
    </row>
    <row r="550" spans="1:19" x14ac:dyDescent="0.2">
      <c r="A550">
        <v>549</v>
      </c>
      <c r="B550">
        <v>39</v>
      </c>
      <c r="C550" t="s">
        <v>548</v>
      </c>
      <c r="D550" s="13" t="s">
        <v>913</v>
      </c>
      <c r="E550" s="1">
        <v>2.8680699999999999</v>
      </c>
      <c r="F550">
        <v>4.1734900000000001</v>
      </c>
      <c r="G550" s="1">
        <v>2.8868558965041</v>
      </c>
      <c r="H550" s="1">
        <v>4.1897235313970302</v>
      </c>
      <c r="I550">
        <f>VLOOKUP(C550,'[1]phenotypes-895'!$A$2:$G$896,7,FALSE)</f>
        <v>98</v>
      </c>
      <c r="J550" s="1">
        <v>-3.3470300000000001E-2</v>
      </c>
      <c r="K550" s="1">
        <f>VLOOKUP(C550,'[1]phenotypes-895'!$A$2:$I$896,9,FALSE)</f>
        <v>0</v>
      </c>
      <c r="L550" s="1">
        <v>-1.4187E-3</v>
      </c>
      <c r="M550" s="4">
        <v>0</v>
      </c>
      <c r="N550" s="1">
        <v>-9.2739699999999994E-3</v>
      </c>
      <c r="O550" s="8">
        <v>0</v>
      </c>
      <c r="P550" s="1">
        <v>-0.128052</v>
      </c>
      <c r="Q550">
        <v>1.04</v>
      </c>
      <c r="R550" s="1">
        <v>-5.1214099999999999E-2</v>
      </c>
      <c r="S550" s="2">
        <v>0.01</v>
      </c>
    </row>
    <row r="551" spans="1:19" x14ac:dyDescent="0.2">
      <c r="A551">
        <v>550</v>
      </c>
      <c r="B551">
        <v>44</v>
      </c>
      <c r="C551" t="s">
        <v>549</v>
      </c>
      <c r="D551" s="13" t="s">
        <v>912</v>
      </c>
      <c r="E551" s="1">
        <v>3.9354699999999999E-2</v>
      </c>
      <c r="F551">
        <v>2.4026800000000001</v>
      </c>
      <c r="G551" s="1">
        <v>1.36714535002074E-2</v>
      </c>
      <c r="H551" s="1">
        <v>2.3841696554731202</v>
      </c>
      <c r="I551">
        <f>VLOOKUP(C551,'[1]phenotypes-895'!$A$2:$G$896,7,FALSE)</f>
        <v>45</v>
      </c>
      <c r="J551" s="1">
        <v>-5.4860799999999999E-3</v>
      </c>
      <c r="K551" s="1">
        <f>VLOOKUP(C551,'[1]phenotypes-895'!$A$2:$I$896,9,FALSE)</f>
        <v>0.55555181405248388</v>
      </c>
      <c r="L551" s="1">
        <v>0.27918599999999999</v>
      </c>
      <c r="M551" s="4">
        <v>3.7069704615772046</v>
      </c>
      <c r="N551" s="1">
        <v>-4.8670700000000003E-3</v>
      </c>
      <c r="O551" s="8">
        <v>1</v>
      </c>
      <c r="P551" s="1">
        <v>-0.16641600000000001</v>
      </c>
      <c r="Q551">
        <v>0.53600000000000003</v>
      </c>
      <c r="R551" s="1">
        <v>-7.2021299999999996E-2</v>
      </c>
      <c r="S551" s="2">
        <v>-0.21</v>
      </c>
    </row>
    <row r="552" spans="1:19" x14ac:dyDescent="0.2">
      <c r="A552">
        <v>551</v>
      </c>
      <c r="B552">
        <v>33</v>
      </c>
      <c r="C552" t="s">
        <v>550</v>
      </c>
      <c r="D552" s="13" t="s">
        <v>913</v>
      </c>
      <c r="E552" s="1">
        <v>-3.8136000000000001</v>
      </c>
      <c r="F552">
        <v>-3.8964099999999999</v>
      </c>
      <c r="G552" s="1">
        <v>-3.8671705248054602</v>
      </c>
      <c r="H552" s="1">
        <v>-3.9601241446543098</v>
      </c>
      <c r="I552">
        <f>VLOOKUP(C552,'[1]phenotypes-895'!$A$2:$G$896,7,FALSE)</f>
        <v>63</v>
      </c>
      <c r="J552" s="1">
        <v>2.9618800000000001E-2</v>
      </c>
      <c r="K552" s="1">
        <f>VLOOKUP(C552,'[1]phenotypes-895'!$A$2:$I$896,9,FALSE)</f>
        <v>0.51266580993662769</v>
      </c>
      <c r="L552" s="1">
        <v>-5.5298600000000003E-2</v>
      </c>
      <c r="M552" s="4">
        <v>3.9948070288339257</v>
      </c>
      <c r="N552" s="1">
        <v>-4.5714500000000003E-3</v>
      </c>
      <c r="O552" s="8">
        <v>1</v>
      </c>
      <c r="P552" s="1">
        <v>8.3146100000000003E-4</v>
      </c>
      <c r="Q552">
        <v>1.0209999999999999</v>
      </c>
      <c r="R552" s="1">
        <v>6.9934900000000004E-4</v>
      </c>
      <c r="S552" s="2">
        <v>0.01</v>
      </c>
    </row>
    <row r="553" spans="1:19" x14ac:dyDescent="0.2">
      <c r="A553">
        <v>552</v>
      </c>
      <c r="B553">
        <v>50</v>
      </c>
      <c r="C553" t="s">
        <v>551</v>
      </c>
      <c r="D553" s="13" t="s">
        <v>912</v>
      </c>
      <c r="E553" s="1">
        <v>-2.37473</v>
      </c>
      <c r="F553">
        <v>-0.223967</v>
      </c>
      <c r="G553" s="1">
        <v>-2.3933695121478999</v>
      </c>
      <c r="H553" s="1">
        <v>-0.24207369576146001</v>
      </c>
      <c r="I553">
        <f>VLOOKUP(C553,'[1]phenotypes-895'!$A$2:$G$896,7,FALSE)</f>
        <v>48</v>
      </c>
      <c r="J553" s="1">
        <v>-1.41747E-2</v>
      </c>
      <c r="K553" s="1">
        <f>VLOOKUP(C553,'[1]phenotypes-895'!$A$2:$I$896,9,FALSE)</f>
        <v>0.23665228157271931</v>
      </c>
      <c r="L553" s="1">
        <v>5.9136399999999999E-2</v>
      </c>
      <c r="M553" s="4">
        <v>3.2361219781926187</v>
      </c>
      <c r="N553" s="1">
        <v>2.25401E-2</v>
      </c>
      <c r="O553" s="8">
        <v>1</v>
      </c>
      <c r="P553" s="1">
        <v>-0.16868900000000001</v>
      </c>
      <c r="Q553">
        <v>0.58199999999999996</v>
      </c>
      <c r="R553" s="1">
        <v>-6.9036399999999998E-2</v>
      </c>
      <c r="S553" s="2">
        <v>-0.18</v>
      </c>
    </row>
    <row r="554" spans="1:19" x14ac:dyDescent="0.2">
      <c r="A554">
        <v>553</v>
      </c>
      <c r="B554">
        <v>25</v>
      </c>
      <c r="C554" t="s">
        <v>552</v>
      </c>
      <c r="D554" s="13" t="s">
        <v>913</v>
      </c>
      <c r="E554" s="1">
        <v>0.31051000000000001</v>
      </c>
      <c r="F554">
        <v>1.4279500000000001</v>
      </c>
      <c r="G554" s="1">
        <v>0.31762818209747601</v>
      </c>
      <c r="H554" s="1">
        <v>1.44648920431384</v>
      </c>
      <c r="I554">
        <f>VLOOKUP(C554,'[1]phenotypes-895'!$A$2:$G$896,7,FALSE)</f>
        <v>98</v>
      </c>
      <c r="J554" s="1">
        <v>-2.7411999999999999E-2</v>
      </c>
      <c r="K554" s="1">
        <f>VLOOKUP(C554,'[1]phenotypes-895'!$A$2:$I$896,9,FALSE)</f>
        <v>0</v>
      </c>
      <c r="L554" s="1">
        <v>2.8346699999999999E-2</v>
      </c>
      <c r="M554" s="4">
        <v>0</v>
      </c>
      <c r="N554" s="1">
        <v>-1.8345E-3</v>
      </c>
      <c r="O554" s="8">
        <v>0</v>
      </c>
      <c r="P554" s="1">
        <v>1.0511E-2</v>
      </c>
      <c r="Q554">
        <v>1.202</v>
      </c>
      <c r="R554" s="1">
        <v>4.5914500000000004E-3</v>
      </c>
      <c r="S554" s="2">
        <v>0.06</v>
      </c>
    </row>
    <row r="555" spans="1:19" x14ac:dyDescent="0.2">
      <c r="A555">
        <v>554</v>
      </c>
      <c r="B555">
        <v>33</v>
      </c>
      <c r="C555" t="s">
        <v>553</v>
      </c>
      <c r="D555" s="13" t="s">
        <v>913</v>
      </c>
      <c r="E555" s="1">
        <v>2.0415899999999998</v>
      </c>
      <c r="F555">
        <v>1.9914000000000001</v>
      </c>
      <c r="G555" s="1">
        <v>2.0372515924252701</v>
      </c>
      <c r="H555" s="1">
        <v>1.99663257935795</v>
      </c>
      <c r="I555">
        <f>VLOOKUP(C555,'[1]phenotypes-895'!$A$2:$G$896,7,FALSE)</f>
        <v>83</v>
      </c>
      <c r="J555" s="1">
        <v>-2.1291500000000001E-2</v>
      </c>
      <c r="K555" s="1">
        <f>VLOOKUP(C555,'[1]phenotypes-895'!$A$2:$I$896,9,FALSE)</f>
        <v>0.3244976241025363</v>
      </c>
      <c r="L555" s="1">
        <v>0.115318</v>
      </c>
      <c r="M555" s="4">
        <v>4.2678630286762615</v>
      </c>
      <c r="N555" s="1">
        <v>9.46082E-3</v>
      </c>
      <c r="O555" s="8">
        <v>1</v>
      </c>
      <c r="P555" s="1">
        <v>5.6951300000000003E-2</v>
      </c>
      <c r="Q555">
        <v>0.96399999999999997</v>
      </c>
      <c r="R555" s="1">
        <v>2.7498600000000002E-2</v>
      </c>
      <c r="S555" s="2">
        <v>-0.01</v>
      </c>
    </row>
    <row r="556" spans="1:19" x14ac:dyDescent="0.2">
      <c r="A556">
        <v>555</v>
      </c>
      <c r="B556">
        <v>39</v>
      </c>
      <c r="C556" t="s">
        <v>554</v>
      </c>
      <c r="D556" s="13" t="s">
        <v>913</v>
      </c>
      <c r="E556" s="1">
        <v>1.54758</v>
      </c>
      <c r="F556">
        <v>2.7856700000000001</v>
      </c>
      <c r="G556" s="1">
        <v>1.5261674691167799</v>
      </c>
      <c r="H556" s="1">
        <v>2.7594194007610202</v>
      </c>
      <c r="I556">
        <f>VLOOKUP(C556,'[1]phenotypes-895'!$A$2:$G$896,7,FALSE)</f>
        <v>98</v>
      </c>
      <c r="J556" s="1">
        <v>-2.76308E-2</v>
      </c>
      <c r="K556" s="1">
        <f>VLOOKUP(C556,'[1]phenotypes-895'!$A$2:$I$896,9,FALSE)</f>
        <v>0</v>
      </c>
      <c r="L556" s="1">
        <v>-9.7183500000000006E-2</v>
      </c>
      <c r="M556" s="4">
        <v>0</v>
      </c>
      <c r="N556" s="1">
        <v>7.2394499999999997E-3</v>
      </c>
      <c r="O556" s="8">
        <v>0</v>
      </c>
      <c r="P556" s="1">
        <v>-9.69772E-2</v>
      </c>
      <c r="Q556">
        <v>0.93400000000000005</v>
      </c>
      <c r="R556" s="1">
        <v>-3.20533E-2</v>
      </c>
      <c r="S556" s="2">
        <v>-0.02</v>
      </c>
    </row>
    <row r="557" spans="1:19" x14ac:dyDescent="0.2">
      <c r="A557">
        <v>556</v>
      </c>
      <c r="B557">
        <v>42</v>
      </c>
      <c r="C557" t="s">
        <v>555</v>
      </c>
      <c r="D557" s="13" t="s">
        <v>912</v>
      </c>
      <c r="E557" s="1">
        <v>-7.45221</v>
      </c>
      <c r="F557">
        <v>-5.7715699999999996</v>
      </c>
      <c r="G557" s="1">
        <v>-7.5073363097677897</v>
      </c>
      <c r="H557" s="1">
        <v>-5.8267324715167303</v>
      </c>
      <c r="I557">
        <f>VLOOKUP(C557,'[1]phenotypes-895'!$A$2:$G$896,7,FALSE)</f>
        <v>62</v>
      </c>
      <c r="J557" s="1">
        <v>0.13774</v>
      </c>
      <c r="K557" s="1">
        <f>VLOOKUP(C557,'[1]phenotypes-895'!$A$2:$I$896,9,FALSE)</f>
        <v>0.80072438469310359</v>
      </c>
      <c r="L557" s="1">
        <v>9.1977100000000006E-2</v>
      </c>
      <c r="M557" s="4">
        <v>3.8421649351339959</v>
      </c>
      <c r="N557" s="1">
        <v>3.8580499999999997E-2</v>
      </c>
      <c r="O557" s="8">
        <v>1</v>
      </c>
      <c r="P557" s="1">
        <v>-0.17438100000000001</v>
      </c>
      <c r="Q557">
        <v>0.65100000000000002</v>
      </c>
      <c r="R557" s="1">
        <v>-6.9871900000000001E-2</v>
      </c>
      <c r="S557" s="2">
        <v>-0.14000000000000001</v>
      </c>
    </row>
    <row r="558" spans="1:19" x14ac:dyDescent="0.2">
      <c r="A558">
        <v>557</v>
      </c>
      <c r="B558">
        <v>33</v>
      </c>
      <c r="C558" t="s">
        <v>556</v>
      </c>
      <c r="D558" s="13" t="s">
        <v>913</v>
      </c>
      <c r="E558" s="1">
        <v>4.4994300000000003</v>
      </c>
      <c r="F558">
        <v>2.9396900000000001</v>
      </c>
      <c r="G558" s="1">
        <v>4.5130547489919604</v>
      </c>
      <c r="H558" s="1">
        <v>2.9425819472698498</v>
      </c>
      <c r="I558">
        <f>VLOOKUP(C558,'[1]phenotypes-895'!$A$2:$G$896,7,FALSE)</f>
        <v>98</v>
      </c>
      <c r="J558" s="1">
        <v>-3.9582600000000003E-2</v>
      </c>
      <c r="K558" s="1">
        <f>VLOOKUP(C558,'[1]phenotypes-895'!$A$2:$I$896,9,FALSE)</f>
        <v>0</v>
      </c>
      <c r="L558" s="1">
        <v>-0.109474</v>
      </c>
      <c r="M558" s="4">
        <v>0</v>
      </c>
      <c r="N558" s="1">
        <v>-1.0126E-2</v>
      </c>
      <c r="O558" s="8">
        <v>0</v>
      </c>
      <c r="P558" s="1">
        <v>0.15149499999999999</v>
      </c>
      <c r="Q558">
        <v>1.244</v>
      </c>
      <c r="R558" s="1">
        <v>5.99091E-2</v>
      </c>
      <c r="S558" s="2">
        <v>7.0000000000000007E-2</v>
      </c>
    </row>
    <row r="559" spans="1:19" x14ac:dyDescent="0.2">
      <c r="A559">
        <v>558</v>
      </c>
      <c r="B559">
        <v>39</v>
      </c>
      <c r="C559" t="s">
        <v>557</v>
      </c>
      <c r="D559" s="13" t="s">
        <v>913</v>
      </c>
      <c r="E559" s="1">
        <v>4.0183799999999996</v>
      </c>
      <c r="F559">
        <v>3.0712000000000002</v>
      </c>
      <c r="G559" s="1">
        <v>3.98773908564158</v>
      </c>
      <c r="H559" s="1">
        <v>3.0302426325419498</v>
      </c>
      <c r="I559">
        <f>VLOOKUP(C559,'[1]phenotypes-895'!$A$2:$G$896,7,FALSE)</f>
        <v>78</v>
      </c>
      <c r="J559" s="1">
        <v>5.10575E-3</v>
      </c>
      <c r="K559" s="1">
        <f>VLOOKUP(C559,'[1]phenotypes-895'!$A$2:$I$896,9,FALSE)</f>
        <v>0.67290026975515405</v>
      </c>
      <c r="L559" s="1">
        <v>0.246113</v>
      </c>
      <c r="M559" s="4">
        <v>5.3993408020416238</v>
      </c>
      <c r="N559" s="1">
        <v>-1.34545E-3</v>
      </c>
      <c r="O559" s="8">
        <v>1</v>
      </c>
      <c r="P559" s="1">
        <v>7.9250899999999999E-2</v>
      </c>
      <c r="Q559">
        <v>1.1930000000000001</v>
      </c>
      <c r="R559" s="1">
        <v>3.2516499999999997E-2</v>
      </c>
      <c r="S559" s="2">
        <v>0.05</v>
      </c>
    </row>
    <row r="560" spans="1:19" x14ac:dyDescent="0.2">
      <c r="A560">
        <v>559</v>
      </c>
      <c r="B560">
        <v>26</v>
      </c>
      <c r="C560" t="s">
        <v>558</v>
      </c>
      <c r="D560" s="13" t="s">
        <v>913</v>
      </c>
      <c r="E560" s="1">
        <v>1.2428999999999999</v>
      </c>
      <c r="F560">
        <v>2.3157899999999998</v>
      </c>
      <c r="G560" s="1">
        <v>1.2143389415350301</v>
      </c>
      <c r="H560" s="1">
        <v>2.2836169043650099</v>
      </c>
      <c r="I560">
        <f>VLOOKUP(C560,'[1]phenotypes-895'!$A$2:$G$896,7,FALSE)</f>
        <v>98</v>
      </c>
      <c r="J560" s="1">
        <v>-8.1102699999999993E-3</v>
      </c>
      <c r="K560" s="1">
        <f>VLOOKUP(C560,'[1]phenotypes-895'!$A$2:$I$896,9,FALSE)</f>
        <v>0</v>
      </c>
      <c r="L560" s="1">
        <v>-4.4130000000000003E-2</v>
      </c>
      <c r="M560" s="4">
        <v>0</v>
      </c>
      <c r="N560" s="1">
        <v>1.10156E-2</v>
      </c>
      <c r="O560" s="8">
        <v>0</v>
      </c>
      <c r="P560" s="1">
        <v>-7.7186900000000003E-2</v>
      </c>
      <c r="Q560">
        <v>1.1439999999999999</v>
      </c>
      <c r="R560" s="1">
        <v>-3.1574199999999997E-2</v>
      </c>
      <c r="S560" s="2">
        <v>0.04</v>
      </c>
    </row>
    <row r="561" spans="1:19" x14ac:dyDescent="0.2">
      <c r="A561">
        <v>560</v>
      </c>
      <c r="B561">
        <v>32</v>
      </c>
      <c r="C561" t="s">
        <v>559</v>
      </c>
      <c r="D561" s="13" t="s">
        <v>913</v>
      </c>
      <c r="E561" s="1">
        <v>5.9000300000000001</v>
      </c>
      <c r="F561">
        <v>5.0162300000000002</v>
      </c>
      <c r="G561" s="1">
        <v>5.87785431555481</v>
      </c>
      <c r="H561" s="1">
        <v>4.9813977901263096</v>
      </c>
      <c r="I561">
        <f>VLOOKUP(C561,'[1]phenotypes-895'!$A$2:$G$896,7,FALSE)</f>
        <v>98</v>
      </c>
      <c r="J561" s="1">
        <v>-6.85389E-2</v>
      </c>
      <c r="K561" s="1">
        <f>VLOOKUP(C561,'[1]phenotypes-895'!$A$2:$I$896,9,FALSE)</f>
        <v>0.12203769227491509</v>
      </c>
      <c r="L561" s="1">
        <v>-6.7947300000000002E-2</v>
      </c>
      <c r="M561" s="4">
        <v>3.671030038063976</v>
      </c>
      <c r="N561" s="1">
        <v>-1.6900399999999999E-2</v>
      </c>
      <c r="O561" s="8">
        <v>1</v>
      </c>
      <c r="P561" s="1">
        <v>0.188912</v>
      </c>
      <c r="Q561">
        <v>1.2769999999999999</v>
      </c>
      <c r="R561" s="1">
        <v>6.7888500000000004E-2</v>
      </c>
      <c r="S561" s="2">
        <v>0.08</v>
      </c>
    </row>
    <row r="562" spans="1:19" x14ac:dyDescent="0.2">
      <c r="A562">
        <v>561</v>
      </c>
      <c r="B562">
        <v>23</v>
      </c>
      <c r="C562" t="s">
        <v>560</v>
      </c>
      <c r="D562" s="13" t="s">
        <v>913</v>
      </c>
      <c r="E562" s="1">
        <v>4.7444300000000004</v>
      </c>
      <c r="F562">
        <v>3.3889900000000002</v>
      </c>
      <c r="G562" s="1">
        <v>4.7567843078127199</v>
      </c>
      <c r="H562" s="1">
        <v>3.40047865353282</v>
      </c>
      <c r="I562">
        <f>VLOOKUP(C562,'[1]phenotypes-895'!$A$2:$G$896,7,FALSE)</f>
        <v>98</v>
      </c>
      <c r="J562" s="1">
        <v>-8.6787799999999998E-2</v>
      </c>
      <c r="K562" s="1">
        <f>VLOOKUP(C562,'[1]phenotypes-895'!$A$2:$I$896,9,FALSE)</f>
        <v>0</v>
      </c>
      <c r="L562" s="1">
        <v>-0.118342</v>
      </c>
      <c r="M562" s="4">
        <v>0</v>
      </c>
      <c r="N562" s="1">
        <v>-1.48033E-2</v>
      </c>
      <c r="O562" s="8">
        <v>0</v>
      </c>
      <c r="P562" s="1">
        <v>0.10520500000000001</v>
      </c>
      <c r="Q562">
        <v>1.264</v>
      </c>
      <c r="R562" s="1">
        <v>4.1588E-2</v>
      </c>
      <c r="S562" s="2">
        <v>7.0000000000000007E-2</v>
      </c>
    </row>
    <row r="563" spans="1:19" x14ac:dyDescent="0.2">
      <c r="A563">
        <v>562</v>
      </c>
      <c r="B563">
        <v>39</v>
      </c>
      <c r="C563" t="s">
        <v>561</v>
      </c>
      <c r="D563" s="13" t="s">
        <v>913</v>
      </c>
      <c r="E563" s="1">
        <v>1.3498399999999999</v>
      </c>
      <c r="F563">
        <v>2.7282600000000001</v>
      </c>
      <c r="G563" s="1">
        <v>1.38453649771368</v>
      </c>
      <c r="H563" s="1">
        <v>2.7589137926348699</v>
      </c>
      <c r="I563">
        <f>VLOOKUP(C563,'[1]phenotypes-895'!$A$2:$G$896,7,FALSE)</f>
        <v>98</v>
      </c>
      <c r="J563" s="1">
        <v>-3.5444000000000003E-2</v>
      </c>
      <c r="K563" s="1">
        <f>VLOOKUP(C563,'[1]phenotypes-895'!$A$2:$I$896,9,FALSE)</f>
        <v>0</v>
      </c>
      <c r="L563" s="1">
        <v>3.9642499999999997E-2</v>
      </c>
      <c r="M563" s="4">
        <v>0</v>
      </c>
      <c r="N563" s="1">
        <v>1.0583800000000001E-2</v>
      </c>
      <c r="O563" s="8">
        <v>0</v>
      </c>
      <c r="P563" s="1">
        <v>-0.17217399999999999</v>
      </c>
      <c r="Q563">
        <v>1.0780000000000001</v>
      </c>
      <c r="R563" s="1">
        <v>-7.0022500000000001E-2</v>
      </c>
      <c r="S563" s="2">
        <v>0.02</v>
      </c>
    </row>
    <row r="564" spans="1:19" x14ac:dyDescent="0.2">
      <c r="A564">
        <v>563</v>
      </c>
      <c r="B564">
        <v>26</v>
      </c>
      <c r="C564" t="s">
        <v>562</v>
      </c>
      <c r="D564" s="13" t="s">
        <v>913</v>
      </c>
      <c r="E564" s="1">
        <v>0.668296</v>
      </c>
      <c r="F564">
        <v>-1.6912</v>
      </c>
      <c r="G564" s="1">
        <v>0.65662738806814902</v>
      </c>
      <c r="H564" s="1">
        <v>-1.70262206691758</v>
      </c>
      <c r="I564">
        <f>VLOOKUP(C564,'[1]phenotypes-895'!$A$2:$G$896,7,FALSE)</f>
        <v>98</v>
      </c>
      <c r="J564" s="1">
        <v>-2.07126E-4</v>
      </c>
      <c r="K564" s="1">
        <f>VLOOKUP(C564,'[1]phenotypes-895'!$A$2:$I$896,9,FALSE)</f>
        <v>0</v>
      </c>
      <c r="L564" s="1">
        <v>-0.150869</v>
      </c>
      <c r="M564" s="4">
        <v>0</v>
      </c>
      <c r="N564" s="1">
        <v>-1.92821E-2</v>
      </c>
      <c r="O564" s="8">
        <v>0</v>
      </c>
      <c r="P564" s="1">
        <v>9.7271399999999994E-2</v>
      </c>
      <c r="Q564">
        <v>1.3009999999999999</v>
      </c>
      <c r="R564" s="1">
        <v>3.9771000000000001E-2</v>
      </c>
      <c r="S564" s="2">
        <v>0.08</v>
      </c>
    </row>
    <row r="565" spans="1:19" x14ac:dyDescent="0.2">
      <c r="A565">
        <v>564</v>
      </c>
      <c r="B565">
        <v>34</v>
      </c>
      <c r="C565" t="s">
        <v>563</v>
      </c>
      <c r="D565" s="13" t="s">
        <v>913</v>
      </c>
      <c r="E565" s="1">
        <v>5.52407</v>
      </c>
      <c r="F565">
        <v>5.1414400000000002</v>
      </c>
      <c r="G565" s="1">
        <v>5.5429880634010598</v>
      </c>
      <c r="H565" s="1">
        <v>5.1581726766441296</v>
      </c>
      <c r="I565">
        <f>VLOOKUP(C565,'[1]phenotypes-895'!$A$2:$G$896,7,FALSE)</f>
        <v>98</v>
      </c>
      <c r="J565" s="1">
        <v>-5.2872099999999998E-2</v>
      </c>
      <c r="K565" s="1">
        <f>VLOOKUP(C565,'[1]phenotypes-895'!$A$2:$I$896,9,FALSE)</f>
        <v>0.46101890394980688</v>
      </c>
      <c r="L565" s="1">
        <v>-8.4210999999999994E-2</v>
      </c>
      <c r="M565" s="4">
        <v>4.098579707226949</v>
      </c>
      <c r="N565" s="1">
        <v>-3.8980399999999998E-2</v>
      </c>
      <c r="O565" s="8">
        <v>1</v>
      </c>
      <c r="P565" s="1">
        <v>-7.3773900000000002E-3</v>
      </c>
      <c r="Q565">
        <v>0.90700000000000003</v>
      </c>
      <c r="R565" s="1">
        <v>-3.6841800000000002E-4</v>
      </c>
      <c r="S565" s="2">
        <v>-0.03</v>
      </c>
    </row>
    <row r="566" spans="1:19" x14ac:dyDescent="0.2">
      <c r="A566">
        <v>565</v>
      </c>
      <c r="B566">
        <v>32</v>
      </c>
      <c r="C566" t="s">
        <v>564</v>
      </c>
      <c r="D566" s="13" t="s">
        <v>913</v>
      </c>
      <c r="E566" s="1">
        <v>-1.5259799999999999</v>
      </c>
      <c r="F566">
        <v>-0.78651899999999997</v>
      </c>
      <c r="G566" s="1">
        <v>-1.55604966924766</v>
      </c>
      <c r="H566" s="1">
        <v>-0.82012750498841702</v>
      </c>
      <c r="I566">
        <f>VLOOKUP(C566,'[1]phenotypes-895'!$A$2:$G$896,7,FALSE)</f>
        <v>98</v>
      </c>
      <c r="J566" s="1">
        <v>6.1174699999999999E-3</v>
      </c>
      <c r="K566" s="1">
        <f>VLOOKUP(C566,'[1]phenotypes-895'!$A$2:$I$896,9,FALSE)</f>
        <v>0</v>
      </c>
      <c r="L566" s="1">
        <v>2.5678200000000002E-2</v>
      </c>
      <c r="M566" s="4">
        <v>0</v>
      </c>
      <c r="N566" s="1">
        <v>6.0882100000000001E-3</v>
      </c>
      <c r="O566" s="8">
        <v>0</v>
      </c>
      <c r="P566" s="1">
        <v>-5.9207299999999997E-2</v>
      </c>
      <c r="Q566">
        <v>1.0389999999999999</v>
      </c>
      <c r="R566" s="1">
        <v>-2.02279E-2</v>
      </c>
      <c r="S566" s="2">
        <v>0.01</v>
      </c>
    </row>
    <row r="567" spans="1:19" x14ac:dyDescent="0.2">
      <c r="A567">
        <v>566</v>
      </c>
      <c r="B567">
        <v>21</v>
      </c>
      <c r="C567" t="s">
        <v>565</v>
      </c>
      <c r="D567" s="13" t="s">
        <v>913</v>
      </c>
      <c r="E567" s="1">
        <v>2.9886900000000001</v>
      </c>
      <c r="F567">
        <v>1.96801</v>
      </c>
      <c r="G567" s="1">
        <v>2.9904453393413801</v>
      </c>
      <c r="H567" s="1">
        <v>1.96060719234855</v>
      </c>
      <c r="I567">
        <f>VLOOKUP(C567,'[1]phenotypes-895'!$A$2:$G$896,7,FALSE)</f>
        <v>85</v>
      </c>
      <c r="J567" s="1">
        <v>-8.6695700000000001E-4</v>
      </c>
      <c r="K567" s="1">
        <f>VLOOKUP(C567,'[1]phenotypes-895'!$A$2:$I$896,9,FALSE)</f>
        <v>0.34114483675986779</v>
      </c>
      <c r="L567" s="1">
        <v>0.16339300000000001</v>
      </c>
      <c r="M567" s="4">
        <v>3.7519701274253445</v>
      </c>
      <c r="N567" s="1">
        <v>-1.9283700000000001E-4</v>
      </c>
      <c r="O567" s="8">
        <v>1</v>
      </c>
      <c r="P567" s="1">
        <v>0.141767</v>
      </c>
      <c r="Q567">
        <v>1.165</v>
      </c>
      <c r="R567" s="1">
        <v>5.4768699999999997E-2</v>
      </c>
      <c r="S567" s="2">
        <v>0.05</v>
      </c>
    </row>
    <row r="568" spans="1:19" x14ac:dyDescent="0.2">
      <c r="A568">
        <v>567</v>
      </c>
      <c r="B568">
        <v>35</v>
      </c>
      <c r="C568" t="s">
        <v>566</v>
      </c>
      <c r="D568" s="13" t="s">
        <v>913</v>
      </c>
      <c r="E568" s="1">
        <v>1.9368399999999999</v>
      </c>
      <c r="F568">
        <v>4.4009799999999997</v>
      </c>
      <c r="G568" s="1">
        <v>1.93374846029326</v>
      </c>
      <c r="H568" s="1">
        <v>4.41449767901294</v>
      </c>
      <c r="I568">
        <f>VLOOKUP(C568,'[1]phenotypes-895'!$A$2:$G$896,7,FALSE)</f>
        <v>98</v>
      </c>
      <c r="J568" s="1">
        <v>-1.5981100000000002E-2</v>
      </c>
      <c r="K568" s="1">
        <f>VLOOKUP(C568,'[1]phenotypes-895'!$A$2:$I$896,9,FALSE)</f>
        <v>0</v>
      </c>
      <c r="L568" s="1">
        <v>-5.1003600000000003E-2</v>
      </c>
      <c r="M568" s="4">
        <v>0</v>
      </c>
      <c r="N568" s="1">
        <v>7.0069800000000003E-3</v>
      </c>
      <c r="O568" s="8">
        <v>0</v>
      </c>
      <c r="P568" s="1">
        <v>-0.139043</v>
      </c>
      <c r="Q568">
        <v>1.171</v>
      </c>
      <c r="R568" s="1">
        <v>-5.67895E-2</v>
      </c>
      <c r="S568" s="2">
        <v>0.05</v>
      </c>
    </row>
    <row r="569" spans="1:19" x14ac:dyDescent="0.2">
      <c r="A569">
        <v>568</v>
      </c>
      <c r="B569">
        <v>40</v>
      </c>
      <c r="C569" t="s">
        <v>567</v>
      </c>
      <c r="D569" s="13" t="s">
        <v>913</v>
      </c>
      <c r="E569" s="1">
        <v>2.4024100000000002</v>
      </c>
      <c r="F569">
        <v>2.0385800000000001</v>
      </c>
      <c r="G569" s="1">
        <v>2.3813256799374098</v>
      </c>
      <c r="H569" s="1">
        <v>2.01084074835576</v>
      </c>
      <c r="I569">
        <f>VLOOKUP(C569,'[1]phenotypes-895'!$A$2:$G$896,7,FALSE)</f>
        <v>98</v>
      </c>
      <c r="J569" s="1">
        <v>-6.18113E-2</v>
      </c>
      <c r="K569" s="1">
        <f>VLOOKUP(C569,'[1]phenotypes-895'!$A$2:$I$896,9,FALSE)</f>
        <v>0</v>
      </c>
      <c r="L569" s="1">
        <v>-0.21190100000000001</v>
      </c>
      <c r="M569" s="4">
        <v>0</v>
      </c>
      <c r="N569" s="1">
        <v>-2.5546200000000002E-2</v>
      </c>
      <c r="O569" s="8">
        <v>0</v>
      </c>
      <c r="P569" s="1">
        <v>-2.2168299999999998E-2</v>
      </c>
      <c r="Q569">
        <v>1.0469999999999999</v>
      </c>
      <c r="R569" s="1">
        <v>-1.8365200000000002E-2</v>
      </c>
      <c r="S569" s="2">
        <v>0.01</v>
      </c>
    </row>
    <row r="570" spans="1:19" x14ac:dyDescent="0.2">
      <c r="A570">
        <v>569</v>
      </c>
      <c r="B570">
        <v>40</v>
      </c>
      <c r="C570" t="s">
        <v>568</v>
      </c>
      <c r="D570" s="13" t="s">
        <v>913</v>
      </c>
      <c r="E570" s="1">
        <v>4.8605400000000003</v>
      </c>
      <c r="F570">
        <v>4.2392799999999999</v>
      </c>
      <c r="G570" s="1">
        <v>4.7999807386093298</v>
      </c>
      <c r="H570" s="1">
        <v>4.1734343101936799</v>
      </c>
      <c r="I570">
        <f>VLOOKUP(C570,'[1]phenotypes-895'!$A$2:$G$896,7,FALSE)</f>
        <v>98</v>
      </c>
      <c r="J570" s="1">
        <v>-0.103273</v>
      </c>
      <c r="K570" s="1">
        <f>VLOOKUP(C570,'[1]phenotypes-895'!$A$2:$I$896,9,FALSE)</f>
        <v>0</v>
      </c>
      <c r="L570" s="1">
        <v>-0.110706</v>
      </c>
      <c r="M570" s="4">
        <v>0</v>
      </c>
      <c r="N570" s="1">
        <v>-2.3348899999999999E-2</v>
      </c>
      <c r="O570" s="8">
        <v>0</v>
      </c>
      <c r="P570" s="1">
        <v>0.13067300000000001</v>
      </c>
      <c r="Q570">
        <v>1.105</v>
      </c>
      <c r="R570" s="1">
        <v>4.8426999999999998E-2</v>
      </c>
      <c r="S570" s="2">
        <v>0.03</v>
      </c>
    </row>
    <row r="571" spans="1:19" x14ac:dyDescent="0.2">
      <c r="A571">
        <v>570</v>
      </c>
      <c r="B571">
        <v>33</v>
      </c>
      <c r="C571" t="s">
        <v>569</v>
      </c>
      <c r="D571" s="13" t="s">
        <v>913</v>
      </c>
      <c r="E571" s="1">
        <v>5.7439799999999996</v>
      </c>
      <c r="F571">
        <v>5.8866899999999998</v>
      </c>
      <c r="G571" s="1">
        <v>5.78309201182637</v>
      </c>
      <c r="H571" s="1">
        <v>5.9221783754397803</v>
      </c>
      <c r="I571">
        <f>VLOOKUP(C571,'[1]phenotypes-895'!$A$2:$G$896,7,FALSE)</f>
        <v>98</v>
      </c>
      <c r="J571" s="1">
        <v>-0.13138900000000001</v>
      </c>
      <c r="K571" s="1">
        <f>VLOOKUP(C571,'[1]phenotypes-895'!$A$2:$I$896,9,FALSE)</f>
        <v>0.19704759675619429</v>
      </c>
      <c r="L571" s="1">
        <v>-0.12593799999999999</v>
      </c>
      <c r="M571" s="4">
        <v>3.4731605587706613</v>
      </c>
      <c r="N571" s="1">
        <v>-3.9114500000000003E-2</v>
      </c>
      <c r="O571" s="8">
        <v>1</v>
      </c>
      <c r="P571" s="1">
        <v>0.135324</v>
      </c>
      <c r="Q571">
        <v>1.3169999999999999</v>
      </c>
      <c r="R571" s="1">
        <v>4.7952799999999997E-2</v>
      </c>
      <c r="S571" s="2">
        <v>0.08</v>
      </c>
    </row>
    <row r="572" spans="1:19" x14ac:dyDescent="0.2">
      <c r="A572">
        <v>571</v>
      </c>
      <c r="B572">
        <v>41</v>
      </c>
      <c r="C572" t="s">
        <v>570</v>
      </c>
      <c r="D572" s="13" t="s">
        <v>912</v>
      </c>
      <c r="E572" s="1">
        <v>1.8094399999999999</v>
      </c>
      <c r="F572">
        <v>4.5834999999999999</v>
      </c>
      <c r="G572" s="1">
        <v>1.78883282969052</v>
      </c>
      <c r="H572" s="1">
        <v>4.5872765566026796</v>
      </c>
      <c r="I572">
        <f>VLOOKUP(C572,'[1]phenotypes-895'!$A$2:$G$896,7,FALSE)</f>
        <v>98</v>
      </c>
      <c r="J572" s="1">
        <v>-6.8684999999999996E-2</v>
      </c>
      <c r="K572" s="1">
        <f>VLOOKUP(C572,'[1]phenotypes-895'!$A$2:$I$896,9,FALSE)</f>
        <v>0</v>
      </c>
      <c r="L572" s="1">
        <v>3.1247899999999999E-2</v>
      </c>
      <c r="M572" s="4">
        <v>0</v>
      </c>
      <c r="N572" s="1">
        <v>-4.3234299999999996E-3</v>
      </c>
      <c r="O572" s="8">
        <v>0</v>
      </c>
      <c r="P572" s="1">
        <v>-2.0131699999999999E-2</v>
      </c>
      <c r="Q572">
        <v>0.94099999999999995</v>
      </c>
      <c r="R572" s="1">
        <v>-4.3538200000000004E-3</v>
      </c>
      <c r="S572" s="2">
        <v>-0.02</v>
      </c>
    </row>
    <row r="573" spans="1:19" x14ac:dyDescent="0.2">
      <c r="A573">
        <v>572</v>
      </c>
      <c r="B573">
        <v>23</v>
      </c>
      <c r="C573" t="s">
        <v>571</v>
      </c>
      <c r="D573" s="13" t="s">
        <v>913</v>
      </c>
      <c r="E573" s="1">
        <v>2.06385</v>
      </c>
      <c r="F573">
        <v>1.95597</v>
      </c>
      <c r="G573" s="1">
        <v>2.0582427989144199</v>
      </c>
      <c r="H573" s="1">
        <v>1.9620952948264001</v>
      </c>
      <c r="I573">
        <f>VLOOKUP(C573,'[1]phenotypes-895'!$A$2:$G$896,7,FALSE)</f>
        <v>98</v>
      </c>
      <c r="J573" s="1">
        <v>-5.2154499999999999E-2</v>
      </c>
      <c r="K573" s="1">
        <f>VLOOKUP(C573,'[1]phenotypes-895'!$A$2:$I$896,9,FALSE)</f>
        <v>0</v>
      </c>
      <c r="L573" s="1">
        <v>-0.11788999999999999</v>
      </c>
      <c r="M573" s="4">
        <v>0</v>
      </c>
      <c r="N573" s="1">
        <v>-1.05264E-2</v>
      </c>
      <c r="O573" s="8">
        <v>0</v>
      </c>
      <c r="P573" s="1">
        <v>0.114636</v>
      </c>
      <c r="Q573">
        <v>1.2629999999999999</v>
      </c>
      <c r="R573" s="1">
        <v>4.0514300000000003E-2</v>
      </c>
      <c r="S573" s="2">
        <v>7.0000000000000007E-2</v>
      </c>
    </row>
    <row r="574" spans="1:19" x14ac:dyDescent="0.2">
      <c r="A574">
        <v>573</v>
      </c>
      <c r="B574">
        <v>45</v>
      </c>
      <c r="C574" t="s">
        <v>572</v>
      </c>
      <c r="D574" s="13" t="s">
        <v>912</v>
      </c>
      <c r="E574" s="1">
        <v>3.8300299999999998</v>
      </c>
      <c r="F574">
        <v>6.2249600000000003</v>
      </c>
      <c r="G574" s="1">
        <v>3.8213209038812699</v>
      </c>
      <c r="H574" s="1">
        <v>6.2209696562644101</v>
      </c>
      <c r="I574">
        <f>VLOOKUP(C574,'[1]phenotypes-895'!$A$2:$G$896,7,FALSE)</f>
        <v>98</v>
      </c>
      <c r="J574" s="1">
        <v>-8.9784900000000001E-2</v>
      </c>
      <c r="K574" s="1">
        <f>VLOOKUP(C574,'[1]phenotypes-895'!$A$2:$I$896,9,FALSE)</f>
        <v>0</v>
      </c>
      <c r="L574" s="1">
        <v>-6.8748299999999998E-2</v>
      </c>
      <c r="M574" s="4">
        <v>0</v>
      </c>
      <c r="N574" s="1">
        <v>3.6015999999999999E-3</v>
      </c>
      <c r="O574" s="8">
        <v>0</v>
      </c>
      <c r="P574" s="1">
        <v>-9.9806900000000004E-2</v>
      </c>
      <c r="Q574">
        <v>0.78800000000000003</v>
      </c>
      <c r="R574" s="1">
        <v>-4.1746100000000001E-2</v>
      </c>
      <c r="S574" s="2">
        <v>-0.08</v>
      </c>
    </row>
    <row r="575" spans="1:19" x14ac:dyDescent="0.2">
      <c r="A575">
        <v>574</v>
      </c>
      <c r="B575">
        <v>54</v>
      </c>
      <c r="C575" t="s">
        <v>573</v>
      </c>
      <c r="D575" s="13" t="s">
        <v>912</v>
      </c>
      <c r="E575" s="1">
        <v>-1.3849499999999999</v>
      </c>
      <c r="F575">
        <v>-0.121711</v>
      </c>
      <c r="G575" s="1">
        <v>-1.41835275242901</v>
      </c>
      <c r="H575" s="1">
        <v>-0.14739190693658999</v>
      </c>
      <c r="I575">
        <f>VLOOKUP(C575,'[1]phenotypes-895'!$A$2:$G$896,7,FALSE)</f>
        <v>63</v>
      </c>
      <c r="J575" s="1">
        <v>-1.7420000000000001E-2</v>
      </c>
      <c r="K575" s="1">
        <f>VLOOKUP(C575,'[1]phenotypes-895'!$A$2:$I$896,9,FALSE)</f>
        <v>0.43703190822707277</v>
      </c>
      <c r="L575" s="1">
        <v>-7.3995099999999994E-2</v>
      </c>
      <c r="M575" s="4">
        <v>4.6240111256844409</v>
      </c>
      <c r="N575" s="1">
        <v>-1.74945E-2</v>
      </c>
      <c r="O575" s="8">
        <v>1</v>
      </c>
      <c r="P575" s="1">
        <v>-0.115093</v>
      </c>
      <c r="Q575">
        <v>0.51500000000000001</v>
      </c>
      <c r="R575" s="1">
        <v>-5.03645E-2</v>
      </c>
      <c r="S575" s="2">
        <v>-0.22</v>
      </c>
    </row>
    <row r="576" spans="1:19" x14ac:dyDescent="0.2">
      <c r="A576">
        <v>575</v>
      </c>
      <c r="B576">
        <v>54</v>
      </c>
      <c r="C576" t="s">
        <v>574</v>
      </c>
      <c r="D576" s="13" t="s">
        <v>912</v>
      </c>
      <c r="E576" s="1">
        <v>-1.3635600000000001</v>
      </c>
      <c r="F576">
        <v>0.57362800000000003</v>
      </c>
      <c r="G576" s="1">
        <v>-1.4291585057137299</v>
      </c>
      <c r="H576" s="1">
        <v>0.50969443733673503</v>
      </c>
      <c r="I576">
        <f>VLOOKUP(C576,'[1]phenotypes-895'!$A$2:$G$896,7,FALSE)</f>
        <v>65</v>
      </c>
      <c r="J576" s="1">
        <v>-6.7724400000000002E-3</v>
      </c>
      <c r="K576" s="1">
        <f>VLOOKUP(C576,'[1]phenotypes-895'!$A$2:$I$896,9,FALSE)</f>
        <v>0.41019341004712517</v>
      </c>
      <c r="L576" s="1">
        <v>-8.4019399999999994E-2</v>
      </c>
      <c r="M576" s="4">
        <v>4.2094310038521776</v>
      </c>
      <c r="N576" s="1">
        <v>-2.6643600000000002E-3</v>
      </c>
      <c r="O576" s="8">
        <v>1</v>
      </c>
      <c r="P576" s="1">
        <v>-0.135466</v>
      </c>
      <c r="Q576">
        <v>0.51900000000000002</v>
      </c>
      <c r="R576" s="1">
        <v>-5.64051E-2</v>
      </c>
      <c r="S576" s="2">
        <v>-0.22</v>
      </c>
    </row>
    <row r="577" spans="1:19" x14ac:dyDescent="0.2">
      <c r="A577">
        <v>576</v>
      </c>
      <c r="B577">
        <v>49</v>
      </c>
      <c r="C577" t="s">
        <v>575</v>
      </c>
      <c r="D577" s="13" t="s">
        <v>912</v>
      </c>
      <c r="E577" s="1">
        <v>-0.45672499999999999</v>
      </c>
      <c r="F577">
        <v>1.87273</v>
      </c>
      <c r="G577" s="1">
        <v>-0.47066868094781</v>
      </c>
      <c r="H577" s="1">
        <v>1.8713588877312599</v>
      </c>
      <c r="I577">
        <f>VLOOKUP(C577,'[1]phenotypes-895'!$A$2:$G$896,7,FALSE)</f>
        <v>60</v>
      </c>
      <c r="J577" s="1">
        <v>2.6865799999999999E-2</v>
      </c>
      <c r="K577" s="1">
        <f>VLOOKUP(C577,'[1]phenotypes-895'!$A$2:$I$896,9,FALSE)</f>
        <v>0.6760864745956886</v>
      </c>
      <c r="L577" s="1">
        <v>1.7042000000000002E-2</v>
      </c>
      <c r="M577" s="4">
        <v>4.8084056993189392</v>
      </c>
      <c r="N577" s="1">
        <v>3.4698300000000001E-3</v>
      </c>
      <c r="O577" s="8">
        <v>1</v>
      </c>
      <c r="P577" s="1">
        <v>-0.118523</v>
      </c>
      <c r="Q577">
        <v>0.85799999999999998</v>
      </c>
      <c r="R577" s="1">
        <v>-4.6462700000000003E-2</v>
      </c>
      <c r="S577" s="2">
        <v>-0.05</v>
      </c>
    </row>
    <row r="578" spans="1:19" x14ac:dyDescent="0.2">
      <c r="A578">
        <v>577</v>
      </c>
      <c r="B578">
        <v>42</v>
      </c>
      <c r="C578" t="s">
        <v>576</v>
      </c>
      <c r="D578" s="13" t="s">
        <v>912</v>
      </c>
      <c r="E578" s="1">
        <v>-1.50404</v>
      </c>
      <c r="F578">
        <v>0.96293799999999996</v>
      </c>
      <c r="G578" s="1">
        <v>-1.5447678041896</v>
      </c>
      <c r="H578" s="1">
        <v>0.92476001871170399</v>
      </c>
      <c r="I578">
        <f>VLOOKUP(C578,'[1]phenotypes-895'!$A$2:$G$896,7,FALSE)</f>
        <v>67</v>
      </c>
      <c r="J578" s="1">
        <v>5.5263600000000003E-2</v>
      </c>
      <c r="K578" s="1">
        <f>VLOOKUP(C578,'[1]phenotypes-895'!$A$2:$I$896,9,FALSE)</f>
        <v>0.54270428810878979</v>
      </c>
      <c r="L578" s="1">
        <v>0.139125</v>
      </c>
      <c r="M578" s="4">
        <v>4.100880994729474</v>
      </c>
      <c r="N578" s="1">
        <v>3.1954200000000002E-2</v>
      </c>
      <c r="O578" s="8">
        <v>1</v>
      </c>
      <c r="P578" s="1">
        <v>-0.14499699999999999</v>
      </c>
      <c r="Q578">
        <v>0.67100000000000004</v>
      </c>
      <c r="R578" s="1">
        <v>-5.7047800000000003E-2</v>
      </c>
      <c r="S578" s="2">
        <v>-0.13</v>
      </c>
    </row>
    <row r="579" spans="1:19" x14ac:dyDescent="0.2">
      <c r="A579">
        <v>578</v>
      </c>
      <c r="B579">
        <v>34</v>
      </c>
      <c r="C579" t="s">
        <v>577</v>
      </c>
      <c r="D579" s="13" t="s">
        <v>913</v>
      </c>
      <c r="E579" s="1">
        <v>-0.67926600000000004</v>
      </c>
      <c r="F579">
        <v>-0.57516800000000001</v>
      </c>
      <c r="G579" s="1">
        <v>-0.69976898037683999</v>
      </c>
      <c r="H579" s="1">
        <v>-0.59431806308050295</v>
      </c>
      <c r="I579">
        <f>VLOOKUP(C579,'[1]phenotypes-895'!$A$2:$G$896,7,FALSE)</f>
        <v>98</v>
      </c>
      <c r="J579" s="1">
        <v>-1.2689400000000001E-3</v>
      </c>
      <c r="K579" s="1">
        <f>VLOOKUP(C579,'[1]phenotypes-895'!$A$2:$I$896,9,FALSE)</f>
        <v>0</v>
      </c>
      <c r="L579" s="1">
        <v>9.7223400000000001E-2</v>
      </c>
      <c r="M579" s="4">
        <v>0</v>
      </c>
      <c r="N579" s="1">
        <v>6.6481400000000003E-3</v>
      </c>
      <c r="O579" s="8">
        <v>0</v>
      </c>
      <c r="P579" s="1">
        <v>7.0629800000000006E-2</v>
      </c>
      <c r="Q579">
        <v>1.1160000000000001</v>
      </c>
      <c r="R579" s="1">
        <v>2.8766799999999999E-2</v>
      </c>
      <c r="S579" s="2">
        <v>0.03</v>
      </c>
    </row>
    <row r="580" spans="1:19" x14ac:dyDescent="0.2">
      <c r="A580">
        <v>579</v>
      </c>
      <c r="B580">
        <v>42</v>
      </c>
      <c r="C580" t="s">
        <v>578</v>
      </c>
      <c r="D580" s="13" t="s">
        <v>912</v>
      </c>
      <c r="E580" s="1">
        <v>0.62449299999999996</v>
      </c>
      <c r="F580">
        <v>2.8256100000000002</v>
      </c>
      <c r="G580" s="1">
        <v>0.62626434318753499</v>
      </c>
      <c r="H580" s="1">
        <v>2.8515567163438802</v>
      </c>
      <c r="I580">
        <f>VLOOKUP(C580,'[1]phenotypes-895'!$A$2:$G$896,7,FALSE)</f>
        <v>98</v>
      </c>
      <c r="J580" s="1">
        <v>-5.9159299999999998E-3</v>
      </c>
      <c r="K580" s="1">
        <f>VLOOKUP(C580,'[1]phenotypes-895'!$A$2:$I$896,9,FALSE)</f>
        <v>0</v>
      </c>
      <c r="L580" s="1">
        <v>2.4134699999999999E-2</v>
      </c>
      <c r="M580" s="4">
        <v>0</v>
      </c>
      <c r="N580" s="1">
        <v>1.8369300000000002E-2</v>
      </c>
      <c r="O580" s="8">
        <v>0</v>
      </c>
      <c r="P580" s="1">
        <v>-0.175978</v>
      </c>
      <c r="Q580">
        <v>0.623</v>
      </c>
      <c r="R580" s="1">
        <v>-6.7102499999999995E-2</v>
      </c>
      <c r="S580" s="2">
        <v>-0.15</v>
      </c>
    </row>
    <row r="581" spans="1:19" x14ac:dyDescent="0.2">
      <c r="A581">
        <v>580</v>
      </c>
      <c r="B581">
        <v>34</v>
      </c>
      <c r="C581" t="s">
        <v>579</v>
      </c>
      <c r="D581" s="13" t="s">
        <v>913</v>
      </c>
      <c r="E581" s="1">
        <v>-1.718</v>
      </c>
      <c r="F581">
        <v>-2.5154800000000002</v>
      </c>
      <c r="G581" s="1">
        <v>-1.74148723551767</v>
      </c>
      <c r="H581" s="1">
        <v>-2.5370793186577498</v>
      </c>
      <c r="I581">
        <f>VLOOKUP(C581,'[1]phenotypes-895'!$A$2:$G$896,7,FALSE)</f>
        <v>58</v>
      </c>
      <c r="J581" s="1">
        <v>3.6473600000000002E-2</v>
      </c>
      <c r="K581" s="1">
        <f>VLOOKUP(C581,'[1]phenotypes-895'!$A$2:$I$896,9,FALSE)</f>
        <v>0.53331329487497015</v>
      </c>
      <c r="L581" s="1">
        <v>0.16284399999999999</v>
      </c>
      <c r="M581" s="4">
        <v>4.4835328467893261</v>
      </c>
      <c r="N581" s="1">
        <v>1.0542299999999999E-2</v>
      </c>
      <c r="O581" s="8">
        <v>1</v>
      </c>
      <c r="P581" s="1">
        <v>7.2409100000000004E-2</v>
      </c>
      <c r="Q581">
        <v>1.105</v>
      </c>
      <c r="R581" s="1">
        <v>3.5560599999999998E-2</v>
      </c>
      <c r="S581" s="2">
        <v>0.03</v>
      </c>
    </row>
    <row r="582" spans="1:19" x14ac:dyDescent="0.2">
      <c r="A582">
        <v>581</v>
      </c>
      <c r="B582">
        <v>53</v>
      </c>
      <c r="C582" t="s">
        <v>580</v>
      </c>
      <c r="D582" s="13" t="s">
        <v>912</v>
      </c>
      <c r="E582" s="1">
        <v>-2.8426099999999999E-2</v>
      </c>
      <c r="F582">
        <v>2.2824399999999998</v>
      </c>
      <c r="G582" s="1">
        <v>-8.6757456295188898E-2</v>
      </c>
      <c r="H582" s="1">
        <v>2.2302186739013101</v>
      </c>
      <c r="I582">
        <f>VLOOKUP(C582,'[1]phenotypes-895'!$A$2:$G$896,7,FALSE)</f>
        <v>63</v>
      </c>
      <c r="J582" s="1">
        <v>-2.5543199999999999E-2</v>
      </c>
      <c r="K582" s="1">
        <f>VLOOKUP(C582,'[1]phenotypes-895'!$A$2:$I$896,9,FALSE)</f>
        <v>0.47076116382123773</v>
      </c>
      <c r="L582" s="1">
        <v>7.2183600000000001E-2</v>
      </c>
      <c r="M582" s="4">
        <v>4.8586346560607403</v>
      </c>
      <c r="N582" s="1">
        <v>-4.15556E-3</v>
      </c>
      <c r="O582" s="8">
        <v>1</v>
      </c>
      <c r="P582" s="1">
        <v>-0.18318499999999999</v>
      </c>
      <c r="Q582">
        <v>0.46</v>
      </c>
      <c r="R582" s="1">
        <v>-8.59129E-2</v>
      </c>
      <c r="S582" s="2">
        <v>-0.27</v>
      </c>
    </row>
    <row r="583" spans="1:19" x14ac:dyDescent="0.2">
      <c r="A583">
        <v>582</v>
      </c>
      <c r="B583">
        <v>49</v>
      </c>
      <c r="C583" t="s">
        <v>581</v>
      </c>
      <c r="D583" s="13" t="s">
        <v>912</v>
      </c>
      <c r="E583" s="1">
        <v>0.36072100000000001</v>
      </c>
      <c r="F583">
        <v>2.8447200000000001</v>
      </c>
      <c r="G583" s="1">
        <v>0.31241107409118302</v>
      </c>
      <c r="H583" s="1">
        <v>2.7959055382776801</v>
      </c>
      <c r="I583">
        <f>VLOOKUP(C583,'[1]phenotypes-895'!$A$2:$G$896,7,FALSE)</f>
        <v>98</v>
      </c>
      <c r="J583" s="1">
        <v>-1.20374E-2</v>
      </c>
      <c r="K583" s="1">
        <f>VLOOKUP(C583,'[1]phenotypes-895'!$A$2:$I$896,9,FALSE)</f>
        <v>0</v>
      </c>
      <c r="L583" s="1">
        <v>-5.6797800000000002E-2</v>
      </c>
      <c r="M583" s="4">
        <v>0</v>
      </c>
      <c r="N583" s="1">
        <v>-5.1437599999999998E-3</v>
      </c>
      <c r="O583" s="8">
        <v>0</v>
      </c>
      <c r="P583" s="1">
        <v>-0.12472800000000001</v>
      </c>
      <c r="Q583">
        <v>0.81100000000000005</v>
      </c>
      <c r="R583" s="1">
        <v>-4.3816800000000003E-2</v>
      </c>
      <c r="S583" s="2">
        <v>-7.0000000000000007E-2</v>
      </c>
    </row>
    <row r="584" spans="1:19" x14ac:dyDescent="0.2">
      <c r="A584">
        <v>583</v>
      </c>
      <c r="B584">
        <v>44</v>
      </c>
      <c r="C584" t="s">
        <v>582</v>
      </c>
      <c r="D584" s="13" t="s">
        <v>912</v>
      </c>
      <c r="E584" s="1">
        <v>7.8053600000000001E-2</v>
      </c>
      <c r="F584">
        <v>1.3593</v>
      </c>
      <c r="G584" s="1">
        <v>5.8789361101911901E-2</v>
      </c>
      <c r="H584" s="1">
        <v>1.3462037712214501</v>
      </c>
      <c r="I584">
        <f>VLOOKUP(C584,'[1]phenotypes-895'!$A$2:$G$896,7,FALSE)</f>
        <v>81</v>
      </c>
      <c r="J584" s="1">
        <v>-2.2198399999999998E-3</v>
      </c>
      <c r="K584" s="1">
        <f>VLOOKUP(C584,'[1]phenotypes-895'!$A$2:$I$896,9,FALSE)</f>
        <v>0.50237115639454277</v>
      </c>
      <c r="L584" s="1">
        <v>0.16644900000000001</v>
      </c>
      <c r="M584" s="4">
        <v>4.1454096432366354</v>
      </c>
      <c r="N584" s="1">
        <v>1.8291900000000001E-3</v>
      </c>
      <c r="O584" s="8">
        <v>1</v>
      </c>
      <c r="P584" s="1">
        <v>-5.4863200000000001E-2</v>
      </c>
      <c r="Q584">
        <v>0.71899999999999997</v>
      </c>
      <c r="R584" s="1">
        <v>-1.59965E-2</v>
      </c>
      <c r="S584" s="2">
        <v>-0.11</v>
      </c>
    </row>
    <row r="585" spans="1:19" x14ac:dyDescent="0.2">
      <c r="A585">
        <v>584</v>
      </c>
      <c r="B585">
        <v>46</v>
      </c>
      <c r="C585" t="s">
        <v>583</v>
      </c>
      <c r="D585" s="13" t="s">
        <v>912</v>
      </c>
      <c r="E585" s="1">
        <v>0.863958</v>
      </c>
      <c r="F585">
        <v>3.7347399999999999</v>
      </c>
      <c r="G585" s="1">
        <v>0.84866411643798201</v>
      </c>
      <c r="H585" s="1">
        <v>3.7426088280110799</v>
      </c>
      <c r="I585">
        <f>VLOOKUP(C585,'[1]phenotypes-895'!$A$2:$G$896,7,FALSE)</f>
        <v>98</v>
      </c>
      <c r="J585" s="1">
        <v>2.6229100000000002E-2</v>
      </c>
      <c r="K585" s="1">
        <f>VLOOKUP(C585,'[1]phenotypes-895'!$A$2:$I$896,9,FALSE)</f>
        <v>0.41846734080544967</v>
      </c>
      <c r="L585" s="1">
        <v>-4.5070499999999999E-2</v>
      </c>
      <c r="M585" s="4">
        <v>4.032544365363921</v>
      </c>
      <c r="N585" s="1">
        <v>1.43465E-2</v>
      </c>
      <c r="O585" s="8">
        <v>1</v>
      </c>
      <c r="P585" s="1">
        <v>-0.17234099999999999</v>
      </c>
      <c r="Q585">
        <v>0.54</v>
      </c>
      <c r="R585" s="1">
        <v>-7.3300199999999996E-2</v>
      </c>
      <c r="S585" s="2">
        <v>-0.21</v>
      </c>
    </row>
    <row r="586" spans="1:19" x14ac:dyDescent="0.2">
      <c r="A586">
        <v>585</v>
      </c>
      <c r="B586">
        <v>34</v>
      </c>
      <c r="C586" t="s">
        <v>584</v>
      </c>
      <c r="D586" s="13" t="s">
        <v>913</v>
      </c>
      <c r="E586" s="1">
        <v>0.11841699999999999</v>
      </c>
      <c r="F586">
        <v>0.130414</v>
      </c>
      <c r="G586" s="1">
        <v>0.134360934016623</v>
      </c>
      <c r="H586" s="1">
        <v>0.150394731190401</v>
      </c>
      <c r="I586">
        <f>VLOOKUP(C586,'[1]phenotypes-895'!$A$2:$G$896,7,FALSE)</f>
        <v>63</v>
      </c>
      <c r="J586" s="1">
        <v>1.6716999999999999E-2</v>
      </c>
      <c r="K586" s="1">
        <f>VLOOKUP(C586,'[1]phenotypes-895'!$A$2:$I$896,9,FALSE)</f>
        <v>0.58925313136915192</v>
      </c>
      <c r="L586" s="1">
        <v>8.9480000000000004E-2</v>
      </c>
      <c r="M586" s="4">
        <v>3.9423067477713327</v>
      </c>
      <c r="N586" s="1">
        <v>1.6982500000000001E-2</v>
      </c>
      <c r="O586" s="8">
        <v>1</v>
      </c>
      <c r="P586" s="1">
        <v>2.8037599999999999E-2</v>
      </c>
      <c r="Q586">
        <v>0.999</v>
      </c>
      <c r="R586" s="1">
        <v>1.6623200000000001E-2</v>
      </c>
      <c r="S586" s="2">
        <v>0</v>
      </c>
    </row>
    <row r="587" spans="1:19" x14ac:dyDescent="0.2">
      <c r="A587">
        <v>586</v>
      </c>
      <c r="B587">
        <v>45</v>
      </c>
      <c r="C587" t="s">
        <v>585</v>
      </c>
      <c r="D587" s="13" t="s">
        <v>912</v>
      </c>
      <c r="E587" s="1">
        <v>2.5710799999999998</v>
      </c>
      <c r="F587">
        <v>4.8720999999999997</v>
      </c>
      <c r="G587" s="1">
        <v>2.5226501093190299</v>
      </c>
      <c r="H587" s="1">
        <v>4.8327041634128598</v>
      </c>
      <c r="I587">
        <f>VLOOKUP(C587,'[1]phenotypes-895'!$A$2:$G$896,7,FALSE)</f>
        <v>53</v>
      </c>
      <c r="J587" s="1">
        <v>-3.8973500000000001E-2</v>
      </c>
      <c r="K587" s="1">
        <f>VLOOKUP(C587,'[1]phenotypes-895'!$A$2:$I$896,9,FALSE)</f>
        <v>0.63509708038219603</v>
      </c>
      <c r="L587" s="1">
        <v>4.7788900000000002E-2</v>
      </c>
      <c r="M587" s="4">
        <v>5.1650741504745925</v>
      </c>
      <c r="N587" s="1">
        <v>1.2965600000000001E-2</v>
      </c>
      <c r="O587" s="8">
        <v>1</v>
      </c>
      <c r="P587" s="1">
        <v>-0.149868</v>
      </c>
      <c r="Q587">
        <v>0.67600000000000005</v>
      </c>
      <c r="R587" s="1">
        <v>-5.6475699999999997E-2</v>
      </c>
      <c r="S587" s="2">
        <v>-0.13</v>
      </c>
    </row>
    <row r="588" spans="1:19" x14ac:dyDescent="0.2">
      <c r="A588">
        <v>587</v>
      </c>
      <c r="B588">
        <v>44</v>
      </c>
      <c r="C588" t="s">
        <v>586</v>
      </c>
      <c r="D588" s="13" t="s">
        <v>912</v>
      </c>
      <c r="E588" s="1">
        <v>4.9012900000000004</v>
      </c>
      <c r="F588">
        <v>7.4601800000000003</v>
      </c>
      <c r="G588" s="1">
        <v>4.89965749509535</v>
      </c>
      <c r="H588" s="1">
        <v>7.4713330893419601</v>
      </c>
      <c r="I588">
        <f>VLOOKUP(C588,'[1]phenotypes-895'!$A$2:$G$896,7,FALSE)</f>
        <v>98</v>
      </c>
      <c r="J588" s="1">
        <v>-3.4977399999999999E-2</v>
      </c>
      <c r="K588" s="1">
        <f>VLOOKUP(C588,'[1]phenotypes-895'!$A$2:$I$896,9,FALSE)</f>
        <v>0.45117480535440041</v>
      </c>
      <c r="L588" s="1">
        <v>0.27512199999999998</v>
      </c>
      <c r="M588" s="4">
        <v>4.4010388733396955</v>
      </c>
      <c r="N588" s="1">
        <v>-6.5146500000000003E-3</v>
      </c>
      <c r="O588" s="8">
        <v>1</v>
      </c>
      <c r="P588" s="1">
        <v>-0.133518</v>
      </c>
      <c r="Q588">
        <v>0.623</v>
      </c>
      <c r="R588" s="1">
        <v>-5.6974200000000003E-2</v>
      </c>
      <c r="S588" s="2">
        <v>-0.16</v>
      </c>
    </row>
    <row r="589" spans="1:19" x14ac:dyDescent="0.2">
      <c r="A589">
        <v>588</v>
      </c>
      <c r="B589">
        <v>37</v>
      </c>
      <c r="C589" t="s">
        <v>587</v>
      </c>
      <c r="D589" s="13" t="s">
        <v>913</v>
      </c>
      <c r="E589" s="1">
        <v>4.6614599999999999</v>
      </c>
      <c r="F589">
        <v>3.9739599999999999</v>
      </c>
      <c r="G589" s="1">
        <v>4.6206751161469999</v>
      </c>
      <c r="H589" s="1">
        <v>3.92708474630111</v>
      </c>
      <c r="I589">
        <f>VLOOKUP(C589,'[1]phenotypes-895'!$A$2:$G$896,7,FALSE)</f>
        <v>50</v>
      </c>
      <c r="J589" s="1">
        <v>-8.7338499999999999E-2</v>
      </c>
      <c r="K589" s="1">
        <f>VLOOKUP(C589,'[1]phenotypes-895'!$A$2:$I$896,9,FALSE)</f>
        <v>0.46213208965169422</v>
      </c>
      <c r="L589" s="1">
        <v>-9.6325099999999997E-2</v>
      </c>
      <c r="M589" s="4">
        <v>3.1832873541892694</v>
      </c>
      <c r="N589" s="1">
        <v>-3.7633100000000003E-2</v>
      </c>
      <c r="O589" s="8">
        <v>1</v>
      </c>
      <c r="P589" s="1">
        <v>0.16022</v>
      </c>
      <c r="Q589">
        <v>1.137</v>
      </c>
      <c r="R589" s="1">
        <v>5.2863199999999999E-2</v>
      </c>
      <c r="S589" s="2">
        <v>0.04</v>
      </c>
    </row>
    <row r="590" spans="1:19" x14ac:dyDescent="0.2">
      <c r="A590">
        <v>589</v>
      </c>
      <c r="B590">
        <v>50</v>
      </c>
      <c r="C590" t="s">
        <v>588</v>
      </c>
      <c r="D590" s="13" t="s">
        <v>912</v>
      </c>
      <c r="E590" s="1">
        <v>1.50498</v>
      </c>
      <c r="F590">
        <v>4.5306100000000002</v>
      </c>
      <c r="G590" s="1">
        <v>1.51445636246926</v>
      </c>
      <c r="H590" s="1">
        <v>4.5448455828238901</v>
      </c>
      <c r="I590">
        <f>VLOOKUP(C590,'[1]phenotypes-895'!$A$2:$G$896,7,FALSE)</f>
        <v>70</v>
      </c>
      <c r="J590" s="1">
        <v>-5.8531899999999998E-2</v>
      </c>
      <c r="K590" s="1">
        <f>VLOOKUP(C590,'[1]phenotypes-895'!$A$2:$I$896,9,FALSE)</f>
        <v>0.20991525032288499</v>
      </c>
      <c r="L590" s="1">
        <v>1.23324E-2</v>
      </c>
      <c r="M590" s="4">
        <v>2.9812757764709787</v>
      </c>
      <c r="N590" s="1">
        <v>1.29383E-2</v>
      </c>
      <c r="O590" s="8">
        <v>1</v>
      </c>
      <c r="P590" s="1">
        <v>-0.26771200000000001</v>
      </c>
      <c r="Q590">
        <v>0.49299999999999999</v>
      </c>
      <c r="R590" s="1">
        <v>-0.112868</v>
      </c>
      <c r="S590" s="2">
        <v>-0.24</v>
      </c>
    </row>
    <row r="591" spans="1:19" x14ac:dyDescent="0.2">
      <c r="A591">
        <v>590</v>
      </c>
      <c r="B591">
        <v>42</v>
      </c>
      <c r="C591" t="s">
        <v>589</v>
      </c>
      <c r="D591" s="13" t="s">
        <v>912</v>
      </c>
      <c r="E591" s="1">
        <v>-1.7178800000000001E-2</v>
      </c>
      <c r="F591">
        <v>2.9397799999999998</v>
      </c>
      <c r="G591" s="1">
        <v>-2.3565743601248398E-2</v>
      </c>
      <c r="H591" s="1">
        <v>2.94163918206171</v>
      </c>
      <c r="I591">
        <f>VLOOKUP(C591,'[1]phenotypes-895'!$A$2:$G$896,7,FALSE)</f>
        <v>72</v>
      </c>
      <c r="J591" s="1">
        <v>2.9502E-2</v>
      </c>
      <c r="K591" s="1">
        <f>VLOOKUP(C591,'[1]phenotypes-895'!$A$2:$I$896,9,FALSE)</f>
        <v>0.38938506414532881</v>
      </c>
      <c r="L591" s="1">
        <v>7.9144300000000001E-2</v>
      </c>
      <c r="M591" s="4">
        <v>3.9945727213777955</v>
      </c>
      <c r="N591" s="1">
        <v>2.80124E-2</v>
      </c>
      <c r="O591" s="8">
        <v>1</v>
      </c>
      <c r="P591" s="1">
        <v>-0.22064300000000001</v>
      </c>
      <c r="Q591">
        <v>0.66600000000000004</v>
      </c>
      <c r="R591" s="1">
        <v>-9.0320600000000001E-2</v>
      </c>
      <c r="S591" s="2">
        <v>-0.13</v>
      </c>
    </row>
    <row r="592" spans="1:19" x14ac:dyDescent="0.2">
      <c r="A592">
        <v>591</v>
      </c>
      <c r="B592">
        <v>42</v>
      </c>
      <c r="C592" t="s">
        <v>590</v>
      </c>
      <c r="D592" s="13" t="s">
        <v>912</v>
      </c>
      <c r="E592" s="1">
        <v>2.0575399999999999</v>
      </c>
      <c r="F592">
        <v>5.1842199999999998</v>
      </c>
      <c r="G592" s="1">
        <v>2.1001350106500198</v>
      </c>
      <c r="H592" s="1">
        <v>5.2421701361236703</v>
      </c>
      <c r="I592">
        <f>VLOOKUP(C592,'[1]phenotypes-895'!$A$2:$G$896,7,FALSE)</f>
        <v>98</v>
      </c>
      <c r="J592" s="1">
        <v>2.13613E-2</v>
      </c>
      <c r="K592" s="1">
        <f>VLOOKUP(C592,'[1]phenotypes-895'!$A$2:$I$896,9,FALSE)</f>
        <v>0.46048637798186243</v>
      </c>
      <c r="L592" s="1">
        <v>9.3281799999999998E-2</v>
      </c>
      <c r="M592" s="4">
        <v>3.9474477263986567</v>
      </c>
      <c r="N592" s="1">
        <v>2.4723700000000001E-2</v>
      </c>
      <c r="O592" s="8">
        <v>1</v>
      </c>
      <c r="P592" s="1">
        <v>-0.19402</v>
      </c>
      <c r="Q592">
        <v>0.70099999999999996</v>
      </c>
      <c r="R592" s="1">
        <v>-7.5504000000000002E-2</v>
      </c>
      <c r="S592" s="2">
        <v>-0.12</v>
      </c>
    </row>
    <row r="593" spans="1:19" x14ac:dyDescent="0.2">
      <c r="A593">
        <v>592</v>
      </c>
      <c r="B593">
        <v>38</v>
      </c>
      <c r="C593" t="s">
        <v>591</v>
      </c>
      <c r="D593" s="13" t="s">
        <v>913</v>
      </c>
      <c r="E593" s="1">
        <v>8.68079</v>
      </c>
      <c r="F593">
        <v>8.7981700000000007</v>
      </c>
      <c r="G593" s="1">
        <v>8.7057691199656695</v>
      </c>
      <c r="H593" s="1">
        <v>8.8299318960929103</v>
      </c>
      <c r="I593">
        <f>VLOOKUP(C593,'[1]phenotypes-895'!$A$2:$G$896,7,FALSE)</f>
        <v>93</v>
      </c>
      <c r="J593" s="1">
        <v>-7.45363E-2</v>
      </c>
      <c r="K593" s="1">
        <f>VLOOKUP(C593,'[1]phenotypes-895'!$A$2:$I$896,9,FALSE)</f>
        <v>0.4907272534086905</v>
      </c>
      <c r="L593" s="1">
        <v>-9.3122099999999999E-2</v>
      </c>
      <c r="M593" s="4">
        <v>4.31125339521149</v>
      </c>
      <c r="N593" s="1">
        <v>-3.7865200000000002E-2</v>
      </c>
      <c r="O593" s="8">
        <v>1</v>
      </c>
      <c r="P593" s="1">
        <v>9.5747899999999997E-2</v>
      </c>
      <c r="Q593">
        <v>1.121</v>
      </c>
      <c r="R593" s="1">
        <v>3.2554100000000002E-2</v>
      </c>
      <c r="S593" s="2">
        <v>0.04</v>
      </c>
    </row>
    <row r="594" spans="1:19" x14ac:dyDescent="0.2">
      <c r="A594">
        <v>593</v>
      </c>
      <c r="B594">
        <v>45</v>
      </c>
      <c r="C594" t="s">
        <v>592</v>
      </c>
      <c r="D594" s="13" t="s">
        <v>912</v>
      </c>
      <c r="E594" s="1">
        <v>2.1209899999999999</v>
      </c>
      <c r="F594">
        <v>4.1179500000000004</v>
      </c>
      <c r="G594" s="1">
        <v>2.1255791499530501</v>
      </c>
      <c r="H594" s="1">
        <v>4.1292034318860296</v>
      </c>
      <c r="I594">
        <f>VLOOKUP(C594,'[1]phenotypes-895'!$A$2:$G$896,7,FALSE)</f>
        <v>81</v>
      </c>
      <c r="J594" s="1">
        <v>-3.8057599999999997E-2</v>
      </c>
      <c r="K594" s="1">
        <f>VLOOKUP(C594,'[1]phenotypes-895'!$A$2:$I$896,9,FALSE)</f>
        <v>0.35616625836234528</v>
      </c>
      <c r="L594" s="1">
        <v>-6.4518500000000006E-2</v>
      </c>
      <c r="M594" s="4">
        <v>3.2638996942817577</v>
      </c>
      <c r="N594" s="1">
        <v>9.2594900000000004E-3</v>
      </c>
      <c r="O594" s="8">
        <v>1</v>
      </c>
      <c r="P594" s="1">
        <v>-0.121736</v>
      </c>
      <c r="Q594">
        <v>0.65500000000000003</v>
      </c>
      <c r="R594" s="1">
        <v>-4.4459400000000003E-2</v>
      </c>
      <c r="S594" s="2">
        <v>-0.14000000000000001</v>
      </c>
    </row>
    <row r="595" spans="1:19" x14ac:dyDescent="0.2">
      <c r="A595">
        <v>594</v>
      </c>
      <c r="B595">
        <v>25</v>
      </c>
      <c r="C595" t="s">
        <v>593</v>
      </c>
      <c r="D595" s="13" t="s">
        <v>913</v>
      </c>
      <c r="E595" s="1">
        <v>1.8901600000000001</v>
      </c>
      <c r="F595">
        <v>0.50850200000000001</v>
      </c>
      <c r="G595" s="1">
        <v>1.85983252464529</v>
      </c>
      <c r="H595" s="1">
        <v>0.46673933785166499</v>
      </c>
      <c r="I595">
        <f>VLOOKUP(C595,'[1]phenotypes-895'!$A$2:$G$896,7,FALSE)</f>
        <v>51</v>
      </c>
      <c r="J595" s="1">
        <v>-9.0330099999999997E-2</v>
      </c>
      <c r="K595" s="1">
        <f>VLOOKUP(C595,'[1]phenotypes-895'!$A$2:$I$896,9,FALSE)</f>
        <v>0.35138716612551801</v>
      </c>
      <c r="L595" s="1">
        <v>-8.7833099999999997E-2</v>
      </c>
      <c r="M595" s="4">
        <v>4.0665885501036181</v>
      </c>
      <c r="N595" s="1">
        <v>-1.7931599999999999E-2</v>
      </c>
      <c r="O595" s="8">
        <v>1</v>
      </c>
      <c r="P595" s="1">
        <v>5.7796899999999998E-2</v>
      </c>
      <c r="Q595">
        <v>1.044</v>
      </c>
      <c r="R595" s="1">
        <v>2.08232E-2</v>
      </c>
      <c r="S595" s="2">
        <v>0.01</v>
      </c>
    </row>
    <row r="596" spans="1:19" x14ac:dyDescent="0.2">
      <c r="A596">
        <v>595</v>
      </c>
      <c r="B596">
        <v>25</v>
      </c>
      <c r="C596" t="s">
        <v>594</v>
      </c>
      <c r="D596" s="13" t="s">
        <v>913</v>
      </c>
      <c r="E596" s="1">
        <v>5.1861699999999997</v>
      </c>
      <c r="F596">
        <v>4.0755600000000003</v>
      </c>
      <c r="G596" s="1">
        <v>5.2341247252837899</v>
      </c>
      <c r="H596" s="1">
        <v>4.11596195426183</v>
      </c>
      <c r="I596">
        <f>VLOOKUP(C596,'[1]phenotypes-895'!$A$2:$G$896,7,FALSE)</f>
        <v>98</v>
      </c>
      <c r="J596" s="1">
        <v>-0.10279000000000001</v>
      </c>
      <c r="K596" s="1">
        <f>VLOOKUP(C596,'[1]phenotypes-895'!$A$2:$I$896,9,FALSE)</f>
        <v>0</v>
      </c>
      <c r="L596" s="1">
        <v>-6.1731599999999996E-3</v>
      </c>
      <c r="M596" s="4">
        <v>0</v>
      </c>
      <c r="N596" s="1">
        <v>-3.6255700000000002E-2</v>
      </c>
      <c r="O596" s="8">
        <v>0</v>
      </c>
      <c r="P596" s="1">
        <v>9.9874900000000003E-2</v>
      </c>
      <c r="Q596">
        <v>0.97299999999999998</v>
      </c>
      <c r="R596" s="1">
        <v>4.1673599999999998E-2</v>
      </c>
      <c r="S596" s="2">
        <v>-0.01</v>
      </c>
    </row>
    <row r="597" spans="1:19" x14ac:dyDescent="0.2">
      <c r="A597">
        <v>596</v>
      </c>
      <c r="B597">
        <v>32</v>
      </c>
      <c r="C597" t="s">
        <v>595</v>
      </c>
      <c r="D597" s="13" t="s">
        <v>913</v>
      </c>
      <c r="E597" s="1">
        <v>3.66987</v>
      </c>
      <c r="F597">
        <v>2.7436500000000001</v>
      </c>
      <c r="G597" s="1">
        <v>3.74827939354061</v>
      </c>
      <c r="H597" s="1">
        <v>2.8343282887975199</v>
      </c>
      <c r="I597">
        <f>VLOOKUP(C597,'[1]phenotypes-895'!$A$2:$G$896,7,FALSE)</f>
        <v>98</v>
      </c>
      <c r="J597" s="1">
        <v>-6.5169199999999997E-2</v>
      </c>
      <c r="K597" s="1">
        <f>VLOOKUP(C597,'[1]phenotypes-895'!$A$2:$I$896,9,FALSE)</f>
        <v>0</v>
      </c>
      <c r="L597" s="1">
        <v>3.3926999999999999E-2</v>
      </c>
      <c r="M597" s="4">
        <v>0</v>
      </c>
      <c r="N597" s="1">
        <v>-2.7445000000000001E-2</v>
      </c>
      <c r="O597" s="8">
        <v>0</v>
      </c>
      <c r="P597" s="1">
        <v>5.2953100000000003E-2</v>
      </c>
      <c r="Q597">
        <v>1.151</v>
      </c>
      <c r="R597" s="1">
        <v>2.0669900000000001E-2</v>
      </c>
      <c r="S597" s="2">
        <v>0.04</v>
      </c>
    </row>
    <row r="598" spans="1:19" x14ac:dyDescent="0.2">
      <c r="A598">
        <v>597</v>
      </c>
      <c r="B598">
        <v>38</v>
      </c>
      <c r="C598" t="s">
        <v>596</v>
      </c>
      <c r="D598" s="13" t="s">
        <v>913</v>
      </c>
      <c r="E598" s="1">
        <v>-1.4607300000000001</v>
      </c>
      <c r="F598">
        <v>-0.77446599999999999</v>
      </c>
      <c r="G598" s="1">
        <v>-1.4768010304397701</v>
      </c>
      <c r="H598" s="1">
        <v>-0.79092289566359697</v>
      </c>
      <c r="I598">
        <f>VLOOKUP(C598,'[1]phenotypes-895'!$A$2:$G$896,7,FALSE)</f>
        <v>98</v>
      </c>
      <c r="J598" s="1">
        <v>1.2438299999999999E-2</v>
      </c>
      <c r="K598" s="1">
        <f>VLOOKUP(C598,'[1]phenotypes-895'!$A$2:$I$896,9,FALSE)</f>
        <v>0</v>
      </c>
      <c r="L598" s="1">
        <v>-5.9736800000000003E-3</v>
      </c>
      <c r="M598" s="4">
        <v>0</v>
      </c>
      <c r="N598" s="1">
        <v>3.1608200000000003E-2</v>
      </c>
      <c r="O598" s="8">
        <v>0</v>
      </c>
      <c r="P598" s="1">
        <v>-5.9173900000000001E-2</v>
      </c>
      <c r="Q598">
        <v>1.2789999999999999</v>
      </c>
      <c r="R598" s="1">
        <v>-3.0858400000000001E-2</v>
      </c>
      <c r="S598" s="2">
        <v>0.08</v>
      </c>
    </row>
    <row r="599" spans="1:19" x14ac:dyDescent="0.2">
      <c r="A599">
        <v>598</v>
      </c>
      <c r="B599">
        <v>25</v>
      </c>
      <c r="C599" t="s">
        <v>597</v>
      </c>
      <c r="D599" s="13" t="s">
        <v>913</v>
      </c>
      <c r="E599" s="1">
        <v>2.5743399999999999</v>
      </c>
      <c r="F599">
        <v>1.01295</v>
      </c>
      <c r="G599" s="1">
        <v>2.52414812960065</v>
      </c>
      <c r="H599" s="1">
        <v>0.953866007143789</v>
      </c>
      <c r="I599">
        <f>VLOOKUP(C599,'[1]phenotypes-895'!$A$2:$G$896,7,FALSE)</f>
        <v>56</v>
      </c>
      <c r="J599" s="1">
        <v>-4.2770200000000001E-2</v>
      </c>
      <c r="K599" s="1">
        <f>VLOOKUP(C599,'[1]phenotypes-895'!$A$2:$I$896,9,FALSE)</f>
        <v>0.50598178206916145</v>
      </c>
      <c r="L599" s="1">
        <v>-0.132269</v>
      </c>
      <c r="M599" s="4">
        <v>3.783834181962078</v>
      </c>
      <c r="N599" s="1">
        <v>-1.2049000000000001E-2</v>
      </c>
      <c r="O599" s="8">
        <v>1</v>
      </c>
      <c r="P599" s="1">
        <v>9.0859200000000001E-2</v>
      </c>
      <c r="Q599">
        <v>1.0529999999999999</v>
      </c>
      <c r="R599" s="1">
        <v>3.9125E-2</v>
      </c>
      <c r="S599" s="2">
        <v>0.02</v>
      </c>
    </row>
    <row r="600" spans="1:19" x14ac:dyDescent="0.2">
      <c r="A600">
        <v>599</v>
      </c>
      <c r="B600">
        <v>33</v>
      </c>
      <c r="C600" t="s">
        <v>598</v>
      </c>
      <c r="D600" s="13" t="s">
        <v>913</v>
      </c>
      <c r="E600" s="1">
        <v>8.8247599999999995</v>
      </c>
      <c r="F600">
        <v>8.8973499999999994</v>
      </c>
      <c r="G600" s="1">
        <v>8.8599838967896396</v>
      </c>
      <c r="H600" s="1">
        <v>8.9311385798117904</v>
      </c>
      <c r="I600">
        <f>VLOOKUP(C600,'[1]phenotypes-895'!$A$2:$G$896,7,FALSE)</f>
        <v>98</v>
      </c>
      <c r="J600" s="1">
        <v>-0.181059</v>
      </c>
      <c r="K600" s="1">
        <f>VLOOKUP(C600,'[1]phenotypes-895'!$A$2:$I$896,9,FALSE)</f>
        <v>0</v>
      </c>
      <c r="L600" s="1">
        <v>-0.123914</v>
      </c>
      <c r="M600" s="4">
        <v>0</v>
      </c>
      <c r="N600" s="1">
        <v>-5.85713E-2</v>
      </c>
      <c r="O600" s="8">
        <v>0</v>
      </c>
      <c r="P600" s="1">
        <v>5.79502E-2</v>
      </c>
      <c r="Q600">
        <v>1.0189999999999999</v>
      </c>
      <c r="R600" s="1">
        <v>1.8961800000000001E-2</v>
      </c>
      <c r="S600" s="2">
        <v>0.01</v>
      </c>
    </row>
    <row r="601" spans="1:19" x14ac:dyDescent="0.2">
      <c r="A601">
        <v>600</v>
      </c>
      <c r="B601">
        <v>36</v>
      </c>
      <c r="C601" t="s">
        <v>599</v>
      </c>
      <c r="D601" s="13" t="s">
        <v>913</v>
      </c>
      <c r="E601" s="1">
        <v>5.10459</v>
      </c>
      <c r="F601">
        <v>6.0722399999999999</v>
      </c>
      <c r="G601" s="1">
        <v>5.1137716625826304</v>
      </c>
      <c r="H601" s="1">
        <v>6.0777076736721698</v>
      </c>
      <c r="I601">
        <f>VLOOKUP(C601,'[1]phenotypes-895'!$A$2:$G$896,7,FALSE)</f>
        <v>76</v>
      </c>
      <c r="J601" s="1">
        <v>-9.7360299999999997E-2</v>
      </c>
      <c r="K601" s="1">
        <f>VLOOKUP(C601,'[1]phenotypes-895'!$A$2:$I$896,9,FALSE)</f>
        <v>0.47977647605070728</v>
      </c>
      <c r="L601" s="1">
        <v>-0.13172400000000001</v>
      </c>
      <c r="M601" s="4">
        <v>4.0383620224375321</v>
      </c>
      <c r="N601" s="1">
        <v>-3.6706799999999998E-2</v>
      </c>
      <c r="O601" s="8">
        <v>1</v>
      </c>
      <c r="P601" s="1">
        <v>0.169604</v>
      </c>
      <c r="Q601">
        <v>1.2090000000000001</v>
      </c>
      <c r="R601" s="1">
        <v>5.5973799999999997E-2</v>
      </c>
      <c r="S601" s="2">
        <v>0.06</v>
      </c>
    </row>
    <row r="602" spans="1:19" x14ac:dyDescent="0.2">
      <c r="A602">
        <v>601</v>
      </c>
      <c r="B602">
        <v>38</v>
      </c>
      <c r="C602" t="s">
        <v>600</v>
      </c>
      <c r="D602" s="13" t="s">
        <v>913</v>
      </c>
      <c r="E602" s="1">
        <v>-0.52219300000000002</v>
      </c>
      <c r="F602">
        <v>0.56344700000000003</v>
      </c>
      <c r="G602" s="1">
        <v>-0.51415726358407898</v>
      </c>
      <c r="H602" s="1">
        <v>0.57429740590005396</v>
      </c>
      <c r="I602">
        <f>VLOOKUP(C602,'[1]phenotypes-895'!$A$2:$G$896,7,FALSE)</f>
        <v>98</v>
      </c>
      <c r="J602" s="1">
        <v>1.0419899999999999E-2</v>
      </c>
      <c r="K602" s="1">
        <f>VLOOKUP(C602,'[1]phenotypes-895'!$A$2:$I$896,9,FALSE)</f>
        <v>0</v>
      </c>
      <c r="L602" s="1">
        <v>0.111718</v>
      </c>
      <c r="M602" s="4">
        <v>0</v>
      </c>
      <c r="N602" s="1">
        <v>2.5738299999999999E-2</v>
      </c>
      <c r="O602" s="8">
        <v>0</v>
      </c>
      <c r="P602" s="1">
        <v>-6.4976500000000006E-2</v>
      </c>
      <c r="Q602">
        <v>1.252</v>
      </c>
      <c r="R602" s="1">
        <v>-2.3618199999999999E-2</v>
      </c>
      <c r="S602" s="2">
        <v>7.0000000000000007E-2</v>
      </c>
    </row>
    <row r="603" spans="1:19" x14ac:dyDescent="0.2">
      <c r="A603">
        <v>602</v>
      </c>
      <c r="B603">
        <v>49</v>
      </c>
      <c r="C603" t="s">
        <v>601</v>
      </c>
      <c r="D603" s="13" t="s">
        <v>912</v>
      </c>
      <c r="E603" s="1">
        <v>-2.7387299999999999</v>
      </c>
      <c r="F603">
        <v>0.17553199999999999</v>
      </c>
      <c r="G603" s="1">
        <v>-2.79979439429898</v>
      </c>
      <c r="H603" s="1">
        <v>0.12710054910802099</v>
      </c>
      <c r="I603">
        <f>VLOOKUP(C603,'[1]phenotypes-895'!$A$2:$G$896,7,FALSE)</f>
        <v>63</v>
      </c>
      <c r="J603" s="1">
        <v>3.0388999999999999E-2</v>
      </c>
      <c r="K603" s="1">
        <f>VLOOKUP(C603,'[1]phenotypes-895'!$A$2:$I$896,9,FALSE)</f>
        <v>0.5149829871217072</v>
      </c>
      <c r="L603" s="1">
        <v>-3.3210400000000001E-2</v>
      </c>
      <c r="M603" s="4">
        <v>3.9989229393133399</v>
      </c>
      <c r="N603" s="1">
        <v>7.9425399999999997E-3</v>
      </c>
      <c r="O603" s="8">
        <v>1</v>
      </c>
      <c r="P603" s="1">
        <v>-0.131328</v>
      </c>
      <c r="Q603">
        <v>0.77</v>
      </c>
      <c r="R603" s="1">
        <v>-4.2202200000000002E-2</v>
      </c>
      <c r="S603" s="2">
        <v>-0.08</v>
      </c>
    </row>
    <row r="604" spans="1:19" x14ac:dyDescent="0.2">
      <c r="A604">
        <v>603</v>
      </c>
      <c r="B604">
        <v>34</v>
      </c>
      <c r="C604" t="s">
        <v>602</v>
      </c>
      <c r="D604" s="13" t="s">
        <v>913</v>
      </c>
      <c r="E604" s="1">
        <v>4.6226500000000001</v>
      </c>
      <c r="F604">
        <v>6.3989799999999999</v>
      </c>
      <c r="G604" s="1">
        <v>4.6386538353012403</v>
      </c>
      <c r="H604" s="1">
        <v>6.4192772143555201</v>
      </c>
      <c r="I604">
        <f>VLOOKUP(C604,'[1]phenotypes-895'!$A$2:$G$896,7,FALSE)</f>
        <v>98</v>
      </c>
      <c r="J604" s="1">
        <v>-9.9492200000000003E-2</v>
      </c>
      <c r="K604" s="1">
        <f>VLOOKUP(C604,'[1]phenotypes-895'!$A$2:$I$896,9,FALSE)</f>
        <v>0</v>
      </c>
      <c r="L604" s="1">
        <v>-9.7554799999999997E-2</v>
      </c>
      <c r="M604" s="4">
        <v>0</v>
      </c>
      <c r="N604" s="1">
        <v>-4.6059899999999999E-3</v>
      </c>
      <c r="O604" s="8">
        <v>0</v>
      </c>
      <c r="P604" s="1">
        <v>-6.4318E-2</v>
      </c>
      <c r="Q604">
        <v>1.0840000000000001</v>
      </c>
      <c r="R604" s="1">
        <v>-2.57088E-2</v>
      </c>
      <c r="S604" s="2">
        <v>0.02</v>
      </c>
    </row>
    <row r="605" spans="1:19" x14ac:dyDescent="0.2">
      <c r="A605">
        <v>604</v>
      </c>
      <c r="B605">
        <v>34</v>
      </c>
      <c r="C605" t="s">
        <v>603</v>
      </c>
      <c r="D605" s="13" t="s">
        <v>913</v>
      </c>
      <c r="E605" s="1">
        <v>2.1591300000000002</v>
      </c>
      <c r="F605">
        <v>3.3331900000000001</v>
      </c>
      <c r="G605" s="1">
        <v>2.1476093416317701</v>
      </c>
      <c r="H605" s="1">
        <v>3.3255745227436799</v>
      </c>
      <c r="I605">
        <f>VLOOKUP(C605,'[1]phenotypes-895'!$A$2:$G$896,7,FALSE)</f>
        <v>72</v>
      </c>
      <c r="J605" s="1">
        <v>1.6665900000000001E-2</v>
      </c>
      <c r="K605" s="1">
        <f>VLOOKUP(C605,'[1]phenotypes-895'!$A$2:$I$896,9,FALSE)</f>
        <v>0.67234503593184514</v>
      </c>
      <c r="L605" s="1">
        <v>3.7193400000000001E-2</v>
      </c>
      <c r="M605" s="4">
        <v>4.7424219422299414</v>
      </c>
      <c r="N605" s="1">
        <v>1.16851E-3</v>
      </c>
      <c r="O605" s="8">
        <v>1</v>
      </c>
      <c r="P605" s="1">
        <v>-0.22023599999999999</v>
      </c>
      <c r="Q605">
        <v>0.27600000000000002</v>
      </c>
      <c r="R605" s="1">
        <v>-0.10548200000000001</v>
      </c>
      <c r="S605" s="2">
        <v>-0.45</v>
      </c>
    </row>
    <row r="606" spans="1:19" x14ac:dyDescent="0.2">
      <c r="A606">
        <v>605</v>
      </c>
      <c r="B606">
        <v>40</v>
      </c>
      <c r="C606" t="s">
        <v>604</v>
      </c>
      <c r="D606" s="13" t="s">
        <v>913</v>
      </c>
      <c r="E606" s="1">
        <v>6.4981</v>
      </c>
      <c r="F606">
        <v>5.3249899999999997</v>
      </c>
      <c r="G606" s="1">
        <v>6.5236257244172302</v>
      </c>
      <c r="H606" s="1">
        <v>5.34791934192328</v>
      </c>
      <c r="I606">
        <f>VLOOKUP(C606,'[1]phenotypes-895'!$A$2:$G$896,7,FALSE)</f>
        <v>98</v>
      </c>
      <c r="J606" s="1">
        <v>-6.8653900000000004E-2</v>
      </c>
      <c r="K606" s="1">
        <f>VLOOKUP(C606,'[1]phenotypes-895'!$A$2:$I$896,9,FALSE)</f>
        <v>0</v>
      </c>
      <c r="L606" s="1">
        <v>-5.1057400000000003E-2</v>
      </c>
      <c r="M606" s="4">
        <v>0</v>
      </c>
      <c r="N606" s="1">
        <v>-4.12323E-2</v>
      </c>
      <c r="O606" s="8">
        <v>0</v>
      </c>
      <c r="P606" s="1">
        <v>8.8254100000000002E-2</v>
      </c>
      <c r="Q606">
        <v>1.0189999999999999</v>
      </c>
      <c r="R606" s="1">
        <v>3.3774699999999998E-2</v>
      </c>
      <c r="S606" s="2">
        <v>0.01</v>
      </c>
    </row>
    <row r="607" spans="1:19" x14ac:dyDescent="0.2">
      <c r="A607">
        <v>606</v>
      </c>
      <c r="B607">
        <v>21</v>
      </c>
      <c r="C607" t="s">
        <v>605</v>
      </c>
      <c r="D607" s="13" t="s">
        <v>913</v>
      </c>
      <c r="E607" s="1">
        <v>4.5479599999999998</v>
      </c>
      <c r="F607">
        <v>3.2659600000000002</v>
      </c>
      <c r="G607" s="1">
        <v>4.5607384620478904</v>
      </c>
      <c r="H607" s="1">
        <v>3.2712946219757399</v>
      </c>
      <c r="I607">
        <f>VLOOKUP(C607,'[1]phenotypes-895'!$A$2:$G$896,7,FALSE)</f>
        <v>98</v>
      </c>
      <c r="J607" s="1">
        <v>-6.5192899999999998E-2</v>
      </c>
      <c r="K607" s="1">
        <f>VLOOKUP(C607,'[1]phenotypes-895'!$A$2:$I$896,9,FALSE)</f>
        <v>0</v>
      </c>
      <c r="L607" s="1">
        <v>-7.7333499999999999E-2</v>
      </c>
      <c r="M607" s="4">
        <v>0</v>
      </c>
      <c r="N607" s="1">
        <v>-2.0278500000000001E-2</v>
      </c>
      <c r="O607" s="8">
        <v>0</v>
      </c>
      <c r="P607" s="1">
        <v>0.118311</v>
      </c>
      <c r="Q607">
        <v>1.286</v>
      </c>
      <c r="R607" s="1">
        <v>3.8781499999999997E-2</v>
      </c>
      <c r="S607" s="2">
        <v>0.08</v>
      </c>
    </row>
    <row r="608" spans="1:19" x14ac:dyDescent="0.2">
      <c r="A608">
        <v>607</v>
      </c>
      <c r="B608">
        <v>34</v>
      </c>
      <c r="C608" t="s">
        <v>606</v>
      </c>
      <c r="D608" s="13" t="s">
        <v>913</v>
      </c>
      <c r="E608" s="1">
        <v>4.2099099999999998</v>
      </c>
      <c r="F608">
        <v>1.9576199999999999</v>
      </c>
      <c r="G608" s="1">
        <v>4.1854909482621503</v>
      </c>
      <c r="H608" s="1">
        <v>1.9324070449978099</v>
      </c>
      <c r="I608">
        <f>VLOOKUP(C608,'[1]phenotypes-895'!$A$2:$G$896,7,FALSE)</f>
        <v>98</v>
      </c>
      <c r="J608" s="1">
        <v>-7.18361E-2</v>
      </c>
      <c r="K608" s="1">
        <f>VLOOKUP(C608,'[1]phenotypes-895'!$A$2:$I$896,9,FALSE)</f>
        <v>0</v>
      </c>
      <c r="L608" s="1">
        <v>-0.15570100000000001</v>
      </c>
      <c r="M608" s="4">
        <v>0</v>
      </c>
      <c r="N608" s="1">
        <v>-2.2654199999999999E-2</v>
      </c>
      <c r="O608" s="8">
        <v>0</v>
      </c>
      <c r="P608" s="1">
        <v>5.6123199999999998E-2</v>
      </c>
      <c r="Q608">
        <v>0.95499999999999996</v>
      </c>
      <c r="R608" s="1">
        <v>2.4143999999999999E-2</v>
      </c>
      <c r="S608" s="2">
        <v>-0.01</v>
      </c>
    </row>
    <row r="609" spans="1:19" x14ac:dyDescent="0.2">
      <c r="A609">
        <v>608</v>
      </c>
      <c r="B609">
        <v>36</v>
      </c>
      <c r="C609" t="s">
        <v>607</v>
      </c>
      <c r="D609" s="13" t="s">
        <v>913</v>
      </c>
      <c r="E609" s="1">
        <v>2.6758299999999999</v>
      </c>
      <c r="F609">
        <v>4.0641400000000001</v>
      </c>
      <c r="G609" s="1">
        <v>2.7085345847634201</v>
      </c>
      <c r="H609" s="1">
        <v>4.0881081368638696</v>
      </c>
      <c r="I609">
        <f>VLOOKUP(C609,'[1]phenotypes-895'!$A$2:$G$896,7,FALSE)</f>
        <v>98</v>
      </c>
      <c r="J609" s="1">
        <v>-5.9081399999999999E-2</v>
      </c>
      <c r="K609" s="1">
        <f>VLOOKUP(C609,'[1]phenotypes-895'!$A$2:$I$896,9,FALSE)</f>
        <v>0.23186478874809269</v>
      </c>
      <c r="L609" s="1">
        <v>3.8308500000000002E-2</v>
      </c>
      <c r="M609" s="4">
        <v>3.1623136816052435</v>
      </c>
      <c r="N609" s="1">
        <v>1.00267E-2</v>
      </c>
      <c r="O609" s="8">
        <v>1</v>
      </c>
      <c r="P609" s="1">
        <v>-0.20485300000000001</v>
      </c>
      <c r="Q609">
        <v>0.52100000000000002</v>
      </c>
      <c r="R609" s="1">
        <v>-8.53709E-2</v>
      </c>
      <c r="S609" s="2">
        <v>-0.21</v>
      </c>
    </row>
    <row r="610" spans="1:19" x14ac:dyDescent="0.2">
      <c r="A610">
        <v>609</v>
      </c>
      <c r="B610">
        <v>37</v>
      </c>
      <c r="C610" t="s">
        <v>608</v>
      </c>
      <c r="D610" s="13" t="s">
        <v>913</v>
      </c>
      <c r="E610" s="1">
        <v>5.7140000000000004</v>
      </c>
      <c r="F610">
        <v>5.0319700000000003</v>
      </c>
      <c r="G610" s="1">
        <v>5.7464806820054104</v>
      </c>
      <c r="H610" s="1">
        <v>5.0814887064335901</v>
      </c>
      <c r="I610">
        <f>VLOOKUP(C610,'[1]phenotypes-895'!$A$2:$G$896,7,FALSE)</f>
        <v>98</v>
      </c>
      <c r="J610" s="1">
        <v>-9.2553200000000002E-2</v>
      </c>
      <c r="K610" s="1">
        <f>VLOOKUP(C610,'[1]phenotypes-895'!$A$2:$I$896,9,FALSE)</f>
        <v>0.2021129848242596</v>
      </c>
      <c r="L610" s="1">
        <v>-7.3719199999999999E-2</v>
      </c>
      <c r="M610" s="4">
        <v>3.2999498939377374</v>
      </c>
      <c r="N610" s="1">
        <v>-2.2745100000000001E-2</v>
      </c>
      <c r="O610" s="8">
        <v>1</v>
      </c>
      <c r="P610" s="1">
        <v>-6.7135200000000006E-2</v>
      </c>
      <c r="Q610">
        <v>0.73399999999999999</v>
      </c>
      <c r="R610" s="1">
        <v>-2.9970400000000001E-2</v>
      </c>
      <c r="S610" s="2">
        <v>-0.1</v>
      </c>
    </row>
    <row r="611" spans="1:19" x14ac:dyDescent="0.2">
      <c r="A611">
        <v>610</v>
      </c>
      <c r="B611">
        <v>32</v>
      </c>
      <c r="C611" t="s">
        <v>609</v>
      </c>
      <c r="D611" s="13" t="s">
        <v>913</v>
      </c>
      <c r="E611" s="1">
        <v>0.32580399999999998</v>
      </c>
      <c r="F611">
        <v>1.41252</v>
      </c>
      <c r="G611" s="1">
        <v>0.29000267050948297</v>
      </c>
      <c r="H611" s="1">
        <v>1.37449527026604</v>
      </c>
      <c r="I611">
        <f>VLOOKUP(C611,'[1]phenotypes-895'!$A$2:$G$896,7,FALSE)</f>
        <v>48</v>
      </c>
      <c r="J611" s="1">
        <v>-1.6698500000000002E-2</v>
      </c>
      <c r="K611" s="1">
        <f>VLOOKUP(C611,'[1]phenotypes-895'!$A$2:$I$896,9,FALSE)</f>
        <v>0.5771586178536966</v>
      </c>
      <c r="L611" s="1">
        <v>-9.04195E-2</v>
      </c>
      <c r="M611" s="4">
        <v>4.1268694603637286</v>
      </c>
      <c r="N611" s="1">
        <v>7.42021E-3</v>
      </c>
      <c r="O611" s="8">
        <v>1</v>
      </c>
      <c r="P611" s="1">
        <v>-5.46892E-2</v>
      </c>
      <c r="Q611">
        <v>1.1719999999999999</v>
      </c>
      <c r="R611" s="1">
        <v>-1.82872E-2</v>
      </c>
      <c r="S611" s="2">
        <v>0.05</v>
      </c>
    </row>
    <row r="612" spans="1:19" x14ac:dyDescent="0.2">
      <c r="A612">
        <v>611</v>
      </c>
      <c r="B612">
        <v>21</v>
      </c>
      <c r="C612" t="s">
        <v>610</v>
      </c>
      <c r="D612" s="13" t="s">
        <v>913</v>
      </c>
      <c r="E612" s="1">
        <v>1.78714</v>
      </c>
      <c r="F612">
        <v>1.8670899999999999</v>
      </c>
      <c r="G612" s="1">
        <v>1.77873547622087</v>
      </c>
      <c r="H612" s="1">
        <v>1.8598357742207099</v>
      </c>
      <c r="I612">
        <f>VLOOKUP(C612,'[1]phenotypes-895'!$A$2:$G$896,7,FALSE)</f>
        <v>98</v>
      </c>
      <c r="J612" s="1">
        <v>-4.6716100000000003E-2</v>
      </c>
      <c r="K612" s="1">
        <f>VLOOKUP(C612,'[1]phenotypes-895'!$A$2:$I$896,9,FALSE)</f>
        <v>0</v>
      </c>
      <c r="L612" s="1">
        <v>-0.186081</v>
      </c>
      <c r="M612" s="4">
        <v>0</v>
      </c>
      <c r="N612" s="1">
        <v>-1.4118800000000001E-2</v>
      </c>
      <c r="O612" s="8">
        <v>0</v>
      </c>
      <c r="P612" s="1">
        <v>1.3477299999999999E-2</v>
      </c>
      <c r="Q612">
        <v>1.1879999999999999</v>
      </c>
      <c r="R612" s="1">
        <v>-5.3734899999999999E-3</v>
      </c>
      <c r="S612" s="2">
        <v>0.05</v>
      </c>
    </row>
    <row r="613" spans="1:19" x14ac:dyDescent="0.2">
      <c r="A613">
        <v>612</v>
      </c>
      <c r="B613">
        <v>29</v>
      </c>
      <c r="C613" t="s">
        <v>611</v>
      </c>
      <c r="D613" s="13" t="s">
        <v>913</v>
      </c>
      <c r="E613" s="1">
        <v>-2.58866</v>
      </c>
      <c r="F613">
        <v>-3.6880199999999999</v>
      </c>
      <c r="G613" s="1">
        <v>-2.58045732637492</v>
      </c>
      <c r="H613" s="1">
        <v>-3.6812137118810702</v>
      </c>
      <c r="I613">
        <f>VLOOKUP(C613,'[1]phenotypes-895'!$A$2:$G$896,7,FALSE)</f>
        <v>76</v>
      </c>
      <c r="J613" s="1">
        <v>3.918E-2</v>
      </c>
      <c r="K613" s="1">
        <f>VLOOKUP(C613,'[1]phenotypes-895'!$A$2:$I$896,9,FALSE)</f>
        <v>0.44927441816563768</v>
      </c>
      <c r="L613" s="1">
        <v>0.121207</v>
      </c>
      <c r="M613" s="4">
        <v>3.9977070642660122</v>
      </c>
      <c r="N613" s="1">
        <v>1.0536E-2</v>
      </c>
      <c r="O613" s="8">
        <v>1</v>
      </c>
      <c r="P613" s="1">
        <v>7.5351199999999993E-2</v>
      </c>
      <c r="Q613">
        <v>1.226</v>
      </c>
      <c r="R613" s="1">
        <v>3.1709599999999998E-2</v>
      </c>
      <c r="S613" s="2">
        <v>0.06</v>
      </c>
    </row>
    <row r="614" spans="1:19" x14ac:dyDescent="0.2">
      <c r="A614">
        <v>613</v>
      </c>
      <c r="B614">
        <v>27</v>
      </c>
      <c r="C614" t="s">
        <v>612</v>
      </c>
      <c r="D614" s="13" t="s">
        <v>913</v>
      </c>
      <c r="E614" s="1">
        <v>-0.12192699999999999</v>
      </c>
      <c r="F614">
        <v>2.35575</v>
      </c>
      <c r="G614" s="1">
        <v>-0.12040270400877</v>
      </c>
      <c r="H614" s="1">
        <v>2.3555378521047201</v>
      </c>
      <c r="I614">
        <f>VLOOKUP(C614,'[1]phenotypes-895'!$A$2:$G$896,7,FALSE)</f>
        <v>98</v>
      </c>
      <c r="J614" s="1">
        <v>1.4261299999999999E-2</v>
      </c>
      <c r="K614" s="1">
        <f>VLOOKUP(C614,'[1]phenotypes-895'!$A$2:$I$896,9,FALSE)</f>
        <v>0</v>
      </c>
      <c r="L614" s="1">
        <v>7.8858800000000007E-2</v>
      </c>
      <c r="M614" s="4">
        <v>0</v>
      </c>
      <c r="N614" s="1">
        <v>2.4215E-2</v>
      </c>
      <c r="O614" s="8">
        <v>0</v>
      </c>
      <c r="P614" s="1">
        <v>-0.14288000000000001</v>
      </c>
      <c r="Q614">
        <v>0.98799999999999999</v>
      </c>
      <c r="R614" s="1">
        <v>-5.5834500000000002E-2</v>
      </c>
      <c r="S614" s="2">
        <v>0</v>
      </c>
    </row>
    <row r="615" spans="1:19" x14ac:dyDescent="0.2">
      <c r="A615">
        <v>614</v>
      </c>
      <c r="B615">
        <v>23</v>
      </c>
      <c r="C615" t="s">
        <v>613</v>
      </c>
      <c r="D615" s="13" t="s">
        <v>913</v>
      </c>
      <c r="E615" s="1">
        <v>5.1734400000000003</v>
      </c>
      <c r="F615">
        <v>4.6788699999999999</v>
      </c>
      <c r="G615" s="1">
        <v>5.1856778599365301</v>
      </c>
      <c r="H615" s="1">
        <v>4.6792735871337801</v>
      </c>
      <c r="I615">
        <f>VLOOKUP(C615,'[1]phenotypes-895'!$A$2:$G$896,7,FALSE)</f>
        <v>98</v>
      </c>
      <c r="J615" s="1">
        <v>-0.109414</v>
      </c>
      <c r="K615" s="1">
        <f>VLOOKUP(C615,'[1]phenotypes-895'!$A$2:$I$896,9,FALSE)</f>
        <v>0</v>
      </c>
      <c r="L615" s="1">
        <v>-4.8752700000000003E-2</v>
      </c>
      <c r="M615" s="4">
        <v>0</v>
      </c>
      <c r="N615" s="1">
        <v>-3.8971100000000002E-2</v>
      </c>
      <c r="O615" s="8">
        <v>0</v>
      </c>
      <c r="P615" s="1">
        <v>4.81638E-2</v>
      </c>
      <c r="Q615">
        <v>1.238</v>
      </c>
      <c r="R615" s="1">
        <v>1.6475099999999999E-2</v>
      </c>
      <c r="S615" s="2">
        <v>0.06</v>
      </c>
    </row>
    <row r="616" spans="1:19" x14ac:dyDescent="0.2">
      <c r="A616">
        <v>615</v>
      </c>
      <c r="B616">
        <v>35</v>
      </c>
      <c r="C616" t="s">
        <v>614</v>
      </c>
      <c r="D616" s="13" t="s">
        <v>913</v>
      </c>
      <c r="E616" s="1">
        <v>1.1180699999999999</v>
      </c>
      <c r="F616">
        <v>3.2743000000000002</v>
      </c>
      <c r="G616" s="1">
        <v>1.1188095786074299</v>
      </c>
      <c r="H616" s="1">
        <v>3.2840894155397402</v>
      </c>
      <c r="I616">
        <f>VLOOKUP(C616,'[1]phenotypes-895'!$A$2:$G$896,7,FALSE)</f>
        <v>98</v>
      </c>
      <c r="J616" s="1">
        <v>-1.8749600000000002E-2</v>
      </c>
      <c r="K616" s="1">
        <f>VLOOKUP(C616,'[1]phenotypes-895'!$A$2:$I$896,9,FALSE)</f>
        <v>0</v>
      </c>
      <c r="L616" s="1">
        <v>-9.0336799999999995E-2</v>
      </c>
      <c r="M616" s="4">
        <v>0</v>
      </c>
      <c r="N616" s="1">
        <v>6.3836099999999996E-3</v>
      </c>
      <c r="O616" s="8">
        <v>0</v>
      </c>
      <c r="P616" s="1">
        <v>-0.14910000000000001</v>
      </c>
      <c r="Q616">
        <v>0.95599999999999996</v>
      </c>
      <c r="R616" s="1">
        <v>-5.8573E-2</v>
      </c>
      <c r="S616" s="2">
        <v>-0.01</v>
      </c>
    </row>
    <row r="617" spans="1:19" x14ac:dyDescent="0.2">
      <c r="A617">
        <v>616</v>
      </c>
      <c r="B617">
        <v>40</v>
      </c>
      <c r="C617" t="s">
        <v>615</v>
      </c>
      <c r="D617" s="13" t="s">
        <v>913</v>
      </c>
      <c r="E617" s="1">
        <v>1.6344799999999999</v>
      </c>
      <c r="F617">
        <v>1.46645</v>
      </c>
      <c r="G617" s="1">
        <v>1.6025360710607699</v>
      </c>
      <c r="H617" s="1">
        <v>1.4317793965690699</v>
      </c>
      <c r="I617">
        <f>VLOOKUP(C617,'[1]phenotypes-895'!$A$2:$G$896,7,FALSE)</f>
        <v>77</v>
      </c>
      <c r="J617" s="1">
        <v>-7.3938700000000003E-3</v>
      </c>
      <c r="K617" s="1">
        <f>VLOOKUP(C617,'[1]phenotypes-895'!$A$2:$I$896,9,FALSE)</f>
        <v>0.37720574811552943</v>
      </c>
      <c r="L617" s="1">
        <v>8.3075700000000002E-2</v>
      </c>
      <c r="M617" s="4">
        <v>3.8336814822438079</v>
      </c>
      <c r="N617" s="1">
        <v>1.29893E-2</v>
      </c>
      <c r="O617" s="8">
        <v>1</v>
      </c>
      <c r="P617" s="1">
        <v>3.85244E-2</v>
      </c>
      <c r="Q617">
        <v>1.1819999999999999</v>
      </c>
      <c r="R617" s="1">
        <v>1.8887299999999999E-2</v>
      </c>
      <c r="S617" s="2">
        <v>0.05</v>
      </c>
    </row>
    <row r="618" spans="1:19" x14ac:dyDescent="0.2">
      <c r="A618">
        <v>617</v>
      </c>
      <c r="B618">
        <v>21</v>
      </c>
      <c r="C618" t="s">
        <v>616</v>
      </c>
      <c r="D618" s="13" t="s">
        <v>913</v>
      </c>
      <c r="E618" s="1">
        <v>2.62276</v>
      </c>
      <c r="F618">
        <v>1.4813700000000001</v>
      </c>
      <c r="G618" s="1">
        <v>2.5933679751580998</v>
      </c>
      <c r="H618" s="1">
        <v>1.4547823522238501</v>
      </c>
      <c r="I618">
        <f>VLOOKUP(C618,'[1]phenotypes-895'!$A$2:$G$896,7,FALSE)</f>
        <v>98</v>
      </c>
      <c r="J618" s="1">
        <v>-5.0926600000000002E-2</v>
      </c>
      <c r="K618" s="1">
        <f>VLOOKUP(C618,'[1]phenotypes-895'!$A$2:$I$896,9,FALSE)</f>
        <v>0</v>
      </c>
      <c r="L618" s="1">
        <v>-0.117275</v>
      </c>
      <c r="M618" s="4">
        <v>0</v>
      </c>
      <c r="N618" s="1">
        <v>-2.80696E-2</v>
      </c>
      <c r="O618" s="8">
        <v>0</v>
      </c>
      <c r="P618" s="1">
        <v>0.102686</v>
      </c>
      <c r="Q618">
        <v>1.2490000000000001</v>
      </c>
      <c r="R618" s="1">
        <v>3.9879299999999999E-2</v>
      </c>
      <c r="S618" s="2">
        <v>7.0000000000000007E-2</v>
      </c>
    </row>
    <row r="619" spans="1:19" x14ac:dyDescent="0.2">
      <c r="A619">
        <v>618</v>
      </c>
      <c r="B619">
        <v>42</v>
      </c>
      <c r="C619" t="s">
        <v>617</v>
      </c>
      <c r="D619" s="13" t="s">
        <v>912</v>
      </c>
      <c r="E619" s="1">
        <v>-0.88353400000000004</v>
      </c>
      <c r="F619">
        <v>0.78427199999999997</v>
      </c>
      <c r="G619" s="1">
        <v>-0.86272976180727701</v>
      </c>
      <c r="H619" s="1">
        <v>0.80915765913900095</v>
      </c>
      <c r="I619">
        <f>VLOOKUP(C619,'[1]phenotypes-895'!$A$2:$G$896,7,FALSE)</f>
        <v>86</v>
      </c>
      <c r="J619" s="1">
        <v>5.7613400000000002E-2</v>
      </c>
      <c r="K619" s="1">
        <f>VLOOKUP(C619,'[1]phenotypes-895'!$A$2:$I$896,9,FALSE)</f>
        <v>0.31277665532643428</v>
      </c>
      <c r="L619" s="1">
        <v>0.10619099999999999</v>
      </c>
      <c r="M619" s="4">
        <v>3.803552603724532</v>
      </c>
      <c r="N619" s="1">
        <v>3.0151500000000001E-2</v>
      </c>
      <c r="O619" s="8">
        <v>1</v>
      </c>
      <c r="P619" s="1">
        <v>-0.149979</v>
      </c>
      <c r="Q619">
        <v>0.63300000000000001</v>
      </c>
      <c r="R619" s="1">
        <v>-6.0622200000000001E-2</v>
      </c>
      <c r="S619" s="2">
        <v>-0.15</v>
      </c>
    </row>
    <row r="620" spans="1:19" x14ac:dyDescent="0.2">
      <c r="A620">
        <v>619</v>
      </c>
      <c r="B620">
        <v>33</v>
      </c>
      <c r="C620" t="s">
        <v>618</v>
      </c>
      <c r="D620" s="13" t="s">
        <v>913</v>
      </c>
      <c r="E620" s="1">
        <v>0.25509599999999999</v>
      </c>
      <c r="F620">
        <v>-0.46750700000000001</v>
      </c>
      <c r="G620" s="1">
        <v>0.201550560148264</v>
      </c>
      <c r="H620" s="1">
        <v>-0.52076523075827996</v>
      </c>
      <c r="I620">
        <f>VLOOKUP(C620,'[1]phenotypes-895'!$A$2:$G$896,7,FALSE)</f>
        <v>98</v>
      </c>
      <c r="J620" s="1">
        <v>1.66866E-3</v>
      </c>
      <c r="K620" s="1">
        <f>VLOOKUP(C620,'[1]phenotypes-895'!$A$2:$I$896,9,FALSE)</f>
        <v>0</v>
      </c>
      <c r="L620" s="1">
        <v>0.107237</v>
      </c>
      <c r="M620" s="4">
        <v>0</v>
      </c>
      <c r="N620" s="1">
        <v>2.3250200000000001E-3</v>
      </c>
      <c r="O620" s="8">
        <v>0</v>
      </c>
      <c r="P620" s="1">
        <v>8.2756700000000002E-2</v>
      </c>
      <c r="Q620">
        <v>0.91600000000000004</v>
      </c>
      <c r="R620" s="1">
        <v>3.52173E-2</v>
      </c>
      <c r="S620" s="2">
        <v>-0.03</v>
      </c>
    </row>
    <row r="621" spans="1:19" x14ac:dyDescent="0.2">
      <c r="A621">
        <v>620</v>
      </c>
      <c r="B621">
        <v>38</v>
      </c>
      <c r="C621" t="s">
        <v>619</v>
      </c>
      <c r="D621" s="13" t="s">
        <v>913</v>
      </c>
      <c r="E621" s="1">
        <v>2.55199</v>
      </c>
      <c r="F621">
        <v>2.8752300000000002</v>
      </c>
      <c r="G621" s="1">
        <v>2.55639655641806</v>
      </c>
      <c r="H621" s="1">
        <v>2.8682251964484702</v>
      </c>
      <c r="I621">
        <f>VLOOKUP(C621,'[1]phenotypes-895'!$A$2:$G$896,7,FALSE)</f>
        <v>95</v>
      </c>
      <c r="J621" s="1">
        <v>-2.60261E-2</v>
      </c>
      <c r="K621" s="1">
        <f>VLOOKUP(C621,'[1]phenotypes-895'!$A$2:$I$896,9,FALSE)</f>
        <v>0.31993845102133439</v>
      </c>
      <c r="L621" s="1">
        <v>-3.7136099999999998E-2</v>
      </c>
      <c r="M621" s="4">
        <v>4.73769919221869</v>
      </c>
      <c r="N621" s="1">
        <v>-2.1690000000000001E-2</v>
      </c>
      <c r="O621" s="8">
        <v>1</v>
      </c>
      <c r="P621" s="1">
        <v>0.15712699999999999</v>
      </c>
      <c r="Q621">
        <v>1.282</v>
      </c>
      <c r="R621" s="1">
        <v>5.59085E-2</v>
      </c>
      <c r="S621" s="2">
        <v>0.09</v>
      </c>
    </row>
    <row r="622" spans="1:19" x14ac:dyDescent="0.2">
      <c r="A622">
        <v>621</v>
      </c>
      <c r="B622">
        <v>25</v>
      </c>
      <c r="C622" t="s">
        <v>620</v>
      </c>
      <c r="D622" s="13" t="s">
        <v>913</v>
      </c>
      <c r="E622" s="1">
        <v>4.4154</v>
      </c>
      <c r="F622">
        <v>3.9862799999999998</v>
      </c>
      <c r="G622" s="1">
        <v>4.4239950818857299</v>
      </c>
      <c r="H622" s="1">
        <v>3.9917592289895198</v>
      </c>
      <c r="I622">
        <f>VLOOKUP(C622,'[1]phenotypes-895'!$A$2:$G$896,7,FALSE)</f>
        <v>94</v>
      </c>
      <c r="J622" s="1">
        <v>-5.1402299999999998E-2</v>
      </c>
      <c r="K622" s="1">
        <f>VLOOKUP(C622,'[1]phenotypes-895'!$A$2:$I$896,9,FALSE)</f>
        <v>0.25558443053730628</v>
      </c>
      <c r="L622" s="1">
        <v>-4.5539299999999998E-2</v>
      </c>
      <c r="M622" s="4">
        <v>4.1997997801790703</v>
      </c>
      <c r="N622" s="1">
        <v>-1.8341500000000001E-3</v>
      </c>
      <c r="O622" s="8">
        <v>1</v>
      </c>
      <c r="P622" s="1">
        <v>0.122833</v>
      </c>
      <c r="Q622">
        <v>1.1930000000000001</v>
      </c>
      <c r="R622" s="1">
        <v>4.4267899999999999E-2</v>
      </c>
      <c r="S622" s="2">
        <v>0.06</v>
      </c>
    </row>
    <row r="623" spans="1:19" x14ac:dyDescent="0.2">
      <c r="A623">
        <v>622</v>
      </c>
      <c r="B623">
        <v>40</v>
      </c>
      <c r="C623" t="s">
        <v>621</v>
      </c>
      <c r="D623" s="13" t="s">
        <v>913</v>
      </c>
      <c r="E623" s="1">
        <v>-0.40504000000000001</v>
      </c>
      <c r="F623">
        <v>-1.11439</v>
      </c>
      <c r="G623" s="1">
        <v>-0.414636282745875</v>
      </c>
      <c r="H623" s="1">
        <v>-1.1252083427674999</v>
      </c>
      <c r="I623">
        <f>VLOOKUP(C623,'[1]phenotypes-895'!$A$2:$G$896,7,FALSE)</f>
        <v>98</v>
      </c>
      <c r="J623" s="1">
        <v>-4.9878099999999996E-3</v>
      </c>
      <c r="K623" s="1">
        <f>VLOOKUP(C623,'[1]phenotypes-895'!$A$2:$I$896,9,FALSE)</f>
        <v>0</v>
      </c>
      <c r="L623" s="1">
        <v>-1.34795E-2</v>
      </c>
      <c r="M623" s="4">
        <v>0</v>
      </c>
      <c r="N623" s="1">
        <v>1.23576E-2</v>
      </c>
      <c r="O623" s="8">
        <v>0</v>
      </c>
      <c r="P623" s="1">
        <v>6.4835299999999998E-2</v>
      </c>
      <c r="Q623">
        <v>0.98799999999999999</v>
      </c>
      <c r="R623" s="1">
        <v>3.2687099999999997E-2</v>
      </c>
      <c r="S623" s="2">
        <v>0</v>
      </c>
    </row>
    <row r="624" spans="1:19" x14ac:dyDescent="0.2">
      <c r="A624">
        <v>623</v>
      </c>
      <c r="B624">
        <v>23</v>
      </c>
      <c r="C624" t="s">
        <v>622</v>
      </c>
      <c r="D624" s="13" t="s">
        <v>913</v>
      </c>
      <c r="E624" s="1">
        <v>3.3072599999999999</v>
      </c>
      <c r="F624">
        <v>3.0961500000000002</v>
      </c>
      <c r="G624" s="1">
        <v>3.2784674089828498</v>
      </c>
      <c r="H624" s="1">
        <v>3.0655183822296301</v>
      </c>
      <c r="I624">
        <f>VLOOKUP(C624,'[1]phenotypes-895'!$A$2:$G$896,7,FALSE)</f>
        <v>98</v>
      </c>
      <c r="J624" s="1">
        <v>-6.2036599999999997E-2</v>
      </c>
      <c r="K624" s="1">
        <f>VLOOKUP(C624,'[1]phenotypes-895'!$A$2:$I$896,9,FALSE)</f>
        <v>0</v>
      </c>
      <c r="L624" s="1">
        <v>-6.8170099999999997E-2</v>
      </c>
      <c r="M624" s="4">
        <v>0</v>
      </c>
      <c r="N624" s="1">
        <v>-1.2515999999999999E-2</v>
      </c>
      <c r="O624" s="8">
        <v>0</v>
      </c>
      <c r="P624" s="1">
        <v>0.12620300000000001</v>
      </c>
      <c r="Q624">
        <v>1.173</v>
      </c>
      <c r="R624" s="1">
        <v>4.7698900000000002E-2</v>
      </c>
      <c r="S624" s="2">
        <v>0.05</v>
      </c>
    </row>
    <row r="625" spans="1:19" x14ac:dyDescent="0.2">
      <c r="A625">
        <v>624</v>
      </c>
      <c r="B625">
        <v>27</v>
      </c>
      <c r="C625" t="s">
        <v>623</v>
      </c>
      <c r="D625" s="13" t="s">
        <v>913</v>
      </c>
      <c r="E625" s="1">
        <v>3.41472</v>
      </c>
      <c r="F625">
        <v>1.58789</v>
      </c>
      <c r="G625" s="1">
        <v>3.3770014391737</v>
      </c>
      <c r="H625" s="1">
        <v>1.53179503584347</v>
      </c>
      <c r="I625">
        <f>VLOOKUP(C625,'[1]phenotypes-895'!$A$2:$G$896,7,FALSE)</f>
        <v>58</v>
      </c>
      <c r="J625" s="1">
        <v>-4.67797E-2</v>
      </c>
      <c r="K625" s="1">
        <f>VLOOKUP(C625,'[1]phenotypes-895'!$A$2:$I$896,9,FALSE)</f>
        <v>0.5258891097208287</v>
      </c>
      <c r="L625" s="1">
        <v>-7.2230799999999998E-2</v>
      </c>
      <c r="M625" s="4">
        <v>3.931464190158751</v>
      </c>
      <c r="N625" s="1">
        <v>-1.9974700000000001E-2</v>
      </c>
      <c r="O625" s="8">
        <v>1</v>
      </c>
      <c r="P625" s="1">
        <v>0.13650899999999999</v>
      </c>
      <c r="Q625">
        <v>1.153</v>
      </c>
      <c r="R625" s="1">
        <v>4.8242500000000001E-2</v>
      </c>
      <c r="S625" s="2">
        <v>0.04</v>
      </c>
    </row>
    <row r="626" spans="1:19" x14ac:dyDescent="0.2">
      <c r="A626">
        <v>625</v>
      </c>
      <c r="B626">
        <v>30</v>
      </c>
      <c r="C626" t="s">
        <v>624</v>
      </c>
      <c r="D626" s="13" t="s">
        <v>913</v>
      </c>
      <c r="E626" s="1">
        <v>2.4342899999999998</v>
      </c>
      <c r="F626">
        <v>1.0860300000000001</v>
      </c>
      <c r="G626" s="1">
        <v>2.39405775893918</v>
      </c>
      <c r="H626" s="1">
        <v>1.0370870191408299</v>
      </c>
      <c r="I626">
        <f>VLOOKUP(C626,'[1]phenotypes-895'!$A$2:$G$896,7,FALSE)</f>
        <v>98</v>
      </c>
      <c r="J626" s="1">
        <v>-3.5994400000000003E-2</v>
      </c>
      <c r="K626" s="1">
        <f>VLOOKUP(C626,'[1]phenotypes-895'!$A$2:$I$896,9,FALSE)</f>
        <v>0</v>
      </c>
      <c r="L626" s="1">
        <v>-0.10731599999999999</v>
      </c>
      <c r="M626" s="4">
        <v>0</v>
      </c>
      <c r="N626" s="1">
        <v>-2.0673400000000001E-2</v>
      </c>
      <c r="O626" s="8">
        <v>0</v>
      </c>
      <c r="P626" s="1">
        <v>9.58899E-2</v>
      </c>
      <c r="Q626">
        <v>1.0609999999999999</v>
      </c>
      <c r="R626" s="1">
        <v>3.6924100000000001E-2</v>
      </c>
      <c r="S626" s="2">
        <v>0.02</v>
      </c>
    </row>
    <row r="627" spans="1:19" x14ac:dyDescent="0.2">
      <c r="A627">
        <v>626</v>
      </c>
      <c r="B627">
        <v>27</v>
      </c>
      <c r="C627" t="s">
        <v>625</v>
      </c>
      <c r="D627" s="13" t="s">
        <v>913</v>
      </c>
      <c r="E627" s="1">
        <v>4.5733800000000002</v>
      </c>
      <c r="F627">
        <v>4.0839699999999999</v>
      </c>
      <c r="G627" s="1">
        <v>4.5608465193971197</v>
      </c>
      <c r="H627" s="1">
        <v>4.0647574000649298</v>
      </c>
      <c r="I627">
        <f>VLOOKUP(C627,'[1]phenotypes-895'!$A$2:$G$896,7,FALSE)</f>
        <v>70</v>
      </c>
      <c r="J627" s="1">
        <v>-2.4345700000000001E-2</v>
      </c>
      <c r="K627" s="1">
        <f>VLOOKUP(C627,'[1]phenotypes-895'!$A$2:$I$896,9,FALSE)</f>
        <v>0.59779795698478777</v>
      </c>
      <c r="L627" s="1">
        <v>-8.0825800000000003E-2</v>
      </c>
      <c r="M627" s="4">
        <v>4.7581503227145223</v>
      </c>
      <c r="N627" s="1">
        <v>-9.4349499999999992E-3</v>
      </c>
      <c r="O627" s="8">
        <v>1</v>
      </c>
      <c r="P627" s="1">
        <v>0.13164300000000001</v>
      </c>
      <c r="Q627">
        <v>1.022</v>
      </c>
      <c r="R627" s="1">
        <v>4.6674899999999998E-2</v>
      </c>
      <c r="S627" s="2">
        <v>0.01</v>
      </c>
    </row>
    <row r="628" spans="1:19" x14ac:dyDescent="0.2">
      <c r="A628">
        <v>627</v>
      </c>
      <c r="B628">
        <v>32</v>
      </c>
      <c r="C628" t="s">
        <v>626</v>
      </c>
      <c r="D628" s="13" t="s">
        <v>913</v>
      </c>
      <c r="E628" s="1">
        <v>-0.48260199999999998</v>
      </c>
      <c r="F628">
        <v>-1.4600599999999999</v>
      </c>
      <c r="G628" s="1">
        <v>-0.444383003885086</v>
      </c>
      <c r="H628" s="1">
        <v>-1.42717277608208</v>
      </c>
      <c r="I628">
        <f>VLOOKUP(C628,'[1]phenotypes-895'!$A$2:$G$896,7,FALSE)</f>
        <v>60</v>
      </c>
      <c r="J628" s="1">
        <v>1.36259E-2</v>
      </c>
      <c r="K628" s="1">
        <f>VLOOKUP(C628,'[1]phenotypes-895'!$A$2:$I$896,9,FALSE)</f>
        <v>0.60638949438928125</v>
      </c>
      <c r="L628" s="1">
        <v>6.3158300000000001E-2</v>
      </c>
      <c r="M628" s="4">
        <v>4.0850845430215204</v>
      </c>
      <c r="N628" s="1">
        <v>-1.5547E-2</v>
      </c>
      <c r="O628" s="8">
        <v>1</v>
      </c>
      <c r="P628" s="1">
        <v>0.110762</v>
      </c>
      <c r="Q628">
        <v>1.0580000000000001</v>
      </c>
      <c r="R628" s="1">
        <v>4.5551500000000002E-2</v>
      </c>
      <c r="S628" s="2">
        <v>0.02</v>
      </c>
    </row>
    <row r="629" spans="1:19" x14ac:dyDescent="0.2">
      <c r="A629">
        <v>628</v>
      </c>
      <c r="B629">
        <v>40</v>
      </c>
      <c r="C629" t="s">
        <v>627</v>
      </c>
      <c r="D629" s="13" t="s">
        <v>913</v>
      </c>
      <c r="E629" s="1">
        <v>-0.15412100000000001</v>
      </c>
      <c r="F629">
        <v>-0.96479899999999996</v>
      </c>
      <c r="G629" s="1">
        <v>-0.16224421833323799</v>
      </c>
      <c r="H629" s="1">
        <v>-0.97887692045181396</v>
      </c>
      <c r="I629">
        <f>VLOOKUP(C629,'[1]phenotypes-895'!$A$2:$G$896,7,FALSE)</f>
        <v>74</v>
      </c>
      <c r="J629" s="1">
        <v>6.5379799999999997E-3</v>
      </c>
      <c r="K629" s="1">
        <f>VLOOKUP(C629,'[1]phenotypes-895'!$A$2:$I$896,9,FALSE)</f>
        <v>0.52640135463440374</v>
      </c>
      <c r="L629" s="1">
        <v>-2.0233399999999999E-2</v>
      </c>
      <c r="M629" s="4">
        <v>4.6497682407651295</v>
      </c>
      <c r="N629" s="1">
        <v>1.51752E-2</v>
      </c>
      <c r="O629" s="8">
        <v>1</v>
      </c>
      <c r="P629" s="1">
        <v>3.3331600000000003E-2</v>
      </c>
      <c r="Q629">
        <v>0.94330000000000003</v>
      </c>
      <c r="R629" s="1">
        <v>2.5011700000000001E-2</v>
      </c>
      <c r="S629" s="2">
        <v>-0.02</v>
      </c>
    </row>
    <row r="630" spans="1:19" x14ac:dyDescent="0.2">
      <c r="A630">
        <v>629</v>
      </c>
      <c r="B630">
        <v>27</v>
      </c>
      <c r="C630" t="s">
        <v>628</v>
      </c>
      <c r="D630" s="13" t="s">
        <v>913</v>
      </c>
      <c r="E630" s="1">
        <v>5.1405399999999997</v>
      </c>
      <c r="F630">
        <v>5.3181700000000003</v>
      </c>
      <c r="G630" s="1">
        <v>5.1599088549608103</v>
      </c>
      <c r="H630" s="1">
        <v>5.3320016061782702</v>
      </c>
      <c r="I630">
        <f>VLOOKUP(C630,'[1]phenotypes-895'!$A$2:$G$896,7,FALSE)</f>
        <v>98</v>
      </c>
      <c r="J630" s="1">
        <v>-3.4305500000000003E-2</v>
      </c>
      <c r="K630" s="1">
        <f>VLOOKUP(C630,'[1]phenotypes-895'!$A$2:$I$896,9,FALSE)</f>
        <v>0.33118506073143988</v>
      </c>
      <c r="L630" s="1">
        <v>-0.13452600000000001</v>
      </c>
      <c r="M630" s="4">
        <v>3.529581280033244</v>
      </c>
      <c r="N630" s="1">
        <v>-1.2806E-2</v>
      </c>
      <c r="O630" s="8">
        <v>1</v>
      </c>
      <c r="P630" s="1">
        <v>0.12038</v>
      </c>
      <c r="Q630">
        <v>1.0840000000000001</v>
      </c>
      <c r="R630" s="1">
        <v>4.0407999999999999E-2</v>
      </c>
      <c r="S630" s="2">
        <v>0.03</v>
      </c>
    </row>
    <row r="631" spans="1:19" x14ac:dyDescent="0.2">
      <c r="A631">
        <v>630</v>
      </c>
      <c r="B631">
        <v>36</v>
      </c>
      <c r="C631" t="s">
        <v>629</v>
      </c>
      <c r="D631" s="13" t="s">
        <v>913</v>
      </c>
      <c r="E631" s="1">
        <v>1.73227</v>
      </c>
      <c r="F631">
        <v>2.1019000000000001</v>
      </c>
      <c r="G631" s="1">
        <v>1.7466657714648399</v>
      </c>
      <c r="H631" s="1">
        <v>2.10741230187628</v>
      </c>
      <c r="I631">
        <f>VLOOKUP(C631,'[1]phenotypes-895'!$A$2:$G$896,7,FALSE)</f>
        <v>65</v>
      </c>
      <c r="J631" s="1">
        <v>1.6409E-3</v>
      </c>
      <c r="K631" s="1">
        <f>VLOOKUP(C631,'[1]phenotypes-895'!$A$2:$I$896,9,FALSE)</f>
        <v>0.52480798474733403</v>
      </c>
      <c r="L631" s="1">
        <v>-1.4688100000000001E-2</v>
      </c>
      <c r="M631" s="4">
        <v>4.0786927891162783</v>
      </c>
      <c r="N631" s="1">
        <v>-9.8454300000000005E-3</v>
      </c>
      <c r="O631" s="8">
        <v>1</v>
      </c>
      <c r="P631" s="1">
        <v>0.150175</v>
      </c>
      <c r="Q631">
        <v>1.2250000000000001</v>
      </c>
      <c r="R631" s="1">
        <v>4.9262300000000002E-2</v>
      </c>
      <c r="S631" s="2">
        <v>0.06</v>
      </c>
    </row>
    <row r="632" spans="1:19" x14ac:dyDescent="0.2">
      <c r="A632">
        <v>631</v>
      </c>
      <c r="B632">
        <v>28</v>
      </c>
      <c r="C632" t="s">
        <v>630</v>
      </c>
      <c r="D632" s="13" t="s">
        <v>913</v>
      </c>
      <c r="E632" s="1">
        <v>3.8953000000000002</v>
      </c>
      <c r="F632">
        <v>2.9991599999999998</v>
      </c>
      <c r="G632" s="1">
        <v>3.8549067807019401</v>
      </c>
      <c r="H632" s="1">
        <v>2.9487085564432101</v>
      </c>
      <c r="I632">
        <f>VLOOKUP(C632,'[1]phenotypes-895'!$A$2:$G$896,7,FALSE)</f>
        <v>98</v>
      </c>
      <c r="J632" s="1">
        <v>-3.1264800000000002E-2</v>
      </c>
      <c r="K632" s="1">
        <f>VLOOKUP(C632,'[1]phenotypes-895'!$A$2:$I$896,9,FALSE)</f>
        <v>0.54154726130043318</v>
      </c>
      <c r="L632" s="1">
        <v>-0.14009199999999999</v>
      </c>
      <c r="M632" s="4">
        <v>4.1356045243474817</v>
      </c>
      <c r="N632" s="1">
        <v>-1.2874200000000001E-2</v>
      </c>
      <c r="O632" s="8">
        <v>1</v>
      </c>
      <c r="P632" s="1">
        <v>0.13078500000000001</v>
      </c>
      <c r="Q632">
        <v>1.431</v>
      </c>
      <c r="R632" s="1">
        <v>4.0352300000000001E-2</v>
      </c>
      <c r="S632" s="2">
        <v>0.11</v>
      </c>
    </row>
    <row r="633" spans="1:19" x14ac:dyDescent="0.2">
      <c r="A633">
        <v>632</v>
      </c>
      <c r="B633">
        <v>29</v>
      </c>
      <c r="C633" t="s">
        <v>631</v>
      </c>
      <c r="D633" s="13" t="s">
        <v>913</v>
      </c>
      <c r="E633" s="1">
        <v>-3.6265900000000002</v>
      </c>
      <c r="F633">
        <v>-5.4124800000000004</v>
      </c>
      <c r="G633" s="1">
        <v>-3.6902216879554399</v>
      </c>
      <c r="H633" s="1">
        <v>-5.4907373581129999</v>
      </c>
      <c r="I633">
        <f>VLOOKUP(C633,'[1]phenotypes-895'!$A$2:$G$896,7,FALSE)</f>
        <v>44</v>
      </c>
      <c r="J633" s="1">
        <v>4.1484E-2</v>
      </c>
      <c r="K633" s="1">
        <f>VLOOKUP(C633,'[1]phenotypes-895'!$A$2:$I$896,9,FALSE)</f>
        <v>0.52887660557033356</v>
      </c>
      <c r="L633" s="1">
        <v>-7.1916400000000005E-2</v>
      </c>
      <c r="M633" s="4">
        <v>4.3100436491441769</v>
      </c>
      <c r="N633" s="1">
        <v>-2.7359900000000002E-3</v>
      </c>
      <c r="O633" s="8">
        <v>1</v>
      </c>
      <c r="P633" s="1">
        <v>8.1422599999999998E-2</v>
      </c>
      <c r="Q633">
        <v>0.96499999999999997</v>
      </c>
      <c r="R633" s="1">
        <v>3.65435E-2</v>
      </c>
      <c r="S633" s="2">
        <v>-0.01</v>
      </c>
    </row>
    <row r="634" spans="1:19" x14ac:dyDescent="0.2">
      <c r="A634">
        <v>633</v>
      </c>
      <c r="B634">
        <v>23</v>
      </c>
      <c r="C634" t="s">
        <v>632</v>
      </c>
      <c r="D634" s="13" t="s">
        <v>913</v>
      </c>
      <c r="E634" s="1">
        <v>4.1872699999999998</v>
      </c>
      <c r="F634">
        <v>3.77786</v>
      </c>
      <c r="G634" s="1">
        <v>4.1479442200408503</v>
      </c>
      <c r="H634" s="1">
        <v>3.7428032902188799</v>
      </c>
      <c r="I634">
        <f>VLOOKUP(C634,'[1]phenotypes-895'!$A$2:$G$896,7,FALSE)</f>
        <v>98</v>
      </c>
      <c r="J634" s="1">
        <v>-7.6992500000000005E-2</v>
      </c>
      <c r="K634" s="1">
        <f>VLOOKUP(C634,'[1]phenotypes-895'!$A$2:$I$896,9,FALSE)</f>
        <v>-3.2703524897251868E-2</v>
      </c>
      <c r="L634" s="1">
        <v>-9.0791499999999997E-2</v>
      </c>
      <c r="M634" s="4">
        <v>3.0714168175085099</v>
      </c>
      <c r="N634" s="1">
        <v>-1.2384300000000001E-2</v>
      </c>
      <c r="O634" s="8">
        <v>1</v>
      </c>
      <c r="P634" s="1">
        <v>9.16468E-2</v>
      </c>
      <c r="Q634">
        <v>1.073</v>
      </c>
      <c r="R634" s="1">
        <v>3.6191099999999997E-2</v>
      </c>
      <c r="S634" s="2">
        <v>0.02</v>
      </c>
    </row>
    <row r="635" spans="1:19" x14ac:dyDescent="0.2">
      <c r="A635">
        <v>634</v>
      </c>
      <c r="B635">
        <v>26</v>
      </c>
      <c r="C635" t="s">
        <v>633</v>
      </c>
      <c r="D635" s="13" t="s">
        <v>913</v>
      </c>
      <c r="E635" s="1">
        <v>5.0433500000000002</v>
      </c>
      <c r="F635">
        <v>4.7276999999999996</v>
      </c>
      <c r="G635" s="1">
        <v>5.0417337602759602</v>
      </c>
      <c r="H635" s="1">
        <v>4.7246109646440697</v>
      </c>
      <c r="I635">
        <f>VLOOKUP(C635,'[1]phenotypes-895'!$A$2:$G$896,7,FALSE)</f>
        <v>76</v>
      </c>
      <c r="J635" s="1">
        <v>-4.7089600000000002E-2</v>
      </c>
      <c r="K635" s="1">
        <f>VLOOKUP(C635,'[1]phenotypes-895'!$A$2:$I$896,9,FALSE)</f>
        <v>0.48407828410791631</v>
      </c>
      <c r="L635" s="1">
        <v>-0.15264800000000001</v>
      </c>
      <c r="M635" s="4">
        <v>4.4626769740005443</v>
      </c>
      <c r="N635" s="1">
        <v>-1.9022899999999999E-2</v>
      </c>
      <c r="O635" s="8">
        <v>1</v>
      </c>
      <c r="P635" s="1">
        <v>0.101647</v>
      </c>
      <c r="Q635">
        <v>1.333</v>
      </c>
      <c r="R635" s="1">
        <v>3.1668700000000001E-2</v>
      </c>
      <c r="S635" s="2">
        <v>0.09</v>
      </c>
    </row>
    <row r="636" spans="1:19" x14ac:dyDescent="0.2">
      <c r="A636">
        <v>635</v>
      </c>
      <c r="B636">
        <v>50</v>
      </c>
      <c r="C636" t="s">
        <v>634</v>
      </c>
      <c r="D636" s="13" t="s">
        <v>912</v>
      </c>
      <c r="E636" s="1">
        <v>-1.28938</v>
      </c>
      <c r="F636">
        <v>-0.31759199999999999</v>
      </c>
      <c r="G636" s="1">
        <v>-1.30261122587746</v>
      </c>
      <c r="H636" s="1">
        <v>-0.32596360447651102</v>
      </c>
      <c r="I636">
        <f>VLOOKUP(C636,'[1]phenotypes-895'!$A$2:$G$896,7,FALSE)</f>
        <v>72</v>
      </c>
      <c r="J636" s="1">
        <v>2.8920499999999998E-2</v>
      </c>
      <c r="K636" s="1">
        <f>VLOOKUP(C636,'[1]phenotypes-895'!$A$2:$I$896,9,FALSE)</f>
        <v>0.404740888482156</v>
      </c>
      <c r="L636" s="1">
        <v>-2.4159E-2</v>
      </c>
      <c r="M636" s="4">
        <v>3.3928746153662002</v>
      </c>
      <c r="N636" s="1">
        <v>4.2331599999999997E-2</v>
      </c>
      <c r="O636" s="8">
        <v>1</v>
      </c>
      <c r="P636" s="1">
        <v>-0.109711</v>
      </c>
      <c r="Q636">
        <v>0.495</v>
      </c>
      <c r="R636" s="1">
        <v>-5.0313999999999998E-2</v>
      </c>
      <c r="S636" s="2">
        <v>-0.24</v>
      </c>
    </row>
    <row r="637" spans="1:19" x14ac:dyDescent="0.2">
      <c r="A637">
        <v>636</v>
      </c>
      <c r="B637">
        <v>40</v>
      </c>
      <c r="C637" t="s">
        <v>635</v>
      </c>
      <c r="D637" s="13" t="s">
        <v>913</v>
      </c>
      <c r="E637" s="1">
        <v>0.69623199999999996</v>
      </c>
      <c r="F637">
        <v>0.138679</v>
      </c>
      <c r="G637" s="1">
        <v>0.636032462535707</v>
      </c>
      <c r="H637" s="1">
        <v>7.4666782322520595E-2</v>
      </c>
      <c r="I637">
        <f>VLOOKUP(C637,'[1]phenotypes-895'!$A$2:$G$896,7,FALSE)</f>
        <v>70</v>
      </c>
      <c r="J637" s="1">
        <v>5.3530000000000001E-2</v>
      </c>
      <c r="K637" s="1">
        <f>VLOOKUP(C637,'[1]phenotypes-895'!$A$2:$I$896,9,FALSE)</f>
        <v>0.6756093637624313</v>
      </c>
      <c r="L637" s="1">
        <v>7.3528200000000002E-2</v>
      </c>
      <c r="M637" s="4">
        <v>5.0212638373730245</v>
      </c>
      <c r="N637" s="1">
        <v>1.50872E-2</v>
      </c>
      <c r="O637" s="8">
        <v>1</v>
      </c>
      <c r="P637" s="1">
        <v>1.1816999999999999E-2</v>
      </c>
      <c r="Q637">
        <v>1.0029999999999999</v>
      </c>
      <c r="R637" s="1">
        <v>9.3234500000000005E-3</v>
      </c>
      <c r="S637" s="2">
        <v>0</v>
      </c>
    </row>
    <row r="638" spans="1:19" x14ac:dyDescent="0.2">
      <c r="A638">
        <v>637</v>
      </c>
      <c r="B638">
        <v>46</v>
      </c>
      <c r="C638" t="s">
        <v>636</v>
      </c>
      <c r="D638" s="13" t="s">
        <v>912</v>
      </c>
      <c r="E638" s="1">
        <v>0.19558</v>
      </c>
      <c r="F638">
        <v>3.17828</v>
      </c>
      <c r="G638" s="1">
        <v>0.20140689146818899</v>
      </c>
      <c r="H638" s="1">
        <v>3.2037962769934998</v>
      </c>
      <c r="I638">
        <f>VLOOKUP(C638,'[1]phenotypes-895'!$A$2:$G$896,7,FALSE)</f>
        <v>98</v>
      </c>
      <c r="J638" s="1">
        <v>4.8109199999999998E-3</v>
      </c>
      <c r="K638" s="1">
        <f>VLOOKUP(C638,'[1]phenotypes-895'!$A$2:$I$896,9,FALSE)</f>
        <v>0</v>
      </c>
      <c r="L638" s="1">
        <v>-7.0091600000000004E-2</v>
      </c>
      <c r="M638" s="4">
        <v>0</v>
      </c>
      <c r="N638" s="1">
        <v>1.14822E-2</v>
      </c>
      <c r="O638" s="8">
        <v>0</v>
      </c>
      <c r="P638" s="1">
        <v>-0.20352500000000001</v>
      </c>
      <c r="Q638">
        <v>0.54900000000000004</v>
      </c>
      <c r="R638" s="1">
        <v>-8.49356E-2</v>
      </c>
      <c r="S638" s="2">
        <v>-0.2</v>
      </c>
    </row>
    <row r="639" spans="1:19" x14ac:dyDescent="0.2">
      <c r="A639">
        <v>638</v>
      </c>
      <c r="B639">
        <v>22</v>
      </c>
      <c r="C639" t="s">
        <v>637</v>
      </c>
      <c r="D639" s="13" t="s">
        <v>913</v>
      </c>
      <c r="E639" s="1">
        <v>1.4499899999999999</v>
      </c>
      <c r="F639">
        <v>1.77721</v>
      </c>
      <c r="G639" s="1">
        <v>1.41014025872058</v>
      </c>
      <c r="H639" s="1">
        <v>1.7304312731867</v>
      </c>
      <c r="I639">
        <f>VLOOKUP(C639,'[1]phenotypes-895'!$A$2:$G$896,7,FALSE)</f>
        <v>60</v>
      </c>
      <c r="J639" s="1">
        <v>-1.18327E-2</v>
      </c>
      <c r="K639" s="1">
        <f>VLOOKUP(C639,'[1]phenotypes-895'!$A$2:$I$896,9,FALSE)</f>
        <v>0.59028255603058077</v>
      </c>
      <c r="L639" s="1">
        <v>0.11876299999999999</v>
      </c>
      <c r="M639" s="4">
        <v>4.4157781572675292</v>
      </c>
      <c r="N639" s="1">
        <v>-6.3881199999999997E-3</v>
      </c>
      <c r="O639" s="8">
        <v>1</v>
      </c>
      <c r="P639" s="1">
        <v>0.18917999999999999</v>
      </c>
      <c r="Q639">
        <v>1.2869999999999999</v>
      </c>
      <c r="R639" s="1">
        <v>6.7770399999999995E-2</v>
      </c>
      <c r="S639" s="2">
        <v>0.08</v>
      </c>
    </row>
    <row r="640" spans="1:19" x14ac:dyDescent="0.2">
      <c r="A640">
        <v>639</v>
      </c>
      <c r="B640">
        <v>34</v>
      </c>
      <c r="C640" t="s">
        <v>638</v>
      </c>
      <c r="D640" s="13" t="s">
        <v>913</v>
      </c>
      <c r="E640" s="1">
        <v>1.5629200000000001</v>
      </c>
      <c r="F640">
        <v>1.35436</v>
      </c>
      <c r="G640" s="1">
        <v>1.54218993071834</v>
      </c>
      <c r="H640" s="1">
        <v>1.34110684709838</v>
      </c>
      <c r="I640">
        <f>VLOOKUP(C640,'[1]phenotypes-895'!$A$2:$G$896,7,FALSE)</f>
        <v>75</v>
      </c>
      <c r="J640" s="1">
        <v>6.1239599999999997E-4</v>
      </c>
      <c r="K640" s="1">
        <f>VLOOKUP(C640,'[1]phenotypes-895'!$A$2:$I$896,9,FALSE)</f>
        <v>0.38724410820251343</v>
      </c>
      <c r="L640" s="1">
        <v>7.10345E-2</v>
      </c>
      <c r="M640" s="4">
        <v>4.2334975000864201</v>
      </c>
      <c r="N640" s="1">
        <v>1.46795E-2</v>
      </c>
      <c r="O640" s="8">
        <v>1</v>
      </c>
      <c r="P640" s="1">
        <v>6.4734899999999998E-2</v>
      </c>
      <c r="Q640">
        <v>0.99199999999999999</v>
      </c>
      <c r="R640" s="1">
        <v>3.4230299999999998E-2</v>
      </c>
      <c r="S640" s="2">
        <v>0</v>
      </c>
    </row>
    <row r="641" spans="1:19" x14ac:dyDescent="0.2">
      <c r="A641">
        <v>640</v>
      </c>
      <c r="B641">
        <v>40</v>
      </c>
      <c r="C641" t="s">
        <v>639</v>
      </c>
      <c r="D641" s="13" t="s">
        <v>913</v>
      </c>
      <c r="E641" s="1">
        <v>-3.0696300000000001</v>
      </c>
      <c r="F641">
        <v>-4.31928</v>
      </c>
      <c r="G641" s="1">
        <v>-3.1322646892197898</v>
      </c>
      <c r="H641" s="1">
        <v>-4.3970119822444396</v>
      </c>
      <c r="I641">
        <f>VLOOKUP(C641,'[1]phenotypes-895'!$A$2:$G$896,7,FALSE)</f>
        <v>65</v>
      </c>
      <c r="J641" s="1">
        <v>8.4626199999999999E-2</v>
      </c>
      <c r="K641" s="1">
        <f>VLOOKUP(C641,'[1]phenotypes-895'!$A$2:$I$896,9,FALSE)</f>
        <v>0.75407371425281433</v>
      </c>
      <c r="L641" s="1">
        <v>1.2104E-2</v>
      </c>
      <c r="M641" s="4">
        <v>4.3662185880922424</v>
      </c>
      <c r="N641" s="1">
        <v>1.9866700000000001E-2</v>
      </c>
      <c r="O641" s="8">
        <v>1</v>
      </c>
      <c r="P641" s="1">
        <v>7.82167E-2</v>
      </c>
      <c r="Q641">
        <v>0.96299999999999997</v>
      </c>
      <c r="R641" s="1">
        <v>3.5297799999999997E-2</v>
      </c>
      <c r="S641" s="2">
        <v>-0.01</v>
      </c>
    </row>
    <row r="642" spans="1:19" x14ac:dyDescent="0.2">
      <c r="A642">
        <v>641</v>
      </c>
      <c r="B642">
        <v>21</v>
      </c>
      <c r="C642" t="s">
        <v>640</v>
      </c>
      <c r="D642" s="13" t="s">
        <v>913</v>
      </c>
      <c r="E642" s="1">
        <v>2.0995400000000002</v>
      </c>
      <c r="F642">
        <v>3.94842</v>
      </c>
      <c r="G642" s="1">
        <v>2.1171969351331001</v>
      </c>
      <c r="H642" s="1">
        <v>3.9808432481913698</v>
      </c>
      <c r="I642">
        <f>VLOOKUP(C642,'[1]phenotypes-895'!$A$2:$G$896,7,FALSE)</f>
        <v>98</v>
      </c>
      <c r="J642" s="1">
        <v>-3.3563000000000003E-2</v>
      </c>
      <c r="K642" s="1">
        <f>VLOOKUP(C642,'[1]phenotypes-895'!$A$2:$I$896,9,FALSE)</f>
        <v>0</v>
      </c>
      <c r="L642" s="1">
        <v>9.7186800000000004E-2</v>
      </c>
      <c r="M642" s="4">
        <v>0</v>
      </c>
      <c r="N642" s="1">
        <v>1.9429100000000001E-2</v>
      </c>
      <c r="O642" s="8">
        <v>0</v>
      </c>
      <c r="P642" s="1">
        <v>-0.116493</v>
      </c>
      <c r="Q642">
        <v>1.1870000000000001</v>
      </c>
      <c r="R642" s="1">
        <v>-4.7055199999999998E-2</v>
      </c>
      <c r="S642" s="2">
        <v>0.05</v>
      </c>
    </row>
    <row r="643" spans="1:19" x14ac:dyDescent="0.2">
      <c r="A643">
        <v>642</v>
      </c>
      <c r="B643">
        <v>29</v>
      </c>
      <c r="C643" t="s">
        <v>641</v>
      </c>
      <c r="D643" s="13" t="s">
        <v>913</v>
      </c>
      <c r="E643" s="1">
        <v>1.6285799999999999</v>
      </c>
      <c r="F643">
        <v>0.41936800000000002</v>
      </c>
      <c r="G643" s="1">
        <v>1.55362062831314</v>
      </c>
      <c r="H643" s="1">
        <v>0.336502742224768</v>
      </c>
      <c r="I643">
        <f>VLOOKUP(C643,'[1]phenotypes-895'!$A$2:$G$896,7,FALSE)</f>
        <v>70</v>
      </c>
      <c r="J643" s="1">
        <v>-1.2182200000000001E-2</v>
      </c>
      <c r="K643" s="1">
        <f>VLOOKUP(C643,'[1]phenotypes-895'!$A$2:$I$896,9,FALSE)</f>
        <v>0.42614791033547827</v>
      </c>
      <c r="L643" s="1">
        <v>-0.16791400000000001</v>
      </c>
      <c r="M643" s="4">
        <v>3.8804473567584288</v>
      </c>
      <c r="N643" s="1">
        <v>-1.8580099999999999E-2</v>
      </c>
      <c r="O643" s="8">
        <v>1</v>
      </c>
      <c r="P643" s="1">
        <v>7.3102200000000006E-2</v>
      </c>
      <c r="Q643">
        <v>1.1399999999999999</v>
      </c>
      <c r="R643" s="1">
        <v>2.8838800000000001E-2</v>
      </c>
      <c r="S643" s="2">
        <v>0.04</v>
      </c>
    </row>
    <row r="644" spans="1:19" x14ac:dyDescent="0.2">
      <c r="A644">
        <v>643</v>
      </c>
      <c r="B644">
        <v>22</v>
      </c>
      <c r="C644" t="s">
        <v>642</v>
      </c>
      <c r="D644" s="13" t="s">
        <v>913</v>
      </c>
      <c r="E644" s="1">
        <v>3.5539999999999998</v>
      </c>
      <c r="F644">
        <v>3.7389999999999999</v>
      </c>
      <c r="G644" s="1">
        <v>3.54714076585595</v>
      </c>
      <c r="H644" s="1">
        <v>3.7367509435660802</v>
      </c>
      <c r="I644">
        <f>VLOOKUP(C644,'[1]phenotypes-895'!$A$2:$G$896,7,FALSE)</f>
        <v>98</v>
      </c>
      <c r="J644" s="1">
        <v>-3.2331100000000002E-2</v>
      </c>
      <c r="K644" s="1">
        <f>VLOOKUP(C644,'[1]phenotypes-895'!$A$2:$I$896,9,FALSE)</f>
        <v>0</v>
      </c>
      <c r="L644" s="1">
        <v>0.149086</v>
      </c>
      <c r="M644" s="4">
        <v>0</v>
      </c>
      <c r="N644" s="1">
        <v>-1.02316E-2</v>
      </c>
      <c r="O644" s="8">
        <v>0</v>
      </c>
      <c r="P644" s="1">
        <v>8.8065400000000002E-2</v>
      </c>
      <c r="Q644">
        <v>0.98399999999999999</v>
      </c>
      <c r="R644" s="1">
        <v>3.6147600000000002E-2</v>
      </c>
      <c r="S644" s="2">
        <v>-0.01</v>
      </c>
    </row>
    <row r="645" spans="1:19" x14ac:dyDescent="0.2">
      <c r="A645">
        <v>644</v>
      </c>
      <c r="B645">
        <v>26</v>
      </c>
      <c r="C645" t="s">
        <v>643</v>
      </c>
      <c r="D645" s="13" t="s">
        <v>913</v>
      </c>
      <c r="E645" s="1">
        <v>7.3523399999999999</v>
      </c>
      <c r="F645">
        <v>6.2332200000000002</v>
      </c>
      <c r="G645" s="1">
        <v>7.3365452501364503</v>
      </c>
      <c r="H645" s="1">
        <v>6.2052655922406403</v>
      </c>
      <c r="I645">
        <f>VLOOKUP(C645,'[1]phenotypes-895'!$A$2:$G$896,7,FALSE)</f>
        <v>98</v>
      </c>
      <c r="J645" s="1">
        <v>-0.12476</v>
      </c>
      <c r="K645" s="1">
        <f>VLOOKUP(C645,'[1]phenotypes-895'!$A$2:$I$896,9,FALSE)</f>
        <v>0</v>
      </c>
      <c r="L645" s="1">
        <v>-8.7470999999999993E-2</v>
      </c>
      <c r="M645" s="4">
        <v>0</v>
      </c>
      <c r="N645" s="1">
        <v>-4.7350900000000001E-2</v>
      </c>
      <c r="O645" s="8">
        <v>0</v>
      </c>
      <c r="P645" s="1">
        <v>0.18557699999999999</v>
      </c>
      <c r="Q645">
        <v>1.351</v>
      </c>
      <c r="R645" s="1">
        <v>5.8555500000000003E-2</v>
      </c>
      <c r="S645" s="2">
        <v>0.09</v>
      </c>
    </row>
    <row r="646" spans="1:19" x14ac:dyDescent="0.2">
      <c r="A646">
        <v>645</v>
      </c>
      <c r="B646">
        <v>52</v>
      </c>
      <c r="C646" t="s">
        <v>644</v>
      </c>
      <c r="D646" s="13" t="s">
        <v>912</v>
      </c>
      <c r="E646" s="1">
        <v>-0.96261600000000003</v>
      </c>
      <c r="F646">
        <v>1.1524099999999999</v>
      </c>
      <c r="G646" s="1">
        <v>-0.96476212791795002</v>
      </c>
      <c r="H646" s="1">
        <v>1.1505907368475501</v>
      </c>
      <c r="I646">
        <f>VLOOKUP(C646,'[1]phenotypes-895'!$A$2:$G$896,7,FALSE)</f>
        <v>79</v>
      </c>
      <c r="J646" s="1">
        <v>-1.6849300000000001E-3</v>
      </c>
      <c r="K646" s="1">
        <f>VLOOKUP(C646,'[1]phenotypes-895'!$A$2:$I$896,9,FALSE)</f>
        <v>0.47120246137780192</v>
      </c>
      <c r="L646" s="1">
        <v>-0.124454</v>
      </c>
      <c r="M646" s="4">
        <v>4.2298143033281317</v>
      </c>
      <c r="N646" s="1">
        <v>-9.4270900000000008E-3</v>
      </c>
      <c r="O646" s="8">
        <v>1</v>
      </c>
      <c r="P646" s="1">
        <v>-0.12601899999999999</v>
      </c>
      <c r="Q646">
        <v>0.64400000000000002</v>
      </c>
      <c r="R646" s="1">
        <v>-5.4951600000000003E-2</v>
      </c>
      <c r="S646" s="2">
        <v>-0.15</v>
      </c>
    </row>
    <row r="647" spans="1:19" x14ac:dyDescent="0.2">
      <c r="A647">
        <v>646</v>
      </c>
      <c r="B647">
        <v>26</v>
      </c>
      <c r="C647" t="s">
        <v>645</v>
      </c>
      <c r="D647" s="13" t="s">
        <v>913</v>
      </c>
      <c r="E647" s="1">
        <v>2.2330100000000002</v>
      </c>
      <c r="F647">
        <v>3.2842600000000002</v>
      </c>
      <c r="G647" s="1">
        <v>2.2158620907873701</v>
      </c>
      <c r="H647" s="1">
        <v>3.26730769790408</v>
      </c>
      <c r="I647">
        <f>VLOOKUP(C647,'[1]phenotypes-895'!$A$2:$G$896,7,FALSE)</f>
        <v>88</v>
      </c>
      <c r="J647" s="1">
        <v>-1.4616000000000001E-2</v>
      </c>
      <c r="K647" s="1">
        <f>VLOOKUP(C647,'[1]phenotypes-895'!$A$2:$I$896,9,FALSE)</f>
        <v>0.35300895304660951</v>
      </c>
      <c r="L647" s="1">
        <v>-4.7834000000000002E-2</v>
      </c>
      <c r="M647" s="4">
        <v>3.8951480164781507</v>
      </c>
      <c r="N647" s="1">
        <v>3.3432799999999999E-2</v>
      </c>
      <c r="O647" s="8">
        <v>1</v>
      </c>
      <c r="P647" s="1">
        <v>-9.7154000000000004E-2</v>
      </c>
      <c r="Q647">
        <v>1.3109999999999999</v>
      </c>
      <c r="R647" s="1">
        <v>-4.7079000000000003E-2</v>
      </c>
      <c r="S647" s="2">
        <v>0.08</v>
      </c>
    </row>
    <row r="648" spans="1:19" x14ac:dyDescent="0.2">
      <c r="A648">
        <v>647</v>
      </c>
      <c r="B648">
        <v>31</v>
      </c>
      <c r="C648" t="s">
        <v>646</v>
      </c>
      <c r="D648" s="13" t="s">
        <v>913</v>
      </c>
      <c r="E648" s="1">
        <v>3.37602</v>
      </c>
      <c r="F648">
        <v>2.7104200000000001</v>
      </c>
      <c r="G648" s="1">
        <v>3.37589241972772</v>
      </c>
      <c r="H648" s="1">
        <v>2.7112705724356601</v>
      </c>
      <c r="I648">
        <f>VLOOKUP(C648,'[1]phenotypes-895'!$A$2:$G$896,7,FALSE)</f>
        <v>84</v>
      </c>
      <c r="J648" s="1">
        <v>4.26583E-3</v>
      </c>
      <c r="K648" s="1">
        <f>VLOOKUP(C648,'[1]phenotypes-895'!$A$2:$I$896,9,FALSE)</f>
        <v>0.56637934309925853</v>
      </c>
      <c r="L648" s="1">
        <v>9.3879199999999996E-2</v>
      </c>
      <c r="M648" s="4">
        <v>4.0846968923055718</v>
      </c>
      <c r="N648" s="1">
        <v>-8.6995400000000004E-3</v>
      </c>
      <c r="O648" s="8">
        <v>1</v>
      </c>
      <c r="P648" s="1">
        <v>6.8060999999999997E-2</v>
      </c>
      <c r="Q648">
        <v>1.0329999999999999</v>
      </c>
      <c r="R648" s="1">
        <v>2.5430899999999999E-2</v>
      </c>
      <c r="S648" s="2">
        <v>0.01</v>
      </c>
    </row>
    <row r="649" spans="1:19" x14ac:dyDescent="0.2">
      <c r="A649">
        <v>648</v>
      </c>
      <c r="B649">
        <v>30</v>
      </c>
      <c r="C649" t="s">
        <v>647</v>
      </c>
      <c r="D649" s="13" t="s">
        <v>913</v>
      </c>
      <c r="E649" s="1">
        <v>2.0429499999999998</v>
      </c>
      <c r="F649">
        <v>-6.5151499999999999E-3</v>
      </c>
      <c r="G649" s="1">
        <v>1.9815997090592301</v>
      </c>
      <c r="H649" s="1">
        <v>-7.9085418168125601E-2</v>
      </c>
      <c r="I649">
        <f>VLOOKUP(C649,'[1]phenotypes-895'!$A$2:$G$896,7,FALSE)</f>
        <v>98</v>
      </c>
      <c r="J649" s="1">
        <v>-5.7630800000000003E-2</v>
      </c>
      <c r="K649" s="1">
        <f>VLOOKUP(C649,'[1]phenotypes-895'!$A$2:$I$896,9,FALSE)</f>
        <v>0</v>
      </c>
      <c r="L649" s="1">
        <v>-0.168049</v>
      </c>
      <c r="M649" s="4">
        <v>0</v>
      </c>
      <c r="N649" s="1">
        <v>-2.4981900000000001E-2</v>
      </c>
      <c r="O649" s="8">
        <v>0</v>
      </c>
      <c r="P649" s="1">
        <v>8.2909700000000003E-2</v>
      </c>
      <c r="Q649">
        <v>1.1040000000000001</v>
      </c>
      <c r="R649" s="1">
        <v>3.5553899999999999E-2</v>
      </c>
      <c r="S649" s="2">
        <v>0.03</v>
      </c>
    </row>
    <row r="650" spans="1:19" x14ac:dyDescent="0.2">
      <c r="A650">
        <v>649</v>
      </c>
      <c r="B650">
        <v>39</v>
      </c>
      <c r="C650" t="s">
        <v>648</v>
      </c>
      <c r="D650" s="13" t="s">
        <v>913</v>
      </c>
      <c r="E650" s="1">
        <v>5.4150799999999997</v>
      </c>
      <c r="F650">
        <v>4.0120899999999997</v>
      </c>
      <c r="G650" s="1">
        <v>5.4315951113172698</v>
      </c>
      <c r="H650" s="1">
        <v>4.0239232972541403</v>
      </c>
      <c r="I650">
        <f>VLOOKUP(C650,'[1]phenotypes-895'!$A$2:$G$896,7,FALSE)</f>
        <v>98</v>
      </c>
      <c r="J650" s="1">
        <v>-7.2031399999999995E-2</v>
      </c>
      <c r="K650" s="1">
        <f>VLOOKUP(C650,'[1]phenotypes-895'!$A$2:$I$896,9,FALSE)</f>
        <v>0</v>
      </c>
      <c r="L650" s="1">
        <v>-0.120953</v>
      </c>
      <c r="M650" s="4">
        <v>0</v>
      </c>
      <c r="N650" s="1">
        <v>-2.43985E-2</v>
      </c>
      <c r="O650" s="8">
        <v>0</v>
      </c>
      <c r="P650" s="1">
        <v>8.78723E-2</v>
      </c>
      <c r="Q650">
        <v>1.099</v>
      </c>
      <c r="R650" s="1">
        <v>3.0983299999999998E-2</v>
      </c>
      <c r="S650" s="2">
        <v>0.03</v>
      </c>
    </row>
    <row r="651" spans="1:19" x14ac:dyDescent="0.2">
      <c r="A651">
        <v>650</v>
      </c>
      <c r="B651">
        <v>31</v>
      </c>
      <c r="C651" t="s">
        <v>649</v>
      </c>
      <c r="D651" s="13" t="s">
        <v>913</v>
      </c>
      <c r="E651" s="1">
        <v>3.9041199999999998</v>
      </c>
      <c r="F651">
        <v>2.5794100000000002</v>
      </c>
      <c r="G651" s="1">
        <v>3.93701062101022</v>
      </c>
      <c r="H651" s="1">
        <v>2.6225811329376301</v>
      </c>
      <c r="I651">
        <f>VLOOKUP(C651,'[1]phenotypes-895'!$A$2:$G$896,7,FALSE)</f>
        <v>98</v>
      </c>
      <c r="J651" s="1">
        <v>-2.66424E-2</v>
      </c>
      <c r="K651" s="1">
        <f>VLOOKUP(C651,'[1]phenotypes-895'!$A$2:$I$896,9,FALSE)</f>
        <v>0</v>
      </c>
      <c r="L651" s="1">
        <v>-2.1998400000000001E-2</v>
      </c>
      <c r="M651" s="4">
        <v>0</v>
      </c>
      <c r="N651" s="1">
        <v>6.4936000000000004E-3</v>
      </c>
      <c r="O651" s="8">
        <v>0</v>
      </c>
      <c r="P651" s="1">
        <v>5.67106E-2</v>
      </c>
      <c r="Q651">
        <v>1.0429999999999999</v>
      </c>
      <c r="R651" s="1">
        <v>3.2590099999999997E-2</v>
      </c>
      <c r="S651" s="2">
        <v>0.01</v>
      </c>
    </row>
    <row r="652" spans="1:19" x14ac:dyDescent="0.2">
      <c r="A652">
        <v>651</v>
      </c>
      <c r="B652">
        <v>27</v>
      </c>
      <c r="C652" t="s">
        <v>650</v>
      </c>
      <c r="D652" s="13" t="s">
        <v>913</v>
      </c>
      <c r="E652" s="1">
        <v>-1.29281</v>
      </c>
      <c r="F652">
        <v>-2.2093600000000002</v>
      </c>
      <c r="G652" s="1">
        <v>-1.3275855938034</v>
      </c>
      <c r="H652" s="1">
        <v>-2.24781566225032</v>
      </c>
      <c r="I652">
        <f>VLOOKUP(C652,'[1]phenotypes-895'!$A$2:$G$896,7,FALSE)</f>
        <v>78</v>
      </c>
      <c r="J652" s="1">
        <v>1.97431E-2</v>
      </c>
      <c r="K652" s="1">
        <f>VLOOKUP(C652,'[1]phenotypes-895'!$A$2:$I$896,9,FALSE)</f>
        <v>0.42758056584852783</v>
      </c>
      <c r="L652" s="1">
        <v>-5.5587700000000002E-3</v>
      </c>
      <c r="M652" s="4">
        <v>4.2937606686138432</v>
      </c>
      <c r="N652" s="1">
        <v>1.6983700000000001E-2</v>
      </c>
      <c r="O652" s="8">
        <v>1</v>
      </c>
      <c r="P652" s="1">
        <v>6.0491099999999999E-2</v>
      </c>
      <c r="Q652">
        <v>1.2629999999999999</v>
      </c>
      <c r="R652" s="1">
        <v>2.5664200000000002E-2</v>
      </c>
      <c r="S652" s="2">
        <v>7.0000000000000007E-2</v>
      </c>
    </row>
    <row r="653" spans="1:19" x14ac:dyDescent="0.2">
      <c r="A653">
        <v>652</v>
      </c>
      <c r="B653">
        <v>23</v>
      </c>
      <c r="C653" t="s">
        <v>651</v>
      </c>
      <c r="D653" s="13" t="s">
        <v>913</v>
      </c>
      <c r="E653" s="1">
        <v>-5.1769599999999999E-2</v>
      </c>
      <c r="F653">
        <v>1.1055299999999999</v>
      </c>
      <c r="G653" s="1">
        <v>-8.1424846880177204E-2</v>
      </c>
      <c r="H653" s="1">
        <v>1.07997586484136</v>
      </c>
      <c r="I653">
        <f>VLOOKUP(C653,'[1]phenotypes-895'!$A$2:$G$896,7,FALSE)</f>
        <v>98</v>
      </c>
      <c r="J653" s="1">
        <v>-4.2009400000000002E-2</v>
      </c>
      <c r="K653" s="1">
        <f>VLOOKUP(C653,'[1]phenotypes-895'!$A$2:$I$896,9,FALSE)</f>
        <v>0</v>
      </c>
      <c r="L653" s="1">
        <v>-2.63877E-2</v>
      </c>
      <c r="M653" s="4">
        <v>0</v>
      </c>
      <c r="N653" s="1">
        <v>-8.4394399999999994E-3</v>
      </c>
      <c r="O653" s="8">
        <v>0</v>
      </c>
      <c r="P653" s="1">
        <v>-6.3876799999999997E-2</v>
      </c>
      <c r="Q653">
        <v>1.2050000000000001</v>
      </c>
      <c r="R653" s="1">
        <v>-2.4833899999999999E-2</v>
      </c>
      <c r="S653" s="2">
        <v>0.06</v>
      </c>
    </row>
    <row r="654" spans="1:19" x14ac:dyDescent="0.2">
      <c r="A654">
        <v>653</v>
      </c>
      <c r="B654">
        <v>23</v>
      </c>
      <c r="C654" t="s">
        <v>652</v>
      </c>
      <c r="D654" s="13" t="s">
        <v>913</v>
      </c>
      <c r="E654" s="1">
        <v>2.4825200000000001</v>
      </c>
      <c r="F654">
        <v>4.0616099999999999</v>
      </c>
      <c r="G654" s="1">
        <v>2.4777014512406099</v>
      </c>
      <c r="H654" s="1">
        <v>4.0549588146336397</v>
      </c>
      <c r="I654">
        <f>VLOOKUP(C654,'[1]phenotypes-895'!$A$2:$G$896,7,FALSE)</f>
        <v>98</v>
      </c>
      <c r="J654" s="1">
        <v>-6.3760999999999998E-2</v>
      </c>
      <c r="K654" s="1">
        <f>VLOOKUP(C654,'[1]phenotypes-895'!$A$2:$I$896,9,FALSE)</f>
        <v>0</v>
      </c>
      <c r="L654" s="1">
        <v>-2.5089400000000001E-2</v>
      </c>
      <c r="M654" s="4">
        <v>0</v>
      </c>
      <c r="N654" s="1">
        <v>-1.6545899999999999E-2</v>
      </c>
      <c r="O654" s="8">
        <v>0</v>
      </c>
      <c r="P654" s="1">
        <v>-0.11243400000000001</v>
      </c>
      <c r="Q654">
        <v>1.2829999999999999</v>
      </c>
      <c r="R654" s="1">
        <v>-5.4722399999999997E-2</v>
      </c>
      <c r="S654" s="2">
        <v>0.08</v>
      </c>
    </row>
    <row r="655" spans="1:19" x14ac:dyDescent="0.2">
      <c r="A655">
        <v>654</v>
      </c>
      <c r="B655">
        <v>39</v>
      </c>
      <c r="C655" t="s">
        <v>653</v>
      </c>
      <c r="D655" s="13" t="s">
        <v>913</v>
      </c>
      <c r="E655" s="1">
        <v>5.93912</v>
      </c>
      <c r="F655">
        <v>5.3467900000000004</v>
      </c>
      <c r="G655" s="1">
        <v>5.9403253884537301</v>
      </c>
      <c r="H655" s="1">
        <v>5.3567910527112996</v>
      </c>
      <c r="I655">
        <f>VLOOKUP(C655,'[1]phenotypes-895'!$A$2:$G$896,7,FALSE)</f>
        <v>98</v>
      </c>
      <c r="J655" s="1">
        <v>-7.85468E-2</v>
      </c>
      <c r="K655" s="1">
        <f>VLOOKUP(C655,'[1]phenotypes-895'!$A$2:$I$896,9,FALSE)</f>
        <v>0</v>
      </c>
      <c r="L655" s="1">
        <v>-2.40696E-2</v>
      </c>
      <c r="M655" s="4">
        <v>0</v>
      </c>
      <c r="N655" s="1">
        <v>-2.1401900000000001E-2</v>
      </c>
      <c r="O655" s="8">
        <v>0</v>
      </c>
      <c r="P655" s="1">
        <v>-1.4434900000000001E-2</v>
      </c>
      <c r="Q655">
        <v>1.107</v>
      </c>
      <c r="R655" s="1">
        <v>-8.3432300000000001E-3</v>
      </c>
      <c r="S655" s="2">
        <v>0.03</v>
      </c>
    </row>
    <row r="656" spans="1:19" x14ac:dyDescent="0.2">
      <c r="A656">
        <v>655</v>
      </c>
      <c r="B656">
        <v>27</v>
      </c>
      <c r="C656" t="s">
        <v>654</v>
      </c>
      <c r="D656" s="13" t="s">
        <v>913</v>
      </c>
      <c r="E656" s="1">
        <v>1.37191</v>
      </c>
      <c r="F656">
        <v>2.13897</v>
      </c>
      <c r="G656" s="1">
        <v>1.3625531473921999</v>
      </c>
      <c r="H656" s="1">
        <v>2.1327545218156598</v>
      </c>
      <c r="I656">
        <f>VLOOKUP(C656,'[1]phenotypes-895'!$A$2:$G$896,7,FALSE)</f>
        <v>73</v>
      </c>
      <c r="J656" s="1">
        <v>1.49651E-2</v>
      </c>
      <c r="K656" s="1">
        <f>VLOOKUP(C656,'[1]phenotypes-895'!$A$2:$I$896,9,FALSE)</f>
        <v>0.55140179285731028</v>
      </c>
      <c r="L656" s="1">
        <v>1.98739E-2</v>
      </c>
      <c r="M656" s="4">
        <v>4.3719894468738358</v>
      </c>
      <c r="N656" s="1">
        <v>3.7450600000000001E-3</v>
      </c>
      <c r="O656" s="8">
        <v>1</v>
      </c>
      <c r="P656" s="1">
        <v>-0.15782199999999999</v>
      </c>
      <c r="Q656">
        <v>0.997</v>
      </c>
      <c r="R656" s="1">
        <v>-6.6398399999999996E-2</v>
      </c>
      <c r="S656" s="2">
        <v>0</v>
      </c>
    </row>
    <row r="657" spans="1:19" x14ac:dyDescent="0.2">
      <c r="A657">
        <v>656</v>
      </c>
      <c r="B657">
        <v>26</v>
      </c>
      <c r="C657" t="s">
        <v>655</v>
      </c>
      <c r="D657" s="13" t="s">
        <v>913</v>
      </c>
      <c r="E657" s="1">
        <v>0.29356500000000002</v>
      </c>
      <c r="F657">
        <v>0.77666199999999996</v>
      </c>
      <c r="G657" s="1">
        <v>0.30245957488110398</v>
      </c>
      <c r="H657" s="1">
        <v>0.78516203681102703</v>
      </c>
      <c r="I657">
        <f>VLOOKUP(C657,'[1]phenotypes-895'!$A$2:$G$896,7,FALSE)</f>
        <v>98</v>
      </c>
      <c r="J657" s="1">
        <v>1.3593900000000001E-2</v>
      </c>
      <c r="K657" s="1">
        <f>VLOOKUP(C657,'[1]phenotypes-895'!$A$2:$I$896,9,FALSE)</f>
        <v>0.14081057616575959</v>
      </c>
      <c r="L657" s="1">
        <v>7.5898099999999996E-2</v>
      </c>
      <c r="M657" s="4">
        <v>2.6942668643044079</v>
      </c>
      <c r="N657" s="1">
        <v>2.6697100000000001E-2</v>
      </c>
      <c r="O657" s="8">
        <v>1</v>
      </c>
      <c r="P657" s="1">
        <v>-5.6364600000000001E-2</v>
      </c>
      <c r="Q657">
        <v>0.98699999999999999</v>
      </c>
      <c r="R657" s="1">
        <v>-1.8772299999999999E-2</v>
      </c>
      <c r="S657" s="2">
        <v>0</v>
      </c>
    </row>
    <row r="658" spans="1:19" x14ac:dyDescent="0.2">
      <c r="A658">
        <v>657</v>
      </c>
      <c r="B658">
        <v>36</v>
      </c>
      <c r="C658" t="s">
        <v>656</v>
      </c>
      <c r="D658" s="13" t="s">
        <v>913</v>
      </c>
      <c r="E658" s="1">
        <v>1.30206</v>
      </c>
      <c r="F658">
        <v>0.42535000000000001</v>
      </c>
      <c r="G658" s="1">
        <v>1.2616917877918199</v>
      </c>
      <c r="H658" s="1">
        <v>0.37332882275467899</v>
      </c>
      <c r="I658">
        <f>VLOOKUP(C658,'[1]phenotypes-895'!$A$2:$G$896,7,FALSE)</f>
        <v>68</v>
      </c>
      <c r="J658" s="1">
        <v>-4.8255300000000001E-2</v>
      </c>
      <c r="K658" s="1">
        <f>VLOOKUP(C658,'[1]phenotypes-895'!$A$2:$I$896,9,FALSE)</f>
        <v>0.38921887618213102</v>
      </c>
      <c r="L658" s="1">
        <v>-0.12268900000000001</v>
      </c>
      <c r="M658" s="4">
        <v>4.1794210686667084</v>
      </c>
      <c r="N658" s="1">
        <v>-8.46271E-3</v>
      </c>
      <c r="O658" s="8">
        <v>1</v>
      </c>
      <c r="P658" s="1">
        <v>0.151563</v>
      </c>
      <c r="Q658">
        <v>1.2030000000000001</v>
      </c>
      <c r="R658" s="1">
        <v>5.7920199999999998E-2</v>
      </c>
      <c r="S658" s="2">
        <v>0.06</v>
      </c>
    </row>
    <row r="659" spans="1:19" x14ac:dyDescent="0.2">
      <c r="A659">
        <v>658</v>
      </c>
      <c r="B659">
        <v>32</v>
      </c>
      <c r="C659" t="s">
        <v>657</v>
      </c>
      <c r="D659" s="13" t="s">
        <v>913</v>
      </c>
      <c r="E659" s="1">
        <v>2.4082400000000002</v>
      </c>
      <c r="F659">
        <v>3.8849100000000001</v>
      </c>
      <c r="G659" s="1">
        <v>2.3866920068514701</v>
      </c>
      <c r="H659" s="1">
        <v>3.8694428386644901</v>
      </c>
      <c r="I659">
        <f>VLOOKUP(C659,'[1]phenotypes-895'!$A$2:$G$896,7,FALSE)</f>
        <v>98</v>
      </c>
      <c r="J659" s="1">
        <v>-2.02232E-2</v>
      </c>
      <c r="K659" s="1">
        <f>VLOOKUP(C659,'[1]phenotypes-895'!$A$2:$I$896,9,FALSE)</f>
        <v>0</v>
      </c>
      <c r="L659" s="1">
        <v>5.71727E-2</v>
      </c>
      <c r="M659" s="4">
        <v>0</v>
      </c>
      <c r="N659" s="1">
        <v>-6.5158999999999998E-3</v>
      </c>
      <c r="O659" s="8">
        <v>0</v>
      </c>
      <c r="P659" s="1">
        <v>-9.4143199999999996E-2</v>
      </c>
      <c r="Q659">
        <v>1.1879999999999999</v>
      </c>
      <c r="R659" s="1">
        <v>-4.9921500000000001E-2</v>
      </c>
      <c r="S659" s="2">
        <v>0.05</v>
      </c>
    </row>
    <row r="660" spans="1:19" x14ac:dyDescent="0.2">
      <c r="A660">
        <v>659</v>
      </c>
      <c r="B660">
        <v>36</v>
      </c>
      <c r="C660" t="s">
        <v>658</v>
      </c>
      <c r="D660" s="13" t="s">
        <v>913</v>
      </c>
      <c r="E660" s="1">
        <v>6.6074299999999999</v>
      </c>
      <c r="F660">
        <v>8.2319600000000008</v>
      </c>
      <c r="G660" s="1">
        <v>6.6554803109762499</v>
      </c>
      <c r="H660" s="1">
        <v>8.2886637615912608</v>
      </c>
      <c r="I660">
        <f>VLOOKUP(C660,'[1]phenotypes-895'!$A$2:$G$896,7,FALSE)</f>
        <v>98</v>
      </c>
      <c r="J660" s="1">
        <v>-9.3007699999999999E-2</v>
      </c>
      <c r="K660" s="1">
        <f>VLOOKUP(C660,'[1]phenotypes-895'!$A$2:$I$896,9,FALSE)</f>
        <v>0</v>
      </c>
      <c r="L660" s="1">
        <v>-4.42636E-2</v>
      </c>
      <c r="M660" s="4">
        <v>0</v>
      </c>
      <c r="N660" s="1">
        <v>7.3890800000000003E-4</v>
      </c>
      <c r="O660" s="8">
        <v>0</v>
      </c>
      <c r="P660" s="1">
        <v>-0.12582199999999999</v>
      </c>
      <c r="Q660">
        <v>0.51100000000000001</v>
      </c>
      <c r="R660" s="1">
        <v>-5.08336E-2</v>
      </c>
      <c r="S660" s="2">
        <v>-0.22</v>
      </c>
    </row>
    <row r="661" spans="1:19" x14ac:dyDescent="0.2">
      <c r="A661">
        <v>660</v>
      </c>
      <c r="B661">
        <v>34</v>
      </c>
      <c r="C661" t="s">
        <v>659</v>
      </c>
      <c r="D661" s="13" t="s">
        <v>913</v>
      </c>
      <c r="E661" s="1">
        <v>3.4619800000000001</v>
      </c>
      <c r="F661">
        <v>5.0200199999999997</v>
      </c>
      <c r="G661" s="1">
        <v>3.49182271317212</v>
      </c>
      <c r="H661" s="1">
        <v>5.0556350388606202</v>
      </c>
      <c r="I661">
        <f>VLOOKUP(C661,'[1]phenotypes-895'!$A$2:$G$896,7,FALSE)</f>
        <v>98</v>
      </c>
      <c r="J661" s="1">
        <v>-7.1905899999999995E-2</v>
      </c>
      <c r="K661" s="1">
        <f>VLOOKUP(C661,'[1]phenotypes-895'!$A$2:$I$896,9,FALSE)</f>
        <v>0</v>
      </c>
      <c r="L661" s="1">
        <v>-1.6398700000000001E-3</v>
      </c>
      <c r="M661" s="4">
        <v>0</v>
      </c>
      <c r="N661" s="9" t="s">
        <v>908</v>
      </c>
      <c r="O661" s="8">
        <v>0</v>
      </c>
      <c r="P661" s="1">
        <v>-0.13020999999999999</v>
      </c>
      <c r="Q661">
        <v>1.2869999999999999</v>
      </c>
      <c r="R661" s="1">
        <v>-6.1500100000000002E-2</v>
      </c>
      <c r="S661" s="2">
        <v>0.08</v>
      </c>
    </row>
    <row r="662" spans="1:19" x14ac:dyDescent="0.2">
      <c r="A662">
        <v>661</v>
      </c>
      <c r="B662">
        <v>37</v>
      </c>
      <c r="C662" t="s">
        <v>660</v>
      </c>
      <c r="D662" s="13" t="s">
        <v>913</v>
      </c>
      <c r="E662" s="1">
        <v>7.86693</v>
      </c>
      <c r="F662">
        <v>8.1926699999999997</v>
      </c>
      <c r="G662" s="1">
        <v>7.8419203788977603</v>
      </c>
      <c r="H662" s="1">
        <v>8.1721230235748497</v>
      </c>
      <c r="I662">
        <f>VLOOKUP(C662,'[1]phenotypes-895'!$A$2:$G$896,7,FALSE)</f>
        <v>98</v>
      </c>
      <c r="J662" s="1">
        <v>-0.142758</v>
      </c>
      <c r="K662" s="1">
        <f>VLOOKUP(C662,'[1]phenotypes-895'!$A$2:$I$896,9,FALSE)</f>
        <v>0</v>
      </c>
      <c r="L662" s="1">
        <v>-0.12992799999999999</v>
      </c>
      <c r="M662" s="4">
        <v>0</v>
      </c>
      <c r="N662" s="1">
        <v>-5.39969E-2</v>
      </c>
      <c r="O662" s="8">
        <v>0</v>
      </c>
      <c r="P662" s="1">
        <v>-1.00307E-2</v>
      </c>
      <c r="Q662">
        <v>0.97799999999999998</v>
      </c>
      <c r="R662" s="1">
        <v>-3.1441300000000002E-3</v>
      </c>
      <c r="S662" s="2">
        <v>-0.01</v>
      </c>
    </row>
    <row r="663" spans="1:19" x14ac:dyDescent="0.2">
      <c r="A663">
        <v>662</v>
      </c>
      <c r="B663">
        <v>39</v>
      </c>
      <c r="C663" t="s">
        <v>661</v>
      </c>
      <c r="D663" s="13" t="s">
        <v>913</v>
      </c>
      <c r="E663" s="1">
        <v>5.5843499999999997</v>
      </c>
      <c r="F663">
        <v>4.82714</v>
      </c>
      <c r="G663" s="1">
        <v>5.6091602197204198</v>
      </c>
      <c r="H663" s="1">
        <v>4.8403535559270896</v>
      </c>
      <c r="I663">
        <f>VLOOKUP(C663,'[1]phenotypes-895'!$A$2:$G$896,7,FALSE)</f>
        <v>98</v>
      </c>
      <c r="J663" s="1">
        <v>-7.5996300000000003E-2</v>
      </c>
      <c r="K663" s="1">
        <f>VLOOKUP(C663,'[1]phenotypes-895'!$A$2:$I$896,9,FALSE)</f>
        <v>0</v>
      </c>
      <c r="L663" s="1">
        <v>1.6728900000000001E-2</v>
      </c>
      <c r="M663" s="4">
        <v>0</v>
      </c>
      <c r="N663" s="1">
        <v>-3.1402199999999998E-2</v>
      </c>
      <c r="O663" s="8">
        <v>0</v>
      </c>
      <c r="P663" s="1">
        <v>7.1325600000000003E-2</v>
      </c>
      <c r="Q663">
        <v>1.048</v>
      </c>
      <c r="R663" s="1">
        <v>2.5988199999999999E-2</v>
      </c>
      <c r="S663" s="2">
        <v>0.01</v>
      </c>
    </row>
    <row r="664" spans="1:19" x14ac:dyDescent="0.2">
      <c r="A664">
        <v>663</v>
      </c>
      <c r="B664">
        <v>42</v>
      </c>
      <c r="C664" t="s">
        <v>662</v>
      </c>
      <c r="D664" s="13" t="s">
        <v>912</v>
      </c>
      <c r="E664" s="1">
        <v>1.9521900000000001</v>
      </c>
      <c r="F664">
        <v>4.1634399999999996</v>
      </c>
      <c r="G664" s="1">
        <v>1.94842292172364</v>
      </c>
      <c r="H664" s="1">
        <v>4.1701195353703504</v>
      </c>
      <c r="I664">
        <f>VLOOKUP(C664,'[1]phenotypes-895'!$A$2:$G$896,7,FALSE)</f>
        <v>98</v>
      </c>
      <c r="J664" s="1">
        <v>-2.21465E-2</v>
      </c>
      <c r="K664" s="1">
        <f>VLOOKUP(C664,'[1]phenotypes-895'!$A$2:$I$896,9,FALSE)</f>
        <v>0.38019587651258219</v>
      </c>
      <c r="L664" s="1">
        <v>9.5196799999999998E-4</v>
      </c>
      <c r="M664" s="4">
        <v>4.5880178467353963</v>
      </c>
      <c r="N664" s="1">
        <v>1.8337200000000001E-2</v>
      </c>
      <c r="O664" s="8">
        <v>1</v>
      </c>
      <c r="P664" s="1">
        <v>-0.112111</v>
      </c>
      <c r="Q664">
        <v>0.80800000000000005</v>
      </c>
      <c r="R664" s="1">
        <v>-3.8958699999999999E-2</v>
      </c>
      <c r="S664" s="2">
        <v>-7.0000000000000007E-2</v>
      </c>
    </row>
    <row r="665" spans="1:19" x14ac:dyDescent="0.2">
      <c r="A665">
        <v>664</v>
      </c>
      <c r="B665">
        <v>42</v>
      </c>
      <c r="C665" t="s">
        <v>663</v>
      </c>
      <c r="D665" s="13" t="s">
        <v>912</v>
      </c>
      <c r="E665" s="1">
        <v>-0.77395000000000003</v>
      </c>
      <c r="F665">
        <v>1.2716799999999999</v>
      </c>
      <c r="G665" s="1">
        <v>-0.726487570544471</v>
      </c>
      <c r="H665" s="1">
        <v>1.32664311201606</v>
      </c>
      <c r="I665">
        <f>VLOOKUP(C665,'[1]phenotypes-895'!$A$2:$G$896,7,FALSE)</f>
        <v>98</v>
      </c>
      <c r="J665" s="1">
        <v>6.9736999999999993E-2</v>
      </c>
      <c r="K665" s="1">
        <f>VLOOKUP(C665,'[1]phenotypes-895'!$A$2:$I$896,9,FALSE)</f>
        <v>0.39945898489883702</v>
      </c>
      <c r="L665" s="1">
        <v>9.8596699999999995E-2</v>
      </c>
      <c r="M665" s="4">
        <v>3.6468180393514578</v>
      </c>
      <c r="N665" s="1">
        <v>3.0481100000000001E-2</v>
      </c>
      <c r="O665" s="8">
        <v>1</v>
      </c>
      <c r="P665" s="1">
        <v>-0.159441</v>
      </c>
      <c r="Q665">
        <v>0.502</v>
      </c>
      <c r="R665" s="1">
        <v>-6.8425600000000003E-2</v>
      </c>
      <c r="S665" s="2">
        <v>-0.24</v>
      </c>
    </row>
    <row r="666" spans="1:19" x14ac:dyDescent="0.2">
      <c r="A666">
        <v>665</v>
      </c>
      <c r="B666">
        <v>46</v>
      </c>
      <c r="C666" t="s">
        <v>664</v>
      </c>
      <c r="D666" s="13" t="s">
        <v>912</v>
      </c>
      <c r="E666" s="1">
        <v>-0.887235</v>
      </c>
      <c r="F666">
        <v>1.3569899999999999</v>
      </c>
      <c r="G666" s="1">
        <v>-0.88478055264690902</v>
      </c>
      <c r="H666" s="1">
        <v>1.3853698194798001</v>
      </c>
      <c r="I666">
        <f>VLOOKUP(C666,'[1]phenotypes-895'!$A$2:$G$896,7,FALSE)</f>
        <v>74</v>
      </c>
      <c r="J666" s="1">
        <v>1.20042E-2</v>
      </c>
      <c r="K666" s="1">
        <f>VLOOKUP(C666,'[1]phenotypes-895'!$A$2:$I$896,9,FALSE)</f>
        <v>0.29603156368985062</v>
      </c>
      <c r="L666" s="1">
        <v>-5.4900600000000001E-2</v>
      </c>
      <c r="M666" s="4">
        <v>4.295495490315667</v>
      </c>
      <c r="N666" s="1">
        <v>1.4857199999999999E-2</v>
      </c>
      <c r="O666" s="8">
        <v>1</v>
      </c>
      <c r="P666" s="1">
        <v>-0.16581199999999999</v>
      </c>
      <c r="Q666">
        <v>0.58099999999999996</v>
      </c>
      <c r="R666" s="1">
        <v>-6.8445400000000003E-2</v>
      </c>
      <c r="S666" s="2">
        <v>-0.18</v>
      </c>
    </row>
    <row r="667" spans="1:19" x14ac:dyDescent="0.2">
      <c r="A667">
        <v>666</v>
      </c>
      <c r="B667">
        <v>54</v>
      </c>
      <c r="C667" t="s">
        <v>665</v>
      </c>
      <c r="D667" s="13" t="s">
        <v>912</v>
      </c>
      <c r="E667" s="1">
        <v>-1.5683499999999999</v>
      </c>
      <c r="F667">
        <v>0.17955599999999999</v>
      </c>
      <c r="G667" s="1">
        <v>-1.59810836598271</v>
      </c>
      <c r="H667" s="1">
        <v>0.163578934741543</v>
      </c>
      <c r="I667">
        <f>VLOOKUP(C667,'[1]phenotypes-895'!$A$2:$G$896,7,FALSE)</f>
        <v>63</v>
      </c>
      <c r="J667" s="1">
        <v>3.4731200000000001E-3</v>
      </c>
      <c r="K667" s="1">
        <f>VLOOKUP(C667,'[1]phenotypes-895'!$A$2:$I$896,9,FALSE)</f>
        <v>0.51637451667916556</v>
      </c>
      <c r="L667" s="1">
        <v>-6.2362599999999997E-2</v>
      </c>
      <c r="M667" s="4">
        <v>3.8162134897600679</v>
      </c>
      <c r="N667" s="1">
        <v>-6.26817E-3</v>
      </c>
      <c r="O667" s="8">
        <v>1</v>
      </c>
      <c r="P667" s="1">
        <v>-0.142848</v>
      </c>
      <c r="Q667">
        <v>0.55800000000000005</v>
      </c>
      <c r="R667" s="1">
        <v>-5.9938100000000001E-2</v>
      </c>
      <c r="S667" s="2">
        <v>-0.2</v>
      </c>
    </row>
    <row r="668" spans="1:19" x14ac:dyDescent="0.2">
      <c r="A668">
        <v>667</v>
      </c>
      <c r="B668">
        <v>51</v>
      </c>
      <c r="C668" t="s">
        <v>666</v>
      </c>
      <c r="D668" s="13" t="s">
        <v>912</v>
      </c>
      <c r="E668" s="1">
        <v>2.6774900000000001</v>
      </c>
      <c r="F668">
        <v>5.2402300000000004</v>
      </c>
      <c r="G668" s="1">
        <v>2.66668162322522</v>
      </c>
      <c r="H668" s="1">
        <v>5.2458238963512596</v>
      </c>
      <c r="I668">
        <f>VLOOKUP(C668,'[1]phenotypes-895'!$A$2:$G$896,7,FALSE)</f>
        <v>98</v>
      </c>
      <c r="J668" s="1">
        <v>-5.87279E-2</v>
      </c>
      <c r="K668" s="1">
        <f>VLOOKUP(C668,'[1]phenotypes-895'!$A$2:$I$896,9,FALSE)</f>
        <v>0.21997706535606809</v>
      </c>
      <c r="L668" s="1">
        <v>-6.01024E-2</v>
      </c>
      <c r="M668" s="4">
        <v>2.2568493990430953</v>
      </c>
      <c r="N668" s="1">
        <v>3.5543200000000001E-3</v>
      </c>
      <c r="O668" s="8">
        <v>1</v>
      </c>
      <c r="P668" s="1">
        <v>-0.153694</v>
      </c>
      <c r="Q668">
        <v>0.66400000000000003</v>
      </c>
      <c r="R668" s="1">
        <v>-5.2847499999999999E-2</v>
      </c>
      <c r="S668" s="2">
        <v>-0.13</v>
      </c>
    </row>
    <row r="669" spans="1:19" x14ac:dyDescent="0.2">
      <c r="A669">
        <v>668</v>
      </c>
      <c r="B669">
        <v>32</v>
      </c>
      <c r="C669" t="s">
        <v>667</v>
      </c>
      <c r="D669" s="13" t="s">
        <v>913</v>
      </c>
      <c r="E669" s="1">
        <v>2.8407499999999999</v>
      </c>
      <c r="F669">
        <v>2.2021899999999999</v>
      </c>
      <c r="G669" s="1">
        <v>2.7851648853159201</v>
      </c>
      <c r="H669" s="1">
        <v>2.1340441872670199</v>
      </c>
      <c r="I669">
        <f>VLOOKUP(C669,'[1]phenotypes-895'!$A$2:$G$896,7,FALSE)</f>
        <v>65</v>
      </c>
      <c r="J669" s="1">
        <v>7.4753299999999996E-3</v>
      </c>
      <c r="K669" s="1">
        <f>VLOOKUP(C669,'[1]phenotypes-895'!$A$2:$I$896,9,FALSE)</f>
        <v>0.67633275779808499</v>
      </c>
      <c r="L669" s="1">
        <v>6.5201599999999998E-2</v>
      </c>
      <c r="M669" s="4">
        <v>3.7734089861792004</v>
      </c>
      <c r="N669" s="1">
        <v>-3.68002E-3</v>
      </c>
      <c r="O669" s="8">
        <v>1</v>
      </c>
      <c r="P669" s="1">
        <v>7.7385999999999996E-2</v>
      </c>
      <c r="Q669">
        <v>1.232</v>
      </c>
      <c r="R669" s="1">
        <v>2.92964E-2</v>
      </c>
      <c r="S669" s="2">
        <v>0.06</v>
      </c>
    </row>
    <row r="670" spans="1:19" x14ac:dyDescent="0.2">
      <c r="A670">
        <v>669</v>
      </c>
      <c r="B670">
        <v>50</v>
      </c>
      <c r="C670" t="s">
        <v>668</v>
      </c>
      <c r="D670" s="13" t="s">
        <v>912</v>
      </c>
      <c r="E670" s="1">
        <v>2.6375199999999999</v>
      </c>
      <c r="F670">
        <v>5.8360700000000003</v>
      </c>
      <c r="G670" s="1">
        <v>2.65812349702763</v>
      </c>
      <c r="H670" s="1">
        <v>5.8688963462004198</v>
      </c>
      <c r="I670">
        <f>VLOOKUP(C670,'[1]phenotypes-895'!$A$2:$G$896,7,FALSE)</f>
        <v>98</v>
      </c>
      <c r="J670" s="1">
        <v>-5.9477500000000003E-2</v>
      </c>
      <c r="K670" s="1">
        <f>VLOOKUP(C670,'[1]phenotypes-895'!$A$2:$I$896,9,FALSE)</f>
        <v>0</v>
      </c>
      <c r="L670" s="1">
        <v>2.25016E-2</v>
      </c>
      <c r="M670" s="4">
        <v>0</v>
      </c>
      <c r="N670" s="1">
        <v>6.7445300000000003E-3</v>
      </c>
      <c r="O670" s="8">
        <v>0</v>
      </c>
      <c r="P670" s="1">
        <v>-0.20599999999999999</v>
      </c>
      <c r="Q670">
        <v>0.54900000000000004</v>
      </c>
      <c r="R670" s="1">
        <v>-8.7452600000000005E-2</v>
      </c>
      <c r="S670" s="2">
        <v>-0.2</v>
      </c>
    </row>
    <row r="671" spans="1:19" x14ac:dyDescent="0.2">
      <c r="A671">
        <v>670</v>
      </c>
      <c r="B671">
        <v>42</v>
      </c>
      <c r="C671" t="s">
        <v>669</v>
      </c>
      <c r="D671" s="13" t="s">
        <v>912</v>
      </c>
      <c r="E671" s="1">
        <v>-1.7149099999999999</v>
      </c>
      <c r="F671">
        <v>0.74717900000000004</v>
      </c>
      <c r="G671" s="1">
        <v>-1.6957890500202599</v>
      </c>
      <c r="H671" s="1">
        <v>0.77463730758801097</v>
      </c>
      <c r="I671">
        <f>VLOOKUP(C671,'[1]phenotypes-895'!$A$2:$G$896,7,FALSE)</f>
        <v>65</v>
      </c>
      <c r="J671" s="1">
        <v>2.4584999999999999E-2</v>
      </c>
      <c r="K671" s="1">
        <f>VLOOKUP(C671,'[1]phenotypes-895'!$A$2:$I$896,9,FALSE)</f>
        <v>0.33530787730354228</v>
      </c>
      <c r="L671" s="1">
        <v>8.3338300000000004E-2</v>
      </c>
      <c r="M671" s="4">
        <v>3.473641609758034</v>
      </c>
      <c r="N671" s="1">
        <v>2.7521199999999999E-2</v>
      </c>
      <c r="O671" s="8">
        <v>1</v>
      </c>
      <c r="P671" s="1">
        <v>-0.17574500000000001</v>
      </c>
      <c r="Q671">
        <v>0.58299999999999996</v>
      </c>
      <c r="R671" s="1">
        <v>-7.2573399999999996E-2</v>
      </c>
      <c r="S671" s="2">
        <v>-0.18</v>
      </c>
    </row>
    <row r="672" spans="1:19" x14ac:dyDescent="0.2">
      <c r="A672">
        <v>671</v>
      </c>
      <c r="B672">
        <v>22</v>
      </c>
      <c r="C672" t="s">
        <v>670</v>
      </c>
      <c r="D672" s="13" t="s">
        <v>913</v>
      </c>
      <c r="E672" s="1">
        <v>5.5454100000000004</v>
      </c>
      <c r="F672">
        <v>5.7554800000000004</v>
      </c>
      <c r="G672" s="1">
        <v>5.5653907046646696</v>
      </c>
      <c r="H672" s="1">
        <v>5.7746902113398502</v>
      </c>
      <c r="I672">
        <f>VLOOKUP(C672,'[1]phenotypes-895'!$A$2:$G$896,7,FALSE)</f>
        <v>98</v>
      </c>
      <c r="J672" s="1">
        <v>-7.6787300000000003E-2</v>
      </c>
      <c r="K672" s="1">
        <f>VLOOKUP(C672,'[1]phenotypes-895'!$A$2:$I$896,9,FALSE)</f>
        <v>0</v>
      </c>
      <c r="L672" s="1">
        <v>0.144625</v>
      </c>
      <c r="M672" s="4">
        <v>0</v>
      </c>
      <c r="N672" s="1">
        <v>-1.8363899999999999E-2</v>
      </c>
      <c r="O672" s="8">
        <v>0</v>
      </c>
      <c r="P672" s="1">
        <v>9.8926200000000006E-2</v>
      </c>
      <c r="Q672">
        <v>1.1879999999999999</v>
      </c>
      <c r="R672" s="1">
        <v>3.62245E-2</v>
      </c>
      <c r="S672" s="2">
        <v>0.05</v>
      </c>
    </row>
    <row r="673" spans="1:19" x14ac:dyDescent="0.2">
      <c r="A673">
        <v>672</v>
      </c>
      <c r="B673">
        <v>49</v>
      </c>
      <c r="C673" t="s">
        <v>671</v>
      </c>
      <c r="D673" s="13" t="s">
        <v>912</v>
      </c>
      <c r="E673" s="1">
        <v>2.0442300000000002</v>
      </c>
      <c r="F673">
        <v>4.0007799999999998</v>
      </c>
      <c r="G673" s="1">
        <v>2.0471683531638498</v>
      </c>
      <c r="H673" s="1">
        <v>4.0264801322807902</v>
      </c>
      <c r="I673">
        <f>VLOOKUP(C673,'[1]phenotypes-895'!$A$2:$G$896,7,FALSE)</f>
        <v>98</v>
      </c>
      <c r="J673" s="1">
        <v>-1.2535299999999999E-2</v>
      </c>
      <c r="K673" s="1">
        <f>VLOOKUP(C673,'[1]phenotypes-895'!$A$2:$I$896,9,FALSE)</f>
        <v>0.37585889046872811</v>
      </c>
      <c r="L673" s="1">
        <v>-6.3438999999999995E-2</v>
      </c>
      <c r="M673" s="4">
        <v>3.5260362356544128</v>
      </c>
      <c r="N673" s="1">
        <v>1.3347899999999999E-2</v>
      </c>
      <c r="O673" s="8">
        <v>1</v>
      </c>
      <c r="P673" s="1">
        <v>-9.9321900000000005E-2</v>
      </c>
      <c r="Q673">
        <v>0.68799999999999994</v>
      </c>
      <c r="R673" s="1">
        <v>-3.63237E-2</v>
      </c>
      <c r="S673" s="2">
        <v>-0.13</v>
      </c>
    </row>
    <row r="674" spans="1:19" x14ac:dyDescent="0.2">
      <c r="A674">
        <v>673</v>
      </c>
      <c r="B674">
        <v>29</v>
      </c>
      <c r="C674" t="s">
        <v>672</v>
      </c>
      <c r="D674" s="13" t="s">
        <v>913</v>
      </c>
      <c r="E674" s="1">
        <v>0.55161199999999999</v>
      </c>
      <c r="F674">
        <v>-0.75724800000000003</v>
      </c>
      <c r="G674" s="1">
        <v>0.42183257536005903</v>
      </c>
      <c r="H674" s="1">
        <v>-0.89919234562016104</v>
      </c>
      <c r="I674">
        <f>VLOOKUP(C674,'[1]phenotypes-895'!$A$2:$G$896,7,FALSE)</f>
        <v>63</v>
      </c>
      <c r="J674" s="1">
        <v>-2.1108600000000002E-2</v>
      </c>
      <c r="K674" s="1">
        <f>VLOOKUP(C674,'[1]phenotypes-895'!$A$2:$I$896,9,FALSE)</f>
        <v>0.49855523827813758</v>
      </c>
      <c r="L674" s="1">
        <v>-0.157416</v>
      </c>
      <c r="M674" s="4">
        <v>3.4978155544370564</v>
      </c>
      <c r="N674" s="1">
        <v>-9.9406000000000008E-3</v>
      </c>
      <c r="O674" s="8">
        <v>1</v>
      </c>
      <c r="P674" s="1">
        <v>7.6044700000000007E-2</v>
      </c>
      <c r="Q674">
        <v>0.93400000000000005</v>
      </c>
      <c r="R674" s="1">
        <v>3.8130499999999998E-2</v>
      </c>
      <c r="S674" s="2">
        <v>-0.02</v>
      </c>
    </row>
    <row r="675" spans="1:19" x14ac:dyDescent="0.2">
      <c r="A675">
        <v>674</v>
      </c>
      <c r="B675">
        <v>40</v>
      </c>
      <c r="C675" t="s">
        <v>673</v>
      </c>
      <c r="D675" s="13" t="s">
        <v>913</v>
      </c>
      <c r="E675" s="1">
        <v>-4.45967</v>
      </c>
      <c r="F675">
        <v>-5.0623500000000003</v>
      </c>
      <c r="G675" s="1">
        <v>-4.5574875925115403</v>
      </c>
      <c r="H675" s="1">
        <v>-5.1676515718999596</v>
      </c>
      <c r="I675">
        <f>VLOOKUP(C675,'[1]phenotypes-895'!$A$2:$G$896,7,FALSE)</f>
        <v>63</v>
      </c>
      <c r="J675" s="1">
        <v>6.9399500000000003E-2</v>
      </c>
      <c r="K675" s="1">
        <f>VLOOKUP(C675,'[1]phenotypes-895'!$A$2:$I$896,9,FALSE)</f>
        <v>0.49733915390151368</v>
      </c>
      <c r="L675" s="1">
        <v>1.4755799999999999E-2</v>
      </c>
      <c r="M675" s="4">
        <v>4.3877369739218848</v>
      </c>
      <c r="N675" s="1">
        <v>2.50399E-2</v>
      </c>
      <c r="O675" s="8">
        <v>1</v>
      </c>
      <c r="P675" s="1">
        <v>6.7584000000000005E-2</v>
      </c>
      <c r="Q675">
        <v>1.0620000000000001</v>
      </c>
      <c r="R675" s="1">
        <v>3.3890999999999998E-2</v>
      </c>
      <c r="S675" s="2">
        <v>0.02</v>
      </c>
    </row>
    <row r="676" spans="1:19" x14ac:dyDescent="0.2">
      <c r="A676">
        <v>675</v>
      </c>
      <c r="B676">
        <v>25</v>
      </c>
      <c r="C676" t="s">
        <v>674</v>
      </c>
      <c r="D676" s="13" t="s">
        <v>913</v>
      </c>
      <c r="E676" s="1">
        <v>6.17598</v>
      </c>
      <c r="F676">
        <v>5.4150900000000002</v>
      </c>
      <c r="G676" s="1">
        <v>6.1515584339028004</v>
      </c>
      <c r="H676" s="1">
        <v>5.3899249187697</v>
      </c>
      <c r="I676">
        <f>VLOOKUP(C676,'[1]phenotypes-895'!$A$2:$G$896,7,FALSE)</f>
        <v>98</v>
      </c>
      <c r="J676" s="1">
        <v>-7.3702299999999998E-2</v>
      </c>
      <c r="K676" s="1">
        <f>VLOOKUP(C676,'[1]phenotypes-895'!$A$2:$I$896,9,FALSE)</f>
        <v>0</v>
      </c>
      <c r="L676" s="1">
        <v>-8.8969999999999994E-2</v>
      </c>
      <c r="M676" s="4">
        <v>0</v>
      </c>
      <c r="N676" s="1">
        <v>-1.44948E-2</v>
      </c>
      <c r="O676" s="8">
        <v>0</v>
      </c>
      <c r="P676" s="1">
        <v>0.12551599999999999</v>
      </c>
      <c r="Q676">
        <v>1.103</v>
      </c>
      <c r="R676" s="1">
        <v>4.6445599999999997E-2</v>
      </c>
      <c r="S676" s="2">
        <v>0.03</v>
      </c>
    </row>
    <row r="677" spans="1:19" x14ac:dyDescent="0.2">
      <c r="A677">
        <v>676</v>
      </c>
      <c r="B677">
        <v>31</v>
      </c>
      <c r="C677" t="s">
        <v>675</v>
      </c>
      <c r="D677" s="13" t="s">
        <v>913</v>
      </c>
      <c r="E677" s="1">
        <v>2.9239999999999999</v>
      </c>
      <c r="F677">
        <v>1.8583799999999999</v>
      </c>
      <c r="G677" s="1">
        <v>2.92397762901932</v>
      </c>
      <c r="H677" s="1">
        <v>1.8701488841792799</v>
      </c>
      <c r="I677">
        <f>VLOOKUP(C677,'[1]phenotypes-895'!$A$2:$G$896,7,FALSE)</f>
        <v>98</v>
      </c>
      <c r="J677" s="1">
        <v>-5.13389E-2</v>
      </c>
      <c r="K677" s="1">
        <f>VLOOKUP(C677,'[1]phenotypes-895'!$A$2:$I$896,9,FALSE)</f>
        <v>0</v>
      </c>
      <c r="L677" s="1">
        <v>1.09928E-3</v>
      </c>
      <c r="M677" s="4">
        <v>0</v>
      </c>
      <c r="N677" s="1">
        <v>-2.6636900000000002E-2</v>
      </c>
      <c r="O677" s="8">
        <v>0</v>
      </c>
      <c r="P677" s="1">
        <v>0.114314</v>
      </c>
      <c r="Q677">
        <v>1.1220000000000001</v>
      </c>
      <c r="R677" s="1">
        <v>4.9655299999999999E-2</v>
      </c>
      <c r="S677" s="2">
        <v>0.04</v>
      </c>
    </row>
    <row r="678" spans="1:19" x14ac:dyDescent="0.2">
      <c r="A678">
        <v>677</v>
      </c>
      <c r="B678">
        <v>31</v>
      </c>
      <c r="C678" t="s">
        <v>676</v>
      </c>
      <c r="D678" s="13" t="s">
        <v>913</v>
      </c>
      <c r="E678" s="1">
        <v>4.2513300000000003</v>
      </c>
      <c r="F678">
        <v>3.8673899999999999</v>
      </c>
      <c r="G678" s="1">
        <v>4.1849199610878101</v>
      </c>
      <c r="H678" s="1">
        <v>3.7746753089588299</v>
      </c>
      <c r="I678">
        <f>VLOOKUP(C678,'[1]phenotypes-895'!$A$2:$G$896,7,FALSE)</f>
        <v>86</v>
      </c>
      <c r="J678" s="1">
        <v>-1.25401E-2</v>
      </c>
      <c r="K678" s="1">
        <f>VLOOKUP(C678,'[1]phenotypes-895'!$A$2:$I$896,9,FALSE)</f>
        <v>0.41868162736656439</v>
      </c>
      <c r="L678" s="1">
        <v>0.13438700000000001</v>
      </c>
      <c r="M678" s="4">
        <v>4.5505170893414073</v>
      </c>
      <c r="N678" s="1">
        <v>-5.5786400000000002E-3</v>
      </c>
      <c r="O678" s="8">
        <v>1</v>
      </c>
      <c r="P678" s="1">
        <v>0.10262499999999999</v>
      </c>
      <c r="Q678">
        <v>1.044</v>
      </c>
      <c r="R678" s="1">
        <v>4.1766600000000001E-2</v>
      </c>
      <c r="S678" s="2">
        <v>0.01</v>
      </c>
    </row>
    <row r="679" spans="1:19" x14ac:dyDescent="0.2">
      <c r="A679">
        <v>678</v>
      </c>
      <c r="B679">
        <v>52</v>
      </c>
      <c r="C679" t="s">
        <v>677</v>
      </c>
      <c r="D679" s="13" t="s">
        <v>912</v>
      </c>
      <c r="E679" s="1">
        <v>-3.19781</v>
      </c>
      <c r="F679">
        <v>-1.32301</v>
      </c>
      <c r="G679" s="1">
        <v>-3.21885583647859</v>
      </c>
      <c r="H679" s="1">
        <v>-1.3499016620386901</v>
      </c>
      <c r="I679">
        <f>VLOOKUP(C679,'[1]phenotypes-895'!$A$2:$G$896,7,FALSE)</f>
        <v>45</v>
      </c>
      <c r="J679" s="1">
        <v>1.3391E-2</v>
      </c>
      <c r="K679" s="1">
        <f>VLOOKUP(C679,'[1]phenotypes-895'!$A$2:$I$896,9,FALSE)</f>
        <v>0.76367062294959975</v>
      </c>
      <c r="L679" s="1">
        <v>-6.6579299999999994E-2</v>
      </c>
      <c r="M679" s="4">
        <v>4.6198462437208416</v>
      </c>
      <c r="N679" s="1">
        <v>-1.3288400000000001E-2</v>
      </c>
      <c r="O679" s="8">
        <v>1</v>
      </c>
      <c r="P679" s="1">
        <v>-0.16456200000000001</v>
      </c>
      <c r="Q679">
        <v>0.55200000000000005</v>
      </c>
      <c r="R679" s="1">
        <v>-7.4326799999999998E-2</v>
      </c>
      <c r="S679" s="2">
        <v>-0.2</v>
      </c>
    </row>
    <row r="680" spans="1:19" x14ac:dyDescent="0.2">
      <c r="A680">
        <v>679</v>
      </c>
      <c r="B680">
        <v>51</v>
      </c>
      <c r="C680" t="s">
        <v>678</v>
      </c>
      <c r="D680" s="13" t="s">
        <v>912</v>
      </c>
      <c r="E680" s="1">
        <v>-1.4608000000000001</v>
      </c>
      <c r="F680">
        <v>1.3755599999999999</v>
      </c>
      <c r="G680" s="1">
        <v>-1.5344206783437</v>
      </c>
      <c r="H680" s="1">
        <v>1.29835345267749</v>
      </c>
      <c r="I680">
        <f>VLOOKUP(C680,'[1]phenotypes-895'!$A$2:$G$896,7,FALSE)</f>
        <v>54</v>
      </c>
      <c r="J680" s="1">
        <v>8.0528000000000001E-4</v>
      </c>
      <c r="K680" s="1">
        <f>VLOOKUP(C680,'[1]phenotypes-895'!$A$2:$I$896,9,FALSE)</f>
        <v>0.62482693971099579</v>
      </c>
      <c r="L680" s="1">
        <v>-4.2997300000000002E-2</v>
      </c>
      <c r="M680" s="4">
        <v>4.1261839041586459</v>
      </c>
      <c r="N680" s="1">
        <v>6.1064099999999996E-3</v>
      </c>
      <c r="O680" s="8">
        <v>1</v>
      </c>
      <c r="P680" s="1">
        <v>-0.173316</v>
      </c>
      <c r="Q680">
        <v>0.65600000000000003</v>
      </c>
      <c r="R680" s="1">
        <v>-6.3927100000000001E-2</v>
      </c>
      <c r="S680" s="2">
        <v>-0.14000000000000001</v>
      </c>
    </row>
    <row r="681" spans="1:19" x14ac:dyDescent="0.2">
      <c r="A681">
        <v>680</v>
      </c>
      <c r="B681">
        <v>35</v>
      </c>
      <c r="C681" t="s">
        <v>679</v>
      </c>
      <c r="D681" s="13" t="s">
        <v>913</v>
      </c>
      <c r="E681" s="1">
        <v>3.5855600000000001</v>
      </c>
      <c r="F681">
        <v>4.0586500000000001</v>
      </c>
      <c r="G681" s="1">
        <v>3.6073165697479701</v>
      </c>
      <c r="H681" s="1">
        <v>4.08389893259484</v>
      </c>
      <c r="I681">
        <f>VLOOKUP(C681,'[1]phenotypes-895'!$A$2:$G$896,7,FALSE)</f>
        <v>98</v>
      </c>
      <c r="J681" s="1">
        <v>-6.4920900000000004E-2</v>
      </c>
      <c r="K681" s="1">
        <f>VLOOKUP(C681,'[1]phenotypes-895'!$A$2:$I$896,9,FALSE)</f>
        <v>0</v>
      </c>
      <c r="L681" s="1">
        <v>-8.4587599999999999E-2</v>
      </c>
      <c r="M681" s="4">
        <v>0</v>
      </c>
      <c r="N681" s="1">
        <v>-3.4184899999999997E-2</v>
      </c>
      <c r="O681" s="8">
        <v>0</v>
      </c>
      <c r="P681" s="1">
        <v>0.11372699999999999</v>
      </c>
      <c r="Q681">
        <v>1.0009999999999999</v>
      </c>
      <c r="R681" s="1">
        <v>4.3094800000000003E-2</v>
      </c>
      <c r="S681" s="2">
        <v>0</v>
      </c>
    </row>
    <row r="682" spans="1:19" x14ac:dyDescent="0.2">
      <c r="A682">
        <v>681</v>
      </c>
      <c r="B682">
        <v>38</v>
      </c>
      <c r="C682" t="s">
        <v>680</v>
      </c>
      <c r="D682" s="13" t="s">
        <v>913</v>
      </c>
      <c r="E682" s="1">
        <v>5.9306299999999998</v>
      </c>
      <c r="F682">
        <v>6.6042500000000004</v>
      </c>
      <c r="G682" s="1">
        <v>6.00341497709947</v>
      </c>
      <c r="H682" s="1">
        <v>6.6786829012297302</v>
      </c>
      <c r="I682">
        <f>VLOOKUP(C682,'[1]phenotypes-895'!$A$2:$G$896,7,FALSE)</f>
        <v>98</v>
      </c>
      <c r="J682" s="1">
        <v>-4.8159300000000002E-2</v>
      </c>
      <c r="K682" s="1">
        <f>VLOOKUP(C682,'[1]phenotypes-895'!$A$2:$I$896,9,FALSE)</f>
        <v>0.41954287467453938</v>
      </c>
      <c r="L682" s="1">
        <v>2.4504999999999999E-2</v>
      </c>
      <c r="M682" s="4">
        <v>4.9193535517675766</v>
      </c>
      <c r="N682" s="1">
        <v>-2.5491300000000001E-2</v>
      </c>
      <c r="O682" s="8">
        <v>1</v>
      </c>
      <c r="P682" s="1">
        <v>0.121965</v>
      </c>
      <c r="Q682">
        <v>1.216</v>
      </c>
      <c r="R682" s="1">
        <v>4.01783E-2</v>
      </c>
      <c r="S682" s="2">
        <v>0.06</v>
      </c>
    </row>
    <row r="683" spans="1:19" x14ac:dyDescent="0.2">
      <c r="A683">
        <v>682</v>
      </c>
      <c r="B683">
        <v>35</v>
      </c>
      <c r="C683" t="s">
        <v>681</v>
      </c>
      <c r="D683" s="13" t="s">
        <v>913</v>
      </c>
      <c r="E683" s="1">
        <v>2.6796899999999999</v>
      </c>
      <c r="F683">
        <v>2.6802700000000002</v>
      </c>
      <c r="G683" s="1">
        <v>2.6958419901439101</v>
      </c>
      <c r="H683" s="1">
        <v>2.69550590029385</v>
      </c>
      <c r="I683">
        <f>VLOOKUP(C683,'[1]phenotypes-895'!$A$2:$G$896,7,FALSE)</f>
        <v>75</v>
      </c>
      <c r="J683" s="1">
        <v>-1.09966E-2</v>
      </c>
      <c r="K683" s="1">
        <f>VLOOKUP(C683,'[1]phenotypes-895'!$A$2:$I$896,9,FALSE)</f>
        <v>0.50774173167307657</v>
      </c>
      <c r="L683" s="1">
        <v>-4.1745900000000002E-2</v>
      </c>
      <c r="M683" s="4">
        <v>4.4015566913904607</v>
      </c>
      <c r="N683" s="1">
        <v>-2.4354500000000001E-2</v>
      </c>
      <c r="O683" s="8">
        <v>1</v>
      </c>
      <c r="P683" s="1">
        <v>4.9500799999999998E-2</v>
      </c>
      <c r="Q683">
        <v>1.0980000000000001</v>
      </c>
      <c r="R683" s="1">
        <v>2.0623300000000001E-2</v>
      </c>
      <c r="S683" s="2">
        <v>0.03</v>
      </c>
    </row>
    <row r="684" spans="1:19" x14ac:dyDescent="0.2">
      <c r="A684">
        <v>683</v>
      </c>
      <c r="B684">
        <v>42</v>
      </c>
      <c r="C684" t="s">
        <v>682</v>
      </c>
      <c r="D684" s="13" t="s">
        <v>912</v>
      </c>
      <c r="E684" s="1">
        <v>1.77159</v>
      </c>
      <c r="F684">
        <v>3.56752</v>
      </c>
      <c r="G684" s="1">
        <v>1.77734131820049</v>
      </c>
      <c r="H684" s="1">
        <v>3.58388523373472</v>
      </c>
      <c r="I684">
        <f>VLOOKUP(C684,'[1]phenotypes-895'!$A$2:$G$896,7,FALSE)</f>
        <v>58</v>
      </c>
      <c r="J684" s="1">
        <v>-1.1611099999999999E-2</v>
      </c>
      <c r="K684" s="1">
        <f>VLOOKUP(C684,'[1]phenotypes-895'!$A$2:$I$896,9,FALSE)</f>
        <v>0.55458494153389459</v>
      </c>
      <c r="L684" s="1">
        <v>5.1639499999999998E-2</v>
      </c>
      <c r="M684" s="4">
        <v>4.0546793305753956</v>
      </c>
      <c r="N684" s="1">
        <v>2.1982600000000001E-2</v>
      </c>
      <c r="O684" s="8">
        <v>1</v>
      </c>
      <c r="P684" s="1">
        <v>-0.11676</v>
      </c>
      <c r="Q684">
        <v>0.75900000000000001</v>
      </c>
      <c r="R684" s="1">
        <v>-4.4884500000000001E-2</v>
      </c>
      <c r="S684" s="2">
        <v>-0.09</v>
      </c>
    </row>
    <row r="685" spans="1:19" x14ac:dyDescent="0.2">
      <c r="A685">
        <v>684</v>
      </c>
      <c r="B685">
        <v>24</v>
      </c>
      <c r="C685" t="s">
        <v>683</v>
      </c>
      <c r="D685" s="13" t="s">
        <v>913</v>
      </c>
      <c r="E685" s="1">
        <v>-2.5853199999999998</v>
      </c>
      <c r="F685">
        <v>-4.0126999999999997</v>
      </c>
      <c r="G685" s="1">
        <v>-2.6149871904331601</v>
      </c>
      <c r="H685" s="1">
        <v>-4.0576977196269297</v>
      </c>
      <c r="I685">
        <f>VLOOKUP(C685,'[1]phenotypes-895'!$A$2:$G$896,7,FALSE)</f>
        <v>65</v>
      </c>
      <c r="J685" s="1">
        <v>2.91708E-2</v>
      </c>
      <c r="K685" s="1">
        <f>VLOOKUP(C685,'[1]phenotypes-895'!$A$2:$I$896,9,FALSE)</f>
        <v>0.56882008681956131</v>
      </c>
      <c r="L685" s="1">
        <v>-3.1556599999999997E-2</v>
      </c>
      <c r="M685" s="4">
        <v>4.0324194023783217</v>
      </c>
      <c r="N685" s="1">
        <v>2.3432100000000001E-2</v>
      </c>
      <c r="O685" s="8">
        <v>1</v>
      </c>
      <c r="P685" s="1">
        <v>9.0970899999999997E-4</v>
      </c>
      <c r="Q685">
        <v>1.1060000000000001</v>
      </c>
      <c r="R685" s="1">
        <v>7.79935E-3</v>
      </c>
      <c r="S685" s="2">
        <v>0.03</v>
      </c>
    </row>
    <row r="686" spans="1:19" x14ac:dyDescent="0.2">
      <c r="A686">
        <v>685</v>
      </c>
      <c r="B686">
        <v>30</v>
      </c>
      <c r="C686" t="s">
        <v>684</v>
      </c>
      <c r="D686" s="13" t="s">
        <v>913</v>
      </c>
      <c r="E686" s="1">
        <v>-1.2909900000000001</v>
      </c>
      <c r="F686">
        <v>-3.1107999999999998</v>
      </c>
      <c r="G686" s="1">
        <v>-1.3269915684682501</v>
      </c>
      <c r="H686" s="1">
        <v>-3.1531975925334699</v>
      </c>
      <c r="I686">
        <f>VLOOKUP(C686,'[1]phenotypes-895'!$A$2:$G$896,7,FALSE)</f>
        <v>51</v>
      </c>
      <c r="J686" s="1">
        <v>2.0405599999999999E-2</v>
      </c>
      <c r="K686" s="1">
        <f>VLOOKUP(C686,'[1]phenotypes-895'!$A$2:$I$896,9,FALSE)</f>
        <v>0.68293620221968598</v>
      </c>
      <c r="L686" s="1">
        <v>-0.127022</v>
      </c>
      <c r="M686" s="4">
        <v>3.6943614828905318</v>
      </c>
      <c r="N686" s="1">
        <v>-1.0579699999999999E-2</v>
      </c>
      <c r="O686" s="8">
        <v>1</v>
      </c>
      <c r="P686" s="1">
        <v>9.4776799999999994E-2</v>
      </c>
      <c r="Q686">
        <v>1.2150000000000001</v>
      </c>
      <c r="R686" s="1">
        <v>3.8846899999999997E-2</v>
      </c>
      <c r="S686" s="2">
        <v>0.06</v>
      </c>
    </row>
    <row r="687" spans="1:19" x14ac:dyDescent="0.2">
      <c r="A687">
        <v>686</v>
      </c>
      <c r="B687">
        <v>35</v>
      </c>
      <c r="C687" t="s">
        <v>685</v>
      </c>
      <c r="D687" s="13" t="s">
        <v>913</v>
      </c>
      <c r="E687" s="1">
        <v>0.85514699999999999</v>
      </c>
      <c r="F687">
        <v>1.4882200000000001</v>
      </c>
      <c r="G687" s="1">
        <v>0.85474298791719705</v>
      </c>
      <c r="H687" s="1">
        <v>1.49412581218142</v>
      </c>
      <c r="I687">
        <f>VLOOKUP(C687,'[1]phenotypes-895'!$A$2:$G$896,7,FALSE)</f>
        <v>92</v>
      </c>
      <c r="J687" s="1">
        <v>3.5944599999999998E-3</v>
      </c>
      <c r="K687" s="1">
        <f>VLOOKUP(C687,'[1]phenotypes-895'!$A$2:$I$896,9,FALSE)</f>
        <v>0.46320366272649099</v>
      </c>
      <c r="L687" s="1">
        <v>0.113104</v>
      </c>
      <c r="M687" s="4">
        <v>4.1270604685193915</v>
      </c>
      <c r="N687" s="1">
        <v>-9.1298599999999996E-4</v>
      </c>
      <c r="O687" s="8">
        <v>1</v>
      </c>
      <c r="P687" s="1">
        <v>-0.106291</v>
      </c>
      <c r="Q687">
        <v>0.93</v>
      </c>
      <c r="R687" s="1">
        <v>-4.6050800000000003E-2</v>
      </c>
      <c r="S687" s="2">
        <v>-0.02</v>
      </c>
    </row>
    <row r="688" spans="1:19" x14ac:dyDescent="0.2">
      <c r="A688">
        <v>687</v>
      </c>
      <c r="B688">
        <v>44</v>
      </c>
      <c r="C688" t="s">
        <v>686</v>
      </c>
      <c r="D688" s="13" t="s">
        <v>912</v>
      </c>
      <c r="E688" s="1">
        <v>4.37554</v>
      </c>
      <c r="F688">
        <v>6.6838899999999999</v>
      </c>
      <c r="G688" s="1">
        <v>4.3728865909896699</v>
      </c>
      <c r="H688" s="1">
        <v>6.6995568928147504</v>
      </c>
      <c r="I688">
        <f>VLOOKUP(C688,'[1]phenotypes-895'!$A$2:$G$896,7,FALSE)</f>
        <v>62</v>
      </c>
      <c r="J688" s="1">
        <v>-6.1802000000000003E-2</v>
      </c>
      <c r="K688" s="1">
        <f>VLOOKUP(C688,'[1]phenotypes-895'!$A$2:$I$896,9,FALSE)</f>
        <v>0.41871237682847562</v>
      </c>
      <c r="L688" s="1">
        <v>0.190138</v>
      </c>
      <c r="M688" s="4">
        <v>3.935193228499303</v>
      </c>
      <c r="N688" s="1">
        <v>-1.4386100000000001E-2</v>
      </c>
      <c r="O688" s="8">
        <v>1</v>
      </c>
      <c r="P688" s="1">
        <v>-0.110942</v>
      </c>
      <c r="Q688">
        <v>0.57099999999999995</v>
      </c>
      <c r="R688" s="1">
        <v>-4.9665500000000001E-2</v>
      </c>
      <c r="S688" s="2">
        <v>-0.19</v>
      </c>
    </row>
    <row r="689" spans="1:19" x14ac:dyDescent="0.2">
      <c r="A689">
        <v>688</v>
      </c>
      <c r="B689">
        <v>33</v>
      </c>
      <c r="C689" t="s">
        <v>687</v>
      </c>
      <c r="D689" s="13" t="s">
        <v>913</v>
      </c>
      <c r="E689" s="1">
        <v>2.31087</v>
      </c>
      <c r="F689">
        <v>1.17523</v>
      </c>
      <c r="G689" s="1">
        <v>2.3224286158898102</v>
      </c>
      <c r="H689" s="1">
        <v>1.1733475900316801</v>
      </c>
      <c r="I689">
        <f>VLOOKUP(C689,'[1]phenotypes-895'!$A$2:$G$896,7,FALSE)</f>
        <v>74</v>
      </c>
      <c r="J689" s="1">
        <v>-2.6394299999999999E-2</v>
      </c>
      <c r="K689" s="1">
        <f>VLOOKUP(C689,'[1]phenotypes-895'!$A$2:$I$896,9,FALSE)</f>
        <v>0.62877325189655231</v>
      </c>
      <c r="L689" s="1">
        <v>0.10319200000000001</v>
      </c>
      <c r="M689" s="4">
        <v>5.2542453556260078</v>
      </c>
      <c r="N689" s="1">
        <v>-2.5177600000000001E-2</v>
      </c>
      <c r="O689" s="8">
        <v>1</v>
      </c>
      <c r="P689" s="1">
        <v>7.7085200000000006E-2</v>
      </c>
      <c r="Q689">
        <v>1.2210000000000001</v>
      </c>
      <c r="R689" s="1">
        <v>2.5514800000000001E-2</v>
      </c>
      <c r="S689" s="2">
        <v>0.06</v>
      </c>
    </row>
    <row r="690" spans="1:19" x14ac:dyDescent="0.2">
      <c r="A690">
        <v>689</v>
      </c>
      <c r="B690">
        <v>50</v>
      </c>
      <c r="C690" t="s">
        <v>688</v>
      </c>
      <c r="D690" s="13" t="s">
        <v>912</v>
      </c>
      <c r="E690" s="1">
        <v>1.7098199999999999</v>
      </c>
      <c r="F690">
        <v>4.3631399999999996</v>
      </c>
      <c r="G690" s="1">
        <v>1.73007409378625</v>
      </c>
      <c r="H690" s="1">
        <v>4.3860513393269303</v>
      </c>
      <c r="I690">
        <f>VLOOKUP(C690,'[1]phenotypes-895'!$A$2:$G$896,7,FALSE)</f>
        <v>59</v>
      </c>
      <c r="J690" s="1">
        <v>-6.5579499999999999E-2</v>
      </c>
      <c r="K690" s="1">
        <f>VLOOKUP(C690,'[1]phenotypes-895'!$A$2:$I$896,9,FALSE)</f>
        <v>0.45778566875524962</v>
      </c>
      <c r="L690" s="1">
        <v>-1.05833E-2</v>
      </c>
      <c r="M690" s="4">
        <v>4.0444144282428587</v>
      </c>
      <c r="N690" s="1">
        <v>1.02722E-2</v>
      </c>
      <c r="O690" s="8">
        <v>1</v>
      </c>
      <c r="P690" s="1">
        <v>-0.1996</v>
      </c>
      <c r="Q690">
        <v>0.498</v>
      </c>
      <c r="R690" s="1">
        <v>-8.4764500000000007E-2</v>
      </c>
      <c r="S690" s="2">
        <v>-0.23</v>
      </c>
    </row>
    <row r="691" spans="1:19" x14ac:dyDescent="0.2">
      <c r="A691">
        <v>690</v>
      </c>
      <c r="B691">
        <v>37</v>
      </c>
      <c r="C691" t="s">
        <v>689</v>
      </c>
      <c r="D691" s="13" t="s">
        <v>913</v>
      </c>
      <c r="E691" s="1">
        <v>0.83994999999999997</v>
      </c>
      <c r="F691">
        <v>2.0119600000000002</v>
      </c>
      <c r="G691" s="1">
        <v>0.84227349968298004</v>
      </c>
      <c r="H691" s="1">
        <v>2.0166992184243102</v>
      </c>
      <c r="I691">
        <f>VLOOKUP(C691,'[1]phenotypes-895'!$A$2:$G$896,7,FALSE)</f>
        <v>98</v>
      </c>
      <c r="J691" s="1">
        <v>-4.7197999999999997E-2</v>
      </c>
      <c r="K691" s="1">
        <f>VLOOKUP(C691,'[1]phenotypes-895'!$A$2:$I$896,9,FALSE)</f>
        <v>4.3550272764237903E-2</v>
      </c>
      <c r="L691" s="1">
        <v>-5.1899300000000002E-2</v>
      </c>
      <c r="M691" s="4">
        <v>2.0622115019942879</v>
      </c>
      <c r="N691" s="1">
        <v>3.4080299999999998E-3</v>
      </c>
      <c r="O691" s="8">
        <v>1</v>
      </c>
      <c r="P691" s="1">
        <v>-4.7122600000000001E-2</v>
      </c>
      <c r="Q691">
        <v>1.202</v>
      </c>
      <c r="R691" s="1">
        <v>-1.7445800000000001E-2</v>
      </c>
      <c r="S691" s="2">
        <v>0.06</v>
      </c>
    </row>
    <row r="692" spans="1:19" x14ac:dyDescent="0.2">
      <c r="A692">
        <v>691</v>
      </c>
      <c r="B692">
        <v>48</v>
      </c>
      <c r="C692" t="s">
        <v>690</v>
      </c>
      <c r="D692" s="13" t="s">
        <v>912</v>
      </c>
      <c r="E692" s="1">
        <v>-1.00746</v>
      </c>
      <c r="F692">
        <v>0.40187899999999999</v>
      </c>
      <c r="G692" s="1">
        <v>-1.06293263719433</v>
      </c>
      <c r="H692" s="1">
        <v>0.35052217790958901</v>
      </c>
      <c r="I692">
        <f>VLOOKUP(C692,'[1]phenotypes-895'!$A$2:$G$896,7,FALSE)</f>
        <v>48</v>
      </c>
      <c r="J692" s="1">
        <v>-7.2042700000000001E-2</v>
      </c>
      <c r="K692" s="1">
        <f>VLOOKUP(C692,'[1]phenotypes-895'!$A$2:$I$896,9,FALSE)</f>
        <v>0.16254462021270691</v>
      </c>
      <c r="L692" s="1">
        <v>-4.90762E-2</v>
      </c>
      <c r="M692" s="4">
        <v>3.5215005239021222</v>
      </c>
      <c r="N692" s="1">
        <v>-1.26909E-2</v>
      </c>
      <c r="O692" s="8">
        <v>1</v>
      </c>
      <c r="P692" s="1">
        <v>-0.128469</v>
      </c>
      <c r="Q692">
        <v>0.56399999999999995</v>
      </c>
      <c r="R692" s="1">
        <v>-5.0218699999999998E-2</v>
      </c>
      <c r="S692" s="2">
        <v>-0.19</v>
      </c>
    </row>
    <row r="693" spans="1:19" x14ac:dyDescent="0.2">
      <c r="A693">
        <v>692</v>
      </c>
      <c r="B693">
        <v>37</v>
      </c>
      <c r="C693" t="s">
        <v>691</v>
      </c>
      <c r="D693" s="13" t="s">
        <v>913</v>
      </c>
      <c r="E693" s="1">
        <v>4.5808600000000004</v>
      </c>
      <c r="F693">
        <v>6.4187000000000003</v>
      </c>
      <c r="G693" s="1">
        <v>4.6059650274209503</v>
      </c>
      <c r="H693" s="1">
        <v>6.4448045434425598</v>
      </c>
      <c r="I693">
        <f>VLOOKUP(C693,'[1]phenotypes-895'!$A$2:$G$896,7,FALSE)</f>
        <v>98</v>
      </c>
      <c r="J693" s="1">
        <v>-7.0527699999999999E-2</v>
      </c>
      <c r="K693" s="1">
        <f>VLOOKUP(C693,'[1]phenotypes-895'!$A$2:$I$896,9,FALSE)</f>
        <v>0</v>
      </c>
      <c r="L693" s="1">
        <v>-3.21474E-2</v>
      </c>
      <c r="M693" s="4">
        <v>0</v>
      </c>
      <c r="N693" s="1">
        <v>7.3249400000000003E-3</v>
      </c>
      <c r="O693" s="8">
        <v>0</v>
      </c>
      <c r="P693" s="1">
        <v>-7.2011699999999998E-2</v>
      </c>
      <c r="Q693">
        <v>1.337</v>
      </c>
      <c r="R693" s="1">
        <v>-2.8323399999999999E-2</v>
      </c>
      <c r="S693" s="2">
        <v>0.09</v>
      </c>
    </row>
    <row r="694" spans="1:19" x14ac:dyDescent="0.2">
      <c r="A694">
        <v>693</v>
      </c>
      <c r="B694">
        <v>47</v>
      </c>
      <c r="C694" t="s">
        <v>692</v>
      </c>
      <c r="D694" s="13" t="s">
        <v>912</v>
      </c>
      <c r="E694" s="1">
        <v>1.71563</v>
      </c>
      <c r="F694">
        <v>3.36429</v>
      </c>
      <c r="G694" s="1">
        <v>1.7261149481412099</v>
      </c>
      <c r="H694" s="1">
        <v>3.4203989203263401</v>
      </c>
      <c r="I694">
        <f>VLOOKUP(C694,'[1]phenotypes-895'!$A$2:$G$896,7,FALSE)</f>
        <v>78</v>
      </c>
      <c r="J694" s="1">
        <v>-1.78397E-3</v>
      </c>
      <c r="K694" s="1">
        <f>VLOOKUP(C694,'[1]phenotypes-895'!$A$2:$I$896,9,FALSE)</f>
        <v>0.48121485834784899</v>
      </c>
      <c r="L694" s="1">
        <v>-1.39569E-2</v>
      </c>
      <c r="M694" s="4">
        <v>4.7505472176147654</v>
      </c>
      <c r="N694" s="1">
        <v>3.0594200000000002E-3</v>
      </c>
      <c r="O694" s="8">
        <v>1</v>
      </c>
      <c r="P694" s="1">
        <v>-5.8517399999999997E-2</v>
      </c>
      <c r="Q694">
        <v>0.77600000000000002</v>
      </c>
      <c r="R694" s="1">
        <v>-2.5847999999999999E-2</v>
      </c>
      <c r="S694" s="2">
        <v>-0.08</v>
      </c>
    </row>
    <row r="695" spans="1:19" x14ac:dyDescent="0.2">
      <c r="A695">
        <v>694</v>
      </c>
      <c r="B695">
        <v>30</v>
      </c>
      <c r="C695" t="s">
        <v>693</v>
      </c>
      <c r="D695" s="13" t="s">
        <v>913</v>
      </c>
      <c r="E695" s="1">
        <v>-1.05444</v>
      </c>
      <c r="F695">
        <v>-0.76741199999999998</v>
      </c>
      <c r="G695" s="1">
        <v>-1.1004974919222299</v>
      </c>
      <c r="H695" s="1">
        <v>-0.81421642895813395</v>
      </c>
      <c r="I695">
        <f>VLOOKUP(C695,'[1]phenotypes-895'!$A$2:$G$896,7,FALSE)</f>
        <v>98</v>
      </c>
      <c r="J695" s="1">
        <v>-9.5392900000000006E-3</v>
      </c>
      <c r="K695" s="1">
        <f>VLOOKUP(C695,'[1]phenotypes-895'!$A$2:$I$896,9,FALSE)</f>
        <v>0</v>
      </c>
      <c r="L695" s="1">
        <v>-2.73242E-2</v>
      </c>
      <c r="M695" s="4">
        <v>0</v>
      </c>
      <c r="N695" s="1">
        <v>-1.1137599999999999E-2</v>
      </c>
      <c r="O695" s="8">
        <v>0</v>
      </c>
      <c r="P695" s="1">
        <v>-1.95146E-2</v>
      </c>
      <c r="Q695">
        <v>1.224</v>
      </c>
      <c r="R695" s="1">
        <v>-1.08205E-2</v>
      </c>
      <c r="S695" s="2">
        <v>0.06</v>
      </c>
    </row>
    <row r="696" spans="1:19" x14ac:dyDescent="0.2">
      <c r="A696">
        <v>695</v>
      </c>
      <c r="B696">
        <v>23</v>
      </c>
      <c r="C696" t="s">
        <v>694</v>
      </c>
      <c r="D696" s="13" t="s">
        <v>913</v>
      </c>
      <c r="E696" s="1">
        <v>6.1721899999999996</v>
      </c>
      <c r="F696">
        <v>4.9540100000000002</v>
      </c>
      <c r="G696" s="1">
        <v>6.1285989287022504</v>
      </c>
      <c r="H696" s="1">
        <v>4.8983506570177502</v>
      </c>
      <c r="I696">
        <f>VLOOKUP(C696,'[1]phenotypes-895'!$A$2:$G$896,7,FALSE)</f>
        <v>73</v>
      </c>
      <c r="J696" s="1">
        <v>-8.1033800000000003E-2</v>
      </c>
      <c r="K696" s="1">
        <f>VLOOKUP(C696,'[1]phenotypes-895'!$A$2:$I$896,9,FALSE)</f>
        <v>0.50808441536400317</v>
      </c>
      <c r="L696" s="1">
        <v>-7.5837299999999996E-2</v>
      </c>
      <c r="M696" s="4">
        <v>4.3780478012205384</v>
      </c>
      <c r="N696" s="1">
        <v>-4.786E-2</v>
      </c>
      <c r="O696" s="8">
        <v>1</v>
      </c>
      <c r="P696" s="1">
        <v>0.16534299999999999</v>
      </c>
      <c r="Q696">
        <v>1.3759999999999999</v>
      </c>
      <c r="R696" s="1">
        <v>5.84726E-2</v>
      </c>
      <c r="S696" s="2">
        <v>0.1</v>
      </c>
    </row>
    <row r="697" spans="1:19" x14ac:dyDescent="0.2">
      <c r="A697">
        <v>696</v>
      </c>
      <c r="B697">
        <v>23</v>
      </c>
      <c r="C697" t="s">
        <v>695</v>
      </c>
      <c r="D697" s="13" t="s">
        <v>913</v>
      </c>
      <c r="E697" s="1">
        <v>0.3054</v>
      </c>
      <c r="F697">
        <v>0.302956</v>
      </c>
      <c r="G697" s="1">
        <v>0.276540120692014</v>
      </c>
      <c r="H697" s="1">
        <v>0.277325321615426</v>
      </c>
      <c r="I697">
        <f>VLOOKUP(C697,'[1]phenotypes-895'!$A$2:$G$896,7,FALSE)</f>
        <v>98</v>
      </c>
      <c r="J697" s="1">
        <v>-3.3539799999999999E-3</v>
      </c>
      <c r="K697" s="1">
        <f>VLOOKUP(C697,'[1]phenotypes-895'!$A$2:$I$896,9,FALSE)</f>
        <v>0</v>
      </c>
      <c r="L697" s="1">
        <v>0.112482</v>
      </c>
      <c r="M697" s="4">
        <v>0</v>
      </c>
      <c r="N697" s="1">
        <v>1.02363E-2</v>
      </c>
      <c r="O697" s="8">
        <v>0</v>
      </c>
      <c r="P697" s="1">
        <v>5.6832100000000003E-2</v>
      </c>
      <c r="Q697">
        <v>1.224</v>
      </c>
      <c r="R697" s="1">
        <v>2.67569E-2</v>
      </c>
      <c r="S697" s="2">
        <v>0.06</v>
      </c>
    </row>
    <row r="698" spans="1:19" x14ac:dyDescent="0.2">
      <c r="A698">
        <v>697</v>
      </c>
      <c r="B698">
        <v>39</v>
      </c>
      <c r="C698" t="s">
        <v>696</v>
      </c>
      <c r="D698" s="13" t="s">
        <v>913</v>
      </c>
      <c r="E698" s="1">
        <v>5.3234700000000004</v>
      </c>
      <c r="F698">
        <v>3.9760300000000002</v>
      </c>
      <c r="G698" s="1">
        <v>5.3274406481817804</v>
      </c>
      <c r="H698" s="1">
        <v>3.9832383286831301</v>
      </c>
      <c r="I698">
        <f>VLOOKUP(C698,'[1]phenotypes-895'!$A$2:$G$896,7,FALSE)</f>
        <v>98</v>
      </c>
      <c r="J698" s="1">
        <v>-8.9506299999999997E-2</v>
      </c>
      <c r="K698" s="1">
        <f>VLOOKUP(C698,'[1]phenotypes-895'!$A$2:$I$896,9,FALSE)</f>
        <v>0</v>
      </c>
      <c r="L698" s="1">
        <v>3.2354899999999999E-2</v>
      </c>
      <c r="M698" s="4">
        <v>0</v>
      </c>
      <c r="N698" s="1">
        <v>-3.7774099999999998E-2</v>
      </c>
      <c r="O698" s="8">
        <v>0</v>
      </c>
      <c r="P698" s="1">
        <v>7.5337299999999996E-2</v>
      </c>
      <c r="Q698">
        <v>1.032</v>
      </c>
      <c r="R698" s="1">
        <v>2.9916399999999999E-2</v>
      </c>
      <c r="S698" s="2">
        <v>0.01</v>
      </c>
    </row>
    <row r="699" spans="1:19" x14ac:dyDescent="0.2">
      <c r="A699">
        <v>698</v>
      </c>
      <c r="B699">
        <v>27</v>
      </c>
      <c r="C699" t="s">
        <v>697</v>
      </c>
      <c r="D699" s="13" t="s">
        <v>913</v>
      </c>
      <c r="E699" s="1">
        <v>2.5340699999999998</v>
      </c>
      <c r="F699">
        <v>4.2733299999999996</v>
      </c>
      <c r="G699" s="1">
        <v>2.51988159154938</v>
      </c>
      <c r="H699" s="1">
        <v>4.2626206397946298</v>
      </c>
      <c r="I699">
        <f>VLOOKUP(C699,'[1]phenotypes-895'!$A$2:$G$896,7,FALSE)</f>
        <v>98</v>
      </c>
      <c r="J699" s="1">
        <v>-5.5697900000000002E-2</v>
      </c>
      <c r="K699" s="1">
        <f>VLOOKUP(C699,'[1]phenotypes-895'!$A$2:$I$896,9,FALSE)</f>
        <v>0</v>
      </c>
      <c r="L699" s="1">
        <v>-6.09595E-2</v>
      </c>
      <c r="M699" s="4">
        <v>0</v>
      </c>
      <c r="N699" s="1">
        <v>-3.93167E-3</v>
      </c>
      <c r="O699" s="8">
        <v>0</v>
      </c>
      <c r="P699" s="1">
        <v>-0.11333600000000001</v>
      </c>
      <c r="Q699">
        <v>1.0389999999999999</v>
      </c>
      <c r="R699" s="1">
        <v>-3.9476700000000003E-2</v>
      </c>
      <c r="S699" s="2">
        <v>0.01</v>
      </c>
    </row>
    <row r="700" spans="1:19" x14ac:dyDescent="0.2">
      <c r="A700">
        <v>699</v>
      </c>
      <c r="B700">
        <v>25</v>
      </c>
      <c r="C700" t="s">
        <v>698</v>
      </c>
      <c r="D700" s="13" t="s">
        <v>913</v>
      </c>
      <c r="E700" s="1">
        <v>1.73132</v>
      </c>
      <c r="F700">
        <v>0.302757</v>
      </c>
      <c r="G700" s="1">
        <v>1.7391767004342999</v>
      </c>
      <c r="H700" s="1">
        <v>0.299209475203286</v>
      </c>
      <c r="I700">
        <f>VLOOKUP(C700,'[1]phenotypes-895'!$A$2:$G$896,7,FALSE)</f>
        <v>76</v>
      </c>
      <c r="J700" s="1">
        <v>2.95687E-2</v>
      </c>
      <c r="K700" s="1">
        <f>VLOOKUP(C700,'[1]phenotypes-895'!$A$2:$I$896,9,FALSE)</f>
        <v>0.62143620201181937</v>
      </c>
      <c r="L700" s="1">
        <v>0.16425999999999999</v>
      </c>
      <c r="M700" s="4">
        <v>4.8851346166861536</v>
      </c>
      <c r="N700" s="1">
        <v>2.98518E-4</v>
      </c>
      <c r="O700" s="8">
        <v>1</v>
      </c>
      <c r="P700" s="1">
        <v>3.8906799999999998E-2</v>
      </c>
      <c r="Q700">
        <v>0.96499999999999997</v>
      </c>
      <c r="R700" s="1">
        <v>1.9938600000000001E-2</v>
      </c>
      <c r="S700" s="2">
        <v>-0.01</v>
      </c>
    </row>
    <row r="701" spans="1:19" x14ac:dyDescent="0.2">
      <c r="A701">
        <v>700</v>
      </c>
      <c r="B701">
        <v>23</v>
      </c>
      <c r="C701" t="s">
        <v>699</v>
      </c>
      <c r="D701" s="13" t="s">
        <v>913</v>
      </c>
      <c r="E701" s="1">
        <v>5.8881800000000002</v>
      </c>
      <c r="F701">
        <v>5.1642900000000003</v>
      </c>
      <c r="G701" s="1">
        <v>5.8951259140555896</v>
      </c>
      <c r="H701" s="1">
        <v>5.1619705187699401</v>
      </c>
      <c r="I701">
        <f>VLOOKUP(C701,'[1]phenotypes-895'!$A$2:$G$896,7,FALSE)</f>
        <v>98</v>
      </c>
      <c r="J701" s="1">
        <v>-0.11859</v>
      </c>
      <c r="K701" s="1">
        <f>VLOOKUP(C701,'[1]phenotypes-895'!$A$2:$I$896,9,FALSE)</f>
        <v>0</v>
      </c>
      <c r="L701" s="1">
        <v>-3.3000399999999999E-2</v>
      </c>
      <c r="M701" s="4">
        <v>0</v>
      </c>
      <c r="N701" s="1">
        <v>-2.6242399999999999E-2</v>
      </c>
      <c r="O701" s="8">
        <v>0</v>
      </c>
      <c r="P701" s="1">
        <v>6.6381800000000005E-2</v>
      </c>
      <c r="Q701">
        <v>1.3640000000000001</v>
      </c>
      <c r="R701" s="1">
        <v>1.52105E-2</v>
      </c>
      <c r="S701" s="2">
        <v>0.09</v>
      </c>
    </row>
    <row r="702" spans="1:19" x14ac:dyDescent="0.2">
      <c r="A702">
        <v>701</v>
      </c>
      <c r="B702">
        <v>30</v>
      </c>
      <c r="C702" t="s">
        <v>700</v>
      </c>
      <c r="D702" s="13" t="s">
        <v>913</v>
      </c>
      <c r="E702" s="1">
        <v>4.65822</v>
      </c>
      <c r="F702">
        <v>3.3677999999999999</v>
      </c>
      <c r="G702" s="1">
        <v>4.6635702131035002</v>
      </c>
      <c r="H702" s="1">
        <v>3.3615890138436302</v>
      </c>
      <c r="I702">
        <f>VLOOKUP(C702,'[1]phenotypes-895'!$A$2:$G$896,7,FALSE)</f>
        <v>80</v>
      </c>
      <c r="J702" s="1">
        <v>-6.4838499999999993E-2</v>
      </c>
      <c r="K702" s="1">
        <f>VLOOKUP(C702,'[1]phenotypes-895'!$A$2:$I$896,9,FALSE)</f>
        <v>0.33123365181120762</v>
      </c>
      <c r="L702" s="1">
        <v>-5.0529299999999999E-2</v>
      </c>
      <c r="M702" s="4">
        <v>4.510107596858167</v>
      </c>
      <c r="N702" s="1">
        <v>-9.9010899999999995E-3</v>
      </c>
      <c r="O702" s="8">
        <v>1</v>
      </c>
      <c r="P702" s="1">
        <v>0.14067499999999999</v>
      </c>
      <c r="Q702">
        <v>1.306</v>
      </c>
      <c r="R702" s="1">
        <v>5.1324000000000002E-2</v>
      </c>
      <c r="S702" s="2">
        <v>0.08</v>
      </c>
    </row>
    <row r="703" spans="1:19" x14ac:dyDescent="0.2">
      <c r="A703">
        <v>702</v>
      </c>
      <c r="B703">
        <v>24</v>
      </c>
      <c r="C703" t="s">
        <v>701</v>
      </c>
      <c r="D703" s="13" t="s">
        <v>913</v>
      </c>
      <c r="E703" s="1">
        <v>1.59707</v>
      </c>
      <c r="F703">
        <v>2.97485</v>
      </c>
      <c r="G703" s="1">
        <v>1.61449379408662</v>
      </c>
      <c r="H703" s="1">
        <v>2.99084648898554</v>
      </c>
      <c r="I703">
        <f>VLOOKUP(C703,'[1]phenotypes-895'!$A$2:$G$896,7,FALSE)</f>
        <v>98</v>
      </c>
      <c r="J703" s="1">
        <v>-3.9940400000000001E-2</v>
      </c>
      <c r="K703" s="1">
        <f>VLOOKUP(C703,'[1]phenotypes-895'!$A$2:$I$896,9,FALSE)</f>
        <v>0</v>
      </c>
      <c r="L703" s="1">
        <v>-9.8609299999999997E-2</v>
      </c>
      <c r="M703" s="4">
        <v>0</v>
      </c>
      <c r="N703" s="1">
        <v>-1.6544E-2</v>
      </c>
      <c r="O703" s="8">
        <v>0</v>
      </c>
      <c r="P703" s="1">
        <v>-7.0928599999999994E-2</v>
      </c>
      <c r="Q703">
        <v>1.1339999999999999</v>
      </c>
      <c r="R703" s="1">
        <v>-3.2684900000000003E-2</v>
      </c>
      <c r="S703" s="2">
        <v>0.04</v>
      </c>
    </row>
    <row r="704" spans="1:19" x14ac:dyDescent="0.2">
      <c r="A704">
        <v>703</v>
      </c>
      <c r="B704">
        <v>26</v>
      </c>
      <c r="C704" t="s">
        <v>702</v>
      </c>
      <c r="D704" s="13" t="s">
        <v>913</v>
      </c>
      <c r="E704" s="1">
        <v>2.1754899999999999</v>
      </c>
      <c r="F704">
        <v>3.19252</v>
      </c>
      <c r="G704" s="1">
        <v>2.2029560288397598</v>
      </c>
      <c r="H704" s="1">
        <v>3.2243223866078501</v>
      </c>
      <c r="I704">
        <f>VLOOKUP(C704,'[1]phenotypes-895'!$A$2:$G$896,7,FALSE)</f>
        <v>98</v>
      </c>
      <c r="J704" s="1">
        <v>-1.6541500000000001E-2</v>
      </c>
      <c r="K704" s="1">
        <f>VLOOKUP(C704,'[1]phenotypes-895'!$A$2:$I$896,9,FALSE)</f>
        <v>5.3628761632552563E-2</v>
      </c>
      <c r="L704" s="1">
        <v>-7.0764499999999998E-3</v>
      </c>
      <c r="M704" s="4">
        <v>1.5572451137027028</v>
      </c>
      <c r="N704" s="1">
        <v>3.8902399999999997E-2</v>
      </c>
      <c r="O704" s="8">
        <v>1</v>
      </c>
      <c r="P704" s="1">
        <v>-5.8399899999999998E-2</v>
      </c>
      <c r="Q704">
        <v>1.2350000000000001</v>
      </c>
      <c r="R704" s="1">
        <v>-3.18815E-2</v>
      </c>
      <c r="S704" s="2">
        <v>0.06</v>
      </c>
    </row>
    <row r="705" spans="1:19" x14ac:dyDescent="0.2">
      <c r="A705">
        <v>704</v>
      </c>
      <c r="B705">
        <v>26</v>
      </c>
      <c r="C705" t="s">
        <v>703</v>
      </c>
      <c r="D705" s="13" t="s">
        <v>913</v>
      </c>
      <c r="E705" s="1">
        <v>-2.0583200000000001</v>
      </c>
      <c r="F705">
        <v>-4.53728</v>
      </c>
      <c r="G705" s="1">
        <v>-2.0745963757585701</v>
      </c>
      <c r="H705" s="1">
        <v>-4.5642801930798997</v>
      </c>
      <c r="I705">
        <f>VLOOKUP(C705,'[1]phenotypes-895'!$A$2:$G$896,7,FALSE)</f>
        <v>83</v>
      </c>
      <c r="J705" s="1">
        <v>4.1965799999999998E-2</v>
      </c>
      <c r="K705" s="1">
        <f>VLOOKUP(C705,'[1]phenotypes-895'!$A$2:$I$896,9,FALSE)</f>
        <v>0.5714956919199623</v>
      </c>
      <c r="L705" s="1">
        <v>-0.125941</v>
      </c>
      <c r="M705" s="4">
        <v>4.2455747184847139</v>
      </c>
      <c r="N705" s="1">
        <v>-1.20527E-2</v>
      </c>
      <c r="O705" s="8">
        <v>1</v>
      </c>
      <c r="P705" s="1">
        <v>0.12636900000000001</v>
      </c>
      <c r="Q705">
        <v>1.3380000000000001</v>
      </c>
      <c r="R705" s="1">
        <v>4.3013500000000003E-2</v>
      </c>
      <c r="S705" s="2">
        <v>0.09</v>
      </c>
    </row>
    <row r="706" spans="1:19" x14ac:dyDescent="0.2">
      <c r="A706">
        <v>705</v>
      </c>
      <c r="B706">
        <v>25</v>
      </c>
      <c r="C706" t="s">
        <v>704</v>
      </c>
      <c r="D706" s="13" t="s">
        <v>913</v>
      </c>
      <c r="E706" s="1">
        <v>1.58036</v>
      </c>
      <c r="F706">
        <v>2.7904499999999999</v>
      </c>
      <c r="G706" s="1">
        <v>1.5414641981038899</v>
      </c>
      <c r="H706" s="1">
        <v>2.7482247756065599</v>
      </c>
      <c r="I706">
        <f>VLOOKUP(C706,'[1]phenotypes-895'!$A$2:$G$896,7,FALSE)</f>
        <v>63</v>
      </c>
      <c r="J706" s="1">
        <v>-2.1614299999999999E-2</v>
      </c>
      <c r="K706" s="1">
        <f>VLOOKUP(C706,'[1]phenotypes-895'!$A$2:$I$896,9,FALSE)</f>
        <v>0.48760928265686249</v>
      </c>
      <c r="L706" s="1">
        <v>-7.5211699999999998E-3</v>
      </c>
      <c r="M706" s="4">
        <v>4.2657246870653811</v>
      </c>
      <c r="N706" s="1">
        <v>2.8738400000000001E-2</v>
      </c>
      <c r="O706" s="8">
        <v>1</v>
      </c>
      <c r="P706" s="1">
        <v>-3.3740699999999998E-2</v>
      </c>
      <c r="Q706">
        <v>1.302</v>
      </c>
      <c r="R706" s="1">
        <v>-2.1165E-2</v>
      </c>
      <c r="S706" s="2">
        <v>0.08</v>
      </c>
    </row>
    <row r="707" spans="1:19" x14ac:dyDescent="0.2">
      <c r="A707">
        <v>706</v>
      </c>
      <c r="B707">
        <v>31</v>
      </c>
      <c r="C707" t="s">
        <v>705</v>
      </c>
      <c r="D707" s="13" t="s">
        <v>913</v>
      </c>
      <c r="E707" s="1">
        <v>2.4872100000000001</v>
      </c>
      <c r="F707">
        <v>1.4675400000000001</v>
      </c>
      <c r="G707" s="1">
        <v>2.49329431370845</v>
      </c>
      <c r="H707" s="1">
        <v>1.4683584020390199</v>
      </c>
      <c r="I707">
        <f>VLOOKUP(C707,'[1]phenotypes-895'!$A$2:$G$896,7,FALSE)</f>
        <v>74</v>
      </c>
      <c r="J707" s="1">
        <v>-1.8494900000000002E-2</v>
      </c>
      <c r="K707" s="1">
        <f>VLOOKUP(C707,'[1]phenotypes-895'!$A$2:$I$896,9,FALSE)</f>
        <v>0.35613659966840411</v>
      </c>
      <c r="L707" s="1">
        <v>-3.4578499999999998E-2</v>
      </c>
      <c r="M707" s="4">
        <v>4.1932582191690555</v>
      </c>
      <c r="N707" s="1">
        <v>2.8399199999999999E-2</v>
      </c>
      <c r="O707" s="8">
        <v>1</v>
      </c>
      <c r="P707" s="1">
        <v>-3.3564900000000002E-2</v>
      </c>
      <c r="Q707">
        <v>0.94499999999999995</v>
      </c>
      <c r="R707" s="1">
        <v>-1.7533799999999999E-2</v>
      </c>
      <c r="S707" s="2">
        <v>-0.02</v>
      </c>
    </row>
    <row r="708" spans="1:19" x14ac:dyDescent="0.2">
      <c r="A708">
        <v>707</v>
      </c>
      <c r="B708">
        <v>50</v>
      </c>
      <c r="C708" t="s">
        <v>706</v>
      </c>
      <c r="D708" s="13" t="s">
        <v>912</v>
      </c>
      <c r="E708" s="1">
        <v>4.7879800000000001</v>
      </c>
      <c r="F708">
        <v>7.1370500000000003</v>
      </c>
      <c r="G708" s="1">
        <v>4.80687082992646</v>
      </c>
      <c r="H708" s="1">
        <v>7.1641591301378602</v>
      </c>
      <c r="I708">
        <f>VLOOKUP(C708,'[1]phenotypes-895'!$A$2:$G$896,7,FALSE)</f>
        <v>98</v>
      </c>
      <c r="J708" s="1">
        <v>-6.7547399999999994E-2</v>
      </c>
      <c r="K708" s="1">
        <f>VLOOKUP(C708,'[1]phenotypes-895'!$A$2:$I$896,9,FALSE)</f>
        <v>0</v>
      </c>
      <c r="L708" s="1">
        <v>-1.30671E-2</v>
      </c>
      <c r="M708" s="4">
        <v>0</v>
      </c>
      <c r="N708" s="1">
        <v>7.6206299999999998E-3</v>
      </c>
      <c r="O708" s="8">
        <v>0</v>
      </c>
      <c r="P708" s="1">
        <v>-0.15673100000000001</v>
      </c>
      <c r="Q708">
        <v>0.48599999999999999</v>
      </c>
      <c r="R708" s="1">
        <v>-7.4095800000000003E-2</v>
      </c>
      <c r="S708" s="2">
        <v>-0.24</v>
      </c>
    </row>
    <row r="709" spans="1:19" x14ac:dyDescent="0.2">
      <c r="A709">
        <v>708</v>
      </c>
      <c r="B709">
        <v>44</v>
      </c>
      <c r="C709" t="s">
        <v>707</v>
      </c>
      <c r="D709" s="13" t="s">
        <v>912</v>
      </c>
      <c r="E709" s="1">
        <v>2.5146700000000002</v>
      </c>
      <c r="F709">
        <v>4.9237200000000003</v>
      </c>
      <c r="G709" s="1">
        <v>2.4907438934387498</v>
      </c>
      <c r="H709" s="1">
        <v>4.9079350340310999</v>
      </c>
      <c r="I709">
        <f>VLOOKUP(C709,'[1]phenotypes-895'!$A$2:$G$896,7,FALSE)</f>
        <v>98</v>
      </c>
      <c r="J709" s="1">
        <v>-5.2150500000000002E-2</v>
      </c>
      <c r="K709" s="1">
        <f>VLOOKUP(C709,'[1]phenotypes-895'!$A$2:$I$896,9,FALSE)</f>
        <v>0</v>
      </c>
      <c r="L709" s="1">
        <v>0.191248</v>
      </c>
      <c r="M709" s="4">
        <v>0</v>
      </c>
      <c r="N709" s="1">
        <v>-1.9526100000000001E-2</v>
      </c>
      <c r="O709" s="8">
        <v>0</v>
      </c>
      <c r="P709" s="1">
        <v>-0.14654900000000001</v>
      </c>
      <c r="Q709">
        <v>0.45800000000000002</v>
      </c>
      <c r="R709" s="1">
        <v>-6.7797499999999997E-2</v>
      </c>
      <c r="S709" s="2">
        <v>-0.27</v>
      </c>
    </row>
    <row r="710" spans="1:19" x14ac:dyDescent="0.2">
      <c r="A710">
        <v>709</v>
      </c>
      <c r="B710">
        <v>36</v>
      </c>
      <c r="C710" t="s">
        <v>708</v>
      </c>
      <c r="D710" s="13" t="s">
        <v>913</v>
      </c>
      <c r="E710" s="1">
        <v>5.3334900000000003</v>
      </c>
      <c r="F710">
        <v>6.8935700000000004</v>
      </c>
      <c r="G710" s="1">
        <v>5.3442944599139697</v>
      </c>
      <c r="H710" s="1">
        <v>6.9034256170206296</v>
      </c>
      <c r="I710">
        <f>VLOOKUP(C710,'[1]phenotypes-895'!$A$2:$G$896,7,FALSE)</f>
        <v>98</v>
      </c>
      <c r="J710" s="1">
        <v>-0.12922600000000001</v>
      </c>
      <c r="K710" s="1">
        <f>VLOOKUP(C710,'[1]phenotypes-895'!$A$2:$I$896,9,FALSE)</f>
        <v>0</v>
      </c>
      <c r="L710" s="1">
        <v>-0.16031500000000001</v>
      </c>
      <c r="M710" s="4">
        <v>0</v>
      </c>
      <c r="N710" s="1">
        <v>-4.7377200000000001E-2</v>
      </c>
      <c r="O710" s="8">
        <v>0</v>
      </c>
      <c r="P710" s="1">
        <v>0.15273300000000001</v>
      </c>
      <c r="Q710">
        <v>1.238</v>
      </c>
      <c r="R710" s="1">
        <v>4.9706399999999998E-2</v>
      </c>
      <c r="S710" s="2">
        <v>0.06</v>
      </c>
    </row>
    <row r="711" spans="1:19" x14ac:dyDescent="0.2">
      <c r="A711">
        <v>710</v>
      </c>
      <c r="B711">
        <v>22</v>
      </c>
      <c r="C711" t="s">
        <v>709</v>
      </c>
      <c r="D711" s="13" t="s">
        <v>913</v>
      </c>
      <c r="E711" s="1">
        <v>0.27310099999999998</v>
      </c>
      <c r="F711">
        <v>-0.22357399999999999</v>
      </c>
      <c r="G711" s="1">
        <v>0.20900997381091199</v>
      </c>
      <c r="H711" s="1">
        <v>-0.29096501128241298</v>
      </c>
      <c r="I711">
        <f>VLOOKUP(C711,'[1]phenotypes-895'!$A$2:$G$896,7,FALSE)</f>
        <v>56</v>
      </c>
      <c r="J711" s="1">
        <v>3.0106899999999999E-2</v>
      </c>
      <c r="K711" s="1">
        <f>VLOOKUP(C711,'[1]phenotypes-895'!$A$2:$I$896,9,FALSE)</f>
        <v>0.6836362904619474</v>
      </c>
      <c r="L711" s="1">
        <v>0.17885400000000001</v>
      </c>
      <c r="M711" s="4">
        <v>4.5796530765640728</v>
      </c>
      <c r="N711" s="1">
        <v>2.1054899999999998E-3</v>
      </c>
      <c r="O711" s="8">
        <v>1</v>
      </c>
      <c r="P711" s="1">
        <v>0.16009599999999999</v>
      </c>
      <c r="Q711">
        <v>1.1180000000000001</v>
      </c>
      <c r="R711" s="1">
        <v>5.8374099999999998E-2</v>
      </c>
      <c r="S711" s="2">
        <v>0.03</v>
      </c>
    </row>
    <row r="712" spans="1:19" x14ac:dyDescent="0.2">
      <c r="A712">
        <v>711</v>
      </c>
      <c r="B712">
        <v>26</v>
      </c>
      <c r="C712" t="s">
        <v>710</v>
      </c>
      <c r="D712" s="13" t="s">
        <v>913</v>
      </c>
      <c r="E712" s="1">
        <v>5.6330600000000004</v>
      </c>
      <c r="F712">
        <v>5.2951499999999996</v>
      </c>
      <c r="G712" s="1">
        <v>5.66499194386558</v>
      </c>
      <c r="H712" s="1">
        <v>5.3234347678605296</v>
      </c>
      <c r="I712">
        <f>VLOOKUP(C712,'[1]phenotypes-895'!$A$2:$G$896,7,FALSE)</f>
        <v>98</v>
      </c>
      <c r="J712" s="1">
        <v>-6.4516100000000007E-2</v>
      </c>
      <c r="K712" s="1">
        <f>VLOOKUP(C712,'[1]phenotypes-895'!$A$2:$I$896,9,FALSE)</f>
        <v>0</v>
      </c>
      <c r="L712" s="1">
        <v>-0.115384</v>
      </c>
      <c r="M712" s="4">
        <v>0</v>
      </c>
      <c r="N712" s="1">
        <v>-2.12689E-2</v>
      </c>
      <c r="O712" s="8">
        <v>0</v>
      </c>
      <c r="P712" s="1">
        <v>0.19160099999999999</v>
      </c>
      <c r="Q712">
        <v>1.3029999999999999</v>
      </c>
      <c r="R712" s="1">
        <v>6.6312800000000005E-2</v>
      </c>
      <c r="S712" s="2">
        <v>0.08</v>
      </c>
    </row>
    <row r="713" spans="1:19" x14ac:dyDescent="0.2">
      <c r="A713">
        <v>712</v>
      </c>
      <c r="B713">
        <v>50</v>
      </c>
      <c r="C713" t="s">
        <v>711</v>
      </c>
      <c r="D713" s="13" t="s">
        <v>912</v>
      </c>
      <c r="E713" s="1">
        <v>2.8702700000000001</v>
      </c>
      <c r="F713">
        <v>6.2254199999999997</v>
      </c>
      <c r="G713" s="1">
        <v>2.8832087021974901</v>
      </c>
      <c r="H713" s="1">
        <v>6.2473285402154</v>
      </c>
      <c r="I713">
        <f>VLOOKUP(C713,'[1]phenotypes-895'!$A$2:$G$896,7,FALSE)</f>
        <v>98</v>
      </c>
      <c r="J713" s="1">
        <v>-2.50739E-2</v>
      </c>
      <c r="K713" s="1">
        <f>VLOOKUP(C713,'[1]phenotypes-895'!$A$2:$I$896,9,FALSE)</f>
        <v>0.37458600801382691</v>
      </c>
      <c r="L713" s="1">
        <v>3.3285099999999998E-2</v>
      </c>
      <c r="M713" s="4">
        <v>4.7526394369881739</v>
      </c>
      <c r="N713" s="1">
        <v>2.42502E-2</v>
      </c>
      <c r="O713" s="8">
        <v>1</v>
      </c>
      <c r="P713" s="1">
        <v>-0.20591599999999999</v>
      </c>
      <c r="Q713">
        <v>0.77400000000000002</v>
      </c>
      <c r="R713" s="1">
        <v>-8.3730899999999997E-2</v>
      </c>
      <c r="S713" s="2">
        <v>-0.08</v>
      </c>
    </row>
    <row r="714" spans="1:19" x14ac:dyDescent="0.2">
      <c r="A714">
        <v>713</v>
      </c>
      <c r="B714">
        <v>35</v>
      </c>
      <c r="C714" t="s">
        <v>712</v>
      </c>
      <c r="D714" s="13" t="s">
        <v>913</v>
      </c>
      <c r="E714" s="1">
        <v>3.0560399999999999</v>
      </c>
      <c r="F714">
        <v>3.3168799999999998</v>
      </c>
      <c r="G714" s="1">
        <v>3.07296612185853</v>
      </c>
      <c r="H714" s="1">
        <v>3.3313943126108598</v>
      </c>
      <c r="I714">
        <f>VLOOKUP(C714,'[1]phenotypes-895'!$A$2:$G$896,7,FALSE)</f>
        <v>98</v>
      </c>
      <c r="J714" s="1">
        <v>-0.11644500000000001</v>
      </c>
      <c r="K714" s="1">
        <f>VLOOKUP(C714,'[1]phenotypes-895'!$A$2:$I$896,9,FALSE)</f>
        <v>0</v>
      </c>
      <c r="L714" s="1">
        <v>-0.13573399999999999</v>
      </c>
      <c r="M714" s="4">
        <v>0</v>
      </c>
      <c r="N714" s="1">
        <v>-4.1427800000000001E-2</v>
      </c>
      <c r="O714" s="8">
        <v>0</v>
      </c>
      <c r="P714" s="1">
        <v>6.8282300000000004E-2</v>
      </c>
      <c r="Q714">
        <v>1.115</v>
      </c>
      <c r="R714" s="1">
        <v>2.5714799999999999E-2</v>
      </c>
      <c r="S714" s="2">
        <v>0.03</v>
      </c>
    </row>
    <row r="715" spans="1:19" x14ac:dyDescent="0.2">
      <c r="A715">
        <v>714</v>
      </c>
      <c r="B715">
        <v>50</v>
      </c>
      <c r="C715" t="s">
        <v>713</v>
      </c>
      <c r="D715" s="13" t="s">
        <v>912</v>
      </c>
      <c r="E715" s="1">
        <v>-1.50559</v>
      </c>
      <c r="F715">
        <v>-0.54500099999999996</v>
      </c>
      <c r="G715" s="1">
        <v>-1.5258782522659999</v>
      </c>
      <c r="H715" s="1">
        <v>-0.564029955592115</v>
      </c>
      <c r="I715">
        <f>VLOOKUP(C715,'[1]phenotypes-895'!$A$2:$G$896,7,FALSE)</f>
        <v>59</v>
      </c>
      <c r="J715" s="1">
        <v>2.98613E-2</v>
      </c>
      <c r="K715" s="1">
        <f>VLOOKUP(C715,'[1]phenotypes-895'!$A$2:$I$896,9,FALSE)</f>
        <v>0.42285370760725749</v>
      </c>
      <c r="L715" s="1">
        <v>6.6875499999999996E-3</v>
      </c>
      <c r="M715" s="4">
        <v>4.5892873867390263</v>
      </c>
      <c r="N715" s="1">
        <v>4.3382900000000002E-2</v>
      </c>
      <c r="O715" s="8">
        <v>1</v>
      </c>
      <c r="P715" s="1">
        <v>-0.105903</v>
      </c>
      <c r="Q715">
        <v>0.65900000000000003</v>
      </c>
      <c r="R715" s="1">
        <v>-4.0364400000000002E-2</v>
      </c>
      <c r="S715" s="2">
        <v>-0.14000000000000001</v>
      </c>
    </row>
    <row r="716" spans="1:19" x14ac:dyDescent="0.2">
      <c r="A716">
        <v>715</v>
      </c>
      <c r="B716">
        <v>31</v>
      </c>
      <c r="C716" t="s">
        <v>714</v>
      </c>
      <c r="D716" s="13" t="s">
        <v>913</v>
      </c>
      <c r="E716" s="1">
        <v>2.0529600000000001</v>
      </c>
      <c r="F716">
        <v>1.56993</v>
      </c>
      <c r="G716" s="1">
        <v>2.0944137407697898</v>
      </c>
      <c r="H716" s="1">
        <v>1.61555220230829</v>
      </c>
      <c r="I716">
        <f>VLOOKUP(C716,'[1]phenotypes-895'!$A$2:$G$896,7,FALSE)</f>
        <v>98</v>
      </c>
      <c r="J716" s="1">
        <v>-4.0851800000000001E-2</v>
      </c>
      <c r="K716" s="1">
        <f>VLOOKUP(C716,'[1]phenotypes-895'!$A$2:$I$896,9,FALSE)</f>
        <v>0</v>
      </c>
      <c r="L716" s="1">
        <v>5.0367700000000001E-2</v>
      </c>
      <c r="M716" s="4">
        <v>0</v>
      </c>
      <c r="N716" s="1">
        <v>-1.7740599999999999E-2</v>
      </c>
      <c r="O716" s="8">
        <v>0</v>
      </c>
      <c r="P716" s="1">
        <v>6.3668199999999994E-2</v>
      </c>
      <c r="Q716">
        <v>1.2190000000000001</v>
      </c>
      <c r="R716" s="1">
        <v>2.5790500000000001E-2</v>
      </c>
      <c r="S716" s="2">
        <v>0.06</v>
      </c>
    </row>
    <row r="717" spans="1:19" x14ac:dyDescent="0.2">
      <c r="A717">
        <v>716</v>
      </c>
      <c r="B717">
        <v>50</v>
      </c>
      <c r="C717" t="s">
        <v>715</v>
      </c>
      <c r="D717" s="13" t="s">
        <v>912</v>
      </c>
      <c r="E717" s="1">
        <v>3.9087999999999998</v>
      </c>
      <c r="F717">
        <v>6.8823299999999996</v>
      </c>
      <c r="G717" s="1">
        <v>3.8825961825921702</v>
      </c>
      <c r="H717" s="1">
        <v>6.8725379514086899</v>
      </c>
      <c r="I717">
        <f>VLOOKUP(C717,'[1]phenotypes-895'!$A$2:$G$896,7,FALSE)</f>
        <v>98</v>
      </c>
      <c r="J717" s="1">
        <v>-3.5664599999999998E-2</v>
      </c>
      <c r="K717" s="1">
        <f>VLOOKUP(C717,'[1]phenotypes-895'!$A$2:$I$896,9,FALSE)</f>
        <v>0.30524459679139587</v>
      </c>
      <c r="L717" s="1">
        <v>2.9159899999999999E-2</v>
      </c>
      <c r="M717" s="4">
        <v>4.7395168816671216</v>
      </c>
      <c r="N717" s="1">
        <v>2.09611E-2</v>
      </c>
      <c r="O717" s="8">
        <v>1</v>
      </c>
      <c r="P717" s="1">
        <v>-0.22936899999999999</v>
      </c>
      <c r="Q717">
        <v>0.52100000000000002</v>
      </c>
      <c r="R717" s="1">
        <v>-0.10079200000000001</v>
      </c>
      <c r="S717" s="2">
        <v>-0.22</v>
      </c>
    </row>
    <row r="718" spans="1:19" x14ac:dyDescent="0.2">
      <c r="A718">
        <v>717</v>
      </c>
      <c r="B718">
        <v>49</v>
      </c>
      <c r="C718" t="s">
        <v>716</v>
      </c>
      <c r="D718" s="13" t="s">
        <v>912</v>
      </c>
      <c r="E718" s="1">
        <v>1.65222</v>
      </c>
      <c r="F718">
        <v>3.4421599999999999</v>
      </c>
      <c r="G718" s="1">
        <v>1.5937606631510799</v>
      </c>
      <c r="H718" s="1">
        <v>3.39873620816679</v>
      </c>
      <c r="I718">
        <f>VLOOKUP(C718,'[1]phenotypes-895'!$A$2:$G$896,7,FALSE)</f>
        <v>63</v>
      </c>
      <c r="J718" s="1">
        <v>-6.7813400000000003E-3</v>
      </c>
      <c r="K718" s="1">
        <f>VLOOKUP(C718,'[1]phenotypes-895'!$A$2:$I$896,9,FALSE)</f>
        <v>0.67703018888550481</v>
      </c>
      <c r="L718" s="1">
        <v>3.6060000000000002E-2</v>
      </c>
      <c r="M718" s="4">
        <v>4.112337982818481</v>
      </c>
      <c r="N718" s="1">
        <v>-1.68651E-3</v>
      </c>
      <c r="O718" s="8">
        <v>1</v>
      </c>
      <c r="P718" s="1">
        <v>-0.22107599999999999</v>
      </c>
      <c r="Q718">
        <v>0.61899999999999999</v>
      </c>
      <c r="R718" s="1">
        <v>-8.8136099999999995E-2</v>
      </c>
      <c r="S718" s="2">
        <v>-0.16</v>
      </c>
    </row>
    <row r="719" spans="1:19" x14ac:dyDescent="0.2">
      <c r="A719">
        <v>718</v>
      </c>
      <c r="B719">
        <v>50</v>
      </c>
      <c r="C719" t="s">
        <v>717</v>
      </c>
      <c r="D719" s="13" t="s">
        <v>912</v>
      </c>
      <c r="E719" s="1">
        <v>-4.8315499999999997E-2</v>
      </c>
      <c r="F719">
        <v>2.3417500000000002</v>
      </c>
      <c r="G719" s="1">
        <v>-6.2584238462204303E-2</v>
      </c>
      <c r="H719" s="1">
        <v>2.32875144677763</v>
      </c>
      <c r="I719">
        <f>VLOOKUP(C719,'[1]phenotypes-895'!$A$2:$G$896,7,FALSE)</f>
        <v>59</v>
      </c>
      <c r="J719" s="1">
        <v>7.0671600000000003E-3</v>
      </c>
      <c r="K719" s="1">
        <f>VLOOKUP(C719,'[1]phenotypes-895'!$A$2:$I$896,9,FALSE)</f>
        <v>0.64791211992216469</v>
      </c>
      <c r="L719" s="1">
        <v>2.50651E-3</v>
      </c>
      <c r="M719" s="4">
        <v>4.4654698154337966</v>
      </c>
      <c r="N719" s="1">
        <v>2.8602900000000001E-2</v>
      </c>
      <c r="O719" s="8">
        <v>1</v>
      </c>
      <c r="P719" s="1">
        <v>-0.23663600000000001</v>
      </c>
      <c r="Q719">
        <v>0.54600000000000004</v>
      </c>
      <c r="R719" s="1">
        <v>-9.7634799999999994E-2</v>
      </c>
      <c r="S719" s="2">
        <v>-0.2</v>
      </c>
    </row>
    <row r="720" spans="1:19" x14ac:dyDescent="0.2">
      <c r="A720">
        <v>719</v>
      </c>
      <c r="B720">
        <v>50</v>
      </c>
      <c r="C720" t="s">
        <v>718</v>
      </c>
      <c r="D720" s="13" t="s">
        <v>912</v>
      </c>
      <c r="E720" s="1">
        <v>0.99177400000000004</v>
      </c>
      <c r="F720">
        <v>3.3677000000000001</v>
      </c>
      <c r="G720" s="1">
        <v>0.93195707438937403</v>
      </c>
      <c r="H720" s="1">
        <v>3.29041282769583</v>
      </c>
      <c r="I720">
        <f>VLOOKUP(C720,'[1]phenotypes-895'!$A$2:$G$896,7,FALSE)</f>
        <v>65</v>
      </c>
      <c r="J720" s="1">
        <v>-2.0668800000000001E-2</v>
      </c>
      <c r="K720" s="1">
        <f>VLOOKUP(C720,'[1]phenotypes-895'!$A$2:$I$896,9,FALSE)</f>
        <v>0.44737318204083271</v>
      </c>
      <c r="L720" s="1">
        <v>3.8503799999999998E-2</v>
      </c>
      <c r="M720" s="4">
        <v>3.9996985081341685</v>
      </c>
      <c r="N720" s="1">
        <v>3.3943899999999999E-2</v>
      </c>
      <c r="O720" s="8">
        <v>1</v>
      </c>
      <c r="P720" s="1">
        <v>-0.16256799999999999</v>
      </c>
      <c r="Q720">
        <v>0.58599999999999997</v>
      </c>
      <c r="R720" s="1">
        <v>-7.2622000000000006E-2</v>
      </c>
      <c r="S720" s="2">
        <v>-0.18</v>
      </c>
    </row>
    <row r="721" spans="1:19" x14ac:dyDescent="0.2">
      <c r="A721">
        <v>720</v>
      </c>
      <c r="B721">
        <v>39</v>
      </c>
      <c r="C721" t="s">
        <v>719</v>
      </c>
      <c r="D721" s="13" t="s">
        <v>913</v>
      </c>
      <c r="E721" s="1">
        <v>1.7985199999999999</v>
      </c>
      <c r="F721">
        <v>0.62703600000000004</v>
      </c>
      <c r="G721" s="1">
        <v>1.80674549702573</v>
      </c>
      <c r="H721" s="1">
        <v>0.631928469442119</v>
      </c>
      <c r="I721">
        <f>VLOOKUP(C721,'[1]phenotypes-895'!$A$2:$G$896,7,FALSE)</f>
        <v>51</v>
      </c>
      <c r="J721" s="1">
        <v>-7.1170499999999998E-2</v>
      </c>
      <c r="K721" s="1">
        <f>VLOOKUP(C721,'[1]phenotypes-895'!$A$2:$I$896,9,FALSE)</f>
        <v>0.19845796419441189</v>
      </c>
      <c r="L721" s="1">
        <v>-4.5409700000000001E-3</v>
      </c>
      <c r="M721" s="4">
        <v>3.6880896418220011</v>
      </c>
      <c r="N721" s="1">
        <v>-2.2100399999999999E-2</v>
      </c>
      <c r="O721" s="8">
        <v>1</v>
      </c>
      <c r="P721" s="1">
        <v>9.0218300000000001E-2</v>
      </c>
      <c r="Q721">
        <v>1.1879999999999999</v>
      </c>
      <c r="R721" s="1">
        <v>3.4884400000000003E-2</v>
      </c>
      <c r="S721" s="2">
        <v>0.05</v>
      </c>
    </row>
    <row r="722" spans="1:19" x14ac:dyDescent="0.2">
      <c r="A722">
        <v>721</v>
      </c>
      <c r="B722">
        <v>46</v>
      </c>
      <c r="C722" t="s">
        <v>720</v>
      </c>
      <c r="D722" s="13" t="s">
        <v>912</v>
      </c>
      <c r="E722" s="1">
        <v>-1.1712899999999999</v>
      </c>
      <c r="F722">
        <v>1.6894100000000001</v>
      </c>
      <c r="G722" s="1">
        <v>-1.1799816007983699</v>
      </c>
      <c r="H722" s="1">
        <v>1.6957803468536901</v>
      </c>
      <c r="I722">
        <f>VLOOKUP(C722,'[1]phenotypes-895'!$A$2:$G$896,7,FALSE)</f>
        <v>74</v>
      </c>
      <c r="J722" s="1">
        <v>2.7755200000000001E-2</v>
      </c>
      <c r="K722" s="1">
        <f>VLOOKUP(C722,'[1]phenotypes-895'!$A$2:$I$896,9,FALSE)</f>
        <v>0.49903874024727202</v>
      </c>
      <c r="L722" s="1">
        <v>-3.4388000000000002E-2</v>
      </c>
      <c r="M722" s="4">
        <v>4.3976831883577416</v>
      </c>
      <c r="N722" s="1">
        <v>1.6786599999999999E-2</v>
      </c>
      <c r="O722" s="8">
        <v>1</v>
      </c>
      <c r="P722" s="1">
        <v>-0.21873600000000001</v>
      </c>
      <c r="Q722">
        <v>0.51900000000000002</v>
      </c>
      <c r="R722" s="1">
        <v>-9.2200199999999996E-2</v>
      </c>
      <c r="S722" s="2">
        <v>-0.22</v>
      </c>
    </row>
    <row r="723" spans="1:19" x14ac:dyDescent="0.2">
      <c r="A723">
        <v>722</v>
      </c>
      <c r="B723">
        <v>35</v>
      </c>
      <c r="C723" t="s">
        <v>721</v>
      </c>
      <c r="D723" s="13" t="s">
        <v>913</v>
      </c>
      <c r="E723" s="1">
        <v>0.941913</v>
      </c>
      <c r="F723">
        <v>1.3222499999999999</v>
      </c>
      <c r="G723" s="1">
        <v>0.94905228733062597</v>
      </c>
      <c r="H723" s="1">
        <v>1.32038516251083</v>
      </c>
      <c r="I723">
        <f>VLOOKUP(C723,'[1]phenotypes-895'!$A$2:$G$896,7,FALSE)</f>
        <v>77</v>
      </c>
      <c r="J723" s="1">
        <v>-7.3266300000000006E-2</v>
      </c>
      <c r="K723" s="1">
        <f>VLOOKUP(C723,'[1]phenotypes-895'!$A$2:$I$896,9,FALSE)</f>
        <v>0.41833452861456721</v>
      </c>
      <c r="L723" s="1">
        <v>-0.121946</v>
      </c>
      <c r="M723" s="4">
        <v>4.6394896924913027</v>
      </c>
      <c r="N723" s="1">
        <v>-3.2689900000000001E-2</v>
      </c>
      <c r="O723" s="8">
        <v>1</v>
      </c>
      <c r="P723" s="1">
        <v>6.3361899999999999E-2</v>
      </c>
      <c r="Q723">
        <v>1.073</v>
      </c>
      <c r="R723" s="1">
        <v>2.3955000000000001E-2</v>
      </c>
      <c r="S723" s="2">
        <v>0.02</v>
      </c>
    </row>
    <row r="724" spans="1:19" x14ac:dyDescent="0.2">
      <c r="A724">
        <v>723</v>
      </c>
      <c r="B724">
        <v>53</v>
      </c>
      <c r="C724" t="s">
        <v>722</v>
      </c>
      <c r="D724" s="13" t="s">
        <v>912</v>
      </c>
      <c r="E724" s="1">
        <v>3.8466100000000001</v>
      </c>
      <c r="F724">
        <v>5.4751300000000001</v>
      </c>
      <c r="G724" s="1">
        <v>3.8512339508192599</v>
      </c>
      <c r="H724" s="1">
        <v>5.4975027689279603</v>
      </c>
      <c r="I724">
        <f>VLOOKUP(C724,'[1]phenotypes-895'!$A$2:$G$896,7,FALSE)</f>
        <v>98</v>
      </c>
      <c r="J724" s="1">
        <v>-3.9366999999999999E-2</v>
      </c>
      <c r="K724" s="1">
        <f>VLOOKUP(C724,'[1]phenotypes-895'!$A$2:$I$896,9,FALSE)</f>
        <v>0.25861341349897199</v>
      </c>
      <c r="L724" s="1">
        <v>-9.0130299999999997E-2</v>
      </c>
      <c r="M724" s="4">
        <v>3.4599665821815111</v>
      </c>
      <c r="N724" s="1">
        <v>-4.8689500000000004E-3</v>
      </c>
      <c r="O724" s="8">
        <v>1</v>
      </c>
      <c r="P724" s="1">
        <v>-0.131963</v>
      </c>
      <c r="Q724">
        <v>0.52</v>
      </c>
      <c r="R724" s="1">
        <v>-6.1226599999999999E-2</v>
      </c>
      <c r="S724" s="2">
        <v>-0.22</v>
      </c>
    </row>
    <row r="725" spans="1:19" x14ac:dyDescent="0.2">
      <c r="A725">
        <v>724</v>
      </c>
      <c r="B725">
        <v>50</v>
      </c>
      <c r="C725" t="s">
        <v>723</v>
      </c>
      <c r="D725" s="13" t="s">
        <v>912</v>
      </c>
      <c r="E725" s="1">
        <v>-4.2821499999999997</v>
      </c>
      <c r="F725">
        <v>-2.5397400000000001</v>
      </c>
      <c r="G725" s="1">
        <v>-4.3210757909220598</v>
      </c>
      <c r="H725" s="1">
        <v>-2.57547298610866</v>
      </c>
      <c r="I725">
        <f>VLOOKUP(C725,'[1]phenotypes-895'!$A$2:$G$896,7,FALSE)</f>
        <v>63</v>
      </c>
      <c r="J725" s="1">
        <v>6.2936199999999998E-2</v>
      </c>
      <c r="K725" s="1">
        <f>VLOOKUP(C725,'[1]phenotypes-895'!$A$2:$I$896,9,FALSE)</f>
        <v>0.6093658609846706</v>
      </c>
      <c r="L725" s="1">
        <v>7.9152100000000003E-2</v>
      </c>
      <c r="M725" s="4">
        <v>5.1534306941687147</v>
      </c>
      <c r="N725" s="1">
        <v>4.6200999999999999E-2</v>
      </c>
      <c r="O725" s="8">
        <v>1</v>
      </c>
      <c r="P725" s="1">
        <v>-0.158584</v>
      </c>
      <c r="Q725">
        <v>0.56899999999999995</v>
      </c>
      <c r="R725" s="1">
        <v>-7.3949399999999998E-2</v>
      </c>
      <c r="S725" s="2">
        <v>-0.19</v>
      </c>
    </row>
    <row r="726" spans="1:19" x14ac:dyDescent="0.2">
      <c r="A726">
        <v>725</v>
      </c>
      <c r="B726">
        <v>50</v>
      </c>
      <c r="C726" t="s">
        <v>724</v>
      </c>
      <c r="D726" s="13" t="s">
        <v>912</v>
      </c>
      <c r="E726" s="1">
        <v>0.85052799999999995</v>
      </c>
      <c r="F726">
        <v>2.8288500000000001</v>
      </c>
      <c r="G726" s="1">
        <v>0.86591593245271803</v>
      </c>
      <c r="H726" s="1">
        <v>2.8483492484160999</v>
      </c>
      <c r="I726">
        <f>VLOOKUP(C726,'[1]phenotypes-895'!$A$2:$G$896,7,FALSE)</f>
        <v>80</v>
      </c>
      <c r="J726" s="1">
        <v>-1.04309E-2</v>
      </c>
      <c r="K726" s="1">
        <f>VLOOKUP(C726,'[1]phenotypes-895'!$A$2:$I$896,9,FALSE)</f>
        <v>0.22716384647649229</v>
      </c>
      <c r="L726" s="1">
        <v>7.0369899999999999E-2</v>
      </c>
      <c r="M726" s="4">
        <v>3.7061433648144919</v>
      </c>
      <c r="N726" s="1">
        <v>2.1128500000000001E-2</v>
      </c>
      <c r="O726" s="8">
        <v>1</v>
      </c>
      <c r="P726" s="1">
        <v>-0.20862900000000001</v>
      </c>
      <c r="Q726">
        <v>0.46899999999999997</v>
      </c>
      <c r="R726" s="1">
        <v>-8.9884400000000003E-2</v>
      </c>
      <c r="S726" s="2">
        <v>-0.26</v>
      </c>
    </row>
    <row r="727" spans="1:19" x14ac:dyDescent="0.2">
      <c r="A727">
        <v>726</v>
      </c>
      <c r="B727">
        <v>26</v>
      </c>
      <c r="C727" t="s">
        <v>725</v>
      </c>
      <c r="D727" s="13" t="s">
        <v>913</v>
      </c>
      <c r="E727" s="1">
        <v>6.8049200000000001</v>
      </c>
      <c r="F727">
        <v>6.5834900000000003</v>
      </c>
      <c r="G727" s="1">
        <v>6.8307175125048403</v>
      </c>
      <c r="H727" s="1">
        <v>6.6151261254476097</v>
      </c>
      <c r="I727">
        <f>VLOOKUP(C727,'[1]phenotypes-895'!$A$2:$G$896,7,FALSE)</f>
        <v>98</v>
      </c>
      <c r="J727" s="1">
        <v>-9.2154100000000003E-2</v>
      </c>
      <c r="K727" s="1">
        <f>VLOOKUP(C727,'[1]phenotypes-895'!$A$2:$I$896,9,FALSE)</f>
        <v>0</v>
      </c>
      <c r="L727" s="1">
        <v>-0.14665800000000001</v>
      </c>
      <c r="M727" s="4">
        <v>0</v>
      </c>
      <c r="N727" s="1">
        <v>-2.1055899999999999E-2</v>
      </c>
      <c r="O727" s="8">
        <v>0</v>
      </c>
      <c r="P727" s="1">
        <v>0.14100299999999999</v>
      </c>
      <c r="Q727">
        <v>1.296</v>
      </c>
      <c r="R727" s="1">
        <v>5.0925199999999997E-2</v>
      </c>
      <c r="S727" s="2">
        <v>0.08</v>
      </c>
    </row>
    <row r="728" spans="1:19" x14ac:dyDescent="0.2">
      <c r="A728">
        <v>727</v>
      </c>
      <c r="B728">
        <v>37</v>
      </c>
      <c r="C728" t="s">
        <v>726</v>
      </c>
      <c r="D728" s="13" t="s">
        <v>913</v>
      </c>
      <c r="E728" s="1">
        <v>5.6975600000000002</v>
      </c>
      <c r="F728">
        <v>5.39086</v>
      </c>
      <c r="G728" s="1">
        <v>5.6879823032273098</v>
      </c>
      <c r="H728" s="1">
        <v>5.3770987623908004</v>
      </c>
      <c r="I728">
        <f>VLOOKUP(C728,'[1]phenotypes-895'!$A$2:$G$896,7,FALSE)</f>
        <v>92</v>
      </c>
      <c r="J728" s="1">
        <v>-7.7886700000000003E-2</v>
      </c>
      <c r="K728" s="1">
        <f>VLOOKUP(C728,'[1]phenotypes-895'!$A$2:$I$896,9,FALSE)</f>
        <v>0.27286325666899552</v>
      </c>
      <c r="L728" s="1">
        <v>-9.0386499999999995E-2</v>
      </c>
      <c r="M728" s="4">
        <v>4.2623363146355659</v>
      </c>
      <c r="N728" s="1">
        <v>-3.3133700000000002E-2</v>
      </c>
      <c r="O728" s="8">
        <v>1</v>
      </c>
      <c r="P728" s="1">
        <v>3.3117399999999998E-2</v>
      </c>
      <c r="Q728">
        <v>1.0740000000000001</v>
      </c>
      <c r="R728" s="1">
        <v>1.0060400000000001E-2</v>
      </c>
      <c r="S728" s="2">
        <v>0.02</v>
      </c>
    </row>
    <row r="729" spans="1:19" x14ac:dyDescent="0.2">
      <c r="A729">
        <v>728</v>
      </c>
      <c r="B729">
        <v>23</v>
      </c>
      <c r="C729" t="s">
        <v>727</v>
      </c>
      <c r="D729" s="13" t="s">
        <v>913</v>
      </c>
      <c r="E729" s="1">
        <v>2.76946</v>
      </c>
      <c r="F729">
        <v>2.3165399999999998</v>
      </c>
      <c r="G729" s="1">
        <v>2.7397019702881198</v>
      </c>
      <c r="H729" s="1">
        <v>2.2855045400353302</v>
      </c>
      <c r="I729">
        <f>VLOOKUP(C729,'[1]phenotypes-895'!$A$2:$G$896,7,FALSE)</f>
        <v>91</v>
      </c>
      <c r="J729" s="1">
        <v>-4.2503800000000001E-2</v>
      </c>
      <c r="K729" s="1">
        <f>VLOOKUP(C729,'[1]phenotypes-895'!$A$2:$I$896,9,FALSE)</f>
        <v>0.40273505844996338</v>
      </c>
      <c r="L729" s="1">
        <v>-0.13319500000000001</v>
      </c>
      <c r="M729" s="4">
        <v>4.4550518357237614</v>
      </c>
      <c r="N729" s="1">
        <v>-2.1398900000000002E-3</v>
      </c>
      <c r="O729" s="8">
        <v>1</v>
      </c>
      <c r="P729" s="1">
        <v>0.10077999999999999</v>
      </c>
      <c r="Q729">
        <v>1.153</v>
      </c>
      <c r="R729" s="1">
        <v>3.9488099999999998E-2</v>
      </c>
      <c r="S729" s="2">
        <v>0.04</v>
      </c>
    </row>
    <row r="730" spans="1:19" x14ac:dyDescent="0.2">
      <c r="A730">
        <v>729</v>
      </c>
      <c r="B730">
        <v>21</v>
      </c>
      <c r="C730" t="s">
        <v>728</v>
      </c>
      <c r="D730" s="13" t="s">
        <v>913</v>
      </c>
      <c r="E730" s="1">
        <v>2.31562</v>
      </c>
      <c r="F730">
        <v>1.14025</v>
      </c>
      <c r="G730" s="1">
        <v>2.2934897732567698</v>
      </c>
      <c r="H730" s="1">
        <v>1.1123676111054199</v>
      </c>
      <c r="I730">
        <f>VLOOKUP(C730,'[1]phenotypes-895'!$A$2:$G$896,7,FALSE)</f>
        <v>95</v>
      </c>
      <c r="J730" s="1">
        <v>-4.66798E-2</v>
      </c>
      <c r="K730" s="1">
        <f>VLOOKUP(C730,'[1]phenotypes-895'!$A$2:$I$896,9,FALSE)</f>
        <v>0.27143007065951053</v>
      </c>
      <c r="L730" s="1">
        <v>-9.3979800000000002E-2</v>
      </c>
      <c r="M730" s="4">
        <v>4.6591048510494044</v>
      </c>
      <c r="N730" s="1">
        <v>-2.53986E-2</v>
      </c>
      <c r="O730" s="8">
        <v>1</v>
      </c>
      <c r="P730" s="1">
        <v>5.8332799999999997E-2</v>
      </c>
      <c r="Q730">
        <v>1.042</v>
      </c>
      <c r="R730" s="1">
        <v>3.0276000000000001E-2</v>
      </c>
      <c r="S730" s="2">
        <v>0.01</v>
      </c>
    </row>
    <row r="731" spans="1:19" x14ac:dyDescent="0.2">
      <c r="A731">
        <v>730</v>
      </c>
      <c r="B731">
        <v>25</v>
      </c>
      <c r="C731" t="s">
        <v>729</v>
      </c>
      <c r="D731" s="13" t="s">
        <v>913</v>
      </c>
      <c r="E731" s="1">
        <v>4.2568400000000004</v>
      </c>
      <c r="F731">
        <v>2.7235499999999999</v>
      </c>
      <c r="G731" s="1">
        <v>4.2316964621861901</v>
      </c>
      <c r="H731" s="1">
        <v>2.6886187992112398</v>
      </c>
      <c r="I731">
        <f>VLOOKUP(C731,'[1]phenotypes-895'!$A$2:$G$896,7,FALSE)</f>
        <v>77</v>
      </c>
      <c r="J731" s="1">
        <v>-7.3653700000000003E-2</v>
      </c>
      <c r="K731" s="1">
        <f>VLOOKUP(C731,'[1]phenotypes-895'!$A$2:$I$896,9,FALSE)</f>
        <v>0.5022186853947761</v>
      </c>
      <c r="L731" s="1">
        <v>-9.3625299999999995E-2</v>
      </c>
      <c r="M731" s="4">
        <v>3.7704062493690911</v>
      </c>
      <c r="N731" s="1">
        <v>-1.9587799999999999E-2</v>
      </c>
      <c r="O731" s="8">
        <v>1</v>
      </c>
      <c r="P731" s="1">
        <v>7.0352700000000004E-2</v>
      </c>
      <c r="Q731">
        <v>1.022</v>
      </c>
      <c r="R731" s="1">
        <v>2.4713700000000002E-2</v>
      </c>
      <c r="S731" s="2">
        <v>0.01</v>
      </c>
    </row>
    <row r="732" spans="1:19" x14ac:dyDescent="0.2">
      <c r="A732">
        <v>731</v>
      </c>
      <c r="B732">
        <v>46</v>
      </c>
      <c r="C732" t="s">
        <v>730</v>
      </c>
      <c r="D732" s="13" t="s">
        <v>912</v>
      </c>
      <c r="E732" s="1">
        <v>-1.55002</v>
      </c>
      <c r="F732">
        <v>1.2057199999999999</v>
      </c>
      <c r="G732" s="1">
        <v>-1.56712486140328</v>
      </c>
      <c r="H732" s="1">
        <v>1.2066237357657901</v>
      </c>
      <c r="I732">
        <f>VLOOKUP(C732,'[1]phenotypes-895'!$A$2:$G$896,7,FALSE)</f>
        <v>51</v>
      </c>
      <c r="J732" s="1">
        <v>2.8572699999999999E-2</v>
      </c>
      <c r="K732" s="1">
        <f>VLOOKUP(C732,'[1]phenotypes-895'!$A$2:$I$896,9,FALSE)</f>
        <v>0.49425041199159109</v>
      </c>
      <c r="L732" s="1">
        <v>-3.8274200000000001E-2</v>
      </c>
      <c r="M732" s="4">
        <v>4.3639854482778437</v>
      </c>
      <c r="N732" s="1">
        <v>1.7158099999999999E-2</v>
      </c>
      <c r="O732" s="8">
        <v>1</v>
      </c>
      <c r="P732" s="1">
        <v>-0.20604</v>
      </c>
      <c r="Q732">
        <v>0.46400000000000002</v>
      </c>
      <c r="R732" s="1">
        <v>-8.7800000000000003E-2</v>
      </c>
      <c r="S732" s="2">
        <v>-0.26</v>
      </c>
    </row>
    <row r="733" spans="1:19" x14ac:dyDescent="0.2">
      <c r="A733">
        <v>732</v>
      </c>
      <c r="B733">
        <v>30</v>
      </c>
      <c r="C733" t="s">
        <v>731</v>
      </c>
      <c r="D733" s="13" t="s">
        <v>913</v>
      </c>
      <c r="E733" s="1">
        <v>1.2800499999999999</v>
      </c>
      <c r="F733">
        <v>2.1401300000000001</v>
      </c>
      <c r="G733" s="1">
        <v>1.2644045147020599</v>
      </c>
      <c r="H733" s="1">
        <v>2.1263926066963701</v>
      </c>
      <c r="I733">
        <f>VLOOKUP(C733,'[1]phenotypes-895'!$A$2:$G$896,7,FALSE)</f>
        <v>85</v>
      </c>
      <c r="J733" s="1">
        <v>-2.6284700000000001E-2</v>
      </c>
      <c r="K733" s="1">
        <f>VLOOKUP(C733,'[1]phenotypes-895'!$A$2:$I$896,9,FALSE)</f>
        <v>0.3543983025863674</v>
      </c>
      <c r="L733" s="1">
        <v>-6.8983299999999997E-2</v>
      </c>
      <c r="M733" s="4">
        <v>3.8615194775183075</v>
      </c>
      <c r="N733" s="1">
        <v>-1.11229E-2</v>
      </c>
      <c r="O733" s="8">
        <v>1</v>
      </c>
      <c r="P733" s="1">
        <v>-5.0532800000000003E-2</v>
      </c>
      <c r="Q733">
        <v>1.1779999999999999</v>
      </c>
      <c r="R733" s="1">
        <v>-2.1420700000000001E-2</v>
      </c>
      <c r="S733" s="2">
        <v>0.05</v>
      </c>
    </row>
    <row r="734" spans="1:19" x14ac:dyDescent="0.2">
      <c r="A734">
        <v>733</v>
      </c>
      <c r="B734">
        <v>39</v>
      </c>
      <c r="C734" t="s">
        <v>732</v>
      </c>
      <c r="D734" s="13" t="s">
        <v>913</v>
      </c>
      <c r="E734" s="1">
        <v>5.6144100000000003</v>
      </c>
      <c r="F734">
        <v>5.6857699999999998</v>
      </c>
      <c r="G734" s="1">
        <v>5.6628072377420899</v>
      </c>
      <c r="H734" s="1">
        <v>5.7366738786606302</v>
      </c>
      <c r="I734">
        <f>VLOOKUP(C734,'[1]phenotypes-895'!$A$2:$G$896,7,FALSE)</f>
        <v>98</v>
      </c>
      <c r="J734" s="1">
        <v>-4.8791599999999997E-2</v>
      </c>
      <c r="K734" s="1">
        <f>VLOOKUP(C734,'[1]phenotypes-895'!$A$2:$I$896,9,FALSE)</f>
        <v>0.38464015625292108</v>
      </c>
      <c r="L734" s="1">
        <v>3.0188599999999999E-2</v>
      </c>
      <c r="M734" s="4">
        <v>4.6098101713900164</v>
      </c>
      <c r="N734" s="1">
        <v>-2.3063500000000001E-2</v>
      </c>
      <c r="O734" s="8">
        <v>1</v>
      </c>
      <c r="P734" s="1">
        <v>5.7554300000000003E-2</v>
      </c>
      <c r="Q734">
        <v>1.071</v>
      </c>
      <c r="R734" s="1">
        <v>2.17953E-2</v>
      </c>
      <c r="S734" s="2">
        <v>0.02</v>
      </c>
    </row>
    <row r="735" spans="1:19" x14ac:dyDescent="0.2">
      <c r="A735">
        <v>734</v>
      </c>
      <c r="B735">
        <v>24</v>
      </c>
      <c r="C735" t="s">
        <v>733</v>
      </c>
      <c r="D735" s="13" t="s">
        <v>913</v>
      </c>
      <c r="E735" s="1">
        <v>3.1410300000000002</v>
      </c>
      <c r="F735">
        <v>2.0520900000000002</v>
      </c>
      <c r="G735" s="1">
        <v>3.1570612945841101</v>
      </c>
      <c r="H735" s="1">
        <v>2.06719566212981</v>
      </c>
      <c r="I735">
        <f>VLOOKUP(C735,'[1]phenotypes-895'!$A$2:$G$896,7,FALSE)</f>
        <v>98</v>
      </c>
      <c r="J735" s="1">
        <v>-8.1984600000000005E-2</v>
      </c>
      <c r="K735" s="1">
        <f>VLOOKUP(C735,'[1]phenotypes-895'!$A$2:$I$896,9,FALSE)</f>
        <v>4.8237542624533308E-2</v>
      </c>
      <c r="L735" s="1">
        <v>-6.36216E-2</v>
      </c>
      <c r="M735" s="4">
        <v>2.0753574923076061</v>
      </c>
      <c r="N735" s="1">
        <v>-5.3995099999999997E-3</v>
      </c>
      <c r="O735" s="8">
        <v>1</v>
      </c>
      <c r="P735" s="1">
        <v>5.5650999999999999E-2</v>
      </c>
      <c r="Q735">
        <v>0.93700000000000006</v>
      </c>
      <c r="R735" s="1">
        <v>1.9931500000000001E-2</v>
      </c>
      <c r="S735" s="2">
        <v>-0.02</v>
      </c>
    </row>
    <row r="736" spans="1:19" x14ac:dyDescent="0.2">
      <c r="A736">
        <v>735</v>
      </c>
      <c r="B736">
        <v>32</v>
      </c>
      <c r="C736" t="s">
        <v>734</v>
      </c>
      <c r="D736" s="13" t="s">
        <v>913</v>
      </c>
      <c r="E736" s="1">
        <v>-0.99246199999999996</v>
      </c>
      <c r="F736">
        <v>-2.0420199999999999</v>
      </c>
      <c r="G736" s="1">
        <v>-1.0049867182944201</v>
      </c>
      <c r="H736" s="1">
        <v>-2.0617894892333801</v>
      </c>
      <c r="I736">
        <f>VLOOKUP(C736,'[1]phenotypes-895'!$A$2:$G$896,7,FALSE)</f>
        <v>64</v>
      </c>
      <c r="J736" s="1">
        <v>1.0479499999999999E-2</v>
      </c>
      <c r="K736" s="1">
        <f>VLOOKUP(C736,'[1]phenotypes-895'!$A$2:$I$896,9,FALSE)</f>
        <v>0.66024201730905474</v>
      </c>
      <c r="L736" s="1">
        <v>8.9934200000000006E-2</v>
      </c>
      <c r="M736" s="4">
        <v>4.9747953334961492</v>
      </c>
      <c r="N736" s="1">
        <v>-1.5732800000000002E-2</v>
      </c>
      <c r="O736" s="8">
        <v>1</v>
      </c>
      <c r="P736" s="1">
        <v>6.75843E-2</v>
      </c>
      <c r="Q736">
        <v>0.96</v>
      </c>
      <c r="R736" s="1">
        <v>3.18272E-2</v>
      </c>
      <c r="S736" s="2">
        <v>-0.01</v>
      </c>
    </row>
    <row r="737" spans="1:19" x14ac:dyDescent="0.2">
      <c r="A737">
        <v>736</v>
      </c>
      <c r="B737">
        <v>29</v>
      </c>
      <c r="C737" t="s">
        <v>735</v>
      </c>
      <c r="D737" s="13" t="s">
        <v>913</v>
      </c>
      <c r="E737" s="1">
        <v>3.8206699999999998</v>
      </c>
      <c r="F737">
        <v>5.8396499999999998</v>
      </c>
      <c r="G737" s="1">
        <v>3.8349441234017001</v>
      </c>
      <c r="H737" s="1">
        <v>5.8576964331179404</v>
      </c>
      <c r="I737">
        <f>VLOOKUP(C737,'[1]phenotypes-895'!$A$2:$G$896,7,FALSE)</f>
        <v>98</v>
      </c>
      <c r="J737" s="1">
        <v>-8.2368899999999995E-2</v>
      </c>
      <c r="K737" s="1">
        <f>VLOOKUP(C737,'[1]phenotypes-895'!$A$2:$I$896,9,FALSE)</f>
        <v>0</v>
      </c>
      <c r="L737" s="1">
        <v>-9.8116300000000004E-2</v>
      </c>
      <c r="M737" s="4">
        <v>0</v>
      </c>
      <c r="N737" s="1">
        <v>1.81719E-3</v>
      </c>
      <c r="O737" s="8">
        <v>0</v>
      </c>
      <c r="P737" s="1">
        <v>-8.62454E-2</v>
      </c>
      <c r="Q737">
        <v>1.169</v>
      </c>
      <c r="R737" s="1">
        <v>-3.3096300000000002E-2</v>
      </c>
      <c r="S737" s="2">
        <v>0.05</v>
      </c>
    </row>
    <row r="738" spans="1:19" x14ac:dyDescent="0.2">
      <c r="A738">
        <v>737</v>
      </c>
      <c r="B738">
        <v>52</v>
      </c>
      <c r="C738" t="s">
        <v>736</v>
      </c>
      <c r="D738" s="13" t="s">
        <v>912</v>
      </c>
      <c r="E738" s="1">
        <v>-3.5799099999999999</v>
      </c>
      <c r="F738">
        <v>-1.62616</v>
      </c>
      <c r="G738" s="1">
        <v>-3.5892280339890701</v>
      </c>
      <c r="H738" s="1">
        <v>-1.63925780867198</v>
      </c>
      <c r="I738">
        <f>VLOOKUP(C738,'[1]phenotypes-895'!$A$2:$G$896,7,FALSE)</f>
        <v>52</v>
      </c>
      <c r="J738" s="1">
        <v>1.5894100000000001E-2</v>
      </c>
      <c r="K738" s="1">
        <f>VLOOKUP(C738,'[1]phenotypes-895'!$A$2:$I$896,9,FALSE)</f>
        <v>0.55919806973996866</v>
      </c>
      <c r="L738" s="1">
        <v>-6.8284399999999995E-2</v>
      </c>
      <c r="M738" s="4">
        <v>4.4656657379852147</v>
      </c>
      <c r="N738" s="1">
        <v>-1.23681E-2</v>
      </c>
      <c r="O738" s="8">
        <v>1</v>
      </c>
      <c r="P738" s="1">
        <v>-0.16808699999999999</v>
      </c>
      <c r="Q738">
        <v>0.58499999999999996</v>
      </c>
      <c r="R738" s="1">
        <v>-7.1957400000000005E-2</v>
      </c>
      <c r="S738" s="2">
        <v>-0.18</v>
      </c>
    </row>
    <row r="739" spans="1:19" x14ac:dyDescent="0.2">
      <c r="A739">
        <v>738</v>
      </c>
      <c r="B739">
        <v>22</v>
      </c>
      <c r="C739" t="s">
        <v>737</v>
      </c>
      <c r="D739" s="13" t="s">
        <v>913</v>
      </c>
      <c r="E739" s="1">
        <v>-1.2190099999999999</v>
      </c>
      <c r="F739">
        <v>-0.69570900000000002</v>
      </c>
      <c r="G739" s="1">
        <v>-1.2515750816662099</v>
      </c>
      <c r="H739" s="1">
        <v>-0.73576542020938396</v>
      </c>
      <c r="I739">
        <f>VLOOKUP(C739,'[1]phenotypes-895'!$A$2:$G$896,7,FALSE)</f>
        <v>57</v>
      </c>
      <c r="J739" s="1">
        <v>5.4785199999999999E-2</v>
      </c>
      <c r="K739" s="1">
        <f>VLOOKUP(C739,'[1]phenotypes-895'!$A$2:$I$896,9,FALSE)</f>
        <v>0.90173323470425504</v>
      </c>
      <c r="L739" s="1">
        <v>-2.2305499999999999E-2</v>
      </c>
      <c r="M739" s="4">
        <v>4.8585833714624629</v>
      </c>
      <c r="N739" s="1">
        <v>1.7290699999999999E-2</v>
      </c>
      <c r="O739" s="8">
        <v>1</v>
      </c>
      <c r="P739" s="1">
        <v>-1.36341E-2</v>
      </c>
      <c r="Q739">
        <v>1.196</v>
      </c>
      <c r="R739" s="1">
        <v>-9.1185599999999995E-3</v>
      </c>
      <c r="S739" s="2">
        <v>0.06</v>
      </c>
    </row>
    <row r="740" spans="1:19" x14ac:dyDescent="0.2">
      <c r="A740">
        <v>739</v>
      </c>
      <c r="B740">
        <v>49</v>
      </c>
      <c r="C740" t="s">
        <v>738</v>
      </c>
      <c r="D740" s="13" t="s">
        <v>912</v>
      </c>
      <c r="E740" s="1">
        <v>-1.9653400000000001</v>
      </c>
      <c r="F740">
        <v>-0.72179099999999996</v>
      </c>
      <c r="G740" s="1">
        <v>-2.00721949233803</v>
      </c>
      <c r="H740" s="1">
        <v>-0.76237941981641</v>
      </c>
      <c r="I740">
        <f>VLOOKUP(C740,'[1]phenotypes-895'!$A$2:$G$896,7,FALSE)</f>
        <v>62</v>
      </c>
      <c r="J740" s="1">
        <v>1.89106E-2</v>
      </c>
      <c r="K740" s="1">
        <f>VLOOKUP(C740,'[1]phenotypes-895'!$A$2:$I$896,9,FALSE)</f>
        <v>0.47537713754809441</v>
      </c>
      <c r="L740" s="1">
        <v>-5.2231199999999998E-2</v>
      </c>
      <c r="M740" s="4">
        <v>3.7229033142532466</v>
      </c>
      <c r="N740" s="1">
        <v>1.2397200000000001E-2</v>
      </c>
      <c r="O740" s="8">
        <v>1</v>
      </c>
      <c r="P740" s="1">
        <v>-9.3794100000000005E-2</v>
      </c>
      <c r="Q740">
        <v>0.67900000000000005</v>
      </c>
      <c r="R740" s="1">
        <v>-3.3924700000000002E-2</v>
      </c>
      <c r="S740" s="2">
        <v>-0.12</v>
      </c>
    </row>
    <row r="741" spans="1:19" x14ac:dyDescent="0.2">
      <c r="A741">
        <v>740</v>
      </c>
      <c r="B741">
        <v>38</v>
      </c>
      <c r="C741" t="s">
        <v>739</v>
      </c>
      <c r="D741" s="13" t="s">
        <v>913</v>
      </c>
      <c r="E741" s="1">
        <v>1.06227</v>
      </c>
      <c r="F741">
        <v>1.1737899999999999</v>
      </c>
      <c r="G741" s="1">
        <v>1.0565002876088201</v>
      </c>
      <c r="H741" s="1">
        <v>1.15971560580254</v>
      </c>
      <c r="I741">
        <f>VLOOKUP(C741,'[1]phenotypes-895'!$A$2:$G$896,7,FALSE)</f>
        <v>98</v>
      </c>
      <c r="J741" s="1">
        <v>-4.4451999999999998E-2</v>
      </c>
      <c r="K741" s="1">
        <f>VLOOKUP(C741,'[1]phenotypes-895'!$A$2:$I$896,9,FALSE)</f>
        <v>0</v>
      </c>
      <c r="L741" s="1">
        <v>-6.9787799999999997E-2</v>
      </c>
      <c r="M741" s="4">
        <v>0</v>
      </c>
      <c r="N741" s="1">
        <v>-3.4721800000000001E-3</v>
      </c>
      <c r="O741" s="8">
        <v>0</v>
      </c>
      <c r="P741" s="1">
        <v>6.3393500000000005E-2</v>
      </c>
      <c r="Q741">
        <v>1.216</v>
      </c>
      <c r="R741" s="1">
        <v>2.3689999999999999E-2</v>
      </c>
      <c r="S741" s="2">
        <v>0.06</v>
      </c>
    </row>
    <row r="742" spans="1:19" x14ac:dyDescent="0.2">
      <c r="A742">
        <v>741</v>
      </c>
      <c r="B742">
        <v>33</v>
      </c>
      <c r="C742" t="s">
        <v>740</v>
      </c>
      <c r="D742" s="13" t="s">
        <v>913</v>
      </c>
      <c r="E742" s="1">
        <v>3.0575100000000002</v>
      </c>
      <c r="F742">
        <v>3.45241</v>
      </c>
      <c r="G742" s="1">
        <v>3.0634118616870101</v>
      </c>
      <c r="H742" s="1">
        <v>3.4570717660713099</v>
      </c>
      <c r="I742">
        <f>VLOOKUP(C742,'[1]phenotypes-895'!$A$2:$G$896,7,FALSE)</f>
        <v>98</v>
      </c>
      <c r="J742" s="1">
        <v>-2.6015699999999999E-2</v>
      </c>
      <c r="K742" s="1">
        <f>VLOOKUP(C742,'[1]phenotypes-895'!$A$2:$I$896,9,FALSE)</f>
        <v>0</v>
      </c>
      <c r="L742" s="1">
        <v>-9.8773799999999998E-3</v>
      </c>
      <c r="M742" s="4">
        <v>0</v>
      </c>
      <c r="N742" s="1">
        <v>2.8478900000000001E-2</v>
      </c>
      <c r="O742" s="8">
        <v>0</v>
      </c>
      <c r="P742" s="1">
        <v>-4.1543499999999997E-2</v>
      </c>
      <c r="Q742">
        <v>0.877</v>
      </c>
      <c r="R742" s="1">
        <v>-1.9411000000000001E-2</v>
      </c>
      <c r="S742" s="2">
        <v>-0.04</v>
      </c>
    </row>
    <row r="743" spans="1:19" x14ac:dyDescent="0.2">
      <c r="A743">
        <v>742</v>
      </c>
      <c r="B743">
        <v>35</v>
      </c>
      <c r="C743" t="s">
        <v>741</v>
      </c>
      <c r="D743" s="13" t="s">
        <v>913</v>
      </c>
      <c r="E743" s="1">
        <v>3.1188899999999999</v>
      </c>
      <c r="F743">
        <v>2.9723700000000002</v>
      </c>
      <c r="G743" s="1">
        <v>3.0944668988822799</v>
      </c>
      <c r="H743" s="1">
        <v>2.9441562088477902</v>
      </c>
      <c r="I743">
        <f>VLOOKUP(C743,'[1]phenotypes-895'!$A$2:$G$896,7,FALSE)</f>
        <v>98</v>
      </c>
      <c r="J743" s="1">
        <v>-3.9924300000000003E-2</v>
      </c>
      <c r="K743" s="1">
        <f>VLOOKUP(C743,'[1]phenotypes-895'!$A$2:$I$896,9,FALSE)</f>
        <v>0</v>
      </c>
      <c r="L743" s="1">
        <v>-3.6741700000000002E-2</v>
      </c>
      <c r="M743" s="4">
        <v>0</v>
      </c>
      <c r="N743" s="1">
        <v>-2.38161E-2</v>
      </c>
      <c r="O743" s="8">
        <v>0</v>
      </c>
      <c r="P743" s="1">
        <v>7.6830700000000002E-2</v>
      </c>
      <c r="Q743">
        <v>1.022</v>
      </c>
      <c r="R743" s="1">
        <v>3.0560199999999999E-2</v>
      </c>
      <c r="S743" s="2">
        <v>0.01</v>
      </c>
    </row>
    <row r="744" spans="1:19" x14ac:dyDescent="0.2">
      <c r="A744">
        <v>743</v>
      </c>
      <c r="B744">
        <v>25</v>
      </c>
      <c r="C744" t="s">
        <v>742</v>
      </c>
      <c r="D744" s="13" t="s">
        <v>913</v>
      </c>
      <c r="E744" s="1">
        <v>3.1259100000000002</v>
      </c>
      <c r="F744">
        <v>3.18845</v>
      </c>
      <c r="G744" s="1">
        <v>3.0845981408154302</v>
      </c>
      <c r="H744" s="1">
        <v>3.1435543748935699</v>
      </c>
      <c r="I744">
        <f>VLOOKUP(C744,'[1]phenotypes-895'!$A$2:$G$896,7,FALSE)</f>
        <v>98</v>
      </c>
      <c r="J744" s="1">
        <v>-5.1427500000000001E-2</v>
      </c>
      <c r="K744" s="1">
        <f>VLOOKUP(C744,'[1]phenotypes-895'!$A$2:$I$896,9,FALSE)</f>
        <v>0</v>
      </c>
      <c r="L744" s="1">
        <v>-0.200156</v>
      </c>
      <c r="M744" s="4">
        <v>0</v>
      </c>
      <c r="N744" s="1">
        <v>-1.52277E-2</v>
      </c>
      <c r="O744" s="8">
        <v>0</v>
      </c>
      <c r="P744" s="1">
        <v>-3.8063100000000002E-2</v>
      </c>
      <c r="Q744">
        <v>1.147</v>
      </c>
      <c r="R744" s="1">
        <v>-2.3699000000000001E-2</v>
      </c>
      <c r="S744" s="2">
        <v>0.04</v>
      </c>
    </row>
    <row r="745" spans="1:19" x14ac:dyDescent="0.2">
      <c r="A745">
        <v>744</v>
      </c>
      <c r="B745">
        <v>24</v>
      </c>
      <c r="C745" t="s">
        <v>743</v>
      </c>
      <c r="D745" s="13" t="s">
        <v>913</v>
      </c>
      <c r="E745" s="1">
        <v>-2.70201</v>
      </c>
      <c r="F745">
        <v>-4.0231899999999996</v>
      </c>
      <c r="G745" s="1">
        <v>-2.6946768665553398</v>
      </c>
      <c r="H745" s="1">
        <v>-4.0218585575396197</v>
      </c>
      <c r="I745">
        <f>VLOOKUP(C745,'[1]phenotypes-895'!$A$2:$G$896,7,FALSE)</f>
        <v>69</v>
      </c>
      <c r="J745" s="1">
        <v>8.5484900000000003E-2</v>
      </c>
      <c r="K745" s="1">
        <f>VLOOKUP(C745,'[1]phenotypes-895'!$A$2:$I$896,9,FALSE)</f>
        <v>0.3227983999936081</v>
      </c>
      <c r="L745" s="1">
        <v>2.3511399999999998E-2</v>
      </c>
      <c r="M745" s="4">
        <v>4.1126368056140485</v>
      </c>
      <c r="N745" s="1">
        <v>4.3301199999999998E-2</v>
      </c>
      <c r="O745" s="8">
        <v>1</v>
      </c>
      <c r="P745" s="1">
        <v>4.1759200000000003E-2</v>
      </c>
      <c r="Q745">
        <v>1.1879999999999999</v>
      </c>
      <c r="R745" s="1">
        <v>1.38745E-2</v>
      </c>
      <c r="S745" s="2">
        <v>0.05</v>
      </c>
    </row>
    <row r="746" spans="1:19" x14ac:dyDescent="0.2">
      <c r="A746">
        <v>745</v>
      </c>
      <c r="B746">
        <v>23</v>
      </c>
      <c r="C746" t="s">
        <v>744</v>
      </c>
      <c r="D746" s="13" t="s">
        <v>913</v>
      </c>
      <c r="E746" s="1">
        <v>4.2297000000000002</v>
      </c>
      <c r="F746">
        <v>4.4644500000000003</v>
      </c>
      <c r="G746" s="1">
        <v>4.2109793984427997</v>
      </c>
      <c r="H746" s="1">
        <v>4.4558632696179696</v>
      </c>
      <c r="I746">
        <f>VLOOKUP(C746,'[1]phenotypes-895'!$A$2:$G$896,7,FALSE)</f>
        <v>98</v>
      </c>
      <c r="J746" s="1">
        <v>-3.6054999999999997E-2</v>
      </c>
      <c r="K746" s="1">
        <f>VLOOKUP(C746,'[1]phenotypes-895'!$A$2:$I$896,9,FALSE)</f>
        <v>0.30368046023516387</v>
      </c>
      <c r="L746" s="1">
        <v>0.18578800000000001</v>
      </c>
      <c r="M746" s="4">
        <v>3.7370403650701607</v>
      </c>
      <c r="N746" s="1">
        <v>-4.4663699999999999E-3</v>
      </c>
      <c r="O746" s="8">
        <v>1</v>
      </c>
      <c r="P746" s="1">
        <v>9.9141100000000003E-3</v>
      </c>
      <c r="Q746">
        <v>1.1439999999999999</v>
      </c>
      <c r="R746" s="1">
        <v>4.7533000000000002E-3</v>
      </c>
      <c r="S746" s="2">
        <v>0.04</v>
      </c>
    </row>
    <row r="747" spans="1:19" x14ac:dyDescent="0.2">
      <c r="A747">
        <v>746</v>
      </c>
      <c r="B747">
        <v>21</v>
      </c>
      <c r="C747" t="s">
        <v>745</v>
      </c>
      <c r="D747" s="13" t="s">
        <v>913</v>
      </c>
      <c r="E747" s="1">
        <v>2.4756200000000002</v>
      </c>
      <c r="F747">
        <v>3.4283399999999999</v>
      </c>
      <c r="G747" s="1">
        <v>2.4847188920508598</v>
      </c>
      <c r="H747" s="1">
        <v>3.4318311797327699</v>
      </c>
      <c r="I747">
        <f>VLOOKUP(C747,'[1]phenotypes-895'!$A$2:$G$896,7,FALSE)</f>
        <v>98</v>
      </c>
      <c r="J747" s="1">
        <v>-4.8122699999999997E-2</v>
      </c>
      <c r="K747" s="1">
        <f>VLOOKUP(C747,'[1]phenotypes-895'!$A$2:$I$896,9,FALSE)</f>
        <v>0</v>
      </c>
      <c r="L747" s="1">
        <v>4.4951100000000001E-2</v>
      </c>
      <c r="M747" s="4">
        <v>0</v>
      </c>
      <c r="N747" s="1">
        <v>5.3045699999999998E-3</v>
      </c>
      <c r="O747" s="8">
        <v>0</v>
      </c>
      <c r="P747" s="1">
        <v>-0.113138</v>
      </c>
      <c r="Q747">
        <v>1.089</v>
      </c>
      <c r="R747" s="1">
        <v>-4.8406100000000001E-2</v>
      </c>
      <c r="S747" s="2">
        <v>0.03</v>
      </c>
    </row>
    <row r="748" spans="1:19" x14ac:dyDescent="0.2">
      <c r="A748">
        <v>747</v>
      </c>
      <c r="B748">
        <v>22</v>
      </c>
      <c r="C748" t="s">
        <v>746</v>
      </c>
      <c r="D748" s="13" t="s">
        <v>913</v>
      </c>
      <c r="E748" s="1">
        <v>5.4758100000000001</v>
      </c>
      <c r="F748">
        <v>4.2058900000000001</v>
      </c>
      <c r="G748" s="1">
        <v>5.4782983795923199</v>
      </c>
      <c r="H748" s="1">
        <v>4.1988628347237897</v>
      </c>
      <c r="I748">
        <f>VLOOKUP(C748,'[1]phenotypes-895'!$A$2:$G$896,7,FALSE)</f>
        <v>98</v>
      </c>
      <c r="J748" s="1">
        <v>-0.10809299999999999</v>
      </c>
      <c r="K748" s="1">
        <f>VLOOKUP(C748,'[1]phenotypes-895'!$A$2:$I$896,9,FALSE)</f>
        <v>0</v>
      </c>
      <c r="L748" s="1">
        <v>-6.1930899999999997E-2</v>
      </c>
      <c r="M748" s="4">
        <v>0</v>
      </c>
      <c r="N748" s="1">
        <v>-2.31804E-2</v>
      </c>
      <c r="O748" s="8">
        <v>0</v>
      </c>
      <c r="P748" s="1">
        <v>7.1315600000000007E-2</v>
      </c>
      <c r="Q748">
        <v>1.2470000000000001</v>
      </c>
      <c r="R748" s="1">
        <v>2.6167599999999999E-2</v>
      </c>
      <c r="S748" s="2">
        <v>7.0000000000000007E-2</v>
      </c>
    </row>
    <row r="749" spans="1:19" x14ac:dyDescent="0.2">
      <c r="A749">
        <v>748</v>
      </c>
      <c r="B749">
        <v>33</v>
      </c>
      <c r="C749" t="s">
        <v>747</v>
      </c>
      <c r="D749" s="13" t="s">
        <v>913</v>
      </c>
      <c r="E749" s="1">
        <v>7.3866899999999998</v>
      </c>
      <c r="F749">
        <v>8.7322799999999994</v>
      </c>
      <c r="G749" s="1">
        <v>7.3808221850333799</v>
      </c>
      <c r="H749" s="1">
        <v>8.7314327750031602</v>
      </c>
      <c r="I749">
        <f>VLOOKUP(C749,'[1]phenotypes-895'!$A$2:$G$896,7,FALSE)</f>
        <v>98</v>
      </c>
      <c r="J749" s="1">
        <v>-0.134795</v>
      </c>
      <c r="K749" s="1">
        <f>VLOOKUP(C749,'[1]phenotypes-895'!$A$2:$I$896,9,FALSE)</f>
        <v>0</v>
      </c>
      <c r="L749" s="1">
        <v>2.17696E-2</v>
      </c>
      <c r="M749" s="4">
        <v>0</v>
      </c>
      <c r="N749" s="1">
        <v>-4.7041300000000001E-2</v>
      </c>
      <c r="O749" s="8">
        <v>0</v>
      </c>
      <c r="P749" s="1">
        <v>-7.8532800000000007E-3</v>
      </c>
      <c r="Q749">
        <v>1.044</v>
      </c>
      <c r="R749" s="1">
        <v>-5.3496699999999999E-3</v>
      </c>
      <c r="S749" s="2">
        <v>0.01</v>
      </c>
    </row>
    <row r="750" spans="1:19" x14ac:dyDescent="0.2">
      <c r="A750">
        <v>749</v>
      </c>
      <c r="B750">
        <v>30</v>
      </c>
      <c r="C750" t="s">
        <v>748</v>
      </c>
      <c r="D750" s="13" t="s">
        <v>913</v>
      </c>
      <c r="E750" s="1">
        <v>4.6031300000000002</v>
      </c>
      <c r="F750">
        <v>2.7582900000000001</v>
      </c>
      <c r="G750" s="1">
        <v>4.5829117079225403</v>
      </c>
      <c r="H750" s="1">
        <v>2.7169513602011599</v>
      </c>
      <c r="I750">
        <f>VLOOKUP(C750,'[1]phenotypes-895'!$A$2:$G$896,7,FALSE)</f>
        <v>98</v>
      </c>
      <c r="J750" s="1">
        <v>-9.6199599999999996E-2</v>
      </c>
      <c r="K750" s="1">
        <f>VLOOKUP(C750,'[1]phenotypes-895'!$A$2:$I$896,9,FALSE)</f>
        <v>0</v>
      </c>
      <c r="L750" s="1">
        <v>-0.124071</v>
      </c>
      <c r="M750" s="4">
        <v>0</v>
      </c>
      <c r="N750" s="1">
        <v>-2.0699499999999999E-2</v>
      </c>
      <c r="O750" s="8">
        <v>0</v>
      </c>
      <c r="P750" s="1">
        <v>6.5931500000000004E-2</v>
      </c>
      <c r="Q750">
        <v>1.1060000000000001</v>
      </c>
      <c r="R750" s="1">
        <v>2.72301E-2</v>
      </c>
      <c r="S750" s="2">
        <v>0.03</v>
      </c>
    </row>
    <row r="751" spans="1:19" x14ac:dyDescent="0.2">
      <c r="A751">
        <v>750</v>
      </c>
      <c r="B751">
        <v>22</v>
      </c>
      <c r="C751" t="s">
        <v>749</v>
      </c>
      <c r="D751" s="13" t="s">
        <v>913</v>
      </c>
      <c r="E751" s="1">
        <v>5.7115900000000002</v>
      </c>
      <c r="F751">
        <v>5.3979400000000002</v>
      </c>
      <c r="G751" s="1">
        <v>5.7430258110536698</v>
      </c>
      <c r="H751" s="1">
        <v>5.4311498644157599</v>
      </c>
      <c r="I751">
        <f>VLOOKUP(C751,'[1]phenotypes-895'!$A$2:$G$896,7,FALSE)</f>
        <v>98</v>
      </c>
      <c r="J751" s="1">
        <v>-0.11253199999999999</v>
      </c>
      <c r="K751" s="1">
        <f>VLOOKUP(C751,'[1]phenotypes-895'!$A$2:$I$896,9,FALSE)</f>
        <v>0</v>
      </c>
      <c r="L751" s="1">
        <v>-1.8140699999999999E-2</v>
      </c>
      <c r="M751" s="4">
        <v>0</v>
      </c>
      <c r="N751" s="1">
        <v>-3.2838100000000002E-2</v>
      </c>
      <c r="O751" s="8">
        <v>0</v>
      </c>
      <c r="P751" s="1">
        <v>2.8980800000000001E-2</v>
      </c>
      <c r="Q751">
        <v>1.0760000000000001</v>
      </c>
      <c r="R751" s="1">
        <v>1.71895E-2</v>
      </c>
      <c r="S751" s="2">
        <v>0.02</v>
      </c>
    </row>
    <row r="752" spans="1:19" x14ac:dyDescent="0.2">
      <c r="A752">
        <v>751</v>
      </c>
      <c r="B752">
        <v>25</v>
      </c>
      <c r="C752" t="s">
        <v>750</v>
      </c>
      <c r="D752" s="13" t="s">
        <v>913</v>
      </c>
      <c r="E752" s="1">
        <v>1.1249800000000001</v>
      </c>
      <c r="F752">
        <v>0.23730999999999999</v>
      </c>
      <c r="G752" s="1">
        <v>1.07210554680029</v>
      </c>
      <c r="H752" s="1">
        <v>0.18359954810781001</v>
      </c>
      <c r="I752">
        <f>VLOOKUP(C752,'[1]phenotypes-895'!$A$2:$G$896,7,FALSE)</f>
        <v>98</v>
      </c>
      <c r="J752" s="1">
        <v>-1.4658600000000001E-2</v>
      </c>
      <c r="K752" s="1">
        <f>VLOOKUP(C752,'[1]phenotypes-895'!$A$2:$I$896,9,FALSE)</f>
        <v>0</v>
      </c>
      <c r="L752" s="1">
        <v>8.6942599999999995E-2</v>
      </c>
      <c r="M752" s="4">
        <v>0</v>
      </c>
      <c r="N752" s="1">
        <v>6.37745E-4</v>
      </c>
      <c r="O752" s="8">
        <v>0</v>
      </c>
      <c r="P752" s="1">
        <v>9.9717700000000006E-2</v>
      </c>
      <c r="Q752">
        <v>1.3169999999999999</v>
      </c>
      <c r="R752" s="1">
        <v>4.0487599999999999E-2</v>
      </c>
      <c r="S752" s="2">
        <v>0.08</v>
      </c>
    </row>
    <row r="753" spans="1:19" x14ac:dyDescent="0.2">
      <c r="A753">
        <v>752</v>
      </c>
      <c r="B753">
        <v>32</v>
      </c>
      <c r="C753" t="s">
        <v>751</v>
      </c>
      <c r="D753" s="13" t="s">
        <v>913</v>
      </c>
      <c r="E753" s="1">
        <v>1.7771999999999999</v>
      </c>
      <c r="F753">
        <v>1.0237499999999999</v>
      </c>
      <c r="G753" s="1">
        <v>1.71305691460565</v>
      </c>
      <c r="H753" s="1">
        <v>0.94554839333212004</v>
      </c>
      <c r="I753">
        <f>VLOOKUP(C753,'[1]phenotypes-895'!$A$2:$G$896,7,FALSE)</f>
        <v>63</v>
      </c>
      <c r="J753" s="1">
        <v>-5.4641099999999998E-2</v>
      </c>
      <c r="K753" s="1">
        <f>VLOOKUP(C753,'[1]phenotypes-895'!$A$2:$I$896,9,FALSE)</f>
        <v>0.4141351145470582</v>
      </c>
      <c r="L753" s="1">
        <v>-0.25016300000000002</v>
      </c>
      <c r="M753" s="4">
        <v>4.1615180626290282</v>
      </c>
      <c r="N753" s="1">
        <v>-2.5090100000000001E-2</v>
      </c>
      <c r="O753" s="8">
        <v>1</v>
      </c>
      <c r="P753" s="1">
        <v>-4.76754E-2</v>
      </c>
      <c r="Q753">
        <v>0.42599999999999999</v>
      </c>
      <c r="R753" s="1">
        <v>-3.6745899999999998E-2</v>
      </c>
      <c r="S753" s="2">
        <v>-0.28999999999999998</v>
      </c>
    </row>
    <row r="754" spans="1:19" x14ac:dyDescent="0.2">
      <c r="A754">
        <v>753</v>
      </c>
      <c r="B754">
        <v>30</v>
      </c>
      <c r="C754" t="s">
        <v>752</v>
      </c>
      <c r="D754" s="13" t="s">
        <v>913</v>
      </c>
      <c r="E754" s="1">
        <v>3.1997300000000002</v>
      </c>
      <c r="F754">
        <v>1.9171100000000001</v>
      </c>
      <c r="G754" s="1">
        <v>3.1790922321976698</v>
      </c>
      <c r="H754" s="1">
        <v>1.89121480791519</v>
      </c>
      <c r="I754">
        <f>VLOOKUP(C754,'[1]phenotypes-895'!$A$2:$G$896,7,FALSE)</f>
        <v>70</v>
      </c>
      <c r="J754" s="1">
        <v>-4.70924E-2</v>
      </c>
      <c r="K754" s="1">
        <f>VLOOKUP(C754,'[1]phenotypes-895'!$A$2:$I$896,9,FALSE)</f>
        <v>0.47798802701811127</v>
      </c>
      <c r="L754" s="1">
        <v>-6.7937500000000003E-3</v>
      </c>
      <c r="M754" s="4">
        <v>4.1172276793285718</v>
      </c>
      <c r="N754" s="1">
        <v>-1.8134999999999998E-2</v>
      </c>
      <c r="O754" s="8">
        <v>1</v>
      </c>
      <c r="P754" s="1">
        <v>7.7277600000000002E-2</v>
      </c>
      <c r="Q754">
        <v>1.1140000000000001</v>
      </c>
      <c r="R754" s="1">
        <v>2.8951000000000001E-2</v>
      </c>
      <c r="S754" s="2">
        <v>0.03</v>
      </c>
    </row>
    <row r="755" spans="1:19" x14ac:dyDescent="0.2">
      <c r="A755">
        <v>754</v>
      </c>
      <c r="B755">
        <v>29</v>
      </c>
      <c r="C755" t="s">
        <v>753</v>
      </c>
      <c r="D755" s="13" t="s">
        <v>913</v>
      </c>
      <c r="E755" s="1">
        <v>8.3283900000000006</v>
      </c>
      <c r="F755">
        <v>7.7445700000000004</v>
      </c>
      <c r="G755" s="1">
        <v>8.3622635481224208</v>
      </c>
      <c r="H755" s="1">
        <v>7.7766094230607701</v>
      </c>
      <c r="I755">
        <f>VLOOKUP(C755,'[1]phenotypes-895'!$A$2:$G$896,7,FALSE)</f>
        <v>98</v>
      </c>
      <c r="J755" s="1">
        <v>-0.15620800000000001</v>
      </c>
      <c r="K755" s="1">
        <f>VLOOKUP(C755,'[1]phenotypes-895'!$A$2:$I$896,9,FALSE)</f>
        <v>0</v>
      </c>
      <c r="L755" s="1">
        <v>-0.14073099999999999</v>
      </c>
      <c r="M755" s="4">
        <v>0</v>
      </c>
      <c r="N755" s="1">
        <v>-6.0371800000000003E-2</v>
      </c>
      <c r="O755" s="8">
        <v>0</v>
      </c>
      <c r="P755" s="1">
        <v>0.114574</v>
      </c>
      <c r="Q755">
        <v>1.1499999999999999</v>
      </c>
      <c r="R755" s="1">
        <v>3.8424100000000003E-2</v>
      </c>
      <c r="S755" s="2">
        <v>0.04</v>
      </c>
    </row>
    <row r="756" spans="1:19" x14ac:dyDescent="0.2">
      <c r="A756">
        <v>755</v>
      </c>
      <c r="B756">
        <v>50</v>
      </c>
      <c r="C756" t="s">
        <v>754</v>
      </c>
      <c r="D756" s="13" t="s">
        <v>912</v>
      </c>
      <c r="E756" s="1">
        <v>1.3504100000000001</v>
      </c>
      <c r="F756">
        <v>2.7841200000000002</v>
      </c>
      <c r="G756" s="1">
        <v>1.3746703099947499</v>
      </c>
      <c r="H756" s="1">
        <v>2.8257950516652999</v>
      </c>
      <c r="I756">
        <f>VLOOKUP(C756,'[1]phenotypes-895'!$A$2:$G$896,7,FALSE)</f>
        <v>98</v>
      </c>
      <c r="J756" s="1">
        <v>1.52008E-2</v>
      </c>
      <c r="K756" s="1">
        <f>VLOOKUP(C756,'[1]phenotypes-895'!$A$2:$I$896,9,FALSE)</f>
        <v>0.59631999082742426</v>
      </c>
      <c r="L756" s="1">
        <v>-4.8581699999999998E-2</v>
      </c>
      <c r="M756" s="4">
        <v>3.4734435944664543</v>
      </c>
      <c r="N756" s="1">
        <v>3.2129400000000002E-2</v>
      </c>
      <c r="O756" s="8">
        <v>1</v>
      </c>
      <c r="P756" s="1">
        <v>-8.7774000000000005E-2</v>
      </c>
      <c r="Q756">
        <v>0.57699999999999996</v>
      </c>
      <c r="R756" s="1">
        <v>-4.1944500000000003E-2</v>
      </c>
      <c r="S756" s="2">
        <v>-0.19</v>
      </c>
    </row>
    <row r="757" spans="1:19" x14ac:dyDescent="0.2">
      <c r="A757">
        <v>756</v>
      </c>
      <c r="B757">
        <v>37</v>
      </c>
      <c r="C757" t="s">
        <v>755</v>
      </c>
      <c r="D757" s="13" t="s">
        <v>913</v>
      </c>
      <c r="E757" s="1">
        <v>4.2851299999999997</v>
      </c>
      <c r="F757">
        <v>5.1316899999999999</v>
      </c>
      <c r="G757" s="1">
        <v>4.31982421831359</v>
      </c>
      <c r="H757" s="1">
        <v>5.17559089143045</v>
      </c>
      <c r="I757">
        <f>VLOOKUP(C757,'[1]phenotypes-895'!$A$2:$G$896,7,FALSE)</f>
        <v>98</v>
      </c>
      <c r="J757" s="1">
        <v>-1.9895300000000001E-2</v>
      </c>
      <c r="K757" s="1">
        <f>VLOOKUP(C757,'[1]phenotypes-895'!$A$2:$I$896,9,FALSE)</f>
        <v>0.35278905214378559</v>
      </c>
      <c r="L757" s="1">
        <v>2.0200700000000001E-3</v>
      </c>
      <c r="M757" s="4">
        <v>2.723865096559424</v>
      </c>
      <c r="N757" s="1">
        <v>-1.2309799999999999E-2</v>
      </c>
      <c r="O757" s="8">
        <v>1</v>
      </c>
      <c r="P757" s="1">
        <v>0.106753</v>
      </c>
      <c r="Q757">
        <v>1.2470000000000001</v>
      </c>
      <c r="R757" s="1">
        <v>3.50023E-2</v>
      </c>
      <c r="S757" s="2">
        <v>7.0000000000000007E-2</v>
      </c>
    </row>
    <row r="758" spans="1:19" x14ac:dyDescent="0.2">
      <c r="A758">
        <v>757</v>
      </c>
      <c r="B758">
        <v>35</v>
      </c>
      <c r="C758" t="s">
        <v>756</v>
      </c>
      <c r="D758" s="13" t="s">
        <v>913</v>
      </c>
      <c r="E758" s="1">
        <v>5.2645299999999997</v>
      </c>
      <c r="F758">
        <v>5.9542099999999998</v>
      </c>
      <c r="G758" s="1">
        <v>5.2613404368236303</v>
      </c>
      <c r="H758" s="1">
        <v>5.9459116229045001</v>
      </c>
      <c r="I758">
        <f>VLOOKUP(C758,'[1]phenotypes-895'!$A$2:$G$896,7,FALSE)</f>
        <v>98</v>
      </c>
      <c r="J758" s="1">
        <v>-0.142039</v>
      </c>
      <c r="K758" s="1">
        <f>VLOOKUP(C758,'[1]phenotypes-895'!$A$2:$I$896,9,FALSE)</f>
        <v>0</v>
      </c>
      <c r="L758" s="1">
        <v>-0.12779099999999999</v>
      </c>
      <c r="M758" s="4">
        <v>0</v>
      </c>
      <c r="N758" s="1">
        <v>-4.6396600000000003E-2</v>
      </c>
      <c r="O758" s="8">
        <v>0</v>
      </c>
      <c r="P758" s="1">
        <v>3.91793E-2</v>
      </c>
      <c r="Q758">
        <v>0.96499999999999997</v>
      </c>
      <c r="R758" s="1">
        <v>1.48749E-2</v>
      </c>
      <c r="S758" s="2">
        <v>-0.01</v>
      </c>
    </row>
    <row r="759" spans="1:19" x14ac:dyDescent="0.2">
      <c r="A759">
        <v>758</v>
      </c>
      <c r="B759">
        <v>51</v>
      </c>
      <c r="C759" t="s">
        <v>757</v>
      </c>
      <c r="D759" s="13" t="s">
        <v>912</v>
      </c>
      <c r="E759" s="1">
        <v>4.2940100000000001</v>
      </c>
      <c r="F759">
        <v>7.2532300000000003</v>
      </c>
      <c r="G759" s="1">
        <v>4.2911540428392998</v>
      </c>
      <c r="H759" s="1">
        <v>7.2653241393763901</v>
      </c>
      <c r="I759">
        <f>VLOOKUP(C759,'[1]phenotypes-895'!$A$2:$G$896,7,FALSE)</f>
        <v>98</v>
      </c>
      <c r="J759" s="1">
        <v>-6.2919299999999997E-2</v>
      </c>
      <c r="K759" s="1">
        <f>VLOOKUP(C759,'[1]phenotypes-895'!$A$2:$I$896,9,FALSE)</f>
        <v>0.25690168677385511</v>
      </c>
      <c r="L759" s="1">
        <v>-8.0526299999999999E-3</v>
      </c>
      <c r="M759" s="4">
        <v>2.7659485496878253</v>
      </c>
      <c r="N759" s="1">
        <v>-2.5530599999999998E-3</v>
      </c>
      <c r="O759" s="8">
        <v>1</v>
      </c>
      <c r="P759" s="1">
        <v>-0.124551</v>
      </c>
      <c r="Q759">
        <v>0.68200000000000005</v>
      </c>
      <c r="R759" s="1">
        <v>-4.2868400000000001E-2</v>
      </c>
      <c r="S759" s="2">
        <v>-0.13</v>
      </c>
    </row>
    <row r="760" spans="1:19" x14ac:dyDescent="0.2">
      <c r="A760">
        <v>759</v>
      </c>
      <c r="B760">
        <v>24</v>
      </c>
      <c r="C760" t="s">
        <v>758</v>
      </c>
      <c r="D760" s="13" t="s">
        <v>913</v>
      </c>
      <c r="E760" s="1">
        <v>-2.5642900000000002</v>
      </c>
      <c r="F760">
        <v>-4.8510499999999999</v>
      </c>
      <c r="G760" s="1">
        <v>-2.5913541563654601</v>
      </c>
      <c r="H760" s="1">
        <v>-4.8853107608525601</v>
      </c>
      <c r="I760">
        <f>VLOOKUP(C760,'[1]phenotypes-895'!$A$2:$G$896,7,FALSE)</f>
        <v>98</v>
      </c>
      <c r="J760" s="1">
        <v>3.2002900000000001E-2</v>
      </c>
      <c r="K760" s="1">
        <f>VLOOKUP(C760,'[1]phenotypes-895'!$A$2:$I$896,9,FALSE)</f>
        <v>0</v>
      </c>
      <c r="L760" s="1">
        <v>-4.2637099999999997E-2</v>
      </c>
      <c r="M760" s="4">
        <v>0</v>
      </c>
      <c r="N760" s="1">
        <v>1.50352E-2</v>
      </c>
      <c r="O760" s="8">
        <v>0</v>
      </c>
      <c r="P760" s="1">
        <v>9.0909299999999998E-2</v>
      </c>
      <c r="Q760">
        <v>1.0489999999999999</v>
      </c>
      <c r="R760" s="1">
        <v>4.0194300000000002E-2</v>
      </c>
      <c r="S760" s="2">
        <v>0.02</v>
      </c>
    </row>
    <row r="761" spans="1:19" x14ac:dyDescent="0.2">
      <c r="A761">
        <v>760</v>
      </c>
      <c r="B761">
        <v>22</v>
      </c>
      <c r="C761" t="s">
        <v>759</v>
      </c>
      <c r="D761" s="13" t="s">
        <v>913</v>
      </c>
      <c r="E761" s="1">
        <v>-0.61384899999999998</v>
      </c>
      <c r="F761">
        <v>-1.17109</v>
      </c>
      <c r="G761" s="1">
        <v>-0.65641978178319205</v>
      </c>
      <c r="H761" s="1">
        <v>-1.21807843487584</v>
      </c>
      <c r="I761">
        <f>VLOOKUP(C761,'[1]phenotypes-895'!$A$2:$G$896,7,FALSE)</f>
        <v>67</v>
      </c>
      <c r="J761" s="1">
        <v>4.66576E-2</v>
      </c>
      <c r="K761" s="1">
        <f>VLOOKUP(C761,'[1]phenotypes-895'!$A$2:$I$896,9,FALSE)</f>
        <v>0.80614168176574097</v>
      </c>
      <c r="L761" s="1">
        <v>0.160415</v>
      </c>
      <c r="M761" s="4">
        <v>4.4372526077536163</v>
      </c>
      <c r="N761" s="1">
        <v>-1.85053E-3</v>
      </c>
      <c r="O761" s="8">
        <v>1</v>
      </c>
      <c r="P761" s="1">
        <v>0.16725899999999999</v>
      </c>
      <c r="Q761">
        <v>1.31</v>
      </c>
      <c r="R761" s="1">
        <v>5.8606100000000001E-2</v>
      </c>
      <c r="S761" s="2">
        <v>0.08</v>
      </c>
    </row>
    <row r="762" spans="1:19" x14ac:dyDescent="0.2">
      <c r="A762">
        <v>761</v>
      </c>
      <c r="B762">
        <v>30</v>
      </c>
      <c r="C762" t="s">
        <v>760</v>
      </c>
      <c r="D762" s="13" t="s">
        <v>913</v>
      </c>
      <c r="E762" s="1">
        <v>-1.3847799999999999</v>
      </c>
      <c r="F762">
        <v>-3.2359900000000001</v>
      </c>
      <c r="G762" s="1">
        <v>-1.40644586356351</v>
      </c>
      <c r="H762" s="1">
        <v>-3.2497669542812901</v>
      </c>
      <c r="I762">
        <f>VLOOKUP(C762,'[1]phenotypes-895'!$A$2:$G$896,7,FALSE)</f>
        <v>98</v>
      </c>
      <c r="J762" s="1">
        <v>1.8752600000000001E-2</v>
      </c>
      <c r="K762" s="1">
        <f>VLOOKUP(C762,'[1]phenotypes-895'!$A$2:$I$896,9,FALSE)</f>
        <v>0</v>
      </c>
      <c r="L762" s="1">
        <v>-0.12931400000000001</v>
      </c>
      <c r="M762" s="4">
        <v>0</v>
      </c>
      <c r="N762" s="1">
        <v>-1.41621E-2</v>
      </c>
      <c r="O762" s="8">
        <v>0</v>
      </c>
      <c r="P762" s="1">
        <v>0.129047</v>
      </c>
      <c r="Q762">
        <v>1.0640000000000001</v>
      </c>
      <c r="R762" s="1">
        <v>5.36284E-2</v>
      </c>
      <c r="S762" s="2">
        <v>0.02</v>
      </c>
    </row>
    <row r="763" spans="1:19" x14ac:dyDescent="0.2">
      <c r="A763">
        <v>762</v>
      </c>
      <c r="B763">
        <v>44</v>
      </c>
      <c r="C763" t="s">
        <v>761</v>
      </c>
      <c r="D763" s="13" t="s">
        <v>912</v>
      </c>
      <c r="E763" s="1">
        <v>1.02471</v>
      </c>
      <c r="F763">
        <v>3.5085000000000002</v>
      </c>
      <c r="G763" s="1">
        <v>0.97191250428488696</v>
      </c>
      <c r="H763" s="1">
        <v>3.4625274586285602</v>
      </c>
      <c r="I763">
        <f>VLOOKUP(C763,'[1]phenotypes-895'!$A$2:$G$896,7,FALSE)</f>
        <v>68</v>
      </c>
      <c r="J763" s="1">
        <v>-3.7826400000000003E-2</v>
      </c>
      <c r="K763" s="1">
        <f>VLOOKUP(C763,'[1]phenotypes-895'!$A$2:$I$896,9,FALSE)</f>
        <v>0.35656350168215611</v>
      </c>
      <c r="L763" s="1">
        <v>0.224629</v>
      </c>
      <c r="M763" s="4">
        <v>4.8031840463259456</v>
      </c>
      <c r="N763" s="1">
        <v>-1.11343E-2</v>
      </c>
      <c r="O763" s="8">
        <v>1</v>
      </c>
      <c r="P763" s="1">
        <v>-0.13336300000000001</v>
      </c>
      <c r="Q763">
        <v>0.68200000000000005</v>
      </c>
      <c r="R763" s="1">
        <v>-5.6778500000000003E-2</v>
      </c>
      <c r="S763" s="2">
        <v>-0.13</v>
      </c>
    </row>
    <row r="764" spans="1:19" x14ac:dyDescent="0.2">
      <c r="A764">
        <v>763</v>
      </c>
      <c r="B764">
        <v>49</v>
      </c>
      <c r="C764" t="s">
        <v>762</v>
      </c>
      <c r="D764" s="13" t="s">
        <v>912</v>
      </c>
      <c r="E764" s="1">
        <v>1.9723299999999999</v>
      </c>
      <c r="F764">
        <v>3.8045399999999998</v>
      </c>
      <c r="G764" s="1">
        <v>1.9483658048441099</v>
      </c>
      <c r="H764" s="1">
        <v>3.7889246400130898</v>
      </c>
      <c r="I764">
        <f>VLOOKUP(C764,'[1]phenotypes-895'!$A$2:$G$896,7,FALSE)</f>
        <v>71</v>
      </c>
      <c r="J764" s="1">
        <v>-2.90919E-2</v>
      </c>
      <c r="K764" s="1">
        <f>VLOOKUP(C764,'[1]phenotypes-895'!$A$2:$I$896,9,FALSE)</f>
        <v>0.33400899633591552</v>
      </c>
      <c r="L764" s="1">
        <v>-6.7555000000000004E-2</v>
      </c>
      <c r="M764" s="4">
        <v>4.467797874257327</v>
      </c>
      <c r="N764" s="1">
        <v>9.0558800000000005E-3</v>
      </c>
      <c r="O764" s="8">
        <v>1</v>
      </c>
      <c r="P764" s="1">
        <v>-7.9778399999999999E-2</v>
      </c>
      <c r="Q764">
        <v>0.75700000000000001</v>
      </c>
      <c r="R764" s="1">
        <v>-2.7078499999999998E-2</v>
      </c>
      <c r="S764" s="2">
        <v>-0.09</v>
      </c>
    </row>
    <row r="765" spans="1:19" x14ac:dyDescent="0.2">
      <c r="A765">
        <v>764</v>
      </c>
      <c r="B765">
        <v>40</v>
      </c>
      <c r="C765" t="s">
        <v>763</v>
      </c>
      <c r="D765" s="13" t="s">
        <v>913</v>
      </c>
      <c r="E765" s="1">
        <v>-2.8733499999999998</v>
      </c>
      <c r="F765">
        <v>-3.3749899999999999</v>
      </c>
      <c r="G765" s="1">
        <v>-2.94170596147285</v>
      </c>
      <c r="H765" s="1">
        <v>-3.4445410161897798</v>
      </c>
      <c r="I765">
        <f>VLOOKUP(C765,'[1]phenotypes-895'!$A$2:$G$896,7,FALSE)</f>
        <v>64</v>
      </c>
      <c r="J765" s="1">
        <v>5.4614299999999998E-2</v>
      </c>
      <c r="K765" s="1">
        <f>VLOOKUP(C765,'[1]phenotypes-895'!$A$2:$I$896,9,FALSE)</f>
        <v>0.69623306878528635</v>
      </c>
      <c r="L765" s="1">
        <v>-7.6346699999999997E-3</v>
      </c>
      <c r="M765" s="4">
        <v>4.4474406495622141</v>
      </c>
      <c r="N765" s="1">
        <v>2.1374400000000002E-2</v>
      </c>
      <c r="O765" s="8">
        <v>1</v>
      </c>
      <c r="P765" s="1">
        <v>2.43611E-2</v>
      </c>
      <c r="Q765">
        <v>0.92700000000000005</v>
      </c>
      <c r="R765" s="1">
        <v>1.3517100000000001E-2</v>
      </c>
      <c r="S765" s="2">
        <v>-0.02</v>
      </c>
    </row>
    <row r="766" spans="1:19" x14ac:dyDescent="0.2">
      <c r="A766">
        <v>765</v>
      </c>
      <c r="B766">
        <v>26</v>
      </c>
      <c r="C766" t="s">
        <v>764</v>
      </c>
      <c r="D766" s="13" t="s">
        <v>913</v>
      </c>
      <c r="E766" s="1">
        <v>4.1588700000000003</v>
      </c>
      <c r="F766">
        <v>3.5676999999999999</v>
      </c>
      <c r="G766" s="1">
        <v>4.1367334447853796</v>
      </c>
      <c r="H766" s="1">
        <v>3.5517481958058599</v>
      </c>
      <c r="I766">
        <f>VLOOKUP(C766,'[1]phenotypes-895'!$A$2:$G$896,7,FALSE)</f>
        <v>71</v>
      </c>
      <c r="J766" s="1">
        <v>-4.7585000000000002E-2</v>
      </c>
      <c r="K766" s="1">
        <f>VLOOKUP(C766,'[1]phenotypes-895'!$A$2:$I$896,9,FALSE)</f>
        <v>0.46354026028331402</v>
      </c>
      <c r="L766" s="1">
        <v>-0.12895100000000001</v>
      </c>
      <c r="M766" s="4">
        <v>4.2098672920002214</v>
      </c>
      <c r="N766" s="1">
        <v>-1.2451800000000001E-2</v>
      </c>
      <c r="O766" s="8">
        <v>1</v>
      </c>
      <c r="P766" s="1">
        <v>0.12049799999999999</v>
      </c>
      <c r="Q766">
        <v>1.1859999999999999</v>
      </c>
      <c r="R766" s="1">
        <v>4.1337899999999997E-2</v>
      </c>
      <c r="S766" s="2">
        <v>0.05</v>
      </c>
    </row>
    <row r="767" spans="1:19" x14ac:dyDescent="0.2">
      <c r="A767">
        <v>766</v>
      </c>
      <c r="B767">
        <v>42</v>
      </c>
      <c r="C767" t="s">
        <v>765</v>
      </c>
      <c r="D767" s="13" t="s">
        <v>912</v>
      </c>
      <c r="E767" s="1">
        <v>-0.14876700000000001</v>
      </c>
      <c r="F767">
        <v>2.9795699999999998</v>
      </c>
      <c r="G767" s="1">
        <v>-0.13903125245535899</v>
      </c>
      <c r="H767" s="1">
        <v>2.9954609101480401</v>
      </c>
      <c r="I767">
        <f>VLOOKUP(C767,'[1]phenotypes-895'!$A$2:$G$896,7,FALSE)</f>
        <v>98</v>
      </c>
      <c r="J767" s="1">
        <v>2.2231299999999999E-2</v>
      </c>
      <c r="K767" s="1">
        <f>VLOOKUP(C767,'[1]phenotypes-895'!$A$2:$I$896,9,FALSE)</f>
        <v>0</v>
      </c>
      <c r="L767" s="1">
        <v>8.5549100000000003E-2</v>
      </c>
      <c r="M767" s="4">
        <v>0</v>
      </c>
      <c r="N767" s="1">
        <v>2.6141999999999999E-2</v>
      </c>
      <c r="O767" s="8">
        <v>0</v>
      </c>
      <c r="P767" s="1">
        <v>-0.227077</v>
      </c>
      <c r="Q767">
        <v>0.51500000000000001</v>
      </c>
      <c r="R767" s="1">
        <v>-9.17351E-2</v>
      </c>
      <c r="S767" s="2">
        <v>-0.22</v>
      </c>
    </row>
    <row r="768" spans="1:19" x14ac:dyDescent="0.2">
      <c r="A768">
        <v>767</v>
      </c>
      <c r="B768">
        <v>33</v>
      </c>
      <c r="C768" t="s">
        <v>766</v>
      </c>
      <c r="D768" s="13" t="s">
        <v>913</v>
      </c>
      <c r="E768" s="1">
        <v>-3.3872499999999999</v>
      </c>
      <c r="F768">
        <v>-3.6071300000000002</v>
      </c>
      <c r="G768" s="1">
        <v>-3.4065150114404901</v>
      </c>
      <c r="H768" s="1">
        <v>-3.6183524717213502</v>
      </c>
      <c r="I768">
        <f>VLOOKUP(C768,'[1]phenotypes-895'!$A$2:$G$896,7,FALSE)</f>
        <v>51</v>
      </c>
      <c r="J768" s="1">
        <v>4.8890599999999999E-2</v>
      </c>
      <c r="K768" s="1">
        <f>VLOOKUP(C768,'[1]phenotypes-895'!$A$2:$I$896,9,FALSE)</f>
        <v>0.4964390639407435</v>
      </c>
      <c r="L768" s="1">
        <v>9.5108200000000004E-2</v>
      </c>
      <c r="M768" s="4">
        <v>4.1324766284008421</v>
      </c>
      <c r="N768" s="1">
        <v>2.6219200000000002E-2</v>
      </c>
      <c r="O768" s="8">
        <v>1</v>
      </c>
      <c r="P768" s="1">
        <v>3.9120700000000001E-2</v>
      </c>
      <c r="Q768">
        <v>1.0249999999999999</v>
      </c>
      <c r="R768" s="1">
        <v>2.1976900000000001E-2</v>
      </c>
      <c r="S768" s="2">
        <v>0.01</v>
      </c>
    </row>
    <row r="769" spans="1:19" x14ac:dyDescent="0.2">
      <c r="A769">
        <v>768</v>
      </c>
      <c r="B769">
        <v>50</v>
      </c>
      <c r="C769" t="s">
        <v>767</v>
      </c>
      <c r="D769" s="13" t="s">
        <v>912</v>
      </c>
      <c r="E769" s="1">
        <v>-1.7309399999999999</v>
      </c>
      <c r="F769">
        <v>-0.74101899999999998</v>
      </c>
      <c r="G769" s="1">
        <v>-1.7314321555049501</v>
      </c>
      <c r="H769" s="1">
        <v>-0.74155926305342501</v>
      </c>
      <c r="I769">
        <f>VLOOKUP(C769,'[1]phenotypes-895'!$A$2:$G$896,7,FALSE)</f>
        <v>59</v>
      </c>
      <c r="J769" s="1">
        <v>3.3909799999999997E-2</v>
      </c>
      <c r="K769" s="1">
        <f>VLOOKUP(C769,'[1]phenotypes-895'!$A$2:$I$896,9,FALSE)</f>
        <v>0.43053406670867628</v>
      </c>
      <c r="L769" s="1">
        <v>-6.58452E-3</v>
      </c>
      <c r="M769" s="4">
        <v>4.4952064344736948</v>
      </c>
      <c r="N769" s="1">
        <v>4.6098899999999998E-2</v>
      </c>
      <c r="O769" s="8">
        <v>1</v>
      </c>
      <c r="P769" s="1">
        <v>-0.134239</v>
      </c>
      <c r="Q769">
        <v>0.45700000000000002</v>
      </c>
      <c r="R769" s="1">
        <v>-6.26496E-2</v>
      </c>
      <c r="S769" s="2">
        <v>-0.27</v>
      </c>
    </row>
    <row r="770" spans="1:19" x14ac:dyDescent="0.2">
      <c r="A770">
        <v>769</v>
      </c>
      <c r="B770">
        <v>45</v>
      </c>
      <c r="C770" t="s">
        <v>768</v>
      </c>
      <c r="D770" s="13" t="s">
        <v>912</v>
      </c>
      <c r="E770" s="1">
        <v>1.6255299999999999</v>
      </c>
      <c r="F770">
        <v>3.8043900000000002</v>
      </c>
      <c r="G770" s="1">
        <v>1.55804953393447</v>
      </c>
      <c r="H770" s="1">
        <v>3.7306367146553199</v>
      </c>
      <c r="I770">
        <f>VLOOKUP(C770,'[1]phenotypes-895'!$A$2:$G$896,7,FALSE)</f>
        <v>47</v>
      </c>
      <c r="J770" s="1">
        <v>-6.5618800000000005E-2</v>
      </c>
      <c r="K770" s="1">
        <f>VLOOKUP(C770,'[1]phenotypes-895'!$A$2:$I$896,9,FALSE)</f>
        <v>0.50918636374187165</v>
      </c>
      <c r="L770" s="1">
        <v>-3.8316700000000002E-2</v>
      </c>
      <c r="M770" s="4">
        <v>3.1221711964288734</v>
      </c>
      <c r="N770" s="1">
        <v>8.5140100000000007E-3</v>
      </c>
      <c r="O770" s="8">
        <v>1</v>
      </c>
      <c r="P770" s="1">
        <v>-0.120142</v>
      </c>
      <c r="Q770">
        <v>0.72599999999999998</v>
      </c>
      <c r="R770" s="1">
        <v>-4.6410300000000002E-2</v>
      </c>
      <c r="S770" s="2">
        <v>-0.11</v>
      </c>
    </row>
    <row r="771" spans="1:19" x14ac:dyDescent="0.2">
      <c r="A771">
        <v>770</v>
      </c>
      <c r="B771">
        <v>50</v>
      </c>
      <c r="C771" t="s">
        <v>769</v>
      </c>
      <c r="D771" s="13" t="s">
        <v>912</v>
      </c>
      <c r="E771" s="1">
        <v>0.117135</v>
      </c>
      <c r="F771">
        <v>1.7280199999999999</v>
      </c>
      <c r="G771" s="1">
        <v>4.9258807977246702E-2</v>
      </c>
      <c r="H771" s="1">
        <v>1.65506961471992</v>
      </c>
      <c r="I771">
        <f>VLOOKUP(C771,'[1]phenotypes-895'!$A$2:$G$896,7,FALSE)</f>
        <v>45</v>
      </c>
      <c r="J771" s="1">
        <v>-9.6936399999999999E-3</v>
      </c>
      <c r="K771" s="1">
        <f>VLOOKUP(C771,'[1]phenotypes-895'!$A$2:$I$896,9,FALSE)</f>
        <v>0.82802335927858273</v>
      </c>
      <c r="L771" s="1">
        <v>6.9496000000000002E-2</v>
      </c>
      <c r="M771" s="4">
        <v>5.0533500931418498</v>
      </c>
      <c r="N771" s="1">
        <v>1.48681E-2</v>
      </c>
      <c r="O771" s="8">
        <v>1</v>
      </c>
      <c r="P771" s="1">
        <v>-0.210616</v>
      </c>
      <c r="Q771">
        <v>0.56499999999999995</v>
      </c>
      <c r="R771" s="1">
        <v>-8.9138899999999993E-2</v>
      </c>
      <c r="S771" s="2">
        <v>-0.19</v>
      </c>
    </row>
    <row r="772" spans="1:19" x14ac:dyDescent="0.2">
      <c r="A772">
        <v>771</v>
      </c>
      <c r="B772">
        <v>21</v>
      </c>
      <c r="C772" t="s">
        <v>770</v>
      </c>
      <c r="D772" s="13" t="s">
        <v>913</v>
      </c>
      <c r="E772" s="1">
        <v>1.7248000000000001</v>
      </c>
      <c r="F772">
        <v>0.70842400000000005</v>
      </c>
      <c r="G772" s="1">
        <v>1.7054820304362099</v>
      </c>
      <c r="H772" s="1">
        <v>0.712858032803519</v>
      </c>
      <c r="I772">
        <f>VLOOKUP(C772,'[1]phenotypes-895'!$A$2:$G$896,7,FALSE)</f>
        <v>98</v>
      </c>
      <c r="J772" s="1">
        <v>-3.15895E-2</v>
      </c>
      <c r="K772" s="1">
        <f>VLOOKUP(C772,'[1]phenotypes-895'!$A$2:$I$896,9,FALSE)</f>
        <v>0</v>
      </c>
      <c r="L772" s="1">
        <v>-0.104271</v>
      </c>
      <c r="M772" s="4">
        <v>0</v>
      </c>
      <c r="N772" s="1">
        <v>-2.3796999999999999E-2</v>
      </c>
      <c r="O772" s="8">
        <v>0</v>
      </c>
      <c r="P772" s="1">
        <v>0.10134700000000001</v>
      </c>
      <c r="Q772">
        <v>1.073</v>
      </c>
      <c r="R772" s="1">
        <v>4.1617800000000003E-2</v>
      </c>
      <c r="S772" s="2">
        <v>0.02</v>
      </c>
    </row>
    <row r="773" spans="1:19" x14ac:dyDescent="0.2">
      <c r="A773">
        <v>772</v>
      </c>
      <c r="B773">
        <v>29</v>
      </c>
      <c r="C773" t="s">
        <v>771</v>
      </c>
      <c r="D773" s="13" t="s">
        <v>913</v>
      </c>
      <c r="E773" s="1">
        <v>-3.5633699999999999</v>
      </c>
      <c r="F773">
        <v>-5.4008200000000004</v>
      </c>
      <c r="G773" s="1">
        <v>-3.6120556246322599</v>
      </c>
      <c r="H773" s="1">
        <v>-5.4471860536375596</v>
      </c>
      <c r="I773">
        <f>VLOOKUP(C773,'[1]phenotypes-895'!$A$2:$G$896,7,FALSE)</f>
        <v>60</v>
      </c>
      <c r="J773" s="1">
        <v>6.6240499999999994E-2</v>
      </c>
      <c r="K773" s="1">
        <f>VLOOKUP(C773,'[1]phenotypes-895'!$A$2:$I$896,9,FALSE)</f>
        <v>0.73845291193495122</v>
      </c>
      <c r="L773" s="1">
        <v>-5.6908800000000002E-2</v>
      </c>
      <c r="M773" s="4">
        <v>4.792384301949447</v>
      </c>
      <c r="N773" s="1">
        <v>-3.8018499999999998E-3</v>
      </c>
      <c r="O773" s="8">
        <v>1</v>
      </c>
      <c r="P773" s="1">
        <v>8.7063500000000002E-2</v>
      </c>
      <c r="Q773">
        <v>1.125</v>
      </c>
      <c r="R773" s="1">
        <v>3.63237E-2</v>
      </c>
      <c r="S773" s="2">
        <v>0.04</v>
      </c>
    </row>
    <row r="774" spans="1:19" x14ac:dyDescent="0.2">
      <c r="A774">
        <v>773</v>
      </c>
      <c r="B774">
        <v>30</v>
      </c>
      <c r="C774" t="s">
        <v>772</v>
      </c>
      <c r="D774" s="13" t="s">
        <v>913</v>
      </c>
      <c r="E774" s="1">
        <v>-4.5561999999999996</v>
      </c>
      <c r="F774">
        <v>-6.7337300000000004</v>
      </c>
      <c r="G774" s="1">
        <v>-4.6108448605442396</v>
      </c>
      <c r="H774" s="1">
        <v>-6.7976793104608202</v>
      </c>
      <c r="I774">
        <f>VLOOKUP(C774,'[1]phenotypes-895'!$A$2:$G$896,7,FALSE)</f>
        <v>70</v>
      </c>
      <c r="J774" s="1">
        <v>7.1407600000000002E-2</v>
      </c>
      <c r="K774" s="1">
        <f>VLOOKUP(C774,'[1]phenotypes-895'!$A$2:$I$896,9,FALSE)</f>
        <v>0.46896334535393641</v>
      </c>
      <c r="L774" s="1">
        <v>-6.7283300000000004E-2</v>
      </c>
      <c r="M774" s="4">
        <v>4.640423016030609</v>
      </c>
      <c r="N774" s="1">
        <v>-2.42313E-4</v>
      </c>
      <c r="O774" s="8">
        <v>1</v>
      </c>
      <c r="P774" s="1">
        <v>0.13792499999999999</v>
      </c>
      <c r="Q774">
        <v>1.2150000000000001</v>
      </c>
      <c r="R774" s="1">
        <v>5.2037899999999998E-2</v>
      </c>
      <c r="S774" s="2">
        <v>0.06</v>
      </c>
    </row>
    <row r="775" spans="1:19" x14ac:dyDescent="0.2">
      <c r="A775">
        <v>774</v>
      </c>
      <c r="B775">
        <v>26</v>
      </c>
      <c r="C775" t="s">
        <v>773</v>
      </c>
      <c r="D775" s="13" t="s">
        <v>913</v>
      </c>
      <c r="E775" s="1">
        <v>6.5275600000000003</v>
      </c>
      <c r="F775">
        <v>6.0783699999999996</v>
      </c>
      <c r="G775" s="1">
        <v>6.5640084206432396</v>
      </c>
      <c r="H775" s="1">
        <v>6.1212769634794197</v>
      </c>
      <c r="I775">
        <f>VLOOKUP(C775,'[1]phenotypes-895'!$A$2:$G$896,7,FALSE)</f>
        <v>98</v>
      </c>
      <c r="J775" s="1">
        <v>-7.8497700000000004E-2</v>
      </c>
      <c r="K775" s="1">
        <f>VLOOKUP(C775,'[1]phenotypes-895'!$A$2:$I$896,9,FALSE)</f>
        <v>0</v>
      </c>
      <c r="L775" s="1">
        <v>-0.16470099999999999</v>
      </c>
      <c r="M775" s="4">
        <v>0</v>
      </c>
      <c r="N775" s="1">
        <v>-2.6297399999999999E-2</v>
      </c>
      <c r="O775" s="8">
        <v>0</v>
      </c>
      <c r="P775" s="1">
        <v>0.180753</v>
      </c>
      <c r="Q775">
        <v>1.262</v>
      </c>
      <c r="R775" s="1">
        <v>5.9343600000000003E-2</v>
      </c>
      <c r="S775" s="2">
        <v>7.0000000000000007E-2</v>
      </c>
    </row>
    <row r="776" spans="1:19" x14ac:dyDescent="0.2">
      <c r="A776">
        <v>775</v>
      </c>
      <c r="B776">
        <v>21</v>
      </c>
      <c r="C776" t="s">
        <v>774</v>
      </c>
      <c r="D776" s="13" t="s">
        <v>913</v>
      </c>
      <c r="E776" s="1">
        <v>3.9901599999999999</v>
      </c>
      <c r="F776">
        <v>3.1663100000000002</v>
      </c>
      <c r="G776" s="1">
        <v>3.9552463230602499</v>
      </c>
      <c r="H776" s="1">
        <v>3.1314742263592801</v>
      </c>
      <c r="I776">
        <f>VLOOKUP(C776,'[1]phenotypes-895'!$A$2:$G$896,7,FALSE)</f>
        <v>98</v>
      </c>
      <c r="J776" s="1">
        <v>-5.6339199999999999E-2</v>
      </c>
      <c r="K776" s="1">
        <f>VLOOKUP(C776,'[1]phenotypes-895'!$A$2:$I$896,9,FALSE)</f>
        <v>0</v>
      </c>
      <c r="L776" s="1">
        <v>-9.0193499999999996E-2</v>
      </c>
      <c r="M776" s="4">
        <v>0</v>
      </c>
      <c r="N776" s="1">
        <v>-2.4131099999999999E-2</v>
      </c>
      <c r="O776" s="8">
        <v>0</v>
      </c>
      <c r="P776" s="1">
        <v>7.94575E-2</v>
      </c>
      <c r="Q776">
        <v>1.1319999999999999</v>
      </c>
      <c r="R776" s="1">
        <v>3.3625000000000002E-2</v>
      </c>
      <c r="S776" s="2">
        <v>0.04</v>
      </c>
    </row>
    <row r="777" spans="1:19" x14ac:dyDescent="0.2">
      <c r="A777">
        <v>776</v>
      </c>
      <c r="B777">
        <v>23</v>
      </c>
      <c r="C777" t="s">
        <v>775</v>
      </c>
      <c r="D777" s="13" t="s">
        <v>913</v>
      </c>
      <c r="E777" s="1">
        <v>0.89632800000000001</v>
      </c>
      <c r="F777">
        <v>0.61068599999999995</v>
      </c>
      <c r="G777" s="1">
        <v>0.86189656970012796</v>
      </c>
      <c r="H777" s="1">
        <v>0.57574677934123797</v>
      </c>
      <c r="I777">
        <f>VLOOKUP(C777,'[1]phenotypes-895'!$A$2:$G$896,7,FALSE)</f>
        <v>77</v>
      </c>
      <c r="J777" s="1">
        <v>-4.0453299999999998E-2</v>
      </c>
      <c r="K777" s="1">
        <f>VLOOKUP(C777,'[1]phenotypes-895'!$A$2:$I$896,9,FALSE)</f>
        <v>0.3399224282166689</v>
      </c>
      <c r="L777" s="1">
        <v>-0.13531799999999999</v>
      </c>
      <c r="M777" s="4">
        <v>3.8686048304681617</v>
      </c>
      <c r="N777" s="1">
        <v>-6.1104100000000001E-3</v>
      </c>
      <c r="O777" s="8">
        <v>1</v>
      </c>
      <c r="P777" s="1">
        <v>0.10222100000000001</v>
      </c>
      <c r="Q777">
        <v>1.2609999999999999</v>
      </c>
      <c r="R777" s="1">
        <v>3.39174E-2</v>
      </c>
      <c r="S777" s="2">
        <v>7.0000000000000007E-2</v>
      </c>
    </row>
    <row r="778" spans="1:19" x14ac:dyDescent="0.2">
      <c r="A778">
        <v>777</v>
      </c>
      <c r="B778">
        <v>39</v>
      </c>
      <c r="C778" t="s">
        <v>776</v>
      </c>
      <c r="D778" s="13" t="s">
        <v>913</v>
      </c>
      <c r="E778" s="1">
        <v>4.4502899999999999</v>
      </c>
      <c r="F778">
        <v>4.2517500000000004</v>
      </c>
      <c r="G778" s="1">
        <v>4.4507370903114403</v>
      </c>
      <c r="H778" s="1">
        <v>4.2491681670174</v>
      </c>
      <c r="I778">
        <f>VLOOKUP(C778,'[1]phenotypes-895'!$A$2:$G$896,7,FALSE)</f>
        <v>98</v>
      </c>
      <c r="J778" s="1">
        <v>-7.7917299999999995E-2</v>
      </c>
      <c r="K778" s="1">
        <f>VLOOKUP(C778,'[1]phenotypes-895'!$A$2:$I$896,9,FALSE)</f>
        <v>0</v>
      </c>
      <c r="L778" s="1">
        <v>-1.8258699999999999E-2</v>
      </c>
      <c r="M778" s="4">
        <v>0</v>
      </c>
      <c r="N778" s="1">
        <v>-2.8021999999999998E-2</v>
      </c>
      <c r="O778" s="8">
        <v>0</v>
      </c>
      <c r="P778" s="1">
        <v>2.9499600000000001E-2</v>
      </c>
      <c r="Q778">
        <v>0.90600000000000003</v>
      </c>
      <c r="R778" s="1">
        <v>1.4368300000000001E-2</v>
      </c>
      <c r="S778" s="2">
        <v>-0.03</v>
      </c>
    </row>
    <row r="779" spans="1:19" x14ac:dyDescent="0.2">
      <c r="A779">
        <v>778</v>
      </c>
      <c r="B779">
        <v>39</v>
      </c>
      <c r="C779" t="s">
        <v>777</v>
      </c>
      <c r="D779" s="13" t="s">
        <v>913</v>
      </c>
      <c r="E779" s="1">
        <v>4.85595</v>
      </c>
      <c r="F779">
        <v>4.5475500000000002</v>
      </c>
      <c r="G779" s="1">
        <v>4.8440981143233</v>
      </c>
      <c r="H779" s="1">
        <v>4.5322309388345197</v>
      </c>
      <c r="I779">
        <f>VLOOKUP(C779,'[1]phenotypes-895'!$A$2:$G$896,7,FALSE)</f>
        <v>81</v>
      </c>
      <c r="J779" s="1">
        <v>-7.5190000000000007E-2</v>
      </c>
      <c r="K779" s="1">
        <f>VLOOKUP(C779,'[1]phenotypes-895'!$A$2:$I$896,9,FALSE)</f>
        <v>0.31036309594237782</v>
      </c>
      <c r="L779" s="1">
        <v>-2.2670699999999998E-2</v>
      </c>
      <c r="M779" s="4">
        <v>4.3440967901016583</v>
      </c>
      <c r="N779" s="1">
        <v>-3.10478E-2</v>
      </c>
      <c r="O779" s="8">
        <v>1</v>
      </c>
      <c r="P779" s="1">
        <v>2.7049799999999999E-2</v>
      </c>
      <c r="Q779">
        <v>0.99099999999999999</v>
      </c>
      <c r="R779" s="1">
        <v>1.48954E-2</v>
      </c>
      <c r="S779" s="2">
        <v>0</v>
      </c>
    </row>
    <row r="780" spans="1:19" x14ac:dyDescent="0.2">
      <c r="A780">
        <v>779</v>
      </c>
      <c r="B780">
        <v>28</v>
      </c>
      <c r="C780" t="s">
        <v>778</v>
      </c>
      <c r="D780" s="13" t="s">
        <v>913</v>
      </c>
      <c r="E780" s="1">
        <v>-6.0996899999999998</v>
      </c>
      <c r="F780">
        <v>-8.5890799999999992</v>
      </c>
      <c r="G780" s="1">
        <v>-6.1736690373643599</v>
      </c>
      <c r="H780" s="1">
        <v>-8.6865011706803603</v>
      </c>
      <c r="I780">
        <f>VLOOKUP(C780,'[1]phenotypes-895'!$A$2:$G$896,7,FALSE)</f>
        <v>63</v>
      </c>
      <c r="J780" s="1">
        <v>4.7217000000000002E-2</v>
      </c>
      <c r="K780" s="1">
        <f>VLOOKUP(C780,'[1]phenotypes-895'!$A$2:$I$896,9,FALSE)</f>
        <v>0.35996469176303242</v>
      </c>
      <c r="L780" s="1">
        <v>7.1214399999999997E-2</v>
      </c>
      <c r="M780" s="4">
        <v>3.7569624714567853</v>
      </c>
      <c r="N780" s="1">
        <v>2.39539E-2</v>
      </c>
      <c r="O780" s="8">
        <v>1</v>
      </c>
      <c r="P780" s="1">
        <v>7.7585000000000001E-2</v>
      </c>
      <c r="Q780">
        <v>1.272</v>
      </c>
      <c r="R780" s="1">
        <v>6.9803E-3</v>
      </c>
      <c r="S780" s="2">
        <v>7.0000000000000007E-2</v>
      </c>
    </row>
    <row r="781" spans="1:19" x14ac:dyDescent="0.2">
      <c r="A781">
        <v>780</v>
      </c>
      <c r="B781">
        <v>35</v>
      </c>
      <c r="C781" t="s">
        <v>779</v>
      </c>
      <c r="D781" s="13" t="s">
        <v>913</v>
      </c>
      <c r="E781" s="1">
        <v>-0.22178999999999999</v>
      </c>
      <c r="F781">
        <v>-2.5359799999999999</v>
      </c>
      <c r="G781" s="1">
        <v>-0.26069079230344</v>
      </c>
      <c r="H781" s="1">
        <v>-2.5926047423745802</v>
      </c>
      <c r="I781">
        <f>VLOOKUP(C781,'[1]phenotypes-895'!$A$2:$G$896,7,FALSE)</f>
        <v>98</v>
      </c>
      <c r="J781" s="1">
        <v>-9.4903000000000001E-3</v>
      </c>
      <c r="K781" s="1">
        <f>VLOOKUP(C781,'[1]phenotypes-895'!$A$2:$I$896,9,FALSE)</f>
        <v>0</v>
      </c>
      <c r="L781" s="1">
        <v>-0.15778</v>
      </c>
      <c r="M781" s="4">
        <v>0</v>
      </c>
      <c r="N781" s="1">
        <v>-1.54927E-2</v>
      </c>
      <c r="O781" s="8">
        <v>0</v>
      </c>
      <c r="P781" s="1">
        <v>8.8095400000000004E-2</v>
      </c>
      <c r="Q781">
        <v>0.89700000000000002</v>
      </c>
      <c r="R781" s="1">
        <v>4.2056499999999997E-2</v>
      </c>
      <c r="S781" s="2">
        <v>-0.03</v>
      </c>
    </row>
    <row r="782" spans="1:19" x14ac:dyDescent="0.2">
      <c r="A782">
        <v>781</v>
      </c>
      <c r="B782">
        <v>44</v>
      </c>
      <c r="C782" t="s">
        <v>780</v>
      </c>
      <c r="D782" s="13" t="s">
        <v>912</v>
      </c>
      <c r="E782" s="1">
        <v>-3.6043599999999998</v>
      </c>
      <c r="F782">
        <v>-1.7334099999999999</v>
      </c>
      <c r="G782" s="1">
        <v>-3.6565570373301099</v>
      </c>
      <c r="H782" s="1">
        <v>-1.7771577656943101</v>
      </c>
      <c r="I782">
        <f>VLOOKUP(C782,'[1]phenotypes-895'!$A$2:$G$896,7,FALSE)</f>
        <v>44</v>
      </c>
      <c r="J782" s="1">
        <v>-3.5415799999999997E-2</v>
      </c>
      <c r="K782" s="1">
        <f>VLOOKUP(C782,'[1]phenotypes-895'!$A$2:$I$896,9,FALSE)</f>
        <v>0.54045734265919632</v>
      </c>
      <c r="L782" s="1">
        <v>-4.0861099999999997E-2</v>
      </c>
      <c r="M782" s="4">
        <v>3.8018557327514149</v>
      </c>
      <c r="N782" s="1">
        <v>-1.90835E-2</v>
      </c>
      <c r="O782" s="8">
        <v>1</v>
      </c>
      <c r="P782" s="1">
        <v>-0.14838100000000001</v>
      </c>
      <c r="Q782">
        <v>0.56399999999999995</v>
      </c>
      <c r="R782" s="1">
        <v>-5.1938600000000001E-2</v>
      </c>
      <c r="S782" s="2">
        <v>-0.19</v>
      </c>
    </row>
    <row r="783" spans="1:19" x14ac:dyDescent="0.2">
      <c r="A783">
        <v>782</v>
      </c>
      <c r="B783">
        <v>24</v>
      </c>
      <c r="C783" t="s">
        <v>781</v>
      </c>
      <c r="D783" s="13" t="s">
        <v>913</v>
      </c>
      <c r="E783" s="1">
        <v>2.3066300000000002</v>
      </c>
      <c r="F783">
        <v>1.1491</v>
      </c>
      <c r="G783" s="1">
        <v>2.2806103566889799</v>
      </c>
      <c r="H783" s="1">
        <v>1.11028074111247</v>
      </c>
      <c r="I783">
        <f>VLOOKUP(C783,'[1]phenotypes-895'!$A$2:$G$896,7,FALSE)</f>
        <v>72</v>
      </c>
      <c r="J783" s="1">
        <v>3.5206500000000002E-2</v>
      </c>
      <c r="K783" s="1">
        <f>VLOOKUP(C783,'[1]phenotypes-895'!$A$2:$I$896,9,FALSE)</f>
        <v>0.73415592926575191</v>
      </c>
      <c r="L783" s="1">
        <v>0.190332</v>
      </c>
      <c r="M783" s="4">
        <v>4.6888752522850545</v>
      </c>
      <c r="N783" s="1">
        <v>-3.2842599999999998E-3</v>
      </c>
      <c r="O783" s="8">
        <v>1</v>
      </c>
      <c r="P783" s="1">
        <v>0.149501</v>
      </c>
      <c r="Q783">
        <v>1.18</v>
      </c>
      <c r="R783" s="1">
        <v>5.3813899999999998E-2</v>
      </c>
      <c r="S783" s="2">
        <v>0.05</v>
      </c>
    </row>
    <row r="784" spans="1:19" x14ac:dyDescent="0.2">
      <c r="A784">
        <v>783</v>
      </c>
      <c r="B784">
        <v>46</v>
      </c>
      <c r="C784" t="s">
        <v>782</v>
      </c>
      <c r="D784" s="13" t="s">
        <v>912</v>
      </c>
      <c r="E784" s="1">
        <v>-0.33967399999999998</v>
      </c>
      <c r="F784">
        <v>2.3584299999999998</v>
      </c>
      <c r="G784" s="1">
        <v>-0.370338723188056</v>
      </c>
      <c r="H784" s="1">
        <v>2.3444887075207399</v>
      </c>
      <c r="I784">
        <f>VLOOKUP(C784,'[1]phenotypes-895'!$A$2:$G$896,7,FALSE)</f>
        <v>59</v>
      </c>
      <c r="J784" s="1">
        <v>3.67455E-3</v>
      </c>
      <c r="K784" s="1">
        <f>VLOOKUP(C784,'[1]phenotypes-895'!$A$2:$I$896,9,FALSE)</f>
        <v>0.4447238965563472</v>
      </c>
      <c r="L784" s="1">
        <v>-5.4928699999999997E-2</v>
      </c>
      <c r="M784" s="4">
        <v>4.1468344939956943</v>
      </c>
      <c r="N784" s="1">
        <v>1.30349E-2</v>
      </c>
      <c r="O784" s="8">
        <v>1</v>
      </c>
      <c r="P784" s="1">
        <v>-0.18368300000000001</v>
      </c>
      <c r="Q784">
        <v>0.55000000000000004</v>
      </c>
      <c r="R784" s="1">
        <v>-7.8115000000000004E-2</v>
      </c>
      <c r="S784" s="2">
        <v>-0.2</v>
      </c>
    </row>
    <row r="785" spans="1:19" x14ac:dyDescent="0.2">
      <c r="A785">
        <v>784</v>
      </c>
      <c r="B785">
        <v>37</v>
      </c>
      <c r="C785" t="s">
        <v>783</v>
      </c>
      <c r="D785" s="13" t="s">
        <v>913</v>
      </c>
      <c r="E785" s="1">
        <v>0.79220199999999996</v>
      </c>
      <c r="F785">
        <v>0.55174299999999998</v>
      </c>
      <c r="G785" s="1">
        <v>0.77276368629454395</v>
      </c>
      <c r="H785" s="1">
        <v>0.519761976175387</v>
      </c>
      <c r="I785">
        <f>VLOOKUP(C785,'[1]phenotypes-895'!$A$2:$G$896,7,FALSE)</f>
        <v>98</v>
      </c>
      <c r="J785" s="1">
        <v>1.4179799999999999E-2</v>
      </c>
      <c r="K785" s="1">
        <f>VLOOKUP(C785,'[1]phenotypes-895'!$A$2:$I$896,9,FALSE)</f>
        <v>0.26284940437979099</v>
      </c>
      <c r="L785" s="1">
        <v>-2.5989600000000002E-2</v>
      </c>
      <c r="M785" s="4">
        <v>3.525971055858351</v>
      </c>
      <c r="N785" s="1">
        <v>3.6030699999999999E-2</v>
      </c>
      <c r="O785" s="8">
        <v>1</v>
      </c>
      <c r="P785" s="1">
        <v>-0.114387</v>
      </c>
      <c r="Q785">
        <v>0.55000000000000004</v>
      </c>
      <c r="R785" s="1">
        <v>-5.2504700000000001E-2</v>
      </c>
      <c r="S785" s="2">
        <v>-0.2</v>
      </c>
    </row>
    <row r="786" spans="1:19" x14ac:dyDescent="0.2">
      <c r="A786">
        <v>785</v>
      </c>
      <c r="B786">
        <v>54</v>
      </c>
      <c r="C786" t="s">
        <v>784</v>
      </c>
      <c r="D786" s="13" t="s">
        <v>912</v>
      </c>
      <c r="E786" s="1">
        <v>-1.60643</v>
      </c>
      <c r="F786">
        <v>-0.36217899999999997</v>
      </c>
      <c r="G786" s="1">
        <v>-1.6388925089591899</v>
      </c>
      <c r="H786" s="1">
        <v>-0.39255670726071501</v>
      </c>
      <c r="I786">
        <f>VLOOKUP(C786,'[1]phenotypes-895'!$A$2:$G$896,7,FALSE)</f>
        <v>51</v>
      </c>
      <c r="J786" s="1">
        <v>-2.0988300000000001E-2</v>
      </c>
      <c r="K786" s="1">
        <f>VLOOKUP(C786,'[1]phenotypes-895'!$A$2:$I$896,9,FALSE)</f>
        <v>0.2474730456377984</v>
      </c>
      <c r="L786" s="1">
        <v>-7.2505500000000001E-2</v>
      </c>
      <c r="M786" s="4">
        <v>3.2145835259105424</v>
      </c>
      <c r="N786" s="1">
        <v>-8.2909200000000002E-3</v>
      </c>
      <c r="O786" s="8">
        <v>1</v>
      </c>
      <c r="P786" s="1">
        <v>-9.7951399999999994E-2</v>
      </c>
      <c r="Q786">
        <v>0.55700000000000005</v>
      </c>
      <c r="R786" s="1">
        <v>-4.0360300000000002E-2</v>
      </c>
      <c r="S786" s="2">
        <v>-0.19</v>
      </c>
    </row>
    <row r="787" spans="1:19" x14ac:dyDescent="0.2">
      <c r="A787">
        <v>786</v>
      </c>
      <c r="B787">
        <v>31</v>
      </c>
      <c r="C787" t="s">
        <v>785</v>
      </c>
      <c r="D787" s="13" t="s">
        <v>913</v>
      </c>
      <c r="E787" s="1">
        <v>1.20313</v>
      </c>
      <c r="F787">
        <v>-0.43975500000000001</v>
      </c>
      <c r="G787" s="1">
        <v>1.17891525865696</v>
      </c>
      <c r="H787" s="1">
        <v>-0.46979562365272098</v>
      </c>
      <c r="I787">
        <f>VLOOKUP(C787,'[1]phenotypes-895'!$A$2:$G$896,7,FALSE)</f>
        <v>98</v>
      </c>
      <c r="J787" s="1">
        <v>9.5949E-3</v>
      </c>
      <c r="K787" s="1">
        <f>VLOOKUP(C787,'[1]phenotypes-895'!$A$2:$I$896,9,FALSE)</f>
        <v>0</v>
      </c>
      <c r="L787" s="1">
        <v>-7.7257800000000001E-2</v>
      </c>
      <c r="M787" s="4">
        <v>0</v>
      </c>
      <c r="N787" s="1">
        <v>-1.2886099999999999E-2</v>
      </c>
      <c r="O787" s="8">
        <v>0</v>
      </c>
      <c r="P787" s="1">
        <v>4.71402E-2</v>
      </c>
      <c r="Q787">
        <v>1.0569999999999999</v>
      </c>
      <c r="R787" s="1">
        <v>2.2145999999999999E-2</v>
      </c>
      <c r="S787" s="2">
        <v>0.02</v>
      </c>
    </row>
    <row r="788" spans="1:19" x14ac:dyDescent="0.2">
      <c r="A788">
        <v>787</v>
      </c>
      <c r="B788">
        <v>42</v>
      </c>
      <c r="C788" t="s">
        <v>786</v>
      </c>
      <c r="D788" s="13" t="s">
        <v>912</v>
      </c>
      <c r="E788" s="1">
        <v>-2.0971700000000002</v>
      </c>
      <c r="F788">
        <v>-0.141515</v>
      </c>
      <c r="G788" s="1">
        <v>-2.0874223930872402</v>
      </c>
      <c r="H788" s="1">
        <v>-0.11810885847080201</v>
      </c>
      <c r="I788">
        <f>VLOOKUP(C788,'[1]phenotypes-895'!$A$2:$G$896,7,FALSE)</f>
        <v>82</v>
      </c>
      <c r="J788" s="1">
        <v>2.9889200000000001E-2</v>
      </c>
      <c r="K788" s="1">
        <f>VLOOKUP(C788,'[1]phenotypes-895'!$A$2:$I$896,9,FALSE)</f>
        <v>0.40265572662673421</v>
      </c>
      <c r="L788" s="1">
        <v>8.2916100000000006E-2</v>
      </c>
      <c r="M788" s="4">
        <v>0</v>
      </c>
      <c r="N788" s="1">
        <v>3.6891300000000002E-2</v>
      </c>
      <c r="O788" s="8">
        <v>1</v>
      </c>
      <c r="P788" s="1">
        <v>-0.17580499999999999</v>
      </c>
      <c r="Q788">
        <v>0.52</v>
      </c>
      <c r="R788" s="1">
        <v>-7.2365100000000002E-2</v>
      </c>
      <c r="S788" s="2">
        <v>-0.22</v>
      </c>
    </row>
    <row r="789" spans="1:19" x14ac:dyDescent="0.2">
      <c r="A789">
        <v>788</v>
      </c>
      <c r="B789">
        <v>33</v>
      </c>
      <c r="C789" t="s">
        <v>787</v>
      </c>
      <c r="D789" s="13" t="s">
        <v>913</v>
      </c>
      <c r="E789" s="1">
        <v>-0.95559700000000003</v>
      </c>
      <c r="F789">
        <v>-0.20353599999999999</v>
      </c>
      <c r="G789" s="1">
        <v>-0.99150398035968701</v>
      </c>
      <c r="H789" s="1">
        <v>-0.23196694897793901</v>
      </c>
      <c r="I789">
        <f>VLOOKUP(C789,'[1]phenotypes-895'!$A$2:$G$896,7,FALSE)</f>
        <v>98</v>
      </c>
      <c r="J789" s="1">
        <v>-6.81805E-3</v>
      </c>
      <c r="K789" s="1">
        <f>VLOOKUP(C789,'[1]phenotypes-895'!$A$2:$I$896,9,FALSE)</f>
        <v>0</v>
      </c>
      <c r="L789" s="1">
        <v>2.33574E-2</v>
      </c>
      <c r="M789" s="4">
        <v>0</v>
      </c>
      <c r="N789" s="1">
        <v>-6.4100400000000003E-4</v>
      </c>
      <c r="O789" s="8">
        <v>0</v>
      </c>
      <c r="P789" s="1">
        <v>-8.1881499999999996E-2</v>
      </c>
      <c r="Q789">
        <v>0.745</v>
      </c>
      <c r="R789" s="1">
        <v>-2.82566E-2</v>
      </c>
      <c r="S789" s="2">
        <v>-0.09</v>
      </c>
    </row>
    <row r="790" spans="1:19" x14ac:dyDescent="0.2">
      <c r="A790">
        <v>789</v>
      </c>
      <c r="B790">
        <v>37</v>
      </c>
      <c r="C790" t="s">
        <v>788</v>
      </c>
      <c r="D790" s="13" t="s">
        <v>913</v>
      </c>
      <c r="E790" s="1">
        <v>5.6040200000000002</v>
      </c>
      <c r="F790">
        <v>4.5289400000000004</v>
      </c>
      <c r="G790" s="1">
        <v>5.6166950179906303</v>
      </c>
      <c r="H790" s="1">
        <v>4.5528200345288896</v>
      </c>
      <c r="I790">
        <f>VLOOKUP(C790,'[1]phenotypes-895'!$A$2:$G$896,7,FALSE)</f>
        <v>98</v>
      </c>
      <c r="J790" s="1">
        <v>-8.4506499999999998E-2</v>
      </c>
      <c r="K790" s="1">
        <f>VLOOKUP(C790,'[1]phenotypes-895'!$A$2:$I$896,9,FALSE)</f>
        <v>0</v>
      </c>
      <c r="L790" s="1">
        <v>-5.7479599999999999E-2</v>
      </c>
      <c r="M790" s="4">
        <v>0</v>
      </c>
      <c r="N790" s="1">
        <v>-2.33867E-2</v>
      </c>
      <c r="O790" s="8">
        <v>0</v>
      </c>
      <c r="P790" s="1">
        <v>-6.6190899999999997E-2</v>
      </c>
      <c r="Q790">
        <v>0.47799999999999998</v>
      </c>
      <c r="R790" s="1">
        <v>-3.3963500000000001E-2</v>
      </c>
      <c r="S790" s="2">
        <v>-0.25</v>
      </c>
    </row>
    <row r="791" spans="1:19" x14ac:dyDescent="0.2">
      <c r="A791">
        <v>790</v>
      </c>
      <c r="B791">
        <v>39</v>
      </c>
      <c r="C791" t="s">
        <v>789</v>
      </c>
      <c r="D791" s="13" t="s">
        <v>913</v>
      </c>
      <c r="E791" s="1">
        <v>6.7778700000000001</v>
      </c>
      <c r="F791">
        <v>4.5537299999999998</v>
      </c>
      <c r="G791" s="1">
        <v>6.7342409613653</v>
      </c>
      <c r="H791" s="1">
        <v>4.5053479107874601</v>
      </c>
      <c r="I791">
        <f>VLOOKUP(C791,'[1]phenotypes-895'!$A$2:$G$896,7,FALSE)</f>
        <v>98</v>
      </c>
      <c r="J791" s="1">
        <v>-9.4640500000000002E-2</v>
      </c>
      <c r="K791" s="1">
        <f>VLOOKUP(C791,'[1]phenotypes-895'!$A$2:$I$896,9,FALSE)</f>
        <v>0</v>
      </c>
      <c r="L791" s="1">
        <v>-0.14464099999999999</v>
      </c>
      <c r="M791" s="4">
        <v>0</v>
      </c>
      <c r="N791" s="1">
        <v>-2.7032500000000001E-2</v>
      </c>
      <c r="O791" s="8">
        <v>0</v>
      </c>
      <c r="P791" s="1">
        <v>9.4172900000000004E-2</v>
      </c>
      <c r="Q791">
        <v>1.01</v>
      </c>
      <c r="R791" s="1">
        <v>3.3341000000000003E-2</v>
      </c>
      <c r="S791" s="2">
        <v>0</v>
      </c>
    </row>
    <row r="792" spans="1:19" x14ac:dyDescent="0.2">
      <c r="A792">
        <v>791</v>
      </c>
      <c r="B792">
        <v>25</v>
      </c>
      <c r="C792" t="s">
        <v>790</v>
      </c>
      <c r="D792" s="13" t="s">
        <v>913</v>
      </c>
      <c r="E792" s="1">
        <v>4.2380599999999999</v>
      </c>
      <c r="F792">
        <v>4.04467</v>
      </c>
      <c r="G792" s="1">
        <v>4.2289158718849302</v>
      </c>
      <c r="H792" s="1">
        <v>4.0300089923045599</v>
      </c>
      <c r="I792">
        <f>VLOOKUP(C792,'[1]phenotypes-895'!$A$2:$G$896,7,FALSE)</f>
        <v>98</v>
      </c>
      <c r="J792" s="1">
        <v>-5.5338100000000001E-2</v>
      </c>
      <c r="K792" s="1">
        <f>VLOOKUP(C792,'[1]phenotypes-895'!$A$2:$I$896,9,FALSE)</f>
        <v>0</v>
      </c>
      <c r="L792" s="1">
        <v>0.15895999999999999</v>
      </c>
      <c r="M792" s="4">
        <v>0</v>
      </c>
      <c r="N792" s="1">
        <v>-1.6407600000000001E-2</v>
      </c>
      <c r="O792" s="8">
        <v>0</v>
      </c>
      <c r="P792" s="1">
        <v>0.101911</v>
      </c>
      <c r="Q792">
        <v>0.96399999999999997</v>
      </c>
      <c r="R792" s="1">
        <v>4.0091300000000003E-2</v>
      </c>
      <c r="S792" s="2">
        <v>-0.01</v>
      </c>
    </row>
    <row r="793" spans="1:19" x14ac:dyDescent="0.2">
      <c r="A793">
        <v>792</v>
      </c>
      <c r="B793">
        <v>34</v>
      </c>
      <c r="C793" t="s">
        <v>791</v>
      </c>
      <c r="D793" s="13" t="s">
        <v>913</v>
      </c>
      <c r="E793" s="1">
        <v>0.99760400000000005</v>
      </c>
      <c r="F793">
        <v>1.7624200000000001</v>
      </c>
      <c r="G793" s="1">
        <v>0.99005271977001097</v>
      </c>
      <c r="H793" s="1">
        <v>1.7477612805540299</v>
      </c>
      <c r="I793">
        <f>VLOOKUP(C793,'[1]phenotypes-895'!$A$2:$G$896,7,FALSE)</f>
        <v>98</v>
      </c>
      <c r="J793" s="1">
        <v>-1.01558E-2</v>
      </c>
      <c r="K793" s="1">
        <f>VLOOKUP(C793,'[1]phenotypes-895'!$A$2:$I$896,9,FALSE)</f>
        <v>0</v>
      </c>
      <c r="L793" s="1">
        <v>-7.1242899999999998E-2</v>
      </c>
      <c r="M793" s="4">
        <v>0</v>
      </c>
      <c r="N793" s="1">
        <v>-7.7041000000000002E-3</v>
      </c>
      <c r="O793" s="8">
        <v>0</v>
      </c>
      <c r="P793" s="1">
        <v>-5.6370200000000002E-2</v>
      </c>
      <c r="Q793">
        <v>0.97099999999999997</v>
      </c>
      <c r="R793" s="1">
        <v>-2.2102199999999999E-2</v>
      </c>
      <c r="S793" s="2">
        <v>-0.01</v>
      </c>
    </row>
    <row r="794" spans="1:19" x14ac:dyDescent="0.2">
      <c r="A794">
        <v>793</v>
      </c>
      <c r="B794">
        <v>30</v>
      </c>
      <c r="C794" t="s">
        <v>792</v>
      </c>
      <c r="D794" s="13" t="s">
        <v>913</v>
      </c>
      <c r="E794" s="1">
        <v>2.4599899999999999</v>
      </c>
      <c r="F794">
        <v>3.1284200000000002</v>
      </c>
      <c r="G794" s="1">
        <v>2.4277873895234401</v>
      </c>
      <c r="H794" s="1">
        <v>3.0969537796040298</v>
      </c>
      <c r="I794">
        <f>VLOOKUP(C794,'[1]phenotypes-895'!$A$2:$G$896,7,FALSE)</f>
        <v>98</v>
      </c>
      <c r="J794" s="1">
        <v>-7.9133400000000007E-2</v>
      </c>
      <c r="K794" s="1">
        <f>VLOOKUP(C794,'[1]phenotypes-895'!$A$2:$I$896,9,FALSE)</f>
        <v>0.1505831517793316</v>
      </c>
      <c r="L794" s="1">
        <v>-8.65007E-2</v>
      </c>
      <c r="M794" s="4">
        <v>3.2421878726959346</v>
      </c>
      <c r="N794" s="1">
        <v>-2.0549000000000001E-2</v>
      </c>
      <c r="O794" s="8">
        <v>1</v>
      </c>
      <c r="P794" s="1">
        <v>-1.6603300000000001E-2</v>
      </c>
      <c r="Q794">
        <v>1.1719999999999999</v>
      </c>
      <c r="R794" s="1">
        <v>-7.58905E-3</v>
      </c>
      <c r="S794" s="2">
        <v>0.05</v>
      </c>
    </row>
    <row r="795" spans="1:19" x14ac:dyDescent="0.2">
      <c r="A795">
        <v>794</v>
      </c>
      <c r="B795">
        <v>35</v>
      </c>
      <c r="C795" t="s">
        <v>793</v>
      </c>
      <c r="D795" s="13" t="s">
        <v>913</v>
      </c>
      <c r="E795" s="1">
        <v>3.1269200000000001</v>
      </c>
      <c r="F795">
        <v>2.08711</v>
      </c>
      <c r="G795" s="1">
        <v>3.14795566057765</v>
      </c>
      <c r="H795" s="1">
        <v>2.1112299031080202</v>
      </c>
      <c r="I795">
        <f>VLOOKUP(C795,'[1]phenotypes-895'!$A$2:$G$896,7,FALSE)</f>
        <v>98</v>
      </c>
      <c r="J795" s="1">
        <v>-4.7395E-2</v>
      </c>
      <c r="K795" s="1">
        <f>VLOOKUP(C795,'[1]phenotypes-895'!$A$2:$I$896,9,FALSE)</f>
        <v>0</v>
      </c>
      <c r="L795" s="1">
        <v>-3.7621500000000002E-2</v>
      </c>
      <c r="M795" s="4">
        <v>0</v>
      </c>
      <c r="N795" s="1">
        <v>-3.0701700000000001E-3</v>
      </c>
      <c r="O795" s="8">
        <v>0</v>
      </c>
      <c r="P795" s="1">
        <v>5.76664E-2</v>
      </c>
      <c r="Q795">
        <v>0.89400000000000002</v>
      </c>
      <c r="R795" s="1">
        <v>3.03492E-2</v>
      </c>
      <c r="S795" s="2">
        <v>-0.03</v>
      </c>
    </row>
    <row r="796" spans="1:19" x14ac:dyDescent="0.2">
      <c r="A796">
        <v>795</v>
      </c>
      <c r="B796">
        <v>28</v>
      </c>
      <c r="C796" t="s">
        <v>794</v>
      </c>
      <c r="D796" s="13" t="s">
        <v>913</v>
      </c>
      <c r="E796" s="1">
        <v>4.7113899999999997</v>
      </c>
      <c r="F796">
        <v>5.0161100000000003</v>
      </c>
      <c r="G796" s="1">
        <v>4.7144027353215101</v>
      </c>
      <c r="H796" s="1">
        <v>5.0122039476283602</v>
      </c>
      <c r="I796">
        <f>VLOOKUP(C796,'[1]phenotypes-895'!$A$2:$G$896,7,FALSE)</f>
        <v>98</v>
      </c>
      <c r="J796" s="1">
        <v>-6.0595900000000001E-2</v>
      </c>
      <c r="K796" s="1">
        <f>VLOOKUP(C796,'[1]phenotypes-895'!$A$2:$I$896,9,FALSE)</f>
        <v>0</v>
      </c>
      <c r="L796" s="1">
        <v>-3.7423100000000001E-2</v>
      </c>
      <c r="M796" s="4">
        <v>0</v>
      </c>
      <c r="N796" s="1">
        <v>2.21383E-2</v>
      </c>
      <c r="O796" s="8">
        <v>0</v>
      </c>
      <c r="P796" s="1">
        <v>-3.32468E-2</v>
      </c>
      <c r="Q796">
        <v>1.1639999999999999</v>
      </c>
      <c r="R796" s="1">
        <v>-1.7289100000000002E-2</v>
      </c>
      <c r="S796" s="2">
        <v>0.05</v>
      </c>
    </row>
    <row r="797" spans="1:19" x14ac:dyDescent="0.2">
      <c r="A797">
        <v>796</v>
      </c>
      <c r="B797">
        <v>31</v>
      </c>
      <c r="C797" t="s">
        <v>795</v>
      </c>
      <c r="D797" s="13" t="s">
        <v>913</v>
      </c>
      <c r="E797" s="1">
        <v>1.0877699999999999</v>
      </c>
      <c r="F797">
        <v>0.82614699999999996</v>
      </c>
      <c r="G797" s="1">
        <v>1.1244739412060001</v>
      </c>
      <c r="H797" s="1">
        <v>0.87098188485841699</v>
      </c>
      <c r="I797">
        <f>VLOOKUP(C797,'[1]phenotypes-895'!$A$2:$G$896,7,FALSE)</f>
        <v>98</v>
      </c>
      <c r="J797" s="1">
        <v>-9.2969799999999998E-3</v>
      </c>
      <c r="K797" s="1">
        <f>VLOOKUP(C797,'[1]phenotypes-895'!$A$2:$I$896,9,FALSE)</f>
        <v>0.27272205114136638</v>
      </c>
      <c r="L797" s="1">
        <v>8.1856999999999999E-2</v>
      </c>
      <c r="M797" s="4">
        <v>4.2239237929473878</v>
      </c>
      <c r="N797" s="1">
        <v>6.5830799999999998E-3</v>
      </c>
      <c r="O797" s="8">
        <v>1</v>
      </c>
      <c r="P797" s="1">
        <v>2.1296099999999998E-2</v>
      </c>
      <c r="Q797">
        <v>1.0389999999999999</v>
      </c>
      <c r="R797" s="1">
        <v>1.3555599999999999E-2</v>
      </c>
      <c r="S797" s="2">
        <v>0.01</v>
      </c>
    </row>
    <row r="798" spans="1:19" x14ac:dyDescent="0.2">
      <c r="A798">
        <v>797</v>
      </c>
      <c r="B798">
        <v>21</v>
      </c>
      <c r="C798" t="s">
        <v>796</v>
      </c>
      <c r="D798" s="13" t="s">
        <v>913</v>
      </c>
      <c r="E798" s="1">
        <v>4.5364000000000004</v>
      </c>
      <c r="F798">
        <v>4.0305900000000001</v>
      </c>
      <c r="G798" s="1">
        <v>4.5491566693590002</v>
      </c>
      <c r="H798" s="1">
        <v>4.0362047543390602</v>
      </c>
      <c r="I798">
        <f>VLOOKUP(C798,'[1]phenotypes-895'!$A$2:$G$896,7,FALSE)</f>
        <v>98</v>
      </c>
      <c r="J798" s="1">
        <v>-8.4656899999999993E-2</v>
      </c>
      <c r="K798" s="1">
        <f>VLOOKUP(C798,'[1]phenotypes-895'!$A$2:$I$896,9,FALSE)</f>
        <v>0</v>
      </c>
      <c r="L798" s="1">
        <v>-1.47557E-2</v>
      </c>
      <c r="M798" s="4">
        <v>0</v>
      </c>
      <c r="N798" s="1">
        <v>-1.5432599999999999E-2</v>
      </c>
      <c r="O798" s="8">
        <v>0</v>
      </c>
      <c r="P798" s="1">
        <v>1.70528E-2</v>
      </c>
      <c r="Q798">
        <v>1.145</v>
      </c>
      <c r="R798" s="1">
        <v>-4.3153000000000001E-4</v>
      </c>
      <c r="S798" s="2">
        <v>0.04</v>
      </c>
    </row>
    <row r="799" spans="1:19" x14ac:dyDescent="0.2">
      <c r="A799">
        <v>798</v>
      </c>
      <c r="B799">
        <v>40</v>
      </c>
      <c r="C799" t="s">
        <v>797</v>
      </c>
      <c r="D799" s="13" t="s">
        <v>913</v>
      </c>
      <c r="E799" s="1">
        <v>-1.68729</v>
      </c>
      <c r="F799">
        <v>0.38546900000000001</v>
      </c>
      <c r="G799" s="1">
        <v>-1.69651307592503</v>
      </c>
      <c r="H799" s="1">
        <v>0.37203492770009</v>
      </c>
      <c r="I799">
        <f>VLOOKUP(C799,'[1]phenotypes-895'!$A$2:$G$896,7,FALSE)</f>
        <v>51</v>
      </c>
      <c r="J799" s="1">
        <v>9.8196800000000008E-3</v>
      </c>
      <c r="K799" s="1">
        <f>VLOOKUP(C799,'[1]phenotypes-895'!$A$2:$I$896,9,FALSE)</f>
        <v>0.55081278962882774</v>
      </c>
      <c r="L799" s="1">
        <v>8.1900500000000001E-2</v>
      </c>
      <c r="M799" s="4">
        <v>3.962743716103466</v>
      </c>
      <c r="N799" s="1">
        <v>2.2800899999999999E-2</v>
      </c>
      <c r="O799" s="8">
        <v>1</v>
      </c>
      <c r="P799" s="1">
        <v>-0.16497000000000001</v>
      </c>
      <c r="Q799">
        <v>1.0820000000000001</v>
      </c>
      <c r="R799" s="1">
        <v>-6.92937E-2</v>
      </c>
      <c r="S799" s="2">
        <v>0.02</v>
      </c>
    </row>
    <row r="800" spans="1:19" x14ac:dyDescent="0.2">
      <c r="A800">
        <v>799</v>
      </c>
      <c r="B800">
        <v>32</v>
      </c>
      <c r="C800" t="s">
        <v>798</v>
      </c>
      <c r="D800" s="13" t="s">
        <v>913</v>
      </c>
      <c r="E800" s="1">
        <v>4.6498100000000004</v>
      </c>
      <c r="F800">
        <v>3.8895200000000001</v>
      </c>
      <c r="G800" s="1">
        <v>4.6716735345931903</v>
      </c>
      <c r="H800" s="1">
        <v>3.90493000640395</v>
      </c>
      <c r="I800">
        <f>VLOOKUP(C800,'[1]phenotypes-895'!$A$2:$G$896,7,FALSE)</f>
        <v>98</v>
      </c>
      <c r="J800" s="1">
        <v>-0.107798</v>
      </c>
      <c r="K800" s="1">
        <f>VLOOKUP(C800,'[1]phenotypes-895'!$A$2:$I$896,9,FALSE)</f>
        <v>0</v>
      </c>
      <c r="L800" s="1">
        <v>-5.9902900000000002E-2</v>
      </c>
      <c r="M800" s="4">
        <v>0</v>
      </c>
      <c r="N800" s="1">
        <v>-4.52358E-2</v>
      </c>
      <c r="O800" s="8">
        <v>0</v>
      </c>
      <c r="P800" s="1">
        <v>5.0393500000000001E-2</v>
      </c>
      <c r="Q800">
        <v>1.0900000000000001</v>
      </c>
      <c r="R800" s="1">
        <v>2.2843800000000001E-2</v>
      </c>
      <c r="S800" s="2">
        <v>0.03</v>
      </c>
    </row>
    <row r="801" spans="1:19" x14ac:dyDescent="0.2">
      <c r="A801">
        <v>800</v>
      </c>
      <c r="B801">
        <v>39</v>
      </c>
      <c r="C801" t="s">
        <v>799</v>
      </c>
      <c r="D801" s="13" t="s">
        <v>913</v>
      </c>
      <c r="E801" s="1">
        <v>3.54122</v>
      </c>
      <c r="F801">
        <v>2.9738600000000002</v>
      </c>
      <c r="G801" s="1">
        <v>3.5259918364785601</v>
      </c>
      <c r="H801" s="1">
        <v>2.9543887127196098</v>
      </c>
      <c r="I801">
        <f>VLOOKUP(C801,'[1]phenotypes-895'!$A$2:$G$896,7,FALSE)</f>
        <v>98</v>
      </c>
      <c r="J801" s="1">
        <v>-5.7574500000000001E-2</v>
      </c>
      <c r="K801" s="1">
        <f>VLOOKUP(C801,'[1]phenotypes-895'!$A$2:$I$896,9,FALSE)</f>
        <v>0</v>
      </c>
      <c r="L801" s="1">
        <v>-7.06431E-2</v>
      </c>
      <c r="M801" s="4">
        <v>0</v>
      </c>
      <c r="N801" s="1">
        <v>-1.3621599999999999E-2</v>
      </c>
      <c r="O801" s="8">
        <v>0</v>
      </c>
      <c r="P801" s="1">
        <v>0.106973</v>
      </c>
      <c r="Q801">
        <v>1.161</v>
      </c>
      <c r="R801" s="1">
        <v>3.8816400000000001E-2</v>
      </c>
      <c r="S801" s="2">
        <v>0.05</v>
      </c>
    </row>
    <row r="802" spans="1:19" x14ac:dyDescent="0.2">
      <c r="A802">
        <v>801</v>
      </c>
      <c r="B802">
        <v>24</v>
      </c>
      <c r="C802" t="s">
        <v>800</v>
      </c>
      <c r="D802" s="13" t="s">
        <v>913</v>
      </c>
      <c r="E802" s="1">
        <v>-4.2868899999999996</v>
      </c>
      <c r="F802">
        <v>-6.6501700000000001</v>
      </c>
      <c r="G802" s="1">
        <v>-4.3283444874845296</v>
      </c>
      <c r="H802" s="1">
        <v>-6.7080067871265197</v>
      </c>
      <c r="I802">
        <f>VLOOKUP(C802,'[1]phenotypes-895'!$A$2:$G$896,7,FALSE)</f>
        <v>60</v>
      </c>
      <c r="J802" s="1">
        <v>2.3821200000000001E-2</v>
      </c>
      <c r="K802" s="1">
        <f>VLOOKUP(C802,'[1]phenotypes-895'!$A$2:$I$896,9,FALSE)</f>
        <v>0.30628505247234428</v>
      </c>
      <c r="L802" s="1">
        <v>-4.5940300000000003E-2</v>
      </c>
      <c r="M802" s="4">
        <v>4.0246952535589671</v>
      </c>
      <c r="N802" s="1">
        <v>1.8056099999999999E-2</v>
      </c>
      <c r="O802" s="8">
        <v>1</v>
      </c>
      <c r="P802" s="1">
        <v>5.52857E-2</v>
      </c>
      <c r="Q802">
        <v>1.2969999999999999</v>
      </c>
      <c r="R802" s="1">
        <v>2.1025700000000001E-2</v>
      </c>
      <c r="S802" s="2">
        <v>0.08</v>
      </c>
    </row>
    <row r="803" spans="1:19" x14ac:dyDescent="0.2">
      <c r="A803">
        <v>802</v>
      </c>
      <c r="B803">
        <v>34</v>
      </c>
      <c r="C803" t="s">
        <v>801</v>
      </c>
      <c r="D803" s="13" t="s">
        <v>913</v>
      </c>
      <c r="E803" s="1">
        <v>2.3582200000000002</v>
      </c>
      <c r="F803">
        <v>2.65584</v>
      </c>
      <c r="G803" s="1">
        <v>2.3295772388417899</v>
      </c>
      <c r="H803" s="1">
        <v>2.6301918873630399</v>
      </c>
      <c r="I803">
        <f>VLOOKUP(C803,'[1]phenotypes-895'!$A$2:$G$896,7,FALSE)</f>
        <v>98</v>
      </c>
      <c r="J803" s="1">
        <v>6.7261600000000001E-3</v>
      </c>
      <c r="K803" s="1">
        <f>VLOOKUP(C803,'[1]phenotypes-895'!$A$2:$I$896,9,FALSE)</f>
        <v>0.52273216384706378</v>
      </c>
      <c r="L803" s="1">
        <v>9.7284399999999993E-2</v>
      </c>
      <c r="M803" s="4">
        <v>4.4196351993118741</v>
      </c>
      <c r="N803" s="1">
        <v>1.7788200000000001E-2</v>
      </c>
      <c r="O803" s="8">
        <v>1</v>
      </c>
      <c r="P803" s="1">
        <v>1.6890200000000001E-2</v>
      </c>
      <c r="Q803">
        <v>0.96199999999999997</v>
      </c>
      <c r="R803" s="1">
        <v>1.6179800000000001E-2</v>
      </c>
      <c r="S803" s="2">
        <v>-0.01</v>
      </c>
    </row>
    <row r="804" spans="1:19" x14ac:dyDescent="0.2">
      <c r="A804">
        <v>803</v>
      </c>
      <c r="B804">
        <v>48</v>
      </c>
      <c r="C804" t="s">
        <v>802</v>
      </c>
      <c r="D804" s="13" t="s">
        <v>912</v>
      </c>
      <c r="E804" s="1">
        <v>1.81166</v>
      </c>
      <c r="F804">
        <v>3.7035200000000001</v>
      </c>
      <c r="G804" s="1">
        <v>1.8206916568754099</v>
      </c>
      <c r="H804" s="1">
        <v>3.7269135512755902</v>
      </c>
      <c r="I804">
        <f>VLOOKUP(C804,'[1]phenotypes-895'!$A$2:$G$896,7,FALSE)</f>
        <v>98</v>
      </c>
      <c r="J804" s="1">
        <v>-4.6066200000000002E-2</v>
      </c>
      <c r="K804" s="1">
        <f>VLOOKUP(C804,'[1]phenotypes-895'!$A$2:$I$896,9,FALSE)</f>
        <v>0.14442969736472669</v>
      </c>
      <c r="L804" s="1">
        <v>-6.6319600000000006E-2</v>
      </c>
      <c r="M804" s="4">
        <v>3.9696950710626138</v>
      </c>
      <c r="N804" s="1">
        <v>8.4268199999999998E-4</v>
      </c>
      <c r="O804" s="8">
        <v>1</v>
      </c>
      <c r="P804" s="1">
        <v>-8.2509600000000002E-2</v>
      </c>
      <c r="Q804">
        <v>0.69099999999999995</v>
      </c>
      <c r="R804" s="1">
        <v>-2.6558499999999999E-2</v>
      </c>
      <c r="S804" s="2">
        <v>-0.12</v>
      </c>
    </row>
    <row r="805" spans="1:19" x14ac:dyDescent="0.2">
      <c r="A805">
        <v>804</v>
      </c>
      <c r="B805">
        <v>53</v>
      </c>
      <c r="C805" t="s">
        <v>803</v>
      </c>
      <c r="D805" s="13" t="s">
        <v>912</v>
      </c>
      <c r="E805" s="1">
        <v>5.3147900000000003</v>
      </c>
      <c r="F805">
        <v>6.4957000000000003</v>
      </c>
      <c r="G805" s="1">
        <v>5.2974680847822198</v>
      </c>
      <c r="H805" s="1">
        <v>6.4797879104081701</v>
      </c>
      <c r="I805">
        <f>VLOOKUP(C805,'[1]phenotypes-895'!$A$2:$G$896,7,FALSE)</f>
        <v>98</v>
      </c>
      <c r="J805" s="1">
        <v>-0.102174</v>
      </c>
      <c r="K805" s="1">
        <f>VLOOKUP(C805,'[1]phenotypes-895'!$A$2:$I$896,9,FALSE)</f>
        <v>4.2236806188418387E-2</v>
      </c>
      <c r="L805" s="1">
        <v>-0.22170400000000001</v>
      </c>
      <c r="M805" s="4">
        <v>2.7451137361036109</v>
      </c>
      <c r="N805" s="1">
        <v>-1.93382E-2</v>
      </c>
      <c r="O805" s="8">
        <v>1</v>
      </c>
      <c r="P805" s="1">
        <v>-0.14440900000000001</v>
      </c>
      <c r="Q805">
        <v>0.46899999999999997</v>
      </c>
      <c r="R805" s="1">
        <v>-6.8954600000000005E-2</v>
      </c>
      <c r="S805" s="2">
        <v>-0.26</v>
      </c>
    </row>
    <row r="806" spans="1:19" x14ac:dyDescent="0.2">
      <c r="A806">
        <v>805</v>
      </c>
      <c r="B806">
        <v>48</v>
      </c>
      <c r="C806" t="s">
        <v>804</v>
      </c>
      <c r="D806" s="13" t="s">
        <v>912</v>
      </c>
      <c r="E806" s="1">
        <v>1.2225200000000001</v>
      </c>
      <c r="F806">
        <v>3.1306699999999998</v>
      </c>
      <c r="G806" s="1">
        <v>1.2198591147069999</v>
      </c>
      <c r="H806" s="1">
        <v>3.1447947685225</v>
      </c>
      <c r="I806">
        <f>VLOOKUP(C806,'[1]phenotypes-895'!$A$2:$G$896,7,FALSE)</f>
        <v>98</v>
      </c>
      <c r="J806" s="1">
        <v>-4.9589899999999999E-2</v>
      </c>
      <c r="K806" s="1">
        <f>VLOOKUP(C806,'[1]phenotypes-895'!$A$2:$I$896,9,FALSE)</f>
        <v>0</v>
      </c>
      <c r="L806" s="1">
        <v>-3.9324499999999998E-2</v>
      </c>
      <c r="M806" s="4">
        <v>0</v>
      </c>
      <c r="N806" s="1">
        <v>-8.6237699999999994E-3</v>
      </c>
      <c r="O806" s="8">
        <v>0</v>
      </c>
      <c r="P806" s="1">
        <v>-6.7841799999999994E-2</v>
      </c>
      <c r="Q806">
        <v>0.69</v>
      </c>
      <c r="R806" s="1">
        <v>-2.3222699999999999E-2</v>
      </c>
      <c r="S806" s="2">
        <v>-0.12</v>
      </c>
    </row>
    <row r="807" spans="1:19" x14ac:dyDescent="0.2">
      <c r="A807">
        <v>806</v>
      </c>
      <c r="B807">
        <v>27</v>
      </c>
      <c r="C807" t="s">
        <v>805</v>
      </c>
      <c r="D807" s="13" t="s">
        <v>913</v>
      </c>
      <c r="E807" s="1">
        <v>4.89628</v>
      </c>
      <c r="F807">
        <v>2.49539</v>
      </c>
      <c r="G807" s="1">
        <v>4.8567013802882002</v>
      </c>
      <c r="H807" s="1">
        <v>2.4457335678431198</v>
      </c>
      <c r="I807">
        <f>VLOOKUP(C807,'[1]phenotypes-895'!$A$2:$G$896,7,FALSE)</f>
        <v>94</v>
      </c>
      <c r="J807" s="1">
        <v>-4.7191299999999999E-2</v>
      </c>
      <c r="K807" s="1">
        <f>VLOOKUP(C807,'[1]phenotypes-895'!$A$2:$I$896,9,FALSE)</f>
        <v>0.51558666080249438</v>
      </c>
      <c r="L807" s="1">
        <v>-0.150672</v>
      </c>
      <c r="M807" s="4">
        <v>4.7646063974435897</v>
      </c>
      <c r="N807" s="1">
        <v>-2.05819E-2</v>
      </c>
      <c r="O807" s="8">
        <v>1</v>
      </c>
      <c r="P807" s="1">
        <v>0.16866</v>
      </c>
      <c r="Q807">
        <v>0.95499999999999996</v>
      </c>
      <c r="R807" s="1">
        <v>6.9964100000000001E-2</v>
      </c>
      <c r="S807" s="2">
        <v>-0.01</v>
      </c>
    </row>
    <row r="808" spans="1:19" x14ac:dyDescent="0.2">
      <c r="A808">
        <v>807</v>
      </c>
      <c r="B808">
        <v>54</v>
      </c>
      <c r="C808" t="s">
        <v>806</v>
      </c>
      <c r="D808" s="13" t="s">
        <v>912</v>
      </c>
      <c r="E808" s="1">
        <v>-1.11619</v>
      </c>
      <c r="F808">
        <v>4.5158000000000004E-3</v>
      </c>
      <c r="G808" s="1">
        <v>-1.1554963703042</v>
      </c>
      <c r="H808" s="1">
        <v>-2.60104283741068E-2</v>
      </c>
      <c r="I808">
        <f>VLOOKUP(C808,'[1]phenotypes-895'!$A$2:$G$896,7,FALSE)</f>
        <v>51</v>
      </c>
      <c r="J808" s="1">
        <v>5.1001199999999997E-3</v>
      </c>
      <c r="K808" s="1">
        <f>VLOOKUP(C808,'[1]phenotypes-895'!$A$2:$I$896,9,FALSE)</f>
        <v>0.67262378954335866</v>
      </c>
      <c r="L808" s="1">
        <v>-5.85817E-2</v>
      </c>
      <c r="M808" s="4">
        <v>3.8274901638644661</v>
      </c>
      <c r="N808" s="1">
        <v>-9.0980499999999999E-3</v>
      </c>
      <c r="O808" s="8">
        <v>1</v>
      </c>
      <c r="P808" s="1">
        <v>-8.3957500000000004E-2</v>
      </c>
      <c r="Q808">
        <v>0.57499999999999996</v>
      </c>
      <c r="R808" s="1">
        <v>-3.6330899999999999E-2</v>
      </c>
      <c r="S808" s="2">
        <v>-0.18</v>
      </c>
    </row>
    <row r="809" spans="1:19" x14ac:dyDescent="0.2">
      <c r="A809">
        <v>808</v>
      </c>
      <c r="B809">
        <v>49</v>
      </c>
      <c r="C809" t="s">
        <v>807</v>
      </c>
      <c r="D809" s="13" t="s">
        <v>912</v>
      </c>
      <c r="E809" s="1">
        <v>1.99665</v>
      </c>
      <c r="F809">
        <v>3.82029</v>
      </c>
      <c r="G809" s="1">
        <v>1.9656332927644</v>
      </c>
      <c r="H809" s="1">
        <v>3.7988908838844702</v>
      </c>
      <c r="I809">
        <f>VLOOKUP(C809,'[1]phenotypes-895'!$A$2:$G$896,7,FALSE)</f>
        <v>98</v>
      </c>
      <c r="J809" s="1">
        <v>-2.6937699999999998E-2</v>
      </c>
      <c r="K809" s="1">
        <f>VLOOKUP(C809,'[1]phenotypes-895'!$A$2:$I$896,9,FALSE)</f>
        <v>0</v>
      </c>
      <c r="L809" s="1">
        <v>-1.62682E-2</v>
      </c>
      <c r="M809" s="4">
        <v>0</v>
      </c>
      <c r="N809" s="1">
        <v>-3.9051099999999998E-3</v>
      </c>
      <c r="O809" s="8">
        <v>0</v>
      </c>
      <c r="P809" s="1">
        <v>-0.146867</v>
      </c>
      <c r="Q809">
        <v>0.51800000000000002</v>
      </c>
      <c r="R809" s="1">
        <v>-5.6154700000000002E-2</v>
      </c>
      <c r="S809" s="2">
        <v>-0.22</v>
      </c>
    </row>
    <row r="810" spans="1:19" x14ac:dyDescent="0.2">
      <c r="A810">
        <v>809</v>
      </c>
      <c r="B810">
        <v>24</v>
      </c>
      <c r="C810" t="s">
        <v>808</v>
      </c>
      <c r="D810" s="13" t="s">
        <v>913</v>
      </c>
      <c r="E810" s="1">
        <v>-2.2718099999999999</v>
      </c>
      <c r="F810">
        <v>-3.9503300000000001</v>
      </c>
      <c r="G810" s="1">
        <v>-2.3417526244030999</v>
      </c>
      <c r="H810" s="1">
        <v>-4.0268783050465604</v>
      </c>
      <c r="I810">
        <f>VLOOKUP(C810,'[1]phenotypes-895'!$A$2:$G$896,7,FALSE)</f>
        <v>52</v>
      </c>
      <c r="J810" s="1">
        <v>2.16229E-2</v>
      </c>
      <c r="K810" s="1">
        <f>VLOOKUP(C810,'[1]phenotypes-895'!$A$2:$I$896,9,FALSE)</f>
        <v>0.73424835186170923</v>
      </c>
      <c r="L810" s="1">
        <v>-5.7348400000000001E-2</v>
      </c>
      <c r="M810" s="4">
        <v>4.5486055752982253</v>
      </c>
      <c r="N810" s="1">
        <v>1.69283E-2</v>
      </c>
      <c r="O810" s="8">
        <v>1</v>
      </c>
      <c r="P810" s="1">
        <v>6.5696400000000002E-2</v>
      </c>
      <c r="Q810">
        <v>1.139</v>
      </c>
      <c r="R810" s="1">
        <v>3.4295899999999997E-2</v>
      </c>
      <c r="S810" s="2">
        <v>0.04</v>
      </c>
    </row>
    <row r="811" spans="1:19" x14ac:dyDescent="0.2">
      <c r="A811">
        <v>810</v>
      </c>
      <c r="B811">
        <v>24</v>
      </c>
      <c r="C811" t="s">
        <v>809</v>
      </c>
      <c r="D811" s="13" t="s">
        <v>913</v>
      </c>
      <c r="E811" s="1">
        <v>-1.9101999999999999</v>
      </c>
      <c r="F811">
        <v>-3.0390999999999999</v>
      </c>
      <c r="G811" s="1">
        <v>-1.94932063741426</v>
      </c>
      <c r="H811" s="1">
        <v>-3.0875857129276301</v>
      </c>
      <c r="I811">
        <f>VLOOKUP(C811,'[1]phenotypes-895'!$A$2:$G$896,7,FALSE)</f>
        <v>98</v>
      </c>
      <c r="J811" s="1">
        <v>-3.0851900000000002E-2</v>
      </c>
      <c r="K811" s="1">
        <f>VLOOKUP(C811,'[1]phenotypes-895'!$A$2:$I$896,9,FALSE)</f>
        <v>0</v>
      </c>
      <c r="L811" s="1">
        <v>-8.1862500000000005E-2</v>
      </c>
      <c r="M811" s="4">
        <v>0</v>
      </c>
      <c r="N811" s="1">
        <v>4.9620599999999999E-3</v>
      </c>
      <c r="O811" s="8">
        <v>0</v>
      </c>
      <c r="P811" s="1">
        <v>-2.0429799999999998E-3</v>
      </c>
      <c r="Q811">
        <v>1.042</v>
      </c>
      <c r="R811" s="1">
        <v>2.8029700000000001E-3</v>
      </c>
      <c r="S811" s="2">
        <v>0.01</v>
      </c>
    </row>
    <row r="812" spans="1:19" x14ac:dyDescent="0.2">
      <c r="A812">
        <v>811</v>
      </c>
      <c r="B812">
        <v>41</v>
      </c>
      <c r="C812" t="s">
        <v>810</v>
      </c>
      <c r="D812" s="13" t="s">
        <v>912</v>
      </c>
      <c r="E812" s="1">
        <v>-5.4845499999999996</v>
      </c>
      <c r="F812">
        <v>-3.4404499999999998</v>
      </c>
      <c r="G812" s="1">
        <v>-5.5476692396607303</v>
      </c>
      <c r="H812" s="1">
        <v>-3.49904667909879</v>
      </c>
      <c r="I812">
        <f>VLOOKUP(C812,'[1]phenotypes-895'!$A$2:$G$896,7,FALSE)</f>
        <v>58</v>
      </c>
      <c r="J812" s="1">
        <v>4.4218899999999998E-2</v>
      </c>
      <c r="K812" s="1">
        <f>VLOOKUP(C812,'[1]phenotypes-895'!$A$2:$I$896,9,FALSE)</f>
        <v>0.59078169161002925</v>
      </c>
      <c r="L812" s="1">
        <v>-1.9052900000000001E-2</v>
      </c>
      <c r="M812" s="4">
        <v>4.1876521393361665</v>
      </c>
      <c r="N812" s="1">
        <v>1.28684E-2</v>
      </c>
      <c r="O812" s="8">
        <v>1</v>
      </c>
      <c r="P812" s="1">
        <v>4.3286199999999997E-2</v>
      </c>
      <c r="Q812">
        <v>1.0309999999999999</v>
      </c>
      <c r="R812" s="1">
        <v>1.8287399999999999E-2</v>
      </c>
      <c r="S812" s="2">
        <v>0.01</v>
      </c>
    </row>
    <row r="813" spans="1:19" x14ac:dyDescent="0.2">
      <c r="A813">
        <v>812</v>
      </c>
      <c r="B813">
        <v>29</v>
      </c>
      <c r="C813" t="s">
        <v>811</v>
      </c>
      <c r="D813" s="13" t="s">
        <v>913</v>
      </c>
      <c r="E813" s="1">
        <v>-1.14093</v>
      </c>
      <c r="F813">
        <v>-3.19808</v>
      </c>
      <c r="G813" s="1">
        <v>-1.22736669602752</v>
      </c>
      <c r="H813" s="1">
        <v>-3.2938172168016102</v>
      </c>
      <c r="I813">
        <f>VLOOKUP(C813,'[1]phenotypes-895'!$A$2:$G$896,7,FALSE)</f>
        <v>65</v>
      </c>
      <c r="J813" s="1">
        <v>1.36235E-2</v>
      </c>
      <c r="K813" s="1">
        <f>VLOOKUP(C813,'[1]phenotypes-895'!$A$2:$I$896,9,FALSE)</f>
        <v>0.57215883123604871</v>
      </c>
      <c r="L813" s="1">
        <v>-0.147313</v>
      </c>
      <c r="M813" s="4">
        <v>4.1484700048715473</v>
      </c>
      <c r="N813" s="1">
        <v>-5.6297300000000003E-3</v>
      </c>
      <c r="O813" s="8">
        <v>1</v>
      </c>
      <c r="P813" s="1">
        <v>5.8913E-2</v>
      </c>
      <c r="Q813">
        <v>0.94199999999999995</v>
      </c>
      <c r="R813" s="1">
        <v>2.7255000000000001E-2</v>
      </c>
      <c r="S813" s="2">
        <v>-0.02</v>
      </c>
    </row>
    <row r="814" spans="1:19" x14ac:dyDescent="0.2">
      <c r="A814">
        <v>813</v>
      </c>
      <c r="B814">
        <v>23</v>
      </c>
      <c r="C814" t="s">
        <v>812</v>
      </c>
      <c r="D814" s="13" t="s">
        <v>913</v>
      </c>
      <c r="E814" s="1">
        <v>3.9564900000000001</v>
      </c>
      <c r="F814">
        <v>3.9544299999999999</v>
      </c>
      <c r="G814" s="1">
        <v>3.9189538498796299</v>
      </c>
      <c r="H814" s="1">
        <v>3.9073680675667499</v>
      </c>
      <c r="I814">
        <f>VLOOKUP(C814,'[1]phenotypes-895'!$A$2:$G$896,7,FALSE)</f>
        <v>89</v>
      </c>
      <c r="J814" s="1">
        <v>-5.2791100000000001E-2</v>
      </c>
      <c r="K814" s="1">
        <f>VLOOKUP(C814,'[1]phenotypes-895'!$A$2:$I$896,9,FALSE)</f>
        <v>0.31088728489938661</v>
      </c>
      <c r="L814" s="1">
        <v>-3.8362299999999999E-3</v>
      </c>
      <c r="M814" s="4">
        <v>4.8291131086249406</v>
      </c>
      <c r="N814" s="1">
        <v>-1.2885000000000001E-2</v>
      </c>
      <c r="O814" s="8">
        <v>1</v>
      </c>
      <c r="P814" s="1">
        <v>0.133155</v>
      </c>
      <c r="Q814">
        <v>1.367</v>
      </c>
      <c r="R814" s="1">
        <v>4.3885199999999999E-2</v>
      </c>
      <c r="S814" s="2">
        <v>0.09</v>
      </c>
    </row>
    <row r="815" spans="1:19" x14ac:dyDescent="0.2">
      <c r="A815">
        <v>814</v>
      </c>
      <c r="B815">
        <v>50</v>
      </c>
      <c r="C815" t="s">
        <v>813</v>
      </c>
      <c r="D815" s="13" t="s">
        <v>912</v>
      </c>
      <c r="E815" s="1">
        <v>1.51193</v>
      </c>
      <c r="F815">
        <v>4.1239999999999997</v>
      </c>
      <c r="G815" s="1">
        <v>1.5355540555075999</v>
      </c>
      <c r="H815" s="1">
        <v>4.1554979244961601</v>
      </c>
      <c r="I815">
        <f>VLOOKUP(C815,'[1]phenotypes-895'!$A$2:$G$896,7,FALSE)</f>
        <v>79</v>
      </c>
      <c r="J815" s="1">
        <v>-6.2828500000000004E-3</v>
      </c>
      <c r="K815" s="1">
        <f>VLOOKUP(C815,'[1]phenotypes-895'!$A$2:$I$896,9,FALSE)</f>
        <v>0.40925525828141418</v>
      </c>
      <c r="L815" s="1">
        <v>1.38338E-2</v>
      </c>
      <c r="M815" s="4">
        <v>4.2924285910746276</v>
      </c>
      <c r="N815" s="1">
        <v>3.51782E-2</v>
      </c>
      <c r="O815" s="8">
        <v>1</v>
      </c>
      <c r="P815" s="1">
        <v>-0.12851899999999999</v>
      </c>
      <c r="Q815">
        <v>0.52200000000000002</v>
      </c>
      <c r="R815" s="1">
        <v>-5.7342799999999999E-2</v>
      </c>
      <c r="S815" s="2">
        <v>-0.22</v>
      </c>
    </row>
    <row r="816" spans="1:19" x14ac:dyDescent="0.2">
      <c r="A816">
        <v>815</v>
      </c>
      <c r="B816">
        <v>33</v>
      </c>
      <c r="C816" t="s">
        <v>814</v>
      </c>
      <c r="D816" s="13" t="s">
        <v>913</v>
      </c>
      <c r="E816" s="1">
        <v>-3.9495800000000001</v>
      </c>
      <c r="F816">
        <v>-4.2512800000000004</v>
      </c>
      <c r="G816" s="1">
        <v>-4.0193599856567799</v>
      </c>
      <c r="H816" s="1">
        <v>-4.3330896930102298</v>
      </c>
      <c r="I816">
        <f>VLOOKUP(C816,'[1]phenotypes-895'!$A$2:$G$896,7,FALSE)</f>
        <v>44</v>
      </c>
      <c r="J816" s="1">
        <v>5.21555E-2</v>
      </c>
      <c r="K816" s="1">
        <f>VLOOKUP(C816,'[1]phenotypes-895'!$A$2:$I$896,9,FALSE)</f>
        <v>0.46912997103070908</v>
      </c>
      <c r="L816" s="1">
        <v>0.21526600000000001</v>
      </c>
      <c r="M816" s="4">
        <v>5.1036222701149532</v>
      </c>
      <c r="N816" s="1">
        <v>1.7144900000000001E-2</v>
      </c>
      <c r="O816" s="8">
        <v>1</v>
      </c>
      <c r="P816" s="1">
        <v>9.9920700000000005E-3</v>
      </c>
      <c r="Q816">
        <v>0.98</v>
      </c>
      <c r="R816" s="1">
        <v>1.0594299999999999E-2</v>
      </c>
      <c r="S816" s="2">
        <v>-0.01</v>
      </c>
    </row>
    <row r="817" spans="1:19" x14ac:dyDescent="0.2">
      <c r="A817">
        <v>816</v>
      </c>
      <c r="B817">
        <v>33</v>
      </c>
      <c r="C817" t="s">
        <v>815</v>
      </c>
      <c r="D817" s="13" t="s">
        <v>913</v>
      </c>
      <c r="E817" s="1">
        <v>2.5345800000000001</v>
      </c>
      <c r="F817">
        <v>3.17753</v>
      </c>
      <c r="G817" s="1">
        <v>2.4924280966495398</v>
      </c>
      <c r="H817" s="1">
        <v>3.14430708665699</v>
      </c>
      <c r="I817">
        <f>VLOOKUP(C817,'[1]phenotypes-895'!$A$2:$G$896,7,FALSE)</f>
        <v>73</v>
      </c>
      <c r="J817" s="1">
        <v>9.2435499999999997E-3</v>
      </c>
      <c r="K817" s="1">
        <f>VLOOKUP(C817,'[1]phenotypes-895'!$A$2:$I$896,9,FALSE)</f>
        <v>0.40986502313256562</v>
      </c>
      <c r="L817" s="1">
        <v>0.103976</v>
      </c>
      <c r="M817" s="4">
        <v>4.1895640632679392</v>
      </c>
      <c r="N817" s="1">
        <v>1.38636E-2</v>
      </c>
      <c r="O817" s="8">
        <v>1</v>
      </c>
      <c r="P817" s="1">
        <v>3.03194E-2</v>
      </c>
      <c r="Q817">
        <v>1.0489999999999999</v>
      </c>
      <c r="R817" s="1">
        <v>1.77609E-2</v>
      </c>
      <c r="S817" s="2">
        <v>0.02</v>
      </c>
    </row>
    <row r="818" spans="1:19" x14ac:dyDescent="0.2">
      <c r="A818">
        <v>817</v>
      </c>
      <c r="B818">
        <v>40</v>
      </c>
      <c r="C818" t="s">
        <v>816</v>
      </c>
      <c r="D818" s="13" t="s">
        <v>913</v>
      </c>
      <c r="E818" s="1">
        <v>-0.232654</v>
      </c>
      <c r="F818">
        <v>-1.0369699999999999</v>
      </c>
      <c r="G818" s="1">
        <v>-0.26863884652529701</v>
      </c>
      <c r="H818" s="1">
        <v>-1.07619743463452</v>
      </c>
      <c r="I818">
        <f>VLOOKUP(C818,'[1]phenotypes-895'!$A$2:$G$896,7,FALSE)</f>
        <v>71</v>
      </c>
      <c r="J818" s="1">
        <v>3.9206999999999999E-2</v>
      </c>
      <c r="K818" s="1">
        <f>VLOOKUP(C818,'[1]phenotypes-895'!$A$2:$I$896,9,FALSE)</f>
        <v>0.4952676213058666</v>
      </c>
      <c r="L818" s="1">
        <v>-1.3686E-3</v>
      </c>
      <c r="M818" s="4">
        <v>4.2656954715743449</v>
      </c>
      <c r="N818" s="1">
        <v>1.4767499999999999E-2</v>
      </c>
      <c r="O818" s="8">
        <v>1</v>
      </c>
      <c r="P818" s="1">
        <v>7.9381499999999994E-2</v>
      </c>
      <c r="Q818">
        <v>1.0589999999999999</v>
      </c>
      <c r="R818" s="1">
        <v>3.5453999999999999E-2</v>
      </c>
      <c r="S818" s="2">
        <v>0.02</v>
      </c>
    </row>
    <row r="819" spans="1:19" x14ac:dyDescent="0.2">
      <c r="A819">
        <v>818</v>
      </c>
      <c r="B819">
        <v>48</v>
      </c>
      <c r="C819" t="s">
        <v>817</v>
      </c>
      <c r="D819" s="13" t="s">
        <v>912</v>
      </c>
      <c r="E819" s="1">
        <v>1.30196</v>
      </c>
      <c r="F819">
        <v>3.03464</v>
      </c>
      <c r="G819" s="1">
        <v>1.27670976712224</v>
      </c>
      <c r="H819" s="1">
        <v>3.0130186691182201</v>
      </c>
      <c r="I819">
        <f>VLOOKUP(C819,'[1]phenotypes-895'!$A$2:$G$896,7,FALSE)</f>
        <v>63</v>
      </c>
      <c r="J819" s="1">
        <v>-7.4959399999999995E-2</v>
      </c>
      <c r="K819" s="1">
        <f>VLOOKUP(C819,'[1]phenotypes-895'!$A$2:$I$896,9,FALSE)</f>
        <v>0.33549785857118819</v>
      </c>
      <c r="L819" s="1">
        <v>-2.23415E-2</v>
      </c>
      <c r="M819" s="4">
        <v>4.1776690950279809</v>
      </c>
      <c r="N819" s="1">
        <v>-1.6450099999999999E-2</v>
      </c>
      <c r="O819" s="8">
        <v>1</v>
      </c>
      <c r="P819" s="1">
        <v>-0.115592</v>
      </c>
      <c r="Q819">
        <v>0.60899999999999999</v>
      </c>
      <c r="R819" s="1">
        <v>-5.01167E-2</v>
      </c>
      <c r="S819" s="2">
        <v>-0.16</v>
      </c>
    </row>
    <row r="820" spans="1:19" x14ac:dyDescent="0.2">
      <c r="A820">
        <v>819</v>
      </c>
      <c r="B820">
        <v>42</v>
      </c>
      <c r="C820" t="s">
        <v>818</v>
      </c>
      <c r="D820" s="13" t="s">
        <v>912</v>
      </c>
      <c r="E820" s="1">
        <v>-0.66193299999999999</v>
      </c>
      <c r="F820">
        <v>1.46679</v>
      </c>
      <c r="G820" s="1">
        <v>-0.64407193844196398</v>
      </c>
      <c r="H820" s="1">
        <v>1.48844544047342</v>
      </c>
      <c r="I820">
        <f>VLOOKUP(C820,'[1]phenotypes-895'!$A$2:$G$896,7,FALSE)</f>
        <v>76</v>
      </c>
      <c r="J820" s="1">
        <v>5.9631900000000002E-2</v>
      </c>
      <c r="K820" s="1">
        <f>VLOOKUP(C820,'[1]phenotypes-895'!$A$2:$I$896,9,FALSE)</f>
        <v>0.57225719929639229</v>
      </c>
      <c r="L820" s="1">
        <v>8.6764900000000006E-2</v>
      </c>
      <c r="M820" s="4">
        <v>4.1772216003078197</v>
      </c>
      <c r="N820" s="1">
        <v>3.0225599999999998E-2</v>
      </c>
      <c r="O820" s="8">
        <v>1</v>
      </c>
      <c r="P820" s="1">
        <v>-0.126473</v>
      </c>
      <c r="Q820">
        <v>0.67400000000000004</v>
      </c>
      <c r="R820" s="1">
        <v>-4.8593799999999999E-2</v>
      </c>
      <c r="S820" s="2">
        <v>-0.13</v>
      </c>
    </row>
    <row r="821" spans="1:19" x14ac:dyDescent="0.2">
      <c r="A821">
        <v>820</v>
      </c>
      <c r="B821">
        <v>49</v>
      </c>
      <c r="C821" t="s">
        <v>819</v>
      </c>
      <c r="D821" s="13" t="s">
        <v>912</v>
      </c>
      <c r="E821" s="1">
        <v>1.1989799999999999</v>
      </c>
      <c r="F821">
        <v>2.76423</v>
      </c>
      <c r="G821" s="1">
        <v>1.2014078133327499</v>
      </c>
      <c r="H821" s="1">
        <v>2.7803209684116701</v>
      </c>
      <c r="I821">
        <f>VLOOKUP(C821,'[1]phenotypes-895'!$A$2:$G$896,7,FALSE)</f>
        <v>65</v>
      </c>
      <c r="J821" s="1">
        <v>-2.3838499999999999E-2</v>
      </c>
      <c r="K821" s="1">
        <f>VLOOKUP(C821,'[1]phenotypes-895'!$A$2:$I$896,9,FALSE)</f>
        <v>0.61584824103496949</v>
      </c>
      <c r="L821" s="1">
        <v>5.7462199999999998E-2</v>
      </c>
      <c r="M821" s="4">
        <v>5.3092579441341314</v>
      </c>
      <c r="N821" s="1">
        <v>-3.9358800000000001E-3</v>
      </c>
      <c r="O821" s="8">
        <v>1</v>
      </c>
      <c r="P821" s="1">
        <v>-0.16828000000000001</v>
      </c>
      <c r="Q821">
        <v>0.624</v>
      </c>
      <c r="R821" s="1">
        <v>-6.9856299999999996E-2</v>
      </c>
      <c r="S821" s="2">
        <v>-0.16</v>
      </c>
    </row>
    <row r="822" spans="1:19" x14ac:dyDescent="0.2">
      <c r="A822">
        <v>821</v>
      </c>
      <c r="B822">
        <v>46</v>
      </c>
      <c r="C822" t="s">
        <v>820</v>
      </c>
      <c r="D822" s="13" t="s">
        <v>912</v>
      </c>
      <c r="E822" s="1">
        <v>-0.75326499999999996</v>
      </c>
      <c r="F822">
        <v>1.7712699999999999</v>
      </c>
      <c r="G822" s="1">
        <v>-0.75958088431189197</v>
      </c>
      <c r="H822" s="1">
        <v>1.7922319421661099</v>
      </c>
      <c r="I822">
        <f>VLOOKUP(C822,'[1]phenotypes-895'!$A$2:$G$896,7,FALSE)</f>
        <v>62</v>
      </c>
      <c r="J822" s="1">
        <v>1.36326E-2</v>
      </c>
      <c r="K822" s="1">
        <f>VLOOKUP(C822,'[1]phenotypes-895'!$A$2:$I$896,9,FALSE)</f>
        <v>0.56677182902867895</v>
      </c>
      <c r="L822" s="1">
        <v>-4.2163800000000001E-2</v>
      </c>
      <c r="M822" s="4">
        <v>4.1286881649558689</v>
      </c>
      <c r="N822" s="1">
        <v>1.05167E-2</v>
      </c>
      <c r="O822" s="8">
        <v>1</v>
      </c>
      <c r="P822" s="1">
        <v>-0.17813300000000001</v>
      </c>
      <c r="Q822">
        <v>0.46300000000000002</v>
      </c>
      <c r="R822" s="1">
        <v>-7.5615299999999996E-2</v>
      </c>
      <c r="S822" s="2">
        <v>-0.26</v>
      </c>
    </row>
    <row r="823" spans="1:19" x14ac:dyDescent="0.2">
      <c r="A823">
        <v>822</v>
      </c>
      <c r="B823">
        <v>50</v>
      </c>
      <c r="C823" t="s">
        <v>821</v>
      </c>
      <c r="D823" s="13" t="s">
        <v>912</v>
      </c>
      <c r="E823" s="1">
        <v>-1.01308</v>
      </c>
      <c r="F823">
        <v>0.635409</v>
      </c>
      <c r="G823" s="1">
        <v>-1.01810474177253</v>
      </c>
      <c r="H823" s="1">
        <v>0.63531466579318197</v>
      </c>
      <c r="I823">
        <f>VLOOKUP(C823,'[1]phenotypes-895'!$A$2:$G$896,7,FALSE)</f>
        <v>81</v>
      </c>
      <c r="J823" s="1">
        <v>1.1541300000000001E-2</v>
      </c>
      <c r="K823" s="1">
        <f>VLOOKUP(C823,'[1]phenotypes-895'!$A$2:$I$896,9,FALSE)</f>
        <v>0.3179550022886356</v>
      </c>
      <c r="L823" s="1">
        <v>2.2925799999999998E-3</v>
      </c>
      <c r="M823" s="4">
        <v>4.1487927841532439</v>
      </c>
      <c r="N823" s="1">
        <v>3.9413799999999999E-2</v>
      </c>
      <c r="O823" s="8">
        <v>1</v>
      </c>
      <c r="P823" s="1">
        <v>-0.156885</v>
      </c>
      <c r="Q823">
        <v>0.55800000000000005</v>
      </c>
      <c r="R823" s="1">
        <v>-6.7563700000000004E-2</v>
      </c>
      <c r="S823" s="2">
        <v>-0.2</v>
      </c>
    </row>
    <row r="824" spans="1:19" x14ac:dyDescent="0.2">
      <c r="A824">
        <v>823</v>
      </c>
      <c r="B824">
        <v>29</v>
      </c>
      <c r="C824" t="s">
        <v>822</v>
      </c>
      <c r="D824" s="13" t="s">
        <v>913</v>
      </c>
      <c r="E824" s="1">
        <v>-1.4944</v>
      </c>
      <c r="F824">
        <v>-3.8058800000000002</v>
      </c>
      <c r="G824" s="1">
        <v>-1.5529346552160701</v>
      </c>
      <c r="H824" s="1">
        <v>-3.8698625994893199</v>
      </c>
      <c r="I824">
        <f>VLOOKUP(C824,'[1]phenotypes-895'!$A$2:$G$896,7,FALSE)</f>
        <v>64</v>
      </c>
      <c r="J824" s="1">
        <v>8.0605799999999995E-3</v>
      </c>
      <c r="K824" s="1">
        <f>VLOOKUP(C824,'[1]phenotypes-895'!$A$2:$I$896,9,FALSE)</f>
        <v>0.37156333852063839</v>
      </c>
      <c r="L824" s="1">
        <v>-0.15482499999999999</v>
      </c>
      <c r="M824" s="4">
        <v>3.8017893139894712</v>
      </c>
      <c r="N824" s="1">
        <v>-1.1911400000000001E-2</v>
      </c>
      <c r="O824" s="8">
        <v>1</v>
      </c>
      <c r="P824" s="1">
        <v>0.13652500000000001</v>
      </c>
      <c r="Q824">
        <v>1.069</v>
      </c>
      <c r="R824" s="1">
        <v>5.3781799999999998E-2</v>
      </c>
      <c r="S824" s="2">
        <v>0.02</v>
      </c>
    </row>
    <row r="825" spans="1:19" x14ac:dyDescent="0.2">
      <c r="A825">
        <v>824</v>
      </c>
      <c r="B825">
        <v>49</v>
      </c>
      <c r="C825" t="s">
        <v>823</v>
      </c>
      <c r="D825" s="13" t="s">
        <v>912</v>
      </c>
      <c r="E825" s="1">
        <v>0.86965000000000003</v>
      </c>
      <c r="F825">
        <v>2.6747800000000002</v>
      </c>
      <c r="G825" s="1">
        <v>0.79036351803914195</v>
      </c>
      <c r="H825" s="1">
        <v>2.59774818472737</v>
      </c>
      <c r="I825">
        <f>VLOOKUP(C825,'[1]phenotypes-895'!$A$2:$G$896,7,FALSE)</f>
        <v>67</v>
      </c>
      <c r="J825" s="1">
        <v>-1.6453200000000001E-2</v>
      </c>
      <c r="K825" s="1">
        <f>VLOOKUP(C825,'[1]phenotypes-895'!$A$2:$I$896,9,FALSE)</f>
        <v>0.43302700362990548</v>
      </c>
      <c r="L825" s="1">
        <v>-8.2477900000000007E-2</v>
      </c>
      <c r="M825" s="4">
        <v>4.374658152248764</v>
      </c>
      <c r="N825" s="1">
        <v>8.3096699999999999E-3</v>
      </c>
      <c r="O825" s="8">
        <v>1</v>
      </c>
      <c r="P825" s="1">
        <v>-9.8525199999999993E-2</v>
      </c>
      <c r="Q825">
        <v>0.67900000000000005</v>
      </c>
      <c r="R825" s="1">
        <v>-3.6772300000000001E-2</v>
      </c>
      <c r="S825" s="2">
        <v>-0.13</v>
      </c>
    </row>
    <row r="826" spans="1:19" x14ac:dyDescent="0.2">
      <c r="A826">
        <v>825</v>
      </c>
      <c r="B826">
        <v>35</v>
      </c>
      <c r="C826" t="s">
        <v>824</v>
      </c>
      <c r="D826" s="13" t="s">
        <v>913</v>
      </c>
      <c r="E826" s="1">
        <v>0.69800399999999996</v>
      </c>
      <c r="F826">
        <v>0.82406299999999999</v>
      </c>
      <c r="G826" s="1">
        <v>0.65146277591115498</v>
      </c>
      <c r="H826" s="1">
        <v>0.76983496546413799</v>
      </c>
      <c r="I826">
        <f>VLOOKUP(C826,'[1]phenotypes-895'!$A$2:$G$896,7,FALSE)</f>
        <v>63</v>
      </c>
      <c r="J826" s="1">
        <v>-8.5992399999999997E-2</v>
      </c>
      <c r="K826" s="1">
        <f>VLOOKUP(C826,'[1]phenotypes-895'!$A$2:$I$896,9,FALSE)</f>
        <v>0.53521648091880281</v>
      </c>
      <c r="L826" s="1">
        <v>-9.7195199999999995E-2</v>
      </c>
      <c r="M826" s="4">
        <v>4.490982392747938</v>
      </c>
      <c r="N826" s="1">
        <v>-2.9054300000000002E-2</v>
      </c>
      <c r="O826" s="8">
        <v>1</v>
      </c>
      <c r="P826" s="1">
        <v>4.8876500000000003E-2</v>
      </c>
      <c r="Q826">
        <v>1.036</v>
      </c>
      <c r="R826" s="1">
        <v>2.11515E-2</v>
      </c>
      <c r="S826" s="2">
        <v>0.01</v>
      </c>
    </row>
    <row r="827" spans="1:19" x14ac:dyDescent="0.2">
      <c r="A827">
        <v>826</v>
      </c>
      <c r="B827">
        <v>49</v>
      </c>
      <c r="C827" t="s">
        <v>825</v>
      </c>
      <c r="D827" s="13" t="s">
        <v>912</v>
      </c>
      <c r="E827" s="1">
        <v>4.1237899999999996</v>
      </c>
      <c r="F827">
        <v>5.8746799999999997</v>
      </c>
      <c r="G827" s="1">
        <v>4.0905006010057701</v>
      </c>
      <c r="H827" s="1">
        <v>5.8606530529788703</v>
      </c>
      <c r="I827">
        <f>VLOOKUP(C827,'[1]phenotypes-895'!$A$2:$G$896,7,FALSE)</f>
        <v>98</v>
      </c>
      <c r="J827" s="1">
        <v>-5.38212E-2</v>
      </c>
      <c r="K827" s="1">
        <f>VLOOKUP(C827,'[1]phenotypes-895'!$A$2:$I$896,9,FALSE)</f>
        <v>0.30714170007208802</v>
      </c>
      <c r="L827" s="1">
        <v>4.7916199999999999E-2</v>
      </c>
      <c r="M827" s="4">
        <v>4.6822432727701679</v>
      </c>
      <c r="N827" s="1">
        <v>-5.7111899999999997E-3</v>
      </c>
      <c r="O827" s="8">
        <v>1</v>
      </c>
      <c r="P827" s="1">
        <v>-0.189082</v>
      </c>
      <c r="Q827">
        <v>0.59899999999999998</v>
      </c>
      <c r="R827" s="1">
        <v>-7.7429100000000001E-2</v>
      </c>
      <c r="S827" s="2">
        <v>-0.17</v>
      </c>
    </row>
    <row r="828" spans="1:19" x14ac:dyDescent="0.2">
      <c r="A828">
        <v>827</v>
      </c>
      <c r="B828">
        <v>28</v>
      </c>
      <c r="C828" t="s">
        <v>826</v>
      </c>
      <c r="D828" s="13" t="s">
        <v>913</v>
      </c>
      <c r="E828" s="1">
        <v>2.4945900000000001</v>
      </c>
      <c r="F828">
        <v>2.32362</v>
      </c>
      <c r="G828" s="1">
        <v>2.4964958855601398</v>
      </c>
      <c r="H828" s="1">
        <v>2.3270272064359698</v>
      </c>
      <c r="I828">
        <f>VLOOKUP(C828,'[1]phenotypes-895'!$A$2:$G$896,7,FALSE)</f>
        <v>98</v>
      </c>
      <c r="J828" s="1">
        <v>-2.1781499999999999E-2</v>
      </c>
      <c r="K828" s="1">
        <f>VLOOKUP(C828,'[1]phenotypes-895'!$A$2:$I$896,9,FALSE)</f>
        <v>0</v>
      </c>
      <c r="L828" s="1">
        <v>-7.9906199999999997E-2</v>
      </c>
      <c r="M828" s="4">
        <v>0</v>
      </c>
      <c r="N828" s="1">
        <v>2.7228800000000001E-2</v>
      </c>
      <c r="O828" s="8">
        <v>0</v>
      </c>
      <c r="P828" s="1">
        <v>-5.3809200000000001E-2</v>
      </c>
      <c r="Q828">
        <v>1.31</v>
      </c>
      <c r="R828" s="1">
        <v>-3.26095E-2</v>
      </c>
      <c r="S828" s="2">
        <v>0.08</v>
      </c>
    </row>
    <row r="829" spans="1:19" x14ac:dyDescent="0.2">
      <c r="A829">
        <v>828</v>
      </c>
      <c r="B829">
        <v>42</v>
      </c>
      <c r="C829" t="s">
        <v>827</v>
      </c>
      <c r="D829" s="13" t="s">
        <v>912</v>
      </c>
      <c r="E829" s="1">
        <v>0.50805299999999998</v>
      </c>
      <c r="F829">
        <v>3.2917800000000002</v>
      </c>
      <c r="G829" s="1">
        <v>0.498715461310554</v>
      </c>
      <c r="H829" s="1">
        <v>3.2885040370496901</v>
      </c>
      <c r="I829">
        <f>VLOOKUP(C829,'[1]phenotypes-895'!$A$2:$G$896,7,FALSE)</f>
        <v>98</v>
      </c>
      <c r="J829" s="1">
        <v>3.3569599999999998E-2</v>
      </c>
      <c r="K829" s="1">
        <f>VLOOKUP(C829,'[1]phenotypes-895'!$A$2:$I$896,9,FALSE)</f>
        <v>0.34793755242132007</v>
      </c>
      <c r="L829" s="1">
        <v>7.86583E-2</v>
      </c>
      <c r="M829" s="4">
        <v>3.7394240138208232</v>
      </c>
      <c r="N829" s="1">
        <v>2.7530099999999998E-2</v>
      </c>
      <c r="O829" s="8">
        <v>1</v>
      </c>
      <c r="P829" s="1">
        <v>-0.22767899999999999</v>
      </c>
      <c r="Q829">
        <v>0.34899999999999998</v>
      </c>
      <c r="R829" s="1">
        <v>-0.10366599999999999</v>
      </c>
      <c r="S829" s="2">
        <v>-0.37</v>
      </c>
    </row>
    <row r="830" spans="1:19" x14ac:dyDescent="0.2">
      <c r="A830">
        <v>829</v>
      </c>
      <c r="B830">
        <v>31</v>
      </c>
      <c r="C830" t="s">
        <v>828</v>
      </c>
      <c r="D830" s="13" t="s">
        <v>913</v>
      </c>
      <c r="E830" s="1">
        <v>-0.51635699999999995</v>
      </c>
      <c r="F830">
        <v>-0.80820099999999995</v>
      </c>
      <c r="G830" s="1">
        <v>-0.49135681974914103</v>
      </c>
      <c r="H830" s="1">
        <v>-0.77754031476880103</v>
      </c>
      <c r="I830">
        <f>VLOOKUP(C830,'[1]phenotypes-895'!$A$2:$G$896,7,FALSE)</f>
        <v>98</v>
      </c>
      <c r="J830" s="1">
        <v>4.2874000000000002E-2</v>
      </c>
      <c r="K830" s="1">
        <f>VLOOKUP(C830,'[1]phenotypes-895'!$A$2:$I$896,9,FALSE)</f>
        <v>0</v>
      </c>
      <c r="L830" s="1">
        <v>4.9931299999999998E-2</v>
      </c>
      <c r="M830" s="4">
        <v>0</v>
      </c>
      <c r="N830" s="1">
        <v>3.5079199999999998E-2</v>
      </c>
      <c r="O830" s="8">
        <v>0</v>
      </c>
      <c r="P830" s="1">
        <v>-1.35496E-2</v>
      </c>
      <c r="Q830">
        <v>1.0649999999999999</v>
      </c>
      <c r="R830" s="1">
        <v>-5.0010899999999997E-3</v>
      </c>
      <c r="S830" s="2">
        <v>0.02</v>
      </c>
    </row>
    <row r="831" spans="1:19" x14ac:dyDescent="0.2">
      <c r="A831">
        <v>830</v>
      </c>
      <c r="B831">
        <v>35</v>
      </c>
      <c r="C831" t="s">
        <v>829</v>
      </c>
      <c r="D831" s="13" t="s">
        <v>913</v>
      </c>
      <c r="E831" s="1">
        <v>2.9226100000000002</v>
      </c>
      <c r="F831">
        <v>3.0986500000000001</v>
      </c>
      <c r="G831" s="1">
        <v>2.8873192815113802</v>
      </c>
      <c r="H831" s="1">
        <v>3.0575220127240201</v>
      </c>
      <c r="I831">
        <f>VLOOKUP(C831,'[1]phenotypes-895'!$A$2:$G$896,7,FALSE)</f>
        <v>35</v>
      </c>
      <c r="J831" s="1">
        <v>-0.19445899999999999</v>
      </c>
      <c r="K831" s="1">
        <f>VLOOKUP(C831,'[1]phenotypes-895'!$A$2:$I$896,9,FALSE)</f>
        <v>-0.5841936134913801</v>
      </c>
      <c r="L831" s="1">
        <v>-0.13841800000000001</v>
      </c>
      <c r="M831" s="4">
        <v>3.7059611919450379</v>
      </c>
      <c r="N831" s="1">
        <v>-3.9652100000000003E-2</v>
      </c>
      <c r="O831" s="8">
        <v>1</v>
      </c>
      <c r="P831" s="1">
        <v>2.69047E-2</v>
      </c>
      <c r="Q831">
        <v>0.76700000000000002</v>
      </c>
      <c r="R831" s="1">
        <v>1.18827E-2</v>
      </c>
      <c r="S831" s="2">
        <v>-0.09</v>
      </c>
    </row>
    <row r="832" spans="1:19" x14ac:dyDescent="0.2">
      <c r="A832">
        <v>831</v>
      </c>
      <c r="B832">
        <v>40</v>
      </c>
      <c r="C832" t="s">
        <v>830</v>
      </c>
      <c r="D832" s="13" t="s">
        <v>913</v>
      </c>
      <c r="E832" s="1">
        <v>-0.30305700000000002</v>
      </c>
      <c r="F832">
        <v>1.4112</v>
      </c>
      <c r="G832" s="1">
        <v>-0.28603049521908602</v>
      </c>
      <c r="H832" s="1">
        <v>1.43123602509583</v>
      </c>
      <c r="I832">
        <f>VLOOKUP(C832,'[1]phenotypes-895'!$A$2:$G$896,7,FALSE)</f>
        <v>98</v>
      </c>
      <c r="J832" s="1">
        <v>2.40742E-2</v>
      </c>
      <c r="K832" s="1">
        <f>VLOOKUP(C832,'[1]phenotypes-895'!$A$2:$I$896,9,FALSE)</f>
        <v>0</v>
      </c>
      <c r="L832" s="1">
        <v>0.104342</v>
      </c>
      <c r="M832" s="4">
        <v>0</v>
      </c>
      <c r="N832" s="1">
        <v>2.59677E-2</v>
      </c>
      <c r="O832" s="8">
        <v>0</v>
      </c>
      <c r="P832" s="1">
        <v>-9.1148400000000004E-2</v>
      </c>
      <c r="Q832">
        <v>1.1240000000000001</v>
      </c>
      <c r="R832" s="1">
        <v>-3.5322699999999999E-2</v>
      </c>
      <c r="S832" s="2">
        <v>0.04</v>
      </c>
    </row>
    <row r="833" spans="1:19" x14ac:dyDescent="0.2">
      <c r="A833">
        <v>832</v>
      </c>
      <c r="B833">
        <v>53</v>
      </c>
      <c r="C833" t="s">
        <v>831</v>
      </c>
      <c r="D833" s="13" t="s">
        <v>912</v>
      </c>
      <c r="E833" s="1">
        <v>2.9218199999999999</v>
      </c>
      <c r="F833">
        <v>5.00943</v>
      </c>
      <c r="G833" s="1">
        <v>2.9150750805425298</v>
      </c>
      <c r="H833" s="1">
        <v>5.0075175717962797</v>
      </c>
      <c r="I833">
        <f>VLOOKUP(C833,'[1]phenotypes-895'!$A$2:$G$896,7,FALSE)</f>
        <v>82</v>
      </c>
      <c r="J833" s="1">
        <v>-2.90324E-2</v>
      </c>
      <c r="K833" s="1">
        <f>VLOOKUP(C833,'[1]phenotypes-895'!$A$2:$I$896,9,FALSE)</f>
        <v>0.44941695863096209</v>
      </c>
      <c r="L833" s="1">
        <v>8.5658499999999999E-2</v>
      </c>
      <c r="M833" s="4">
        <v>4.1394127691453271</v>
      </c>
      <c r="N833" s="1">
        <v>-4.5481799999999998E-3</v>
      </c>
      <c r="O833" s="8">
        <v>1</v>
      </c>
      <c r="P833" s="1">
        <v>-0.159605</v>
      </c>
      <c r="Q833">
        <v>0.49</v>
      </c>
      <c r="R833" s="1">
        <v>-7.3776700000000001E-2</v>
      </c>
      <c r="S833" s="2">
        <v>-0.24</v>
      </c>
    </row>
    <row r="834" spans="1:19" x14ac:dyDescent="0.2">
      <c r="A834">
        <v>833</v>
      </c>
      <c r="B834">
        <v>25</v>
      </c>
      <c r="C834" t="s">
        <v>832</v>
      </c>
      <c r="D834" s="13" t="s">
        <v>913</v>
      </c>
      <c r="E834" s="1">
        <v>1.84917</v>
      </c>
      <c r="F834">
        <v>0.61322500000000002</v>
      </c>
      <c r="G834" s="1">
        <v>1.8759022749377099</v>
      </c>
      <c r="H834" s="1">
        <v>0.63737329064150905</v>
      </c>
      <c r="I834">
        <f>VLOOKUP(C834,'[1]phenotypes-895'!$A$2:$G$896,7,FALSE)</f>
        <v>98</v>
      </c>
      <c r="J834" s="1">
        <v>-1.69914E-2</v>
      </c>
      <c r="K834" s="1">
        <f>VLOOKUP(C834,'[1]phenotypes-895'!$A$2:$I$896,9,FALSE)</f>
        <v>0.1040114809420505</v>
      </c>
      <c r="L834" s="1">
        <v>6.9904800000000003E-2</v>
      </c>
      <c r="M834" s="4">
        <v>2.3357852090945346</v>
      </c>
      <c r="N834" s="1">
        <v>-1.3521399999999999E-2</v>
      </c>
      <c r="O834" s="8">
        <v>1</v>
      </c>
      <c r="P834" s="1">
        <v>3.6693000000000003E-2</v>
      </c>
      <c r="Q834">
        <v>0.98699999999999999</v>
      </c>
      <c r="R834" s="1">
        <v>2.0095600000000002E-2</v>
      </c>
      <c r="S834" s="2">
        <v>0</v>
      </c>
    </row>
    <row r="835" spans="1:19" x14ac:dyDescent="0.2">
      <c r="A835">
        <v>834</v>
      </c>
      <c r="B835">
        <v>42</v>
      </c>
      <c r="C835" t="s">
        <v>833</v>
      </c>
      <c r="D835" s="13" t="s">
        <v>912</v>
      </c>
      <c r="E835" s="1">
        <v>-3.88043</v>
      </c>
      <c r="F835">
        <v>-1.24776</v>
      </c>
      <c r="G835" s="1">
        <v>-3.8936339266878801</v>
      </c>
      <c r="H835" s="1">
        <v>-1.25444885642811</v>
      </c>
      <c r="I835">
        <f>VLOOKUP(C835,'[1]phenotypes-895'!$A$2:$G$896,7,FALSE)</f>
        <v>63</v>
      </c>
      <c r="J835" s="1">
        <v>8.7185299999999993E-2</v>
      </c>
      <c r="K835" s="1">
        <f>VLOOKUP(C835,'[1]phenotypes-895'!$A$2:$I$896,9,FALSE)</f>
        <v>0.46135807943962781</v>
      </c>
      <c r="L835" s="1">
        <v>0.113081</v>
      </c>
      <c r="M835" s="4">
        <v>3.8908190520578714</v>
      </c>
      <c r="N835" s="1">
        <v>3.9456600000000001E-2</v>
      </c>
      <c r="O835" s="8">
        <v>1</v>
      </c>
      <c r="P835" s="1">
        <v>-0.17128099999999999</v>
      </c>
      <c r="Q835">
        <v>0.71199999999999997</v>
      </c>
      <c r="R835" s="1">
        <v>-6.6605999999999999E-2</v>
      </c>
      <c r="S835" s="2">
        <v>-0.11</v>
      </c>
    </row>
    <row r="836" spans="1:19" x14ac:dyDescent="0.2">
      <c r="A836">
        <v>835</v>
      </c>
      <c r="B836">
        <v>27</v>
      </c>
      <c r="C836" t="s">
        <v>834</v>
      </c>
      <c r="D836" s="13" t="s">
        <v>913</v>
      </c>
      <c r="E836" s="1">
        <v>-9.8137299999999996</v>
      </c>
      <c r="F836">
        <v>-13.2584</v>
      </c>
      <c r="G836" s="1">
        <v>-9.9343812583524596</v>
      </c>
      <c r="H836" s="1">
        <v>-13.4071161422061</v>
      </c>
      <c r="I836">
        <f>VLOOKUP(C836,'[1]phenotypes-895'!$A$2:$G$896,7,FALSE)</f>
        <v>58</v>
      </c>
      <c r="J836" s="1">
        <v>9.2158500000000004E-2</v>
      </c>
      <c r="K836" s="1">
        <f>VLOOKUP(C836,'[1]phenotypes-895'!$A$2:$I$896,9,FALSE)</f>
        <v>0.27409287985137343</v>
      </c>
      <c r="L836" s="1">
        <v>7.0292400000000005E-2</v>
      </c>
      <c r="M836" s="4">
        <v>3.8523664317636497</v>
      </c>
      <c r="N836" s="1">
        <v>3.4176100000000001E-2</v>
      </c>
      <c r="O836" s="8">
        <v>1</v>
      </c>
      <c r="P836" s="1">
        <v>9.2317800000000005E-2</v>
      </c>
      <c r="Q836">
        <v>1.125</v>
      </c>
      <c r="R836" s="1">
        <v>3.2219200000000003E-2</v>
      </c>
      <c r="S836" s="2">
        <v>0.04</v>
      </c>
    </row>
    <row r="837" spans="1:19" x14ac:dyDescent="0.2">
      <c r="A837">
        <v>836</v>
      </c>
      <c r="B837">
        <v>29</v>
      </c>
      <c r="C837" t="s">
        <v>835</v>
      </c>
      <c r="D837" s="13" t="s">
        <v>913</v>
      </c>
      <c r="E837" s="1">
        <v>0.827067</v>
      </c>
      <c r="F837">
        <v>-0.48003699999999999</v>
      </c>
      <c r="G837" s="1">
        <v>0.83912092198328603</v>
      </c>
      <c r="H837" s="1">
        <v>-0.47424205317662399</v>
      </c>
      <c r="I837">
        <f>VLOOKUP(C837,'[1]phenotypes-895'!$A$2:$G$896,7,FALSE)</f>
        <v>98</v>
      </c>
      <c r="J837" s="1">
        <v>-3.6615000000000002E-2</v>
      </c>
      <c r="K837" s="1">
        <f>VLOOKUP(C837,'[1]phenotypes-895'!$A$2:$I$896,9,FALSE)</f>
        <v>0</v>
      </c>
      <c r="L837" s="1">
        <v>-6.4410700000000001E-2</v>
      </c>
      <c r="M837" s="4">
        <v>0</v>
      </c>
      <c r="N837" s="1">
        <v>-1.9881599999999999E-2</v>
      </c>
      <c r="O837" s="8">
        <v>0</v>
      </c>
      <c r="P837" s="1">
        <v>9.8043699999999998E-2</v>
      </c>
      <c r="Q837">
        <v>1.153</v>
      </c>
      <c r="R837" s="1">
        <v>3.9858900000000003E-2</v>
      </c>
      <c r="S837" s="2">
        <v>0.04</v>
      </c>
    </row>
    <row r="838" spans="1:19" x14ac:dyDescent="0.2">
      <c r="A838">
        <v>837</v>
      </c>
      <c r="B838">
        <v>28</v>
      </c>
      <c r="C838" t="s">
        <v>836</v>
      </c>
      <c r="D838" s="13" t="s">
        <v>913</v>
      </c>
      <c r="E838" s="1">
        <v>0.67523999999999995</v>
      </c>
      <c r="F838">
        <v>1.2621100000000001</v>
      </c>
      <c r="G838" s="1">
        <v>0.56388042672374405</v>
      </c>
      <c r="H838" s="1">
        <v>1.0909658610669299</v>
      </c>
      <c r="I838">
        <f>VLOOKUP(C838,'[1]phenotypes-895'!$A$2:$G$896,7,FALSE)</f>
        <v>65</v>
      </c>
      <c r="J838" s="1">
        <v>1.0259900000000001E-3</v>
      </c>
      <c r="K838" s="1">
        <f>VLOOKUP(C838,'[1]phenotypes-895'!$A$2:$I$896,9,FALSE)</f>
        <v>0.53718596819986753</v>
      </c>
      <c r="L838" s="1">
        <v>-9.7895499999999993E-3</v>
      </c>
      <c r="M838" s="4">
        <v>4.3688969648014782</v>
      </c>
      <c r="N838" s="1">
        <v>-3.4841400000000002E-3</v>
      </c>
      <c r="O838" s="8">
        <v>1</v>
      </c>
      <c r="P838" s="1">
        <v>5.9690300000000002E-3</v>
      </c>
      <c r="Q838">
        <v>1.39</v>
      </c>
      <c r="R838" s="1">
        <v>-1.3573400000000001E-3</v>
      </c>
      <c r="S838" s="2">
        <v>0.1</v>
      </c>
    </row>
    <row r="839" spans="1:19" x14ac:dyDescent="0.2">
      <c r="A839">
        <v>838</v>
      </c>
      <c r="B839">
        <v>33</v>
      </c>
      <c r="C839" t="s">
        <v>837</v>
      </c>
      <c r="D839" s="13" t="s">
        <v>913</v>
      </c>
      <c r="E839" s="1">
        <v>-0.63301200000000002</v>
      </c>
      <c r="F839">
        <v>1.2560899999999999</v>
      </c>
      <c r="G839" s="1">
        <v>-0.63075246720756295</v>
      </c>
      <c r="H839" s="1">
        <v>1.25594300322648</v>
      </c>
      <c r="I839">
        <f>VLOOKUP(C839,'[1]phenotypes-895'!$A$2:$G$896,7,FALSE)</f>
        <v>95</v>
      </c>
      <c r="J839" s="1">
        <v>-2.6378100000000002E-2</v>
      </c>
      <c r="K839" s="1">
        <f>VLOOKUP(C839,'[1]phenotypes-895'!$A$2:$I$896,9,FALSE)</f>
        <v>0.17555804805801009</v>
      </c>
      <c r="L839" s="1">
        <v>8.2585699999999998E-2</v>
      </c>
      <c r="M839" s="4">
        <v>3.7666053885706421</v>
      </c>
      <c r="N839" s="1">
        <v>2.57053E-2</v>
      </c>
      <c r="O839" s="8">
        <v>1</v>
      </c>
      <c r="P839" s="1">
        <v>-0.19201499999999999</v>
      </c>
      <c r="Q839">
        <v>0.75900000000000001</v>
      </c>
      <c r="R839" s="1">
        <v>-7.7109499999999997E-2</v>
      </c>
      <c r="S839" s="2">
        <v>-0.09</v>
      </c>
    </row>
    <row r="840" spans="1:19" x14ac:dyDescent="0.2">
      <c r="A840">
        <v>839</v>
      </c>
      <c r="B840">
        <v>37</v>
      </c>
      <c r="C840" t="s">
        <v>838</v>
      </c>
      <c r="D840" s="13" t="s">
        <v>913</v>
      </c>
      <c r="E840" s="1">
        <v>4.1339499999999996</v>
      </c>
      <c r="F840">
        <v>4.3318599999999998</v>
      </c>
      <c r="G840" s="1">
        <v>4.1498698358368999</v>
      </c>
      <c r="H840" s="1">
        <v>4.3579975165664999</v>
      </c>
      <c r="I840">
        <f>VLOOKUP(C840,'[1]phenotypes-895'!$A$2:$G$896,7,FALSE)</f>
        <v>98</v>
      </c>
      <c r="J840" s="1">
        <v>-4.5825400000000002E-2</v>
      </c>
      <c r="K840" s="1">
        <f>VLOOKUP(C840,'[1]phenotypes-895'!$A$2:$I$896,9,FALSE)</f>
        <v>0</v>
      </c>
      <c r="L840" s="1">
        <v>0.25736399999999998</v>
      </c>
      <c r="M840" s="4">
        <v>0</v>
      </c>
      <c r="N840" s="1">
        <v>-9.5224899999999998E-3</v>
      </c>
      <c r="O840" s="8">
        <v>0</v>
      </c>
      <c r="P840" s="1">
        <v>6.95212E-3</v>
      </c>
      <c r="Q840">
        <v>1.224</v>
      </c>
      <c r="R840" s="1">
        <v>-6.7741600000000002E-4</v>
      </c>
      <c r="S840" s="2">
        <v>0.06</v>
      </c>
    </row>
    <row r="841" spans="1:19" x14ac:dyDescent="0.2">
      <c r="A841">
        <v>840</v>
      </c>
      <c r="B841">
        <v>39</v>
      </c>
      <c r="C841" t="s">
        <v>839</v>
      </c>
      <c r="D841" s="13" t="s">
        <v>913</v>
      </c>
      <c r="E841" s="1">
        <v>-2.2471299999999998</v>
      </c>
      <c r="F841">
        <v>-2.2966000000000002</v>
      </c>
      <c r="G841" s="1">
        <v>-2.23877447224943</v>
      </c>
      <c r="H841" s="1">
        <v>-2.2929491223534</v>
      </c>
      <c r="I841">
        <f>VLOOKUP(C841,'[1]phenotypes-895'!$A$2:$G$896,7,FALSE)</f>
        <v>98</v>
      </c>
      <c r="J841" s="1">
        <v>3.5157400000000001E-4</v>
      </c>
      <c r="K841" s="1">
        <f>VLOOKUP(C841,'[1]phenotypes-895'!$A$2:$I$896,9,FALSE)</f>
        <v>0</v>
      </c>
      <c r="L841" s="1">
        <v>0.10757799999999999</v>
      </c>
      <c r="M841" s="4">
        <v>0</v>
      </c>
      <c r="N841" s="1">
        <v>7.5626100000000004E-4</v>
      </c>
      <c r="O841" s="8">
        <v>0</v>
      </c>
      <c r="P841" s="1">
        <v>-3.1871900000000002E-2</v>
      </c>
      <c r="Q841">
        <v>1.0629999999999999</v>
      </c>
      <c r="R841" s="1">
        <v>-1.9641300000000001E-3</v>
      </c>
      <c r="S841" s="2">
        <v>0.02</v>
      </c>
    </row>
    <row r="842" spans="1:19" x14ac:dyDescent="0.2">
      <c r="A842">
        <v>841</v>
      </c>
      <c r="B842">
        <v>34</v>
      </c>
      <c r="C842" t="s">
        <v>840</v>
      </c>
      <c r="D842" s="13" t="s">
        <v>913</v>
      </c>
      <c r="E842" s="1">
        <v>0.44478499999999999</v>
      </c>
      <c r="F842">
        <v>2.6332399999999998</v>
      </c>
      <c r="G842" s="1">
        <v>0.42353931589351801</v>
      </c>
      <c r="H842" s="1">
        <v>2.6013797778282299</v>
      </c>
      <c r="I842">
        <f>VLOOKUP(C842,'[1]phenotypes-895'!$A$2:$G$896,7,FALSE)</f>
        <v>98</v>
      </c>
      <c r="J842" s="1">
        <v>-1.15639E-2</v>
      </c>
      <c r="K842" s="1">
        <f>VLOOKUP(C842,'[1]phenotypes-895'!$A$2:$I$896,9,FALSE)</f>
        <v>0</v>
      </c>
      <c r="L842" s="1">
        <v>-2.6771500000000001E-3</v>
      </c>
      <c r="M842" s="4">
        <v>0</v>
      </c>
      <c r="N842" s="1">
        <v>-2.6714799999999999E-3</v>
      </c>
      <c r="O842" s="8">
        <v>0</v>
      </c>
      <c r="P842" s="1">
        <v>-0.20114899999999999</v>
      </c>
      <c r="Q842">
        <v>0.48899999999999999</v>
      </c>
      <c r="R842" s="1">
        <v>-7.7691099999999999E-2</v>
      </c>
      <c r="S842" s="2">
        <v>-0.24</v>
      </c>
    </row>
    <row r="843" spans="1:19" x14ac:dyDescent="0.2">
      <c r="A843">
        <v>842</v>
      </c>
      <c r="B843">
        <v>37</v>
      </c>
      <c r="C843" t="s">
        <v>841</v>
      </c>
      <c r="D843" s="13" t="s">
        <v>913</v>
      </c>
      <c r="E843" s="1">
        <v>6.3965500000000004</v>
      </c>
      <c r="F843">
        <v>5.95655</v>
      </c>
      <c r="G843" s="1">
        <v>6.39161436906749</v>
      </c>
      <c r="H843" s="1">
        <v>5.9491441355691501</v>
      </c>
      <c r="I843">
        <f>VLOOKUP(C843,'[1]phenotypes-895'!$A$2:$G$896,7,FALSE)</f>
        <v>98</v>
      </c>
      <c r="J843" s="1">
        <v>-5.3729100000000002E-2</v>
      </c>
      <c r="K843" s="1">
        <f>VLOOKUP(C843,'[1]phenotypes-895'!$A$2:$I$896,9,FALSE)</f>
        <v>0.18957451027481351</v>
      </c>
      <c r="L843" s="1">
        <v>0.112855</v>
      </c>
      <c r="M843" s="4">
        <v>2.8830711858830314</v>
      </c>
      <c r="N843" s="1">
        <v>-1.2007200000000001E-2</v>
      </c>
      <c r="O843" s="8">
        <v>1</v>
      </c>
      <c r="P843" s="1">
        <v>7.9957500000000001E-2</v>
      </c>
      <c r="Q843">
        <v>1.3169999999999999</v>
      </c>
      <c r="R843" s="1">
        <v>3.00606E-2</v>
      </c>
      <c r="S843" s="2">
        <v>0.09</v>
      </c>
    </row>
    <row r="844" spans="1:19" x14ac:dyDescent="0.2">
      <c r="A844">
        <v>843</v>
      </c>
      <c r="B844">
        <v>35</v>
      </c>
      <c r="C844" t="s">
        <v>842</v>
      </c>
      <c r="D844" s="13" t="s">
        <v>913</v>
      </c>
      <c r="E844" s="1">
        <v>1.7452700000000001</v>
      </c>
      <c r="F844">
        <v>2.8580399999999999E-2</v>
      </c>
      <c r="G844" s="1">
        <v>1.68809580160839</v>
      </c>
      <c r="H844" s="1">
        <v>-3.68872523171924E-2</v>
      </c>
      <c r="I844">
        <f>VLOOKUP(C844,'[1]phenotypes-895'!$A$2:$G$896,7,FALSE)</f>
        <v>98</v>
      </c>
      <c r="J844" s="1">
        <v>-2.54951E-2</v>
      </c>
      <c r="K844" s="1">
        <f>VLOOKUP(C844,'[1]phenotypes-895'!$A$2:$I$896,9,FALSE)</f>
        <v>0</v>
      </c>
      <c r="L844" s="1">
        <v>-0.13881099999999999</v>
      </c>
      <c r="M844" s="4">
        <v>0</v>
      </c>
      <c r="N844" s="1">
        <v>-1.6038400000000001E-2</v>
      </c>
      <c r="O844" s="8">
        <v>0</v>
      </c>
      <c r="P844" s="1">
        <v>4.6655299999999997E-2</v>
      </c>
      <c r="Q844">
        <v>0.58199999999999996</v>
      </c>
      <c r="R844" s="1">
        <v>1.9290499999999999E-2</v>
      </c>
      <c r="S844" s="2">
        <v>-0.18</v>
      </c>
    </row>
    <row r="845" spans="1:19" x14ac:dyDescent="0.2">
      <c r="A845">
        <v>844</v>
      </c>
      <c r="B845">
        <v>27</v>
      </c>
      <c r="C845" t="s">
        <v>843</v>
      </c>
      <c r="D845" s="13" t="s">
        <v>913</v>
      </c>
      <c r="E845" s="1">
        <v>1.14845</v>
      </c>
      <c r="F845">
        <v>0.23840500000000001</v>
      </c>
      <c r="G845" s="1">
        <v>1.12153696279121</v>
      </c>
      <c r="H845" s="1">
        <v>0.20138932489098099</v>
      </c>
      <c r="I845">
        <f>VLOOKUP(C845,'[1]phenotypes-895'!$A$2:$G$896,7,FALSE)</f>
        <v>84</v>
      </c>
      <c r="J845" s="1">
        <v>4.4369800000000001E-2</v>
      </c>
      <c r="K845" s="1">
        <f>VLOOKUP(C845,'[1]phenotypes-895'!$A$2:$I$896,9,FALSE)</f>
        <v>0.45125020228515839</v>
      </c>
      <c r="L845" s="1">
        <v>0.20588300000000001</v>
      </c>
      <c r="M845" s="4">
        <v>5.1135330538860329</v>
      </c>
      <c r="N845" s="1">
        <v>2.51636E-3</v>
      </c>
      <c r="O845" s="8">
        <v>1</v>
      </c>
      <c r="P845" s="1">
        <v>0.20314099999999999</v>
      </c>
      <c r="Q845">
        <v>1.31</v>
      </c>
      <c r="R845" s="1">
        <v>7.2416400000000006E-2</v>
      </c>
      <c r="S845" s="2">
        <v>0.08</v>
      </c>
    </row>
    <row r="846" spans="1:19" x14ac:dyDescent="0.2">
      <c r="A846">
        <v>845</v>
      </c>
      <c r="B846">
        <v>29</v>
      </c>
      <c r="C846" t="s">
        <v>844</v>
      </c>
      <c r="D846" s="13" t="s">
        <v>913</v>
      </c>
      <c r="E846" s="1">
        <v>0.93960900000000003</v>
      </c>
      <c r="F846">
        <v>-0.62313200000000002</v>
      </c>
      <c r="G846" s="1">
        <v>0.90579945907363102</v>
      </c>
      <c r="H846" s="1">
        <v>-0.65952956006667596</v>
      </c>
      <c r="I846">
        <f>VLOOKUP(C846,'[1]phenotypes-895'!$A$2:$G$896,7,FALSE)</f>
        <v>91</v>
      </c>
      <c r="J846" s="1">
        <v>1.65387E-2</v>
      </c>
      <c r="K846" s="1">
        <f>VLOOKUP(C846,'[1]phenotypes-895'!$A$2:$I$896,9,FALSE)</f>
        <v>0.42508890463799348</v>
      </c>
      <c r="L846" s="1">
        <v>-8.2192299999999996E-2</v>
      </c>
      <c r="M846" s="4">
        <v>4.0485495487682268</v>
      </c>
      <c r="N846" s="1">
        <v>-1.0759299999999999E-2</v>
      </c>
      <c r="O846" s="8">
        <v>1</v>
      </c>
      <c r="P846" s="1">
        <v>6.3576900000000006E-2</v>
      </c>
      <c r="Q846">
        <v>1.0680000000000001</v>
      </c>
      <c r="R846" s="1">
        <v>3.2673300000000002E-2</v>
      </c>
      <c r="S846" s="2">
        <v>0.02</v>
      </c>
    </row>
    <row r="847" spans="1:19" x14ac:dyDescent="0.2">
      <c r="A847">
        <v>846</v>
      </c>
      <c r="B847">
        <v>33</v>
      </c>
      <c r="C847" t="s">
        <v>845</v>
      </c>
      <c r="D847" s="13" t="s">
        <v>913</v>
      </c>
      <c r="E847" s="1">
        <v>5.2485499999999998</v>
      </c>
      <c r="F847">
        <v>7.08047</v>
      </c>
      <c r="G847" s="1">
        <v>5.2173893451162403</v>
      </c>
      <c r="H847" s="1">
        <v>7.0549917838479699</v>
      </c>
      <c r="I847">
        <f>VLOOKUP(C847,'[1]phenotypes-895'!$A$2:$G$896,7,FALSE)</f>
        <v>98</v>
      </c>
      <c r="J847" s="1">
        <v>-6.50086E-2</v>
      </c>
      <c r="K847" s="1">
        <f>VLOOKUP(C847,'[1]phenotypes-895'!$A$2:$I$896,9,FALSE)</f>
        <v>7.170008682779197E-2</v>
      </c>
      <c r="L847" s="1">
        <v>0.314805</v>
      </c>
      <c r="M847" s="4">
        <v>3.1129901844172778</v>
      </c>
      <c r="N847" s="1">
        <v>-1.0803999999999999E-2</v>
      </c>
      <c r="O847" s="8">
        <v>1</v>
      </c>
      <c r="P847" s="1">
        <v>-0.113958</v>
      </c>
      <c r="Q847">
        <v>0.93799999999999994</v>
      </c>
      <c r="R847" s="1">
        <v>-4.4451400000000002E-2</v>
      </c>
      <c r="S847" s="2">
        <v>-0.02</v>
      </c>
    </row>
    <row r="848" spans="1:19" x14ac:dyDescent="0.2">
      <c r="A848">
        <v>847</v>
      </c>
      <c r="B848">
        <v>40</v>
      </c>
      <c r="C848" t="s">
        <v>846</v>
      </c>
      <c r="D848" s="13" t="s">
        <v>913</v>
      </c>
      <c r="E848" s="1">
        <v>2.8799399999999999</v>
      </c>
      <c r="F848">
        <v>0.379135</v>
      </c>
      <c r="G848" s="1">
        <v>2.8462758237685502</v>
      </c>
      <c r="H848" s="1">
        <v>0.33720382913629598</v>
      </c>
      <c r="I848">
        <f>VLOOKUP(C848,'[1]phenotypes-895'!$A$2:$G$896,7,FALSE)</f>
        <v>74</v>
      </c>
      <c r="J848" s="1">
        <v>-4.8943E-2</v>
      </c>
      <c r="K848" s="1">
        <f>VLOOKUP(C848,'[1]phenotypes-895'!$A$2:$I$896,9,FALSE)</f>
        <v>0.39030874320966003</v>
      </c>
      <c r="L848" s="1">
        <v>-0.11129600000000001</v>
      </c>
      <c r="M848" s="4">
        <v>4.4270286142809647</v>
      </c>
      <c r="N848" s="1">
        <v>-1.38315E-2</v>
      </c>
      <c r="O848" s="8">
        <v>1</v>
      </c>
      <c r="P848" s="1">
        <v>0.107185</v>
      </c>
      <c r="Q848">
        <v>0.88800000000000001</v>
      </c>
      <c r="R848" s="1">
        <v>4.3711699999999999E-2</v>
      </c>
      <c r="S848" s="2">
        <v>-0.04</v>
      </c>
    </row>
    <row r="849" spans="1:19" x14ac:dyDescent="0.2">
      <c r="A849">
        <v>848</v>
      </c>
      <c r="B849">
        <v>22</v>
      </c>
      <c r="C849" t="s">
        <v>847</v>
      </c>
      <c r="D849" s="13" t="s">
        <v>913</v>
      </c>
      <c r="E849" s="1">
        <v>0.55181000000000002</v>
      </c>
      <c r="F849">
        <v>1.98383</v>
      </c>
      <c r="G849" s="1">
        <v>0.55719142761754703</v>
      </c>
      <c r="H849" s="1">
        <v>1.9983038471224699</v>
      </c>
      <c r="I849">
        <f>VLOOKUP(C849,'[1]phenotypes-895'!$A$2:$G$896,7,FALSE)</f>
        <v>98</v>
      </c>
      <c r="J849" s="1">
        <v>-1.21554E-2</v>
      </c>
      <c r="K849" s="1">
        <f>VLOOKUP(C849,'[1]phenotypes-895'!$A$2:$I$896,9,FALSE)</f>
        <v>0</v>
      </c>
      <c r="L849" s="1">
        <v>-4.8966799999999998E-2</v>
      </c>
      <c r="M849" s="4">
        <v>0</v>
      </c>
      <c r="N849" s="1">
        <v>9.5215200000000003E-3</v>
      </c>
      <c r="O849" s="8">
        <v>0</v>
      </c>
      <c r="P849" s="1">
        <v>-0.104981</v>
      </c>
      <c r="Q849">
        <v>1.08</v>
      </c>
      <c r="R849" s="1">
        <v>-3.8080700000000002E-2</v>
      </c>
      <c r="S849" s="2">
        <v>0.02</v>
      </c>
    </row>
    <row r="850" spans="1:19" x14ac:dyDescent="0.2">
      <c r="A850">
        <v>849</v>
      </c>
      <c r="B850">
        <v>35</v>
      </c>
      <c r="C850" t="s">
        <v>848</v>
      </c>
      <c r="D850" s="13" t="s">
        <v>913</v>
      </c>
      <c r="E850" s="1">
        <v>1.9375100000000001</v>
      </c>
      <c r="F850">
        <v>3.2010299999999998</v>
      </c>
      <c r="G850" s="1">
        <v>1.91399174701174</v>
      </c>
      <c r="H850" s="1">
        <v>3.1817599136999002</v>
      </c>
      <c r="I850">
        <f>VLOOKUP(C850,'[1]phenotypes-895'!$A$2:$G$896,7,FALSE)</f>
        <v>98</v>
      </c>
      <c r="J850" s="1">
        <v>-8.4486099999999995E-2</v>
      </c>
      <c r="K850" s="1">
        <f>VLOOKUP(C850,'[1]phenotypes-895'!$A$2:$I$896,9,FALSE)</f>
        <v>0</v>
      </c>
      <c r="L850" s="1">
        <v>-6.35521E-2</v>
      </c>
      <c r="M850" s="4">
        <v>0</v>
      </c>
      <c r="N850" s="1">
        <v>-1.95199E-2</v>
      </c>
      <c r="O850" s="8">
        <v>0</v>
      </c>
      <c r="P850" s="1">
        <v>-7.2934200000000005E-2</v>
      </c>
      <c r="Q850">
        <v>1.046</v>
      </c>
      <c r="R850" s="1">
        <v>-2.97439E-2</v>
      </c>
      <c r="S850" s="2">
        <v>0.01</v>
      </c>
    </row>
    <row r="851" spans="1:19" x14ac:dyDescent="0.2">
      <c r="A851">
        <v>850</v>
      </c>
      <c r="B851">
        <v>22</v>
      </c>
      <c r="C851" t="s">
        <v>849</v>
      </c>
      <c r="D851" s="13" t="s">
        <v>913</v>
      </c>
      <c r="E851" s="1">
        <v>2.9589500000000002</v>
      </c>
      <c r="F851">
        <v>2.6982499999999998</v>
      </c>
      <c r="G851" s="1">
        <v>2.9509366002108801</v>
      </c>
      <c r="H851" s="1">
        <v>2.6888128140984402</v>
      </c>
      <c r="I851">
        <f>VLOOKUP(C851,'[1]phenotypes-895'!$A$2:$G$896,7,FALSE)</f>
        <v>98</v>
      </c>
      <c r="J851" s="1">
        <v>-5.45336E-3</v>
      </c>
      <c r="K851" s="1">
        <f>VLOOKUP(C851,'[1]phenotypes-895'!$A$2:$I$896,9,FALSE)</f>
        <v>0</v>
      </c>
      <c r="L851" s="1">
        <v>0.183918</v>
      </c>
      <c r="M851" s="4">
        <v>0</v>
      </c>
      <c r="N851" s="1">
        <v>-6.2928300000000001E-3</v>
      </c>
      <c r="O851" s="8">
        <v>0</v>
      </c>
      <c r="P851" s="1">
        <v>0.15693399999999999</v>
      </c>
      <c r="Q851">
        <v>1.032</v>
      </c>
      <c r="R851" s="1">
        <v>5.7831E-2</v>
      </c>
      <c r="S851" s="2">
        <v>0.01</v>
      </c>
    </row>
    <row r="852" spans="1:19" x14ac:dyDescent="0.2">
      <c r="A852">
        <v>851</v>
      </c>
      <c r="B852">
        <v>52</v>
      </c>
      <c r="C852" t="s">
        <v>850</v>
      </c>
      <c r="D852" s="13" t="s">
        <v>912</v>
      </c>
      <c r="E852" s="1">
        <v>0.30678899999999998</v>
      </c>
      <c r="F852">
        <v>2.5752199999999998</v>
      </c>
      <c r="G852" s="1">
        <v>0.33262889331497603</v>
      </c>
      <c r="H852" s="1">
        <v>2.6032919325356398</v>
      </c>
      <c r="I852">
        <f>VLOOKUP(C852,'[1]phenotypes-895'!$A$2:$G$896,7,FALSE)</f>
        <v>98</v>
      </c>
      <c r="J852" s="1">
        <v>-3.0759100000000001E-2</v>
      </c>
      <c r="K852" s="1">
        <f>VLOOKUP(C852,'[1]phenotypes-895'!$A$2:$I$896,9,FALSE)</f>
        <v>0</v>
      </c>
      <c r="L852" s="1">
        <v>-9.8270999999999997E-2</v>
      </c>
      <c r="M852" s="4">
        <v>0</v>
      </c>
      <c r="N852" s="1">
        <v>-1.7139600000000001E-2</v>
      </c>
      <c r="O852" s="8">
        <v>0</v>
      </c>
      <c r="P852" s="1">
        <v>-0.14820800000000001</v>
      </c>
      <c r="Q852">
        <v>0.58099999999999996</v>
      </c>
      <c r="R852" s="1">
        <v>-6.3227500000000006E-2</v>
      </c>
      <c r="S852" s="2">
        <v>-0.18</v>
      </c>
    </row>
    <row r="853" spans="1:19" x14ac:dyDescent="0.2">
      <c r="A853">
        <v>852</v>
      </c>
      <c r="B853">
        <v>49</v>
      </c>
      <c r="C853" t="s">
        <v>851</v>
      </c>
      <c r="D853" s="13" t="s">
        <v>912</v>
      </c>
      <c r="E853" s="1">
        <v>-1.60053</v>
      </c>
      <c r="F853">
        <v>-0.53768099999999996</v>
      </c>
      <c r="G853" s="1">
        <v>-1.6108979264419701</v>
      </c>
      <c r="H853" s="1">
        <v>-0.53764311365020101</v>
      </c>
      <c r="I853">
        <f>VLOOKUP(C853,'[1]phenotypes-895'!$A$2:$G$896,7,FALSE)</f>
        <v>67</v>
      </c>
      <c r="J853" s="1">
        <v>2.75006E-2</v>
      </c>
      <c r="K853" s="1">
        <f>VLOOKUP(C853,'[1]phenotypes-895'!$A$2:$I$896,9,FALSE)</f>
        <v>0.41956941552262678</v>
      </c>
      <c r="L853" s="1">
        <v>-4.7100799999999998E-2</v>
      </c>
      <c r="M853" s="4">
        <v>4.1725910270447377</v>
      </c>
      <c r="N853" s="1">
        <v>1.92096E-2</v>
      </c>
      <c r="O853" s="8">
        <v>1</v>
      </c>
      <c r="P853" s="1">
        <v>-8.0256300000000003E-2</v>
      </c>
      <c r="Q853">
        <v>0.57699999999999996</v>
      </c>
      <c r="R853" s="1">
        <v>-3.3099700000000003E-2</v>
      </c>
      <c r="S853" s="2">
        <v>-0.19</v>
      </c>
    </row>
    <row r="854" spans="1:19" x14ac:dyDescent="0.2">
      <c r="A854">
        <v>853</v>
      </c>
      <c r="B854">
        <v>30</v>
      </c>
      <c r="C854" t="s">
        <v>852</v>
      </c>
      <c r="D854" s="13" t="s">
        <v>913</v>
      </c>
      <c r="E854" s="1">
        <v>1.45642</v>
      </c>
      <c r="F854">
        <v>0.22700200000000001</v>
      </c>
      <c r="G854" s="1">
        <v>1.4168973617440299</v>
      </c>
      <c r="H854" s="1">
        <v>0.18523372741942001</v>
      </c>
      <c r="I854">
        <f>VLOOKUP(C854,'[1]phenotypes-895'!$A$2:$G$896,7,FALSE)</f>
        <v>98</v>
      </c>
      <c r="J854" s="1">
        <v>-1.95047E-2</v>
      </c>
      <c r="K854" s="1">
        <f>VLOOKUP(C854,'[1]phenotypes-895'!$A$2:$I$896,9,FALSE)</f>
        <v>0</v>
      </c>
      <c r="L854" s="1">
        <v>-0.13714799999999999</v>
      </c>
      <c r="M854" s="4">
        <v>0</v>
      </c>
      <c r="N854" s="1">
        <v>-1.9535899999999998E-2</v>
      </c>
      <c r="O854" s="8">
        <v>0</v>
      </c>
      <c r="P854" s="1">
        <v>9.7137899999999999E-2</v>
      </c>
      <c r="Q854">
        <v>1.0329999999999999</v>
      </c>
      <c r="R854" s="1">
        <v>4.2595399999999999E-2</v>
      </c>
      <c r="S854" s="2">
        <v>0.01</v>
      </c>
    </row>
    <row r="855" spans="1:19" x14ac:dyDescent="0.2">
      <c r="A855">
        <v>854</v>
      </c>
      <c r="B855">
        <v>35</v>
      </c>
      <c r="C855" t="s">
        <v>853</v>
      </c>
      <c r="D855" s="13" t="s">
        <v>913</v>
      </c>
      <c r="E855" s="1">
        <v>2.8157299999999998</v>
      </c>
      <c r="F855">
        <v>3.3853</v>
      </c>
      <c r="G855" s="1">
        <v>2.79281971758672</v>
      </c>
      <c r="H855" s="1">
        <v>3.3558123132753699</v>
      </c>
      <c r="I855">
        <f>VLOOKUP(C855,'[1]phenotypes-895'!$A$2:$G$896,7,FALSE)</f>
        <v>76</v>
      </c>
      <c r="J855" s="1">
        <v>-7.9553299999999993E-2</v>
      </c>
      <c r="K855" s="1">
        <f>VLOOKUP(C855,'[1]phenotypes-895'!$A$2:$I$896,9,FALSE)</f>
        <v>0.36164138878101237</v>
      </c>
      <c r="L855" s="1">
        <v>-0.10036100000000001</v>
      </c>
      <c r="M855" s="4">
        <v>4.4450277399237299</v>
      </c>
      <c r="N855" s="1">
        <v>-2.0686400000000001E-2</v>
      </c>
      <c r="O855" s="8">
        <v>1</v>
      </c>
      <c r="P855" s="1">
        <v>2.5239399999999999E-2</v>
      </c>
      <c r="Q855">
        <v>1.012</v>
      </c>
      <c r="R855" s="1">
        <v>1.35633E-2</v>
      </c>
      <c r="S855" s="2">
        <v>0</v>
      </c>
    </row>
    <row r="856" spans="1:19" x14ac:dyDescent="0.2">
      <c r="A856">
        <v>855</v>
      </c>
      <c r="B856">
        <v>46</v>
      </c>
      <c r="C856" t="s">
        <v>854</v>
      </c>
      <c r="D856" s="13" t="s">
        <v>912</v>
      </c>
      <c r="E856" s="1">
        <v>-4.7708800000000003E-2</v>
      </c>
      <c r="F856">
        <v>2.5680700000000001</v>
      </c>
      <c r="G856" s="1">
        <v>-7.1629110446053898E-2</v>
      </c>
      <c r="H856" s="1">
        <v>2.5629234970507202</v>
      </c>
      <c r="I856">
        <f>VLOOKUP(C856,'[1]phenotypes-895'!$A$2:$G$896,7,FALSE)</f>
        <v>70</v>
      </c>
      <c r="J856" s="1">
        <v>1.0796099999999999E-2</v>
      </c>
      <c r="K856" s="1">
        <f>VLOOKUP(C856,'[1]phenotypes-895'!$A$2:$I$896,9,FALSE)</f>
        <v>0.36675857072047141</v>
      </c>
      <c r="L856" s="1">
        <v>-5.1742799999999999E-2</v>
      </c>
      <c r="M856" s="4">
        <v>4.4396692259197614</v>
      </c>
      <c r="N856" s="1">
        <v>1.01233E-2</v>
      </c>
      <c r="O856" s="8">
        <v>1</v>
      </c>
      <c r="P856" s="1">
        <v>-0.173425</v>
      </c>
      <c r="Q856">
        <v>0.51200000000000001</v>
      </c>
      <c r="R856" s="1">
        <v>-7.5676400000000005E-2</v>
      </c>
      <c r="S856" s="2">
        <v>-0.23</v>
      </c>
    </row>
    <row r="857" spans="1:19" x14ac:dyDescent="0.2">
      <c r="A857">
        <v>856</v>
      </c>
      <c r="B857">
        <v>38</v>
      </c>
      <c r="C857" t="s">
        <v>855</v>
      </c>
      <c r="D857" s="13" t="s">
        <v>913</v>
      </c>
      <c r="E857" s="1">
        <v>8.9545300000000001</v>
      </c>
      <c r="F857">
        <v>8.9384300000000003</v>
      </c>
      <c r="G857" s="1">
        <v>8.9492103144948896</v>
      </c>
      <c r="H857" s="1">
        <v>8.9315335012721508</v>
      </c>
      <c r="I857">
        <f>VLOOKUP(C857,'[1]phenotypes-895'!$A$2:$G$896,7,FALSE)</f>
        <v>98</v>
      </c>
      <c r="J857" s="1">
        <v>-0.16531799999999999</v>
      </c>
      <c r="K857" s="1">
        <f>VLOOKUP(C857,'[1]phenotypes-895'!$A$2:$I$896,9,FALSE)</f>
        <v>0</v>
      </c>
      <c r="L857" s="1">
        <v>-0.14948700000000001</v>
      </c>
      <c r="M857" s="4">
        <v>0</v>
      </c>
      <c r="N857" s="1">
        <v>-6.4091499999999996E-2</v>
      </c>
      <c r="O857" s="8">
        <v>0</v>
      </c>
      <c r="P857" s="1">
        <v>0.11339100000000001</v>
      </c>
      <c r="Q857">
        <v>1.214</v>
      </c>
      <c r="R857" s="1">
        <v>4.04792E-2</v>
      </c>
      <c r="S857" s="2">
        <v>0.06</v>
      </c>
    </row>
    <row r="858" spans="1:19" x14ac:dyDescent="0.2">
      <c r="A858">
        <v>857</v>
      </c>
      <c r="B858">
        <v>35</v>
      </c>
      <c r="C858" t="s">
        <v>856</v>
      </c>
      <c r="D858" s="13" t="s">
        <v>913</v>
      </c>
      <c r="E858" s="1">
        <v>1.41696</v>
      </c>
      <c r="F858">
        <v>1.5906899999999999</v>
      </c>
      <c r="G858" s="1">
        <v>1.3880729000930301</v>
      </c>
      <c r="H858" s="1">
        <v>1.5542678858160699</v>
      </c>
      <c r="I858">
        <f>VLOOKUP(C858,'[1]phenotypes-895'!$A$2:$G$896,7,FALSE)</f>
        <v>71</v>
      </c>
      <c r="J858" s="1">
        <v>1.4844100000000001E-2</v>
      </c>
      <c r="K858" s="1">
        <f>VLOOKUP(C858,'[1]phenotypes-895'!$A$2:$I$896,9,FALSE)</f>
        <v>0.67749181114840129</v>
      </c>
      <c r="L858" s="1">
        <v>-5.3187199999999997E-2</v>
      </c>
      <c r="M858" s="4">
        <v>4.7433272277992531</v>
      </c>
      <c r="N858" s="1">
        <v>-2.9227599999999999E-2</v>
      </c>
      <c r="O858" s="8">
        <v>1</v>
      </c>
      <c r="P858" s="1">
        <v>6.2586500000000003E-2</v>
      </c>
      <c r="Q858">
        <v>1.1020000000000001</v>
      </c>
      <c r="R858" s="1">
        <v>2.4943099999999999E-2</v>
      </c>
      <c r="S858" s="2">
        <v>0.03</v>
      </c>
    </row>
    <row r="859" spans="1:19" x14ac:dyDescent="0.2">
      <c r="A859">
        <v>858</v>
      </c>
      <c r="B859">
        <v>32</v>
      </c>
      <c r="C859" t="s">
        <v>857</v>
      </c>
      <c r="D859" s="13" t="s">
        <v>913</v>
      </c>
      <c r="E859" s="1">
        <v>1.2993600000000001</v>
      </c>
      <c r="F859">
        <v>1.0394600000000001</v>
      </c>
      <c r="G859" s="1">
        <v>1.25092646304569</v>
      </c>
      <c r="H859" s="1">
        <v>0.98233546718481901</v>
      </c>
      <c r="I859">
        <f>VLOOKUP(C859,'[1]phenotypes-895'!$A$2:$G$896,7,FALSE)</f>
        <v>49</v>
      </c>
      <c r="J859" s="1">
        <v>1.3450800000000001E-2</v>
      </c>
      <c r="K859" s="1">
        <f>VLOOKUP(C859,'[1]phenotypes-895'!$A$2:$I$896,9,FALSE)</f>
        <v>0.5399577401947</v>
      </c>
      <c r="L859" s="1">
        <v>0.137714</v>
      </c>
      <c r="M859" s="4">
        <v>3.5242779722584245</v>
      </c>
      <c r="N859" s="1">
        <v>-4.4521600000000001E-3</v>
      </c>
      <c r="O859" s="8">
        <v>1</v>
      </c>
      <c r="P859" s="1">
        <v>5.1106499999999999E-2</v>
      </c>
      <c r="Q859">
        <v>1.042</v>
      </c>
      <c r="R859" s="1">
        <v>2.4117599999999999E-2</v>
      </c>
      <c r="S859" s="2">
        <v>0.01</v>
      </c>
    </row>
    <row r="860" spans="1:19" x14ac:dyDescent="0.2">
      <c r="A860">
        <v>859</v>
      </c>
      <c r="B860">
        <v>54</v>
      </c>
      <c r="C860" t="s">
        <v>858</v>
      </c>
      <c r="D860" s="13" t="s">
        <v>912</v>
      </c>
      <c r="E860" s="1">
        <v>-1.6513899999999999</v>
      </c>
      <c r="F860">
        <v>0.35</v>
      </c>
      <c r="G860" s="1">
        <v>-1.6965413402381599</v>
      </c>
      <c r="H860" s="1">
        <v>0.32042670848147797</v>
      </c>
      <c r="I860">
        <f>VLOOKUP(C860,'[1]phenotypes-895'!$A$2:$G$896,7,FALSE)</f>
        <v>67</v>
      </c>
      <c r="J860" s="1">
        <v>8.4251900000000008E-3</v>
      </c>
      <c r="K860" s="1">
        <f>VLOOKUP(C860,'[1]phenotypes-895'!$A$2:$I$896,9,FALSE)</f>
        <v>0.46269912981740469</v>
      </c>
      <c r="L860" s="1">
        <v>-4.4419800000000002E-2</v>
      </c>
      <c r="M860" s="4">
        <v>4.3835950049640475</v>
      </c>
      <c r="N860" s="1">
        <v>4.9408100000000003E-3</v>
      </c>
      <c r="O860" s="8">
        <v>1</v>
      </c>
      <c r="P860" s="1">
        <v>-0.14637800000000001</v>
      </c>
      <c r="Q860">
        <v>0.61799999999999999</v>
      </c>
      <c r="R860" s="1">
        <v>-5.43434E-2</v>
      </c>
      <c r="S860" s="2">
        <v>-0.16</v>
      </c>
    </row>
    <row r="861" spans="1:19" x14ac:dyDescent="0.2">
      <c r="A861">
        <v>860</v>
      </c>
      <c r="B861">
        <v>36</v>
      </c>
      <c r="C861" t="s">
        <v>859</v>
      </c>
      <c r="D861" s="13" t="s">
        <v>913</v>
      </c>
      <c r="E861" s="1">
        <v>1.42133</v>
      </c>
      <c r="F861">
        <v>2.4120599999999999</v>
      </c>
      <c r="G861" s="1">
        <v>1.4132954625445999</v>
      </c>
      <c r="H861" s="1">
        <v>2.4100769067224999</v>
      </c>
      <c r="I861">
        <f>VLOOKUP(C861,'[1]phenotypes-895'!$A$2:$G$896,7,FALSE)</f>
        <v>63</v>
      </c>
      <c r="J861" s="1">
        <v>7.4600400000000002E-3</v>
      </c>
      <c r="K861" s="1">
        <f>VLOOKUP(C861,'[1]phenotypes-895'!$A$2:$I$896,9,FALSE)</f>
        <v>0.74797014969829623</v>
      </c>
      <c r="L861" s="1">
        <v>-1.4652399999999999E-2</v>
      </c>
      <c r="M861" s="4">
        <v>4.9176588504953678</v>
      </c>
      <c r="N861" s="1">
        <v>-6.9221999999999999E-3</v>
      </c>
      <c r="O861" s="8">
        <v>1</v>
      </c>
      <c r="P861" s="1">
        <v>5.9485700000000002E-2</v>
      </c>
      <c r="Q861">
        <v>1.248</v>
      </c>
      <c r="R861" s="1">
        <v>1.7594499999999999E-2</v>
      </c>
      <c r="S861" s="2">
        <v>7.0000000000000007E-2</v>
      </c>
    </row>
    <row r="862" spans="1:19" x14ac:dyDescent="0.2">
      <c r="A862">
        <v>861</v>
      </c>
      <c r="B862">
        <v>51</v>
      </c>
      <c r="C862" t="s">
        <v>860</v>
      </c>
      <c r="D862" s="13" t="s">
        <v>912</v>
      </c>
      <c r="E862" s="1">
        <v>1.5568599999999999</v>
      </c>
      <c r="F862">
        <v>4.3946899999999998</v>
      </c>
      <c r="G862" s="1">
        <v>1.5234596459325001</v>
      </c>
      <c r="H862" s="1">
        <v>4.3817965408132196</v>
      </c>
      <c r="I862">
        <f>VLOOKUP(C862,'[1]phenotypes-895'!$A$2:$G$896,7,FALSE)</f>
        <v>98</v>
      </c>
      <c r="J862" s="1">
        <v>-2.7447800000000001E-2</v>
      </c>
      <c r="K862" s="1">
        <f>VLOOKUP(C862,'[1]phenotypes-895'!$A$2:$I$896,9,FALSE)</f>
        <v>0.24987389574887739</v>
      </c>
      <c r="L862" s="1">
        <v>-3.6187799999999999E-2</v>
      </c>
      <c r="M862" s="4">
        <v>4.4906317006765448</v>
      </c>
      <c r="N862" s="1">
        <v>2.4977100000000002E-3</v>
      </c>
      <c r="O862" s="8">
        <v>1</v>
      </c>
      <c r="P862" s="1">
        <v>-0.15187700000000001</v>
      </c>
      <c r="Q862">
        <v>0.63300000000000001</v>
      </c>
      <c r="R862" s="1">
        <v>-5.3739799999999997E-2</v>
      </c>
      <c r="S862" s="2">
        <v>-0.15</v>
      </c>
    </row>
    <row r="863" spans="1:19" x14ac:dyDescent="0.2">
      <c r="A863">
        <v>862</v>
      </c>
      <c r="B863">
        <v>40</v>
      </c>
      <c r="C863" t="s">
        <v>861</v>
      </c>
      <c r="D863" s="13" t="s">
        <v>913</v>
      </c>
      <c r="E863" s="1">
        <v>-0.96375699999999997</v>
      </c>
      <c r="F863">
        <v>-1.7057899999999999</v>
      </c>
      <c r="G863" s="1">
        <v>-1.01046936530119</v>
      </c>
      <c r="H863" s="1">
        <v>-1.7615918367722301</v>
      </c>
      <c r="I863">
        <f>VLOOKUP(C863,'[1]phenotypes-895'!$A$2:$G$896,7,FALSE)</f>
        <v>63</v>
      </c>
      <c r="J863" s="1">
        <v>2.5734699999999999E-2</v>
      </c>
      <c r="K863" s="1">
        <f>VLOOKUP(C863,'[1]phenotypes-895'!$A$2:$I$896,9,FALSE)</f>
        <v>0.45949266141556339</v>
      </c>
      <c r="L863" s="1">
        <v>-3.2501099999999998E-2</v>
      </c>
      <c r="M863" s="4">
        <v>3.7516273024880373</v>
      </c>
      <c r="N863" s="1">
        <v>9.4944399999999998E-3</v>
      </c>
      <c r="O863" s="8">
        <v>1</v>
      </c>
      <c r="P863" s="1">
        <v>8.2795999999999995E-2</v>
      </c>
      <c r="Q863">
        <v>1.1040000000000001</v>
      </c>
      <c r="R863" s="1">
        <v>4.0938599999999999E-2</v>
      </c>
      <c r="S863" s="2">
        <v>0.03</v>
      </c>
    </row>
    <row r="864" spans="1:19" x14ac:dyDescent="0.2">
      <c r="A864">
        <v>863</v>
      </c>
      <c r="B864">
        <v>31</v>
      </c>
      <c r="C864" t="s">
        <v>862</v>
      </c>
      <c r="D864" s="13" t="s">
        <v>913</v>
      </c>
      <c r="E864" s="1">
        <v>2.2305100000000002</v>
      </c>
      <c r="F864">
        <v>1.7371000000000001</v>
      </c>
      <c r="G864" s="1">
        <v>2.2755062750358799</v>
      </c>
      <c r="H864" s="1">
        <v>1.78622838353715</v>
      </c>
      <c r="I864">
        <f>VLOOKUP(C864,'[1]phenotypes-895'!$A$2:$G$896,7,FALSE)</f>
        <v>68</v>
      </c>
      <c r="J864" s="1">
        <v>1.0050999999999999E-2</v>
      </c>
      <c r="K864" s="1">
        <f>VLOOKUP(C864,'[1]phenotypes-895'!$A$2:$I$896,9,FALSE)</f>
        <v>0.57420266806703912</v>
      </c>
      <c r="L864" s="1">
        <v>8.7069900000000006E-2</v>
      </c>
      <c r="M864" s="4">
        <v>4.9021667599590595</v>
      </c>
      <c r="N864" s="1">
        <v>-1.7011999999999999E-3</v>
      </c>
      <c r="O864" s="8">
        <v>1</v>
      </c>
      <c r="P864" s="1">
        <v>1.95087E-2</v>
      </c>
      <c r="Q864">
        <v>1.079</v>
      </c>
      <c r="R864" s="1">
        <v>9.5353E-3</v>
      </c>
      <c r="S864" s="2">
        <v>0.02</v>
      </c>
    </row>
    <row r="865" spans="1:19" x14ac:dyDescent="0.2">
      <c r="A865">
        <v>864</v>
      </c>
      <c r="B865">
        <v>50</v>
      </c>
      <c r="C865" t="s">
        <v>863</v>
      </c>
      <c r="D865" s="13" t="s">
        <v>912</v>
      </c>
      <c r="E865" s="1">
        <v>2.07816</v>
      </c>
      <c r="F865">
        <v>4.4295499999999999</v>
      </c>
      <c r="G865" s="1">
        <v>2.1175037882012102</v>
      </c>
      <c r="H865" s="1">
        <v>4.4812851665632403</v>
      </c>
      <c r="I865">
        <f>VLOOKUP(C865,'[1]phenotypes-895'!$A$2:$G$896,7,FALSE)</f>
        <v>77</v>
      </c>
      <c r="J865" s="1">
        <v>-4.4173499999999997E-2</v>
      </c>
      <c r="K865" s="1">
        <f>VLOOKUP(C865,'[1]phenotypes-895'!$A$2:$I$896,9,FALSE)</f>
        <v>0.55744987364081644</v>
      </c>
      <c r="L865" s="1">
        <v>5.6637299999999996E-3</v>
      </c>
      <c r="M865" s="4">
        <v>3.6569302959739503</v>
      </c>
      <c r="N865" s="1">
        <v>7.5706599999999999E-3</v>
      </c>
      <c r="O865" s="8">
        <v>1</v>
      </c>
      <c r="P865" s="1">
        <v>-0.230046</v>
      </c>
      <c r="Q865">
        <v>0.56299999999999994</v>
      </c>
      <c r="R865" s="1">
        <v>-9.6423499999999995E-2</v>
      </c>
      <c r="S865" s="2">
        <v>-0.19</v>
      </c>
    </row>
    <row r="866" spans="1:19" x14ac:dyDescent="0.2">
      <c r="A866">
        <v>865</v>
      </c>
      <c r="B866">
        <v>32</v>
      </c>
      <c r="C866" t="s">
        <v>864</v>
      </c>
      <c r="D866" s="13" t="s">
        <v>913</v>
      </c>
      <c r="E866" s="1">
        <v>3.1992799999999999</v>
      </c>
      <c r="F866">
        <v>2.7092299999999998</v>
      </c>
      <c r="G866" s="1">
        <v>3.1641244195098399</v>
      </c>
      <c r="H866" s="1">
        <v>2.67318991836426</v>
      </c>
      <c r="I866">
        <f>VLOOKUP(C866,'[1]phenotypes-895'!$A$2:$G$896,7,FALSE)</f>
        <v>71</v>
      </c>
      <c r="J866" s="1">
        <v>-6.8976799999999998E-3</v>
      </c>
      <c r="K866" s="1">
        <f>VLOOKUP(C866,'[1]phenotypes-895'!$A$2:$I$896,9,FALSE)</f>
        <v>0.44811736806432062</v>
      </c>
      <c r="L866" s="1">
        <v>9.0715699999999996E-2</v>
      </c>
      <c r="M866" s="4">
        <v>4.1320607662606825</v>
      </c>
      <c r="N866" s="1">
        <v>-1.00318E-2</v>
      </c>
      <c r="O866" s="8">
        <v>1</v>
      </c>
      <c r="P866" s="1">
        <v>0.111563</v>
      </c>
      <c r="Q866">
        <v>1.244</v>
      </c>
      <c r="R866" s="1">
        <v>4.4909600000000001E-2</v>
      </c>
      <c r="S866" s="2">
        <v>7.0000000000000007E-2</v>
      </c>
    </row>
    <row r="867" spans="1:19" x14ac:dyDescent="0.2">
      <c r="A867">
        <v>866</v>
      </c>
      <c r="B867">
        <v>42</v>
      </c>
      <c r="C867" t="s">
        <v>865</v>
      </c>
      <c r="D867" s="13" t="s">
        <v>912</v>
      </c>
      <c r="E867" s="1">
        <v>-2.0428000000000002</v>
      </c>
      <c r="F867">
        <v>-3.9565299999999998E-2</v>
      </c>
      <c r="G867" s="1">
        <v>-2.0682248236853198</v>
      </c>
      <c r="H867" s="1">
        <v>-5.23302537120552E-2</v>
      </c>
      <c r="I867">
        <f>VLOOKUP(C867,'[1]phenotypes-895'!$A$2:$G$896,7,FALSE)</f>
        <v>48</v>
      </c>
      <c r="J867" s="1">
        <v>2.0322E-2</v>
      </c>
      <c r="K867" s="1">
        <f>VLOOKUP(C867,'[1]phenotypes-895'!$A$2:$I$896,9,FALSE)</f>
        <v>0.51745416317913351</v>
      </c>
      <c r="L867" s="1">
        <v>4.71501E-2</v>
      </c>
      <c r="M867" s="4">
        <v>3.4621500449349205</v>
      </c>
      <c r="N867" s="1">
        <v>2.7861799999999999E-2</v>
      </c>
      <c r="O867" s="8">
        <v>1</v>
      </c>
      <c r="P867" s="1">
        <v>-0.23200999999999999</v>
      </c>
      <c r="Q867">
        <v>0.61599999999999999</v>
      </c>
      <c r="R867" s="1">
        <v>-8.9915499999999995E-2</v>
      </c>
      <c r="S867" s="2">
        <v>-0.16</v>
      </c>
    </row>
    <row r="868" spans="1:19" x14ac:dyDescent="0.2">
      <c r="A868">
        <v>867</v>
      </c>
      <c r="B868">
        <v>50</v>
      </c>
      <c r="C868" t="s">
        <v>866</v>
      </c>
      <c r="D868" s="13" t="s">
        <v>912</v>
      </c>
      <c r="E868" s="1">
        <v>-0.120931</v>
      </c>
      <c r="F868">
        <v>3.3538999999999999</v>
      </c>
      <c r="G868" s="1">
        <v>-0.111903897470781</v>
      </c>
      <c r="H868" s="1">
        <v>3.3635669757520601</v>
      </c>
      <c r="I868">
        <f>VLOOKUP(C868,'[1]phenotypes-895'!$A$2:$G$896,7,FALSE)</f>
        <v>65</v>
      </c>
      <c r="J868" s="1">
        <v>-1.34076E-2</v>
      </c>
      <c r="K868" s="1">
        <f>VLOOKUP(C868,'[1]phenotypes-895'!$A$2:$I$896,9,FALSE)</f>
        <v>0.34634333241937981</v>
      </c>
      <c r="L868" s="1">
        <v>2.48349E-2</v>
      </c>
      <c r="M868" s="4">
        <v>3.5055309345784988</v>
      </c>
      <c r="N868" s="1">
        <v>2.77828E-2</v>
      </c>
      <c r="O868" s="8">
        <v>1</v>
      </c>
      <c r="P868" s="1">
        <v>-0.25025199999999997</v>
      </c>
      <c r="Q868">
        <v>0.48299999999999998</v>
      </c>
      <c r="R868" s="1">
        <v>-0.109803</v>
      </c>
      <c r="S868" s="2">
        <v>-0.25</v>
      </c>
    </row>
    <row r="869" spans="1:19" x14ac:dyDescent="0.2">
      <c r="A869">
        <v>868</v>
      </c>
      <c r="B869">
        <v>38</v>
      </c>
      <c r="C869" t="s">
        <v>867</v>
      </c>
      <c r="D869" s="13" t="s">
        <v>913</v>
      </c>
      <c r="E869" s="1">
        <v>4.9055</v>
      </c>
      <c r="F869">
        <v>4.5207499999999996</v>
      </c>
      <c r="G869" s="1">
        <v>4.8797354855666404</v>
      </c>
      <c r="H869" s="1">
        <v>4.49247507646953</v>
      </c>
      <c r="I869">
        <f>VLOOKUP(C869,'[1]phenotypes-895'!$A$2:$G$896,7,FALSE)</f>
        <v>98</v>
      </c>
      <c r="J869" s="1">
        <v>-7.9848699999999995E-2</v>
      </c>
      <c r="K869" s="1">
        <f>VLOOKUP(C869,'[1]phenotypes-895'!$A$2:$I$896,9,FALSE)</f>
        <v>0</v>
      </c>
      <c r="L869" s="1">
        <v>-8.9770199999999994E-2</v>
      </c>
      <c r="M869" s="4">
        <v>0</v>
      </c>
      <c r="N869" s="1">
        <v>-4.5273300000000002E-2</v>
      </c>
      <c r="O869" s="8">
        <v>0</v>
      </c>
      <c r="P869" s="1">
        <v>0.15263499999999999</v>
      </c>
      <c r="Q869">
        <v>1.117</v>
      </c>
      <c r="R869" s="1">
        <v>5.71534E-2</v>
      </c>
      <c r="S869" s="2">
        <v>0.04</v>
      </c>
    </row>
    <row r="870" spans="1:19" x14ac:dyDescent="0.2">
      <c r="A870">
        <v>869</v>
      </c>
      <c r="B870">
        <v>52</v>
      </c>
      <c r="C870" t="s">
        <v>868</v>
      </c>
      <c r="D870" s="13" t="s">
        <v>912</v>
      </c>
      <c r="E870" s="1">
        <v>4.0860700000000003</v>
      </c>
      <c r="F870">
        <v>3.8563999999999998</v>
      </c>
      <c r="G870" s="1">
        <v>4.0683570596656704</v>
      </c>
      <c r="H870" s="1">
        <v>3.85767957765021</v>
      </c>
      <c r="I870">
        <f>VLOOKUP(C870,'[1]phenotypes-895'!$A$2:$G$896,7,FALSE)</f>
        <v>74</v>
      </c>
      <c r="J870" s="1">
        <v>-5.1551399999999997E-2</v>
      </c>
      <c r="K870" s="1">
        <f>VLOOKUP(C870,'[1]phenotypes-895'!$A$2:$I$896,9,FALSE)</f>
        <v>0.46122642371119332</v>
      </c>
      <c r="L870" s="1">
        <v>-4.7824100000000001E-2</v>
      </c>
      <c r="M870" s="4">
        <v>3.9075591881090292</v>
      </c>
      <c r="N870" s="1">
        <v>-1.8693600000000001E-2</v>
      </c>
      <c r="O870" s="8">
        <v>1</v>
      </c>
      <c r="P870" s="1">
        <v>-7.4106900000000003E-2</v>
      </c>
      <c r="Q870">
        <v>0.54600000000000004</v>
      </c>
      <c r="R870" s="1">
        <v>-3.4245900000000003E-2</v>
      </c>
      <c r="S870" s="2">
        <v>-0.2</v>
      </c>
    </row>
    <row r="871" spans="1:19" x14ac:dyDescent="0.2">
      <c r="A871">
        <v>870</v>
      </c>
      <c r="B871">
        <v>48</v>
      </c>
      <c r="C871" t="s">
        <v>869</v>
      </c>
      <c r="D871" s="13" t="s">
        <v>912</v>
      </c>
      <c r="E871" s="1">
        <v>3.42693</v>
      </c>
      <c r="F871">
        <v>5.3467900000000004</v>
      </c>
      <c r="G871" s="1">
        <v>3.42835929607807</v>
      </c>
      <c r="H871" s="1">
        <v>5.3610438184343598</v>
      </c>
      <c r="I871">
        <f>VLOOKUP(C871,'[1]phenotypes-895'!$A$2:$G$896,7,FALSE)</f>
        <v>98</v>
      </c>
      <c r="J871" s="1">
        <v>-4.5918E-2</v>
      </c>
      <c r="K871" s="1">
        <f>VLOOKUP(C871,'[1]phenotypes-895'!$A$2:$I$896,9,FALSE)</f>
        <v>0</v>
      </c>
      <c r="L871" s="1">
        <v>9.9699400000000001E-3</v>
      </c>
      <c r="M871" s="4">
        <v>0</v>
      </c>
      <c r="N871" s="1">
        <v>-1.10697E-2</v>
      </c>
      <c r="O871" s="8">
        <v>0</v>
      </c>
      <c r="P871" s="1">
        <v>-6.6303000000000001E-2</v>
      </c>
      <c r="Q871">
        <v>0.54900000000000004</v>
      </c>
      <c r="R871" s="1">
        <v>-3.01792E-2</v>
      </c>
      <c r="S871" s="2">
        <v>-0.2</v>
      </c>
    </row>
    <row r="872" spans="1:19" x14ac:dyDescent="0.2">
      <c r="A872">
        <v>871</v>
      </c>
      <c r="B872">
        <v>21</v>
      </c>
      <c r="C872" t="s">
        <v>870</v>
      </c>
      <c r="D872" s="13" t="s">
        <v>913</v>
      </c>
      <c r="E872" s="1">
        <v>2.4494500000000001</v>
      </c>
      <c r="F872">
        <v>1.4736</v>
      </c>
      <c r="G872" s="1">
        <v>2.4943151837788</v>
      </c>
      <c r="H872" s="1">
        <v>1.5266405928268401</v>
      </c>
      <c r="I872">
        <f>VLOOKUP(C872,'[1]phenotypes-895'!$A$2:$G$896,7,FALSE)</f>
        <v>98</v>
      </c>
      <c r="J872" s="1">
        <v>-3.62093E-2</v>
      </c>
      <c r="K872" s="1">
        <f>VLOOKUP(C872,'[1]phenotypes-895'!$A$2:$I$896,9,FALSE)</f>
        <v>0</v>
      </c>
      <c r="L872" s="1">
        <v>-0.12969900000000001</v>
      </c>
      <c r="M872" s="4">
        <v>0</v>
      </c>
      <c r="N872" s="1">
        <v>-2.69251E-2</v>
      </c>
      <c r="O872" s="8">
        <v>0</v>
      </c>
      <c r="P872" s="1">
        <v>9.7261899999999998E-2</v>
      </c>
      <c r="Q872">
        <v>1.1599999999999999</v>
      </c>
      <c r="R872" s="1">
        <v>4.0710200000000002E-2</v>
      </c>
      <c r="S872" s="2">
        <v>0.05</v>
      </c>
    </row>
    <row r="873" spans="1:19" x14ac:dyDescent="0.2">
      <c r="A873">
        <v>872</v>
      </c>
      <c r="B873">
        <v>21</v>
      </c>
      <c r="C873" t="s">
        <v>871</v>
      </c>
      <c r="D873" s="13" t="s">
        <v>913</v>
      </c>
      <c r="E873" s="1">
        <v>1.2321800000000001</v>
      </c>
      <c r="F873">
        <v>0.52477799999999997</v>
      </c>
      <c r="G873" s="1">
        <v>1.18811760238113</v>
      </c>
      <c r="H873" s="1">
        <v>0.47804611641368799</v>
      </c>
      <c r="I873">
        <f>VLOOKUP(C873,'[1]phenotypes-895'!$A$2:$G$896,7,FALSE)</f>
        <v>67</v>
      </c>
      <c r="J873" s="1">
        <v>-4.8647500000000003E-2</v>
      </c>
      <c r="K873" s="1">
        <f>VLOOKUP(C873,'[1]phenotypes-895'!$A$2:$I$896,9,FALSE)</f>
        <v>0.52803281106482403</v>
      </c>
      <c r="L873" s="1">
        <v>-0.11268</v>
      </c>
      <c r="M873" s="4">
        <v>4.3139419257830927</v>
      </c>
      <c r="N873" s="1">
        <v>-2.3538099999999999E-2</v>
      </c>
      <c r="O873" s="8">
        <v>1</v>
      </c>
      <c r="P873" s="1">
        <v>3.5523699999999998E-2</v>
      </c>
      <c r="Q873">
        <v>0.95799999999999996</v>
      </c>
      <c r="R873" s="1">
        <v>2.1422799999999999E-2</v>
      </c>
      <c r="S873" s="2">
        <v>-0.01</v>
      </c>
    </row>
    <row r="874" spans="1:19" x14ac:dyDescent="0.2">
      <c r="A874">
        <v>873</v>
      </c>
      <c r="B874">
        <v>31</v>
      </c>
      <c r="C874" t="s">
        <v>872</v>
      </c>
      <c r="D874" s="13" t="s">
        <v>913</v>
      </c>
      <c r="E874" s="1">
        <v>4.2472000000000003</v>
      </c>
      <c r="F874">
        <v>4.0855300000000003</v>
      </c>
      <c r="G874" s="1">
        <v>4.2060871034916198</v>
      </c>
      <c r="H874" s="1">
        <v>4.0372885263542404</v>
      </c>
      <c r="I874">
        <f>VLOOKUP(C874,'[1]phenotypes-895'!$A$2:$G$896,7,FALSE)</f>
        <v>98</v>
      </c>
      <c r="J874" s="1">
        <v>-3.1315799999999998E-2</v>
      </c>
      <c r="K874" s="1">
        <f>VLOOKUP(C874,'[1]phenotypes-895'!$A$2:$I$896,9,FALSE)</f>
        <v>0</v>
      </c>
      <c r="L874" s="1">
        <v>0.115187</v>
      </c>
      <c r="M874" s="4">
        <v>0</v>
      </c>
      <c r="N874" s="1">
        <v>-1.27326E-2</v>
      </c>
      <c r="O874" s="8">
        <v>0</v>
      </c>
      <c r="P874" s="1">
        <v>4.8717099999999999E-2</v>
      </c>
      <c r="Q874">
        <v>1.0029999999999999</v>
      </c>
      <c r="R874" s="1">
        <v>2.4708000000000001E-2</v>
      </c>
      <c r="S874" s="2">
        <v>0</v>
      </c>
    </row>
    <row r="875" spans="1:19" x14ac:dyDescent="0.2">
      <c r="A875">
        <v>874</v>
      </c>
      <c r="B875">
        <v>50</v>
      </c>
      <c r="C875" t="s">
        <v>873</v>
      </c>
      <c r="D875" s="13" t="s">
        <v>912</v>
      </c>
      <c r="E875" s="1">
        <v>1.6905699999999999</v>
      </c>
      <c r="F875">
        <v>3.5905100000000001</v>
      </c>
      <c r="G875" s="1">
        <v>1.6817684247342299</v>
      </c>
      <c r="H875" s="1">
        <v>3.5815874084609098</v>
      </c>
      <c r="I875">
        <f>VLOOKUP(C875,'[1]phenotypes-895'!$A$2:$G$896,7,FALSE)</f>
        <v>80</v>
      </c>
      <c r="J875" s="1">
        <v>-4.0422600000000003E-2</v>
      </c>
      <c r="K875" s="1">
        <f>VLOOKUP(C875,'[1]phenotypes-895'!$A$2:$I$896,9,FALSE)</f>
        <v>0.22765727611327319</v>
      </c>
      <c r="L875" s="1">
        <v>6.1166499999999999E-2</v>
      </c>
      <c r="M875" s="4">
        <v>3.9368706396988333</v>
      </c>
      <c r="N875" s="1">
        <v>1.21715E-2</v>
      </c>
      <c r="O875" s="8">
        <v>1</v>
      </c>
      <c r="P875" s="1">
        <v>-0.184089</v>
      </c>
      <c r="Q875">
        <v>0.42699999999999999</v>
      </c>
      <c r="R875" s="1">
        <v>-8.2820900000000003E-2</v>
      </c>
      <c r="S875" s="2">
        <v>-0.28999999999999998</v>
      </c>
    </row>
    <row r="876" spans="1:19" x14ac:dyDescent="0.2">
      <c r="A876">
        <v>875</v>
      </c>
      <c r="B876">
        <v>35</v>
      </c>
      <c r="C876" t="s">
        <v>874</v>
      </c>
      <c r="D876" s="13" t="s">
        <v>913</v>
      </c>
      <c r="E876" s="1">
        <v>8.2472899999999996</v>
      </c>
      <c r="F876">
        <v>7.00197</v>
      </c>
      <c r="G876" s="1">
        <v>8.2662754718474307</v>
      </c>
      <c r="H876" s="1">
        <v>7.02396423158803</v>
      </c>
      <c r="I876">
        <f>VLOOKUP(C876,'[1]phenotypes-895'!$A$2:$G$896,7,FALSE)</f>
        <v>98</v>
      </c>
      <c r="J876" s="1">
        <v>-0.12452299999999999</v>
      </c>
      <c r="K876" s="1">
        <f>VLOOKUP(C876,'[1]phenotypes-895'!$A$2:$I$896,9,FALSE)</f>
        <v>0</v>
      </c>
      <c r="L876" s="1">
        <v>-0.17866699999999999</v>
      </c>
      <c r="M876" s="4">
        <v>0</v>
      </c>
      <c r="N876" s="1">
        <v>-3.19761E-2</v>
      </c>
      <c r="O876" s="8">
        <v>0</v>
      </c>
      <c r="P876" s="1">
        <v>0.11332299999999999</v>
      </c>
      <c r="Q876">
        <v>0.95499999999999996</v>
      </c>
      <c r="R876" s="1">
        <v>3.9629900000000003E-2</v>
      </c>
      <c r="S876" s="2">
        <v>-0.01</v>
      </c>
    </row>
    <row r="877" spans="1:19" x14ac:dyDescent="0.2">
      <c r="A877">
        <v>876</v>
      </c>
      <c r="B877">
        <v>38</v>
      </c>
      <c r="C877" t="s">
        <v>875</v>
      </c>
      <c r="D877" s="13" t="s">
        <v>913</v>
      </c>
      <c r="E877" s="1">
        <v>1.8087800000000001</v>
      </c>
      <c r="F877">
        <v>2.0849500000000001</v>
      </c>
      <c r="G877" s="1">
        <v>1.8415856930138399</v>
      </c>
      <c r="H877" s="1">
        <v>2.1226508982607202</v>
      </c>
      <c r="I877">
        <f>VLOOKUP(C877,'[1]phenotypes-895'!$A$2:$G$896,7,FALSE)</f>
        <v>65</v>
      </c>
      <c r="J877" s="1">
        <v>-7.9721500000000008E-3</v>
      </c>
      <c r="K877" s="1">
        <f>VLOOKUP(C877,'[1]phenotypes-895'!$A$2:$I$896,9,FALSE)</f>
        <v>0.47092887149533391</v>
      </c>
      <c r="L877" s="1">
        <v>-0.12962399999999999</v>
      </c>
      <c r="M877" s="4">
        <v>4.0555763477317477</v>
      </c>
      <c r="N877" s="1">
        <v>-2.14729E-2</v>
      </c>
      <c r="O877" s="8">
        <v>1</v>
      </c>
      <c r="P877" s="1">
        <v>6.9789199999999996E-2</v>
      </c>
      <c r="Q877">
        <v>1.1850000000000001</v>
      </c>
      <c r="R877" s="1">
        <v>2.3340099999999999E-2</v>
      </c>
      <c r="S877" s="2">
        <v>0.05</v>
      </c>
    </row>
    <row r="878" spans="1:19" x14ac:dyDescent="0.2">
      <c r="A878">
        <v>877</v>
      </c>
      <c r="B878">
        <v>37</v>
      </c>
      <c r="C878" t="s">
        <v>876</v>
      </c>
      <c r="D878" s="13" t="s">
        <v>913</v>
      </c>
      <c r="E878" s="1">
        <v>0.106738</v>
      </c>
      <c r="F878">
        <v>1.0040899999999999</v>
      </c>
      <c r="G878" s="1">
        <v>5.8264487502995399E-2</v>
      </c>
      <c r="H878" s="1">
        <v>0.95320154298723203</v>
      </c>
      <c r="I878">
        <f>VLOOKUP(C878,'[1]phenotypes-895'!$A$2:$G$896,7,FALSE)</f>
        <v>64</v>
      </c>
      <c r="J878" s="1">
        <v>-1.22881E-2</v>
      </c>
      <c r="K878" s="1">
        <f>VLOOKUP(C878,'[1]phenotypes-895'!$A$2:$I$896,9,FALSE)</f>
        <v>0.54976842898091716</v>
      </c>
      <c r="L878" s="1">
        <v>-3.5117200000000001E-2</v>
      </c>
      <c r="M878" s="4">
        <v>4.5209377246095581</v>
      </c>
      <c r="N878" s="1">
        <v>1.25224E-3</v>
      </c>
      <c r="O878" s="8">
        <v>1</v>
      </c>
      <c r="P878" s="1">
        <v>1.9667799999999999E-2</v>
      </c>
      <c r="Q878">
        <v>1.173</v>
      </c>
      <c r="R878" s="1">
        <v>6.7713799999999996E-3</v>
      </c>
      <c r="S878" s="2">
        <v>0.05</v>
      </c>
    </row>
    <row r="879" spans="1:19" x14ac:dyDescent="0.2">
      <c r="A879">
        <v>878</v>
      </c>
      <c r="B879">
        <v>44</v>
      </c>
      <c r="C879" t="s">
        <v>877</v>
      </c>
      <c r="D879" s="13" t="s">
        <v>912</v>
      </c>
      <c r="E879" s="1">
        <v>-1.47929</v>
      </c>
      <c r="F879">
        <v>0.33771299999999999</v>
      </c>
      <c r="G879" s="1">
        <v>-1.50124493152843</v>
      </c>
      <c r="H879" s="1">
        <v>0.32656637399069499</v>
      </c>
      <c r="I879">
        <f>VLOOKUP(C879,'[1]phenotypes-895'!$A$2:$G$896,7,FALSE)</f>
        <v>63</v>
      </c>
      <c r="J879" s="1">
        <v>-3.3124500000000001E-2</v>
      </c>
      <c r="K879" s="1">
        <f>VLOOKUP(C879,'[1]phenotypes-895'!$A$2:$I$896,9,FALSE)</f>
        <v>0.26902932185257361</v>
      </c>
      <c r="L879" s="1">
        <v>4.0796300000000001E-2</v>
      </c>
      <c r="M879" s="4">
        <v>4.6530961674214906</v>
      </c>
      <c r="N879" s="1">
        <v>-1.7014700000000001E-2</v>
      </c>
      <c r="O879" s="8">
        <v>1</v>
      </c>
      <c r="P879" s="1">
        <v>-4.9613400000000002E-2</v>
      </c>
      <c r="Q879">
        <v>0.73499999999999999</v>
      </c>
      <c r="R879" s="1">
        <v>-1.6617799999999999E-2</v>
      </c>
      <c r="S879" s="2">
        <v>-0.1</v>
      </c>
    </row>
    <row r="880" spans="1:19" x14ac:dyDescent="0.2">
      <c r="A880">
        <v>879</v>
      </c>
      <c r="B880">
        <v>35</v>
      </c>
      <c r="C880" t="s">
        <v>878</v>
      </c>
      <c r="D880" s="13" t="s">
        <v>913</v>
      </c>
      <c r="E880" s="1">
        <v>-6.0384500000000001E-2</v>
      </c>
      <c r="F880">
        <v>0.322411</v>
      </c>
      <c r="G880" s="1">
        <v>-4.69849894622687E-2</v>
      </c>
      <c r="H880" s="1">
        <v>0.32985806084226099</v>
      </c>
      <c r="I880">
        <f>VLOOKUP(C880,'[1]phenotypes-895'!$A$2:$G$896,7,FALSE)</f>
        <v>65</v>
      </c>
      <c r="J880" s="1">
        <v>7.49587E-3</v>
      </c>
      <c r="K880" s="1">
        <f>VLOOKUP(C880,'[1]phenotypes-895'!$A$2:$I$896,9,FALSE)</f>
        <v>0.63902179687718508</v>
      </c>
      <c r="L880" s="1">
        <v>0.21842200000000001</v>
      </c>
      <c r="M880" s="4">
        <v>4.4795819312984264</v>
      </c>
      <c r="N880" s="1">
        <v>1.9060699999999999E-3</v>
      </c>
      <c r="O880" s="8">
        <v>1</v>
      </c>
      <c r="P880" s="1">
        <v>-0.103988</v>
      </c>
      <c r="Q880">
        <v>0.95499999999999996</v>
      </c>
      <c r="R880" s="1">
        <v>-4.0504199999999997E-2</v>
      </c>
      <c r="S880" s="2">
        <v>-0.01</v>
      </c>
    </row>
    <row r="881" spans="1:19" x14ac:dyDescent="0.2">
      <c r="A881">
        <v>880</v>
      </c>
      <c r="B881">
        <v>23</v>
      </c>
      <c r="C881" t="s">
        <v>879</v>
      </c>
      <c r="D881" s="13" t="s">
        <v>913</v>
      </c>
      <c r="E881" s="1">
        <v>-0.45019399999999998</v>
      </c>
      <c r="F881">
        <v>-1.0629500000000001</v>
      </c>
      <c r="G881" s="1">
        <v>-0.50794263510163595</v>
      </c>
      <c r="H881" s="1">
        <v>-1.1352758763059601</v>
      </c>
      <c r="I881">
        <f>VLOOKUP(C881,'[1]phenotypes-895'!$A$2:$G$896,7,FALSE)</f>
        <v>49</v>
      </c>
      <c r="J881" s="1">
        <v>1.5199799999999999E-2</v>
      </c>
      <c r="K881" s="1">
        <f>VLOOKUP(C881,'[1]phenotypes-895'!$A$2:$I$896,9,FALSE)</f>
        <v>0.94567576215245519</v>
      </c>
      <c r="L881" s="1">
        <v>-2.2892200000000001E-2</v>
      </c>
      <c r="M881" s="4">
        <v>4.9961886255403698</v>
      </c>
      <c r="N881" s="1">
        <v>-7.5353199999999999E-3</v>
      </c>
      <c r="O881" s="8">
        <v>1</v>
      </c>
      <c r="P881" s="1">
        <v>7.8492000000000006E-2</v>
      </c>
      <c r="Q881">
        <v>1.246</v>
      </c>
      <c r="R881" s="1">
        <v>2.52473E-2</v>
      </c>
      <c r="S881" s="2">
        <v>7.0000000000000007E-2</v>
      </c>
    </row>
    <row r="882" spans="1:19" x14ac:dyDescent="0.2">
      <c r="A882">
        <v>881</v>
      </c>
      <c r="B882">
        <v>31</v>
      </c>
      <c r="C882" t="s">
        <v>880</v>
      </c>
      <c r="D882" s="13" t="s">
        <v>913</v>
      </c>
      <c r="E882" s="1">
        <v>1.2160899999999999</v>
      </c>
      <c r="F882">
        <v>-0.176395</v>
      </c>
      <c r="G882" s="1">
        <v>1.1438788825964601</v>
      </c>
      <c r="H882" s="1">
        <v>-0.256794980235453</v>
      </c>
      <c r="I882">
        <f>VLOOKUP(C882,'[1]phenotypes-895'!$A$2:$G$896,7,FALSE)</f>
        <v>63</v>
      </c>
      <c r="J882" s="1">
        <v>-6.4458199999999997E-3</v>
      </c>
      <c r="K882" s="1">
        <f>VLOOKUP(C882,'[1]phenotypes-895'!$A$2:$I$896,9,FALSE)</f>
        <v>0.64172712544574395</v>
      </c>
      <c r="L882" s="1">
        <v>-7.9754900000000004E-2</v>
      </c>
      <c r="M882" s="4">
        <v>4.89444084702785</v>
      </c>
      <c r="N882" s="1">
        <v>-1.8192099999999999E-2</v>
      </c>
      <c r="O882" s="8">
        <v>1</v>
      </c>
      <c r="P882" s="1">
        <v>7.00017E-2</v>
      </c>
      <c r="Q882">
        <v>1.077</v>
      </c>
      <c r="R882" s="1">
        <v>3.2651699999999999E-2</v>
      </c>
      <c r="S882" s="2">
        <v>0.02</v>
      </c>
    </row>
    <row r="883" spans="1:19" x14ac:dyDescent="0.2">
      <c r="A883">
        <v>882</v>
      </c>
      <c r="B883">
        <v>54</v>
      </c>
      <c r="C883" t="s">
        <v>881</v>
      </c>
      <c r="D883" s="13" t="s">
        <v>912</v>
      </c>
      <c r="E883" s="1">
        <v>0.45476499999999997</v>
      </c>
      <c r="F883">
        <v>2.6412200000000001</v>
      </c>
      <c r="G883" s="1">
        <v>0.40120299494459799</v>
      </c>
      <c r="H883" s="1">
        <v>2.5973896771918201</v>
      </c>
      <c r="I883">
        <f>VLOOKUP(C883,'[1]phenotypes-895'!$A$2:$G$896,7,FALSE)</f>
        <v>98</v>
      </c>
      <c r="J883" s="1">
        <v>-2.0591700000000001E-2</v>
      </c>
      <c r="K883" s="1">
        <f>VLOOKUP(C883,'[1]phenotypes-895'!$A$2:$I$896,9,FALSE)</f>
        <v>0</v>
      </c>
      <c r="L883" s="1">
        <v>-6.7299700000000004E-2</v>
      </c>
      <c r="M883" s="4">
        <v>0</v>
      </c>
      <c r="N883" s="1">
        <v>-1.2863100000000001E-2</v>
      </c>
      <c r="O883" s="8">
        <v>0</v>
      </c>
      <c r="P883" s="1">
        <v>-0.16763700000000001</v>
      </c>
      <c r="Q883">
        <v>0.41199999999999998</v>
      </c>
      <c r="R883" s="1">
        <v>-7.4075500000000002E-2</v>
      </c>
      <c r="S883" s="2">
        <v>-0.3</v>
      </c>
    </row>
    <row r="884" spans="1:19" x14ac:dyDescent="0.2">
      <c r="A884">
        <v>883</v>
      </c>
      <c r="B884">
        <v>22</v>
      </c>
      <c r="C884" t="s">
        <v>882</v>
      </c>
      <c r="D884" s="13" t="s">
        <v>913</v>
      </c>
      <c r="E884" s="1">
        <v>0.10574500000000001</v>
      </c>
      <c r="F884">
        <v>0.92784999999999995</v>
      </c>
      <c r="G884" s="1">
        <v>9.8550904062514794E-2</v>
      </c>
      <c r="H884" s="1">
        <v>0.92316351415480802</v>
      </c>
      <c r="I884">
        <f>VLOOKUP(C884,'[1]phenotypes-895'!$A$2:$G$896,7,FALSE)</f>
        <v>98</v>
      </c>
      <c r="J884" s="1">
        <v>-1.53007E-2</v>
      </c>
      <c r="K884" s="1">
        <f>VLOOKUP(C884,'[1]phenotypes-895'!$A$2:$I$896,9,FALSE)</f>
        <v>0</v>
      </c>
      <c r="L884" s="1">
        <v>-7.3135699999999998E-2</v>
      </c>
      <c r="M884" s="4">
        <v>0</v>
      </c>
      <c r="N884" s="1">
        <v>-9.3613399999999992E-3</v>
      </c>
      <c r="O884" s="8">
        <v>0</v>
      </c>
      <c r="P884" s="1">
        <v>-1.7781700000000001E-2</v>
      </c>
      <c r="Q884">
        <v>1.21</v>
      </c>
      <c r="R884" s="1">
        <v>-1.00651E-2</v>
      </c>
      <c r="S884" s="2">
        <v>0.06</v>
      </c>
    </row>
    <row r="885" spans="1:19" x14ac:dyDescent="0.2">
      <c r="A885">
        <v>884</v>
      </c>
      <c r="B885">
        <v>31</v>
      </c>
      <c r="C885" t="s">
        <v>883</v>
      </c>
      <c r="D885" s="13" t="s">
        <v>913</v>
      </c>
      <c r="E885" s="1">
        <v>0.135573</v>
      </c>
      <c r="F885">
        <v>1.55647</v>
      </c>
      <c r="G885" s="1">
        <v>7.3086512144341406E-2</v>
      </c>
      <c r="H885" s="1">
        <v>1.4862981020582799</v>
      </c>
      <c r="I885">
        <f>VLOOKUP(C885,'[1]phenotypes-895'!$A$2:$G$896,7,FALSE)</f>
        <v>63</v>
      </c>
      <c r="J885" s="1">
        <v>3.44064E-3</v>
      </c>
      <c r="K885" s="1">
        <f>VLOOKUP(C885,'[1]phenotypes-895'!$A$2:$I$896,9,FALSE)</f>
        <v>0.3882451792409628</v>
      </c>
      <c r="L885" s="1">
        <v>-4.8517499999999998E-2</v>
      </c>
      <c r="M885" s="4">
        <v>3.965752245592927</v>
      </c>
      <c r="N885" s="1">
        <v>2.19332E-2</v>
      </c>
      <c r="O885" s="8">
        <v>1</v>
      </c>
      <c r="P885" s="1">
        <v>-0.18237400000000001</v>
      </c>
      <c r="Q885">
        <v>0.98699999999999999</v>
      </c>
      <c r="R885" s="1">
        <v>-8.1691700000000006E-2</v>
      </c>
      <c r="S885" s="2">
        <v>0</v>
      </c>
    </row>
    <row r="886" spans="1:19" x14ac:dyDescent="0.2">
      <c r="A886">
        <v>885</v>
      </c>
      <c r="B886">
        <v>22</v>
      </c>
      <c r="C886" t="s">
        <v>884</v>
      </c>
      <c r="D886" s="13" t="s">
        <v>913</v>
      </c>
      <c r="E886" s="1">
        <v>4.5114299999999998</v>
      </c>
      <c r="F886">
        <v>6.09145</v>
      </c>
      <c r="G886" s="1">
        <v>4.54626595827441</v>
      </c>
      <c r="H886" s="1">
        <v>6.1340644723576796</v>
      </c>
      <c r="I886">
        <f>VLOOKUP(C886,'[1]phenotypes-895'!$A$2:$G$896,7,FALSE)</f>
        <v>98</v>
      </c>
      <c r="J886" s="1">
        <v>-5.1808100000000003E-2</v>
      </c>
      <c r="K886" s="1">
        <f>VLOOKUP(C886,'[1]phenotypes-895'!$A$2:$I$896,9,FALSE)</f>
        <v>0.26424293954166711</v>
      </c>
      <c r="L886" s="1">
        <v>0.20602400000000001</v>
      </c>
      <c r="M886" s="4">
        <v>4.538023293544863</v>
      </c>
      <c r="N886" s="1">
        <v>-1.4389000000000001E-2</v>
      </c>
      <c r="O886" s="8">
        <v>1</v>
      </c>
      <c r="P886" s="1">
        <v>-6.8900699999999995E-2</v>
      </c>
      <c r="Q886">
        <v>1.19</v>
      </c>
      <c r="R886" s="1">
        <v>-3.6663500000000002E-2</v>
      </c>
      <c r="S886" s="2">
        <v>0.05</v>
      </c>
    </row>
    <row r="887" spans="1:19" x14ac:dyDescent="0.2">
      <c r="A887">
        <v>886</v>
      </c>
      <c r="B887">
        <v>36</v>
      </c>
      <c r="C887" t="s">
        <v>885</v>
      </c>
      <c r="D887" s="13" t="s">
        <v>913</v>
      </c>
      <c r="E887" s="1">
        <v>4.6916799999999999</v>
      </c>
      <c r="F887">
        <v>1.94191</v>
      </c>
      <c r="G887" s="1">
        <v>4.6226552165190897</v>
      </c>
      <c r="H887" s="1">
        <v>1.8528988156100299</v>
      </c>
      <c r="I887">
        <f>VLOOKUP(C887,'[1]phenotypes-895'!$A$2:$G$896,7,FALSE)</f>
        <v>63</v>
      </c>
      <c r="J887" s="1">
        <v>-9.8409300000000005E-2</v>
      </c>
      <c r="K887" s="1">
        <f>VLOOKUP(C887,'[1]phenotypes-895'!$A$2:$I$896,9,FALSE)</f>
        <v>0.57101651646537455</v>
      </c>
      <c r="L887" s="1">
        <v>-0.169374</v>
      </c>
      <c r="M887" s="4">
        <v>4.3168359421114326</v>
      </c>
      <c r="N887" s="1">
        <v>-2.9490599999999999E-2</v>
      </c>
      <c r="O887" s="8">
        <v>1</v>
      </c>
      <c r="P887" s="1">
        <v>0.136129</v>
      </c>
      <c r="Q887">
        <v>1.5189999999999999</v>
      </c>
      <c r="R887" s="1">
        <v>4.6212400000000001E-2</v>
      </c>
      <c r="S887" s="2">
        <v>0.13</v>
      </c>
    </row>
    <row r="888" spans="1:19" x14ac:dyDescent="0.2">
      <c r="A888">
        <v>887</v>
      </c>
      <c r="B888">
        <v>24</v>
      </c>
      <c r="C888" t="s">
        <v>886</v>
      </c>
      <c r="D888" s="13" t="s">
        <v>913</v>
      </c>
      <c r="E888" s="1">
        <v>0.48676900000000001</v>
      </c>
      <c r="F888">
        <v>-0.42038399999999998</v>
      </c>
      <c r="G888" s="1">
        <v>0.48336886393742001</v>
      </c>
      <c r="H888" s="1">
        <v>-0.43503150137977797</v>
      </c>
      <c r="I888">
        <f>VLOOKUP(C888,'[1]phenotypes-895'!$A$2:$G$896,7,FALSE)</f>
        <v>98</v>
      </c>
      <c r="J888" s="1">
        <v>-1.03286E-2</v>
      </c>
      <c r="K888" s="1">
        <f>VLOOKUP(C888,'[1]phenotypes-895'!$A$2:$I$896,9,FALSE)</f>
        <v>0</v>
      </c>
      <c r="L888" s="1">
        <v>-2.8805399999999998E-2</v>
      </c>
      <c r="M888" s="4">
        <v>0</v>
      </c>
      <c r="N888" s="1">
        <v>1.5883500000000001E-3</v>
      </c>
      <c r="O888" s="8">
        <v>0</v>
      </c>
      <c r="P888" s="1">
        <v>9.2324799999999999E-2</v>
      </c>
      <c r="Q888">
        <v>1.369</v>
      </c>
      <c r="R888" s="1">
        <v>3.84496E-2</v>
      </c>
      <c r="S888" s="2">
        <v>0.1</v>
      </c>
    </row>
    <row r="889" spans="1:19" x14ac:dyDescent="0.2">
      <c r="A889">
        <v>888</v>
      </c>
      <c r="B889">
        <v>29</v>
      </c>
      <c r="C889" t="s">
        <v>887</v>
      </c>
      <c r="D889" s="13" t="s">
        <v>913</v>
      </c>
      <c r="E889" s="1">
        <v>-0.171542</v>
      </c>
      <c r="F889">
        <v>-2.2071299999999998</v>
      </c>
      <c r="G889" s="1">
        <v>-0.20645983088035</v>
      </c>
      <c r="H889" s="1">
        <v>-2.2503001029695899</v>
      </c>
      <c r="I889">
        <f>VLOOKUP(C889,'[1]phenotypes-895'!$A$2:$G$896,7,FALSE)</f>
        <v>69</v>
      </c>
      <c r="J889" s="1">
        <v>1.32558E-2</v>
      </c>
      <c r="K889" s="1">
        <f>VLOOKUP(C889,'[1]phenotypes-895'!$A$2:$I$896,9,FALSE)</f>
        <v>0.35794566964949842</v>
      </c>
      <c r="L889" s="1">
        <v>-0.11385199999999999</v>
      </c>
      <c r="M889" s="4">
        <v>4.1284352567366662</v>
      </c>
      <c r="N889" s="1">
        <v>-1.3587200000000001E-2</v>
      </c>
      <c r="O889" s="8">
        <v>1</v>
      </c>
      <c r="P889" s="1">
        <v>0.141185</v>
      </c>
      <c r="Q889">
        <v>1.2390000000000001</v>
      </c>
      <c r="R889" s="1">
        <v>4.9608699999999999E-2</v>
      </c>
      <c r="S889" s="2">
        <v>7.0000000000000007E-2</v>
      </c>
    </row>
    <row r="890" spans="1:19" x14ac:dyDescent="0.2">
      <c r="A890">
        <v>889</v>
      </c>
      <c r="B890">
        <v>24</v>
      </c>
      <c r="C890" t="s">
        <v>888</v>
      </c>
      <c r="D890" s="13" t="s">
        <v>913</v>
      </c>
      <c r="E890" s="1">
        <v>5.2540100000000001</v>
      </c>
      <c r="F890">
        <v>4.2791800000000002</v>
      </c>
      <c r="G890" s="1">
        <v>5.1940670170655103</v>
      </c>
      <c r="H890" s="1">
        <v>4.2092591831531703</v>
      </c>
      <c r="I890">
        <f>VLOOKUP(C890,'[1]phenotypes-895'!$A$2:$G$896,7,FALSE)</f>
        <v>80</v>
      </c>
      <c r="J890" s="1">
        <v>-9.1782900000000001E-2</v>
      </c>
      <c r="K890" s="1">
        <f>VLOOKUP(C890,'[1]phenotypes-895'!$A$2:$I$896,9,FALSE)</f>
        <v>0.46657610918557768</v>
      </c>
      <c r="L890" s="1">
        <v>-5.5304199999999998E-2</v>
      </c>
      <c r="M890" s="4">
        <v>3.4843156970147988</v>
      </c>
      <c r="N890" s="1">
        <v>-3.1224499999999999E-2</v>
      </c>
      <c r="O890" s="8">
        <v>1</v>
      </c>
      <c r="P890" s="1">
        <v>6.07018E-2</v>
      </c>
      <c r="Q890">
        <v>1.319</v>
      </c>
      <c r="R890" s="1">
        <v>2.2334E-2</v>
      </c>
      <c r="S890" s="2">
        <v>0.08</v>
      </c>
    </row>
    <row r="891" spans="1:19" x14ac:dyDescent="0.2">
      <c r="A891">
        <v>890</v>
      </c>
      <c r="B891">
        <v>38</v>
      </c>
      <c r="C891" t="s">
        <v>889</v>
      </c>
      <c r="D891" s="13" t="s">
        <v>913</v>
      </c>
      <c r="E891" s="1">
        <v>0.77002599999999999</v>
      </c>
      <c r="F891">
        <v>2.1220699999999999</v>
      </c>
      <c r="G891" s="1">
        <v>0.75920288038764705</v>
      </c>
      <c r="H891" s="1">
        <v>2.1152079304425699</v>
      </c>
      <c r="I891">
        <f>VLOOKUP(C891,'[1]phenotypes-895'!$A$2:$G$896,7,FALSE)</f>
        <v>98</v>
      </c>
      <c r="J891" s="1">
        <v>-1.56559E-2</v>
      </c>
      <c r="K891" s="1">
        <f>VLOOKUP(C891,'[1]phenotypes-895'!$A$2:$I$896,9,FALSE)</f>
        <v>-1.8933001990391139E-2</v>
      </c>
      <c r="L891" s="1">
        <v>1.32499E-2</v>
      </c>
      <c r="M891" s="4">
        <v>2.1680353501812917</v>
      </c>
      <c r="N891" s="1">
        <v>3.3871100000000001E-2</v>
      </c>
      <c r="O891" s="8">
        <v>1</v>
      </c>
      <c r="P891" s="1">
        <v>-7.3251999999999998E-2</v>
      </c>
      <c r="Q891">
        <v>1.194</v>
      </c>
      <c r="R891" s="1">
        <v>-3.9158999999999999E-2</v>
      </c>
      <c r="S891" s="2">
        <v>0.05</v>
      </c>
    </row>
    <row r="892" spans="1:19" x14ac:dyDescent="0.2">
      <c r="A892">
        <v>891</v>
      </c>
      <c r="B892">
        <v>27</v>
      </c>
      <c r="C892" t="s">
        <v>890</v>
      </c>
      <c r="D892" s="13" t="s">
        <v>913</v>
      </c>
      <c r="E892" s="1">
        <v>1.9679599999999999</v>
      </c>
      <c r="F892">
        <v>2.8857200000000001</v>
      </c>
      <c r="G892" s="1">
        <v>1.95113237690414</v>
      </c>
      <c r="H892" s="1">
        <v>2.8760896585317899</v>
      </c>
      <c r="I892">
        <f>VLOOKUP(C892,'[1]phenotypes-895'!$A$2:$G$896,7,FALSE)</f>
        <v>98</v>
      </c>
      <c r="J892" s="1">
        <v>-5.6272599999999999E-2</v>
      </c>
      <c r="K892" s="1">
        <f>VLOOKUP(C892,'[1]phenotypes-895'!$A$2:$I$896,9,FALSE)</f>
        <v>0</v>
      </c>
      <c r="L892" s="1">
        <v>-0.10265299999999999</v>
      </c>
      <c r="M892" s="4">
        <v>0</v>
      </c>
      <c r="N892" s="1">
        <v>-6.4289999999999998E-3</v>
      </c>
      <c r="O892" s="8">
        <v>0</v>
      </c>
      <c r="P892" s="1">
        <v>-7.7961900000000001E-2</v>
      </c>
      <c r="Q892">
        <v>1.0589999999999999</v>
      </c>
      <c r="R892" s="1">
        <v>-2.3951099999999999E-2</v>
      </c>
      <c r="S892" s="2">
        <v>0.02</v>
      </c>
    </row>
    <row r="893" spans="1:19" x14ac:dyDescent="0.2">
      <c r="A893">
        <v>892</v>
      </c>
      <c r="B893">
        <v>28</v>
      </c>
      <c r="C893" t="s">
        <v>891</v>
      </c>
      <c r="D893" s="13" t="s">
        <v>913</v>
      </c>
      <c r="E893" s="1">
        <v>-0.56742800000000004</v>
      </c>
      <c r="F893">
        <v>1.3111600000000001</v>
      </c>
      <c r="G893" s="1">
        <v>-0.58519449862420803</v>
      </c>
      <c r="H893" s="1">
        <v>1.2923100430641099</v>
      </c>
      <c r="I893">
        <f>VLOOKUP(C893,'[1]phenotypes-895'!$A$2:$G$896,7,FALSE)</f>
        <v>57</v>
      </c>
      <c r="J893" s="1">
        <v>2.2355300000000002E-2</v>
      </c>
      <c r="K893" s="1">
        <f>VLOOKUP(C893,'[1]phenotypes-895'!$A$2:$I$896,9,FALSE)</f>
        <v>0.63593893295153203</v>
      </c>
      <c r="L893" s="1">
        <v>-5.3441599999999999E-2</v>
      </c>
      <c r="M893" s="4">
        <v>4.4633522550438274</v>
      </c>
      <c r="N893" s="1">
        <v>1.15102E-2</v>
      </c>
      <c r="O893" s="8">
        <v>1</v>
      </c>
      <c r="P893" s="1">
        <v>-0.13957</v>
      </c>
      <c r="Q893">
        <v>1.296</v>
      </c>
      <c r="R893" s="1">
        <v>-6.2835100000000005E-2</v>
      </c>
      <c r="S893" s="2">
        <v>0.08</v>
      </c>
    </row>
    <row r="894" spans="1:19" x14ac:dyDescent="0.2">
      <c r="A894">
        <v>893</v>
      </c>
      <c r="B894">
        <v>38</v>
      </c>
      <c r="C894" t="s">
        <v>892</v>
      </c>
      <c r="D894" s="13" t="s">
        <v>913</v>
      </c>
      <c r="E894" s="1">
        <v>6.0002899999999997</v>
      </c>
      <c r="F894">
        <v>5.5869299999999997</v>
      </c>
      <c r="G894" s="1">
        <v>6.0513810840227196</v>
      </c>
      <c r="H894" s="1">
        <v>5.6561355662124599</v>
      </c>
      <c r="I894">
        <f>VLOOKUP(C894,'[1]phenotypes-895'!$A$2:$G$896,7,FALSE)</f>
        <v>98</v>
      </c>
      <c r="J894" s="1">
        <v>-9.5957799999999996E-2</v>
      </c>
      <c r="K894" s="1">
        <f>VLOOKUP(C894,'[1]phenotypes-895'!$A$2:$I$896,9,FALSE)</f>
        <v>0</v>
      </c>
      <c r="L894" s="1">
        <v>-2.3650600000000001E-2</v>
      </c>
      <c r="M894" s="4">
        <v>0</v>
      </c>
      <c r="N894" s="1">
        <v>-2.5785700000000002E-2</v>
      </c>
      <c r="O894" s="8">
        <v>0</v>
      </c>
      <c r="P894" s="1">
        <v>2.5872300000000001E-2</v>
      </c>
      <c r="Q894">
        <v>1.296</v>
      </c>
      <c r="R894" s="1">
        <v>5.0557600000000003E-3</v>
      </c>
      <c r="S894" s="2">
        <v>0.08</v>
      </c>
    </row>
    <row r="895" spans="1:19" x14ac:dyDescent="0.2">
      <c r="A895">
        <v>894</v>
      </c>
      <c r="B895">
        <v>33</v>
      </c>
      <c r="C895" t="s">
        <v>893</v>
      </c>
      <c r="D895" s="13" t="s">
        <v>913</v>
      </c>
      <c r="E895" s="1">
        <v>-4.0569699999999997</v>
      </c>
      <c r="F895">
        <v>-6.4804700000000004</v>
      </c>
      <c r="G895" s="1">
        <v>-4.1204646674709497</v>
      </c>
      <c r="H895" s="1">
        <v>-6.5633772376321797</v>
      </c>
      <c r="I895">
        <f>VLOOKUP(C895,'[1]phenotypes-895'!$A$2:$G$896,7,FALSE)</f>
        <v>98</v>
      </c>
      <c r="J895" s="1">
        <v>1.4298E-2</v>
      </c>
      <c r="K895" s="1">
        <f>VLOOKUP(C895,'[1]phenotypes-895'!$A$2:$I$896,9,FALSE)</f>
        <v>0</v>
      </c>
      <c r="L895" s="1">
        <v>1.50355E-3</v>
      </c>
      <c r="M895" s="4">
        <v>0</v>
      </c>
      <c r="N895" s="1">
        <v>2.0290599999999999E-2</v>
      </c>
      <c r="O895" s="8">
        <v>0</v>
      </c>
      <c r="P895" s="1">
        <v>8.3679000000000003E-2</v>
      </c>
      <c r="Q895">
        <v>1.0389999999999999</v>
      </c>
      <c r="R895" s="1">
        <v>3.1126999999999998E-2</v>
      </c>
      <c r="S895" s="2">
        <v>0.01</v>
      </c>
    </row>
    <row r="896" spans="1:19" x14ac:dyDescent="0.2">
      <c r="A896">
        <v>895</v>
      </c>
      <c r="B896">
        <v>31</v>
      </c>
      <c r="C896" t="s">
        <v>894</v>
      </c>
      <c r="D896" s="13" t="s">
        <v>913</v>
      </c>
      <c r="E896" s="1">
        <v>2.2021500000000001</v>
      </c>
      <c r="F896">
        <v>2.3660800000000002</v>
      </c>
      <c r="G896" s="1">
        <v>2.3704389307067801</v>
      </c>
      <c r="H896" s="1">
        <v>-2.45732E-2</v>
      </c>
      <c r="I896" s="1">
        <f>VLOOKUP(C896,'[1]phenotypes-895'!$A$2:$I$896,9,FALSE)</f>
        <v>0.43584503370126931</v>
      </c>
      <c r="J896" s="1">
        <v>-1.3705500000000001E-2</v>
      </c>
      <c r="K896" s="4">
        <v>3.6279847091037731</v>
      </c>
      <c r="L896" s="1">
        <v>3.1729E-2</v>
      </c>
      <c r="M896" s="8">
        <v>1</v>
      </c>
      <c r="N896" s="1">
        <v>-4.11341E-2</v>
      </c>
      <c r="O896">
        <v>1.175</v>
      </c>
      <c r="P896" s="1">
        <v>-1.96397E-2</v>
      </c>
      <c r="Q896" s="2">
        <v>0.05</v>
      </c>
    </row>
  </sheetData>
  <sortState xmlns:xlrd2="http://schemas.microsoft.com/office/spreadsheetml/2017/richdata2" ref="A2:R896">
    <sortCondition ref="A2:A896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9501-0AD7-364A-9509-88F44E02FBB9}">
  <dimension ref="A1:Q896"/>
  <sheetViews>
    <sheetView workbookViewId="0">
      <selection activeCell="F2" sqref="F2"/>
    </sheetView>
  </sheetViews>
  <sheetFormatPr baseColWidth="10" defaultColWidth="11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4" max="4" width="4" style="12" bestFit="1" customWidth="1"/>
    <col min="5" max="5" width="20.1640625" bestFit="1" customWidth="1"/>
    <col min="6" max="6" width="16.33203125" bestFit="1" customWidth="1"/>
    <col min="7" max="7" width="12.6640625" bestFit="1" customWidth="1"/>
    <col min="8" max="8" width="12.83203125" bestFit="1" customWidth="1"/>
    <col min="9" max="9" width="12" bestFit="1" customWidth="1"/>
    <col min="10" max="10" width="18.1640625" bestFit="1" customWidth="1"/>
    <col min="11" max="11" width="14.6640625" bestFit="1" customWidth="1"/>
    <col min="12" max="12" width="18.1640625" bestFit="1" customWidth="1"/>
    <col min="13" max="13" width="8.1640625" bestFit="1" customWidth="1"/>
    <col min="14" max="14" width="7.33203125" bestFit="1" customWidth="1"/>
    <col min="15" max="15" width="7.83203125" style="2" bestFit="1" customWidth="1"/>
  </cols>
  <sheetData>
    <row r="1" spans="1:17" s="10" customFormat="1" x14ac:dyDescent="0.2">
      <c r="A1" s="10" t="s">
        <v>897</v>
      </c>
      <c r="B1" s="10" t="s">
        <v>914</v>
      </c>
      <c r="C1" s="10" t="s">
        <v>895</v>
      </c>
      <c r="D1" s="11" t="s">
        <v>911</v>
      </c>
      <c r="E1" s="10" t="s">
        <v>896</v>
      </c>
      <c r="F1" s="10" t="s">
        <v>919</v>
      </c>
      <c r="G1" s="10" t="s">
        <v>898</v>
      </c>
      <c r="H1" s="10" t="s">
        <v>899</v>
      </c>
      <c r="I1" s="10" t="s">
        <v>900</v>
      </c>
      <c r="J1" s="10" t="s">
        <v>901</v>
      </c>
      <c r="K1" s="3" t="s">
        <v>902</v>
      </c>
      <c r="L1" s="3" t="s">
        <v>906</v>
      </c>
      <c r="M1" s="3" t="s">
        <v>905</v>
      </c>
      <c r="N1" s="3" t="s">
        <v>909</v>
      </c>
      <c r="O1" s="5" t="s">
        <v>903</v>
      </c>
      <c r="P1" s="3" t="s">
        <v>910</v>
      </c>
      <c r="Q1" s="5" t="s">
        <v>904</v>
      </c>
    </row>
    <row r="2" spans="1:17" x14ac:dyDescent="0.2">
      <c r="A2">
        <v>209</v>
      </c>
      <c r="B2">
        <v>2</v>
      </c>
      <c r="C2" t="s">
        <v>208</v>
      </c>
      <c r="D2" s="12" t="s">
        <v>913</v>
      </c>
      <c r="E2" s="1">
        <v>9.8155225209163603</v>
      </c>
      <c r="F2" s="1">
        <v>10.6693736208267</v>
      </c>
      <c r="G2">
        <f>VLOOKUP(C2,'[1]phenotypes-895'!$A$2:$G$896,7,FALSE)</f>
        <v>98</v>
      </c>
      <c r="H2" s="1">
        <v>-0.12561644790889401</v>
      </c>
      <c r="I2" s="1">
        <f>VLOOKUP(C2,'[1]phenotypes-895'!$A$2:$I$896,9,FALSE)</f>
        <v>0</v>
      </c>
      <c r="J2" s="1"/>
      <c r="K2" s="4">
        <v>0</v>
      </c>
      <c r="L2" s="1"/>
      <c r="M2" s="8">
        <v>0</v>
      </c>
      <c r="N2" s="1"/>
      <c r="O2" s="6">
        <v>1.0129999999999999</v>
      </c>
      <c r="P2" s="1"/>
      <c r="Q2" s="7">
        <v>0</v>
      </c>
    </row>
    <row r="3" spans="1:17" x14ac:dyDescent="0.2">
      <c r="A3">
        <v>856</v>
      </c>
      <c r="B3">
        <v>38</v>
      </c>
      <c r="C3" t="s">
        <v>855</v>
      </c>
      <c r="D3" s="13" t="s">
        <v>913</v>
      </c>
      <c r="E3" s="1">
        <v>8.9492103144948896</v>
      </c>
      <c r="F3" s="1">
        <v>8.9315335012721508</v>
      </c>
      <c r="G3">
        <f>VLOOKUP(C3,'[1]phenotypes-895'!$A$2:$G$896,7,FALSE)</f>
        <v>98</v>
      </c>
      <c r="H3" s="1">
        <v>-0.165076116576237</v>
      </c>
      <c r="I3" s="1">
        <f>VLOOKUP(C3,'[1]phenotypes-895'!$A$2:$I$896,9,FALSE)</f>
        <v>0</v>
      </c>
      <c r="J3" s="1"/>
      <c r="K3" s="4">
        <v>0</v>
      </c>
      <c r="L3" s="1"/>
      <c r="M3" s="8">
        <v>0</v>
      </c>
      <c r="N3" s="1"/>
      <c r="O3">
        <v>1.214</v>
      </c>
      <c r="P3" s="1"/>
      <c r="Q3" s="2">
        <v>0.06</v>
      </c>
    </row>
    <row r="4" spans="1:17" x14ac:dyDescent="0.2">
      <c r="A4">
        <v>599</v>
      </c>
      <c r="B4">
        <v>33</v>
      </c>
      <c r="C4" t="s">
        <v>598</v>
      </c>
      <c r="D4" s="13" t="s">
        <v>913</v>
      </c>
      <c r="E4" s="1">
        <v>8.8599838967896396</v>
      </c>
      <c r="F4" s="1">
        <v>8.9311385798117904</v>
      </c>
      <c r="G4">
        <f>VLOOKUP(C4,'[1]phenotypes-895'!$A$2:$G$896,7,FALSE)</f>
        <v>98</v>
      </c>
      <c r="H4" s="1">
        <v>-0.18117230200359599</v>
      </c>
      <c r="I4" s="1">
        <f>VLOOKUP(C4,'[1]phenotypes-895'!$A$2:$I$896,9,FALSE)</f>
        <v>0</v>
      </c>
      <c r="J4" s="1"/>
      <c r="K4" s="4">
        <v>0</v>
      </c>
      <c r="L4" s="1"/>
      <c r="M4" s="8">
        <v>0</v>
      </c>
      <c r="N4" s="1"/>
      <c r="O4">
        <v>1.0189999999999999</v>
      </c>
      <c r="P4" s="1"/>
      <c r="Q4" s="2">
        <v>0.01</v>
      </c>
    </row>
    <row r="5" spans="1:17" x14ac:dyDescent="0.2">
      <c r="A5">
        <v>592</v>
      </c>
      <c r="B5">
        <v>38</v>
      </c>
      <c r="C5" t="s">
        <v>591</v>
      </c>
      <c r="D5" s="13" t="s">
        <v>913</v>
      </c>
      <c r="E5" s="1">
        <v>8.7057691199656695</v>
      </c>
      <c r="F5" s="1">
        <v>8.8299318960929103</v>
      </c>
      <c r="G5">
        <f>VLOOKUP(C5,'[1]phenotypes-895'!$A$2:$G$896,7,FALSE)</f>
        <v>93</v>
      </c>
      <c r="H5" s="1">
        <v>-7.4490221231993003E-2</v>
      </c>
      <c r="I5" s="1">
        <f>VLOOKUP(C5,'[1]phenotypes-895'!$A$2:$I$896,9,FALSE)</f>
        <v>0.4907272534086905</v>
      </c>
      <c r="J5" s="1"/>
      <c r="K5" s="4">
        <v>4.31125339521149</v>
      </c>
      <c r="L5" s="1"/>
      <c r="M5" s="8">
        <v>1</v>
      </c>
      <c r="N5" s="1"/>
      <c r="O5">
        <v>1.121</v>
      </c>
      <c r="P5" s="1"/>
      <c r="Q5" s="2">
        <v>0.04</v>
      </c>
    </row>
    <row r="6" spans="1:17" x14ac:dyDescent="0.2">
      <c r="A6">
        <v>748</v>
      </c>
      <c r="B6">
        <v>33</v>
      </c>
      <c r="C6" t="s">
        <v>747</v>
      </c>
      <c r="D6" s="13" t="s">
        <v>913</v>
      </c>
      <c r="E6" s="1">
        <v>7.3808221850333799</v>
      </c>
      <c r="F6" s="1">
        <v>8.7314327750031602</v>
      </c>
      <c r="G6">
        <f>VLOOKUP(C6,'[1]phenotypes-895'!$A$2:$G$896,7,FALSE)</f>
        <v>98</v>
      </c>
      <c r="H6" s="1">
        <v>-0.13393839607672101</v>
      </c>
      <c r="I6" s="1">
        <f>VLOOKUP(C6,'[1]phenotypes-895'!$A$2:$I$896,9,FALSE)</f>
        <v>0</v>
      </c>
      <c r="J6" s="1"/>
      <c r="K6" s="4">
        <v>0</v>
      </c>
      <c r="L6" s="1"/>
      <c r="M6" s="8">
        <v>0</v>
      </c>
      <c r="N6" s="1"/>
      <c r="O6">
        <v>1.044</v>
      </c>
      <c r="P6" s="1"/>
      <c r="Q6" s="2">
        <v>0.01</v>
      </c>
    </row>
    <row r="7" spans="1:17" x14ac:dyDescent="0.2">
      <c r="A7">
        <v>96</v>
      </c>
      <c r="B7">
        <v>2</v>
      </c>
      <c r="C7" t="s">
        <v>95</v>
      </c>
      <c r="D7" s="12" t="s">
        <v>913</v>
      </c>
      <c r="E7" s="1">
        <v>7.3708829776904601</v>
      </c>
      <c r="F7" s="1">
        <v>8.3220116465154401</v>
      </c>
      <c r="G7">
        <f>VLOOKUP(C7,'[1]phenotypes-895'!$A$2:$G$896,7,FALSE)</f>
        <v>98</v>
      </c>
      <c r="H7" s="1">
        <v>-8.0522331578968695E-2</v>
      </c>
      <c r="I7" s="1">
        <f>VLOOKUP(C7,'[1]phenotypes-895'!$A$2:$I$896,9,FALSE)</f>
        <v>0.28793992813580538</v>
      </c>
      <c r="J7" s="1"/>
      <c r="K7" s="4">
        <v>3.9921626819651994</v>
      </c>
      <c r="L7" s="1"/>
      <c r="M7" s="8">
        <v>1</v>
      </c>
      <c r="N7" s="1"/>
      <c r="O7" s="6">
        <v>1.0009999999999999</v>
      </c>
      <c r="P7" s="1"/>
      <c r="Q7" s="7">
        <v>0</v>
      </c>
    </row>
    <row r="8" spans="1:17" x14ac:dyDescent="0.2">
      <c r="A8">
        <v>659</v>
      </c>
      <c r="B8">
        <v>36</v>
      </c>
      <c r="C8" t="s">
        <v>658</v>
      </c>
      <c r="D8" s="13" t="s">
        <v>913</v>
      </c>
      <c r="E8" s="1">
        <v>6.6554803109762499</v>
      </c>
      <c r="F8" s="1">
        <v>8.2886637615912608</v>
      </c>
      <c r="G8">
        <f>VLOOKUP(C8,'[1]phenotypes-895'!$A$2:$G$896,7,FALSE)</f>
        <v>98</v>
      </c>
      <c r="H8" s="1">
        <v>-9.3399652498090804E-2</v>
      </c>
      <c r="I8" s="1">
        <f>VLOOKUP(C8,'[1]phenotypes-895'!$A$2:$I$896,9,FALSE)</f>
        <v>0</v>
      </c>
      <c r="J8" s="1"/>
      <c r="K8" s="4">
        <v>0</v>
      </c>
      <c r="L8" s="1"/>
      <c r="M8" s="8">
        <v>0</v>
      </c>
      <c r="N8" s="1"/>
      <c r="O8">
        <v>0.51100000000000001</v>
      </c>
      <c r="P8" s="1"/>
      <c r="Q8" s="2">
        <v>-0.22</v>
      </c>
    </row>
    <row r="9" spans="1:17" x14ac:dyDescent="0.2">
      <c r="A9">
        <v>305</v>
      </c>
      <c r="B9">
        <v>37</v>
      </c>
      <c r="C9" t="s">
        <v>304</v>
      </c>
      <c r="D9" s="13" t="s">
        <v>913</v>
      </c>
      <c r="E9" s="1">
        <v>7.80259817205721</v>
      </c>
      <c r="F9" s="1">
        <v>8.1731182144735204</v>
      </c>
      <c r="G9">
        <f>VLOOKUP(C9,'[1]phenotypes-895'!$A$2:$G$896,7,FALSE)</f>
        <v>98</v>
      </c>
      <c r="H9" s="1">
        <v>-7.57985352178807E-2</v>
      </c>
      <c r="I9" s="1">
        <f>VLOOKUP(C9,'[1]phenotypes-895'!$A$2:$I$896,9,FALSE)</f>
        <v>0.26829546031869628</v>
      </c>
      <c r="J9" s="1"/>
      <c r="K9" s="4">
        <v>3.8291772725943147</v>
      </c>
      <c r="L9" s="1"/>
      <c r="M9" s="8">
        <v>1</v>
      </c>
      <c r="N9" s="1"/>
      <c r="O9">
        <v>1.099</v>
      </c>
      <c r="P9" s="1"/>
      <c r="Q9" s="2">
        <v>0.03</v>
      </c>
    </row>
    <row r="10" spans="1:17" x14ac:dyDescent="0.2">
      <c r="A10">
        <v>661</v>
      </c>
      <c r="B10">
        <v>37</v>
      </c>
      <c r="C10" t="s">
        <v>660</v>
      </c>
      <c r="D10" s="13" t="s">
        <v>913</v>
      </c>
      <c r="E10" s="1">
        <v>7.8419203788977603</v>
      </c>
      <c r="F10" s="1">
        <v>8.1721230235748497</v>
      </c>
      <c r="G10">
        <f>VLOOKUP(C10,'[1]phenotypes-895'!$A$2:$G$896,7,FALSE)</f>
        <v>98</v>
      </c>
      <c r="H10" s="1">
        <v>-0.141651817014502</v>
      </c>
      <c r="I10" s="1">
        <f>VLOOKUP(C10,'[1]phenotypes-895'!$A$2:$I$896,9,FALSE)</f>
        <v>0</v>
      </c>
      <c r="J10" s="1"/>
      <c r="K10" s="4">
        <v>0</v>
      </c>
      <c r="L10" s="1"/>
      <c r="M10" s="8">
        <v>0</v>
      </c>
      <c r="N10" s="1"/>
      <c r="O10">
        <v>0.97799999999999998</v>
      </c>
      <c r="P10" s="1"/>
      <c r="Q10" s="2">
        <v>-0.01</v>
      </c>
    </row>
    <row r="11" spans="1:17" x14ac:dyDescent="0.2">
      <c r="A11">
        <v>361</v>
      </c>
      <c r="B11">
        <v>52</v>
      </c>
      <c r="C11" t="s">
        <v>360</v>
      </c>
      <c r="D11" s="13" t="s">
        <v>912</v>
      </c>
      <c r="E11" s="1">
        <v>5.9216647728075396</v>
      </c>
      <c r="F11" s="1">
        <v>8.1527082723043396</v>
      </c>
      <c r="G11">
        <f>VLOOKUP(C11,'[1]phenotypes-895'!$A$2:$G$896,7,FALSE)</f>
        <v>94</v>
      </c>
      <c r="H11" s="1">
        <v>-6.5154433559972802E-2</v>
      </c>
      <c r="I11" s="1">
        <f>VLOOKUP(C11,'[1]phenotypes-895'!$A$2:$I$896,9,FALSE)</f>
        <v>0.26619509269243991</v>
      </c>
      <c r="J11" s="1"/>
      <c r="K11" s="4">
        <v>4.0584623714383072</v>
      </c>
      <c r="L11" s="1"/>
      <c r="M11" s="8">
        <v>1</v>
      </c>
      <c r="N11" s="1"/>
      <c r="O11">
        <v>0.79600000000000004</v>
      </c>
      <c r="P11" s="1"/>
      <c r="Q11" s="2">
        <v>-7.0000000000000007E-2</v>
      </c>
    </row>
    <row r="12" spans="1:17" x14ac:dyDescent="0.2">
      <c r="A12">
        <v>121</v>
      </c>
      <c r="B12">
        <v>37</v>
      </c>
      <c r="C12" t="s">
        <v>120</v>
      </c>
      <c r="D12" s="13" t="s">
        <v>913</v>
      </c>
      <c r="E12" s="1">
        <v>7.1916326099204104</v>
      </c>
      <c r="F12" s="1">
        <v>7.9369044420002801</v>
      </c>
      <c r="G12">
        <f>VLOOKUP(C12,'[1]phenotypes-895'!$A$2:$G$896,7,FALSE)</f>
        <v>98</v>
      </c>
      <c r="H12" s="1">
        <v>-0.116141886047082</v>
      </c>
      <c r="I12" s="1">
        <f>VLOOKUP(C12,'[1]phenotypes-895'!$A$2:$I$896,9,FALSE)</f>
        <v>0</v>
      </c>
      <c r="J12" s="1"/>
      <c r="K12" s="4">
        <v>0</v>
      </c>
      <c r="L12" s="1"/>
      <c r="M12" s="8">
        <v>0</v>
      </c>
      <c r="N12" s="1"/>
      <c r="O12">
        <v>0.96</v>
      </c>
      <c r="P12" s="1"/>
      <c r="Q12" s="2">
        <v>-0.01</v>
      </c>
    </row>
    <row r="13" spans="1:17" x14ac:dyDescent="0.2">
      <c r="A13">
        <v>543</v>
      </c>
      <c r="B13">
        <v>53</v>
      </c>
      <c r="C13" t="s">
        <v>542</v>
      </c>
      <c r="D13" s="13" t="s">
        <v>912</v>
      </c>
      <c r="E13" s="1">
        <v>5.5475893693265697</v>
      </c>
      <c r="F13" s="1">
        <v>7.9071991003221402</v>
      </c>
      <c r="G13">
        <f>VLOOKUP(C13,'[1]phenotypes-895'!$A$2:$G$896,7,FALSE)</f>
        <v>98</v>
      </c>
      <c r="H13" s="1">
        <v>-8.4056793427787102E-2</v>
      </c>
      <c r="I13" s="1">
        <f>VLOOKUP(C13,'[1]phenotypes-895'!$A$2:$I$896,9,FALSE)</f>
        <v>0.1701991631895976</v>
      </c>
      <c r="J13" s="1"/>
      <c r="K13" s="4">
        <v>4.0043147253162275</v>
      </c>
      <c r="L13" s="1"/>
      <c r="M13" s="8">
        <v>1</v>
      </c>
      <c r="N13" s="1"/>
      <c r="O13">
        <v>0.57299999999999995</v>
      </c>
      <c r="P13" s="1"/>
      <c r="Q13" s="2">
        <v>-0.19</v>
      </c>
    </row>
    <row r="14" spans="1:17" x14ac:dyDescent="0.2">
      <c r="A14">
        <v>515</v>
      </c>
      <c r="B14">
        <v>54</v>
      </c>
      <c r="C14" t="s">
        <v>514</v>
      </c>
      <c r="D14" s="13" t="s">
        <v>912</v>
      </c>
      <c r="E14" s="1">
        <v>7.2277164120395598</v>
      </c>
      <c r="F14" s="1">
        <v>7.7945317770549698</v>
      </c>
      <c r="G14">
        <f>VLOOKUP(C14,'[1]phenotypes-895'!$A$2:$G$896,7,FALSE)</f>
        <v>81</v>
      </c>
      <c r="H14" s="1">
        <v>-0.11074901442374301</v>
      </c>
      <c r="I14" s="1">
        <f>VLOOKUP(C14,'[1]phenotypes-895'!$A$2:$I$896,9,FALSE)</f>
        <v>0.38451780302030703</v>
      </c>
      <c r="J14" s="1"/>
      <c r="K14" s="4">
        <v>3.9471341334447492</v>
      </c>
      <c r="L14" s="1"/>
      <c r="M14" s="8">
        <v>1</v>
      </c>
      <c r="N14" s="1"/>
      <c r="O14">
        <v>0.64200000000000002</v>
      </c>
      <c r="P14" s="1"/>
      <c r="Q14" s="2">
        <v>-0.15</v>
      </c>
    </row>
    <row r="15" spans="1:17" x14ac:dyDescent="0.2">
      <c r="A15">
        <v>754</v>
      </c>
      <c r="B15">
        <v>29</v>
      </c>
      <c r="C15" t="s">
        <v>753</v>
      </c>
      <c r="D15" s="13" t="s">
        <v>913</v>
      </c>
      <c r="E15" s="1">
        <v>8.3622635481224208</v>
      </c>
      <c r="F15" s="1">
        <v>7.7766094230607701</v>
      </c>
      <c r="G15">
        <f>VLOOKUP(C15,'[1]phenotypes-895'!$A$2:$G$896,7,FALSE)</f>
        <v>98</v>
      </c>
      <c r="H15" s="1">
        <v>-0.156212802665471</v>
      </c>
      <c r="I15" s="1">
        <f>VLOOKUP(C15,'[1]phenotypes-895'!$A$2:$I$896,9,FALSE)</f>
        <v>0</v>
      </c>
      <c r="J15" s="1"/>
      <c r="K15" s="4">
        <v>0</v>
      </c>
      <c r="L15" s="1"/>
      <c r="M15" s="8">
        <v>0</v>
      </c>
      <c r="N15" s="1"/>
      <c r="O15">
        <v>1.1499999999999999</v>
      </c>
      <c r="P15" s="1"/>
      <c r="Q15" s="2">
        <v>0.04</v>
      </c>
    </row>
    <row r="16" spans="1:17" x14ac:dyDescent="0.2">
      <c r="A16">
        <v>464</v>
      </c>
      <c r="B16">
        <v>21</v>
      </c>
      <c r="C16" t="s">
        <v>463</v>
      </c>
      <c r="D16" s="13" t="s">
        <v>913</v>
      </c>
      <c r="E16" s="1">
        <v>7.9301999207661202</v>
      </c>
      <c r="F16" s="1">
        <v>7.6541537354650897</v>
      </c>
      <c r="G16">
        <f>VLOOKUP(C16,'[1]phenotypes-895'!$A$2:$G$896,7,FALSE)</f>
        <v>98</v>
      </c>
      <c r="H16" s="1">
        <v>-0.115808149160328</v>
      </c>
      <c r="I16" s="1">
        <f>VLOOKUP(C16,'[1]phenotypes-895'!$A$2:$I$896,9,FALSE)</f>
        <v>0</v>
      </c>
      <c r="J16" s="1"/>
      <c r="K16" s="4">
        <v>0</v>
      </c>
      <c r="L16" s="1"/>
      <c r="M16" s="8">
        <v>0</v>
      </c>
      <c r="N16" s="1"/>
      <c r="O16">
        <v>1.2250000000000001</v>
      </c>
      <c r="P16" s="1"/>
      <c r="Q16" s="2">
        <v>0.06</v>
      </c>
    </row>
    <row r="17" spans="1:17" x14ac:dyDescent="0.2">
      <c r="A17">
        <v>414</v>
      </c>
      <c r="B17">
        <v>50</v>
      </c>
      <c r="C17" t="s">
        <v>413</v>
      </c>
      <c r="D17" s="13" t="s">
        <v>912</v>
      </c>
      <c r="E17" s="1">
        <v>5.8005614606581499</v>
      </c>
      <c r="F17" s="1">
        <v>7.5867450872722202</v>
      </c>
      <c r="G17">
        <f>VLOOKUP(C17,'[1]phenotypes-895'!$A$2:$G$896,7,FALSE)</f>
        <v>89</v>
      </c>
      <c r="H17" s="1">
        <v>-9.0376067427029097E-2</v>
      </c>
      <c r="I17" s="1">
        <f>VLOOKUP(C17,'[1]phenotypes-895'!$A$2:$I$896,9,FALSE)</f>
        <v>0.26229790073755899</v>
      </c>
      <c r="J17" s="1"/>
      <c r="K17" s="4">
        <v>3.4569205662506262</v>
      </c>
      <c r="L17" s="1"/>
      <c r="M17" s="8">
        <v>1</v>
      </c>
      <c r="N17" s="1"/>
      <c r="O17">
        <v>0.71899999999999997</v>
      </c>
      <c r="P17" s="1"/>
      <c r="Q17" s="2">
        <v>-0.11</v>
      </c>
    </row>
    <row r="18" spans="1:17" x14ac:dyDescent="0.2">
      <c r="A18">
        <v>281</v>
      </c>
      <c r="B18">
        <v>2</v>
      </c>
      <c r="C18" t="s">
        <v>280</v>
      </c>
      <c r="D18" s="12" t="s">
        <v>913</v>
      </c>
      <c r="E18" s="1">
        <v>6.7524750325531198</v>
      </c>
      <c r="F18" s="1">
        <v>7.5573391181862704</v>
      </c>
      <c r="G18">
        <f>VLOOKUP(C18,'[1]phenotypes-895'!$A$2:$G$896,7,FALSE)</f>
        <v>98</v>
      </c>
      <c r="H18" s="1">
        <v>-9.1242562255657605E-2</v>
      </c>
      <c r="I18" s="1">
        <f>VLOOKUP(C18,'[1]phenotypes-895'!$A$2:$I$896,9,FALSE)</f>
        <v>0</v>
      </c>
      <c r="J18" s="1"/>
      <c r="K18" s="4">
        <v>0</v>
      </c>
      <c r="L18" s="1"/>
      <c r="M18" s="8">
        <v>0</v>
      </c>
      <c r="N18" s="1"/>
      <c r="O18" s="6">
        <v>0.95199999999999996</v>
      </c>
      <c r="P18" s="1"/>
      <c r="Q18" s="7">
        <v>-0.02</v>
      </c>
    </row>
    <row r="19" spans="1:17" x14ac:dyDescent="0.2">
      <c r="A19">
        <v>506</v>
      </c>
      <c r="B19">
        <v>42</v>
      </c>
      <c r="C19" t="s">
        <v>505</v>
      </c>
      <c r="D19" s="13" t="s">
        <v>912</v>
      </c>
      <c r="E19" s="1">
        <v>5.5667560635529698</v>
      </c>
      <c r="F19" s="1">
        <v>7.5193862836718202</v>
      </c>
      <c r="G19">
        <f>VLOOKUP(C19,'[1]phenotypes-895'!$A$2:$G$896,7,FALSE)</f>
        <v>98</v>
      </c>
      <c r="H19" s="1">
        <v>-7.94979389074469E-2</v>
      </c>
      <c r="I19" s="1">
        <f>VLOOKUP(C19,'[1]phenotypes-895'!$A$2:$I$896,9,FALSE)</f>
        <v>0.16353899662058621</v>
      </c>
      <c r="J19" s="1"/>
      <c r="K19" s="4">
        <v>3.4002038502972063</v>
      </c>
      <c r="L19" s="1"/>
      <c r="M19" s="8">
        <v>1</v>
      </c>
      <c r="N19" s="1"/>
      <c r="O19">
        <v>0.81599999999999995</v>
      </c>
      <c r="P19" s="1"/>
      <c r="Q19" s="2">
        <v>-7.0000000000000007E-2</v>
      </c>
    </row>
    <row r="20" spans="1:17" x14ac:dyDescent="0.2">
      <c r="A20">
        <v>139</v>
      </c>
      <c r="B20">
        <v>2</v>
      </c>
      <c r="C20" t="s">
        <v>138</v>
      </c>
      <c r="D20" s="12" t="s">
        <v>913</v>
      </c>
      <c r="E20" s="1">
        <v>6.5777678703804003</v>
      </c>
      <c r="F20" s="1">
        <v>7.5148511683546699</v>
      </c>
      <c r="G20">
        <f>VLOOKUP(C20,'[1]phenotypes-895'!$A$2:$G$896,7,FALSE)</f>
        <v>98</v>
      </c>
      <c r="H20" s="1">
        <v>-6.0132498197954E-2</v>
      </c>
      <c r="I20" s="1">
        <f>VLOOKUP(C20,'[1]phenotypes-895'!$A$2:$I$896,9,FALSE)</f>
        <v>0.24951321841215501</v>
      </c>
      <c r="J20" s="1"/>
      <c r="K20" s="4">
        <v>2.6750797265889918</v>
      </c>
      <c r="L20" s="1"/>
      <c r="M20" s="8">
        <v>1</v>
      </c>
      <c r="N20" s="1"/>
      <c r="O20" s="6">
        <v>0.74099999999999999</v>
      </c>
      <c r="P20" s="1"/>
      <c r="Q20" s="7">
        <v>-0.1</v>
      </c>
    </row>
    <row r="21" spans="1:17" x14ac:dyDescent="0.2">
      <c r="A21">
        <v>587</v>
      </c>
      <c r="B21">
        <v>44</v>
      </c>
      <c r="C21" t="s">
        <v>586</v>
      </c>
      <c r="D21" s="13" t="s">
        <v>912</v>
      </c>
      <c r="E21" s="1">
        <v>4.89965749509535</v>
      </c>
      <c r="F21" s="1">
        <v>7.4713330893419601</v>
      </c>
      <c r="G21">
        <f>VLOOKUP(C21,'[1]phenotypes-895'!$A$2:$G$896,7,FALSE)</f>
        <v>98</v>
      </c>
      <c r="H21" s="1">
        <v>-3.42807575275835E-2</v>
      </c>
      <c r="I21" s="1">
        <f>VLOOKUP(C21,'[1]phenotypes-895'!$A$2:$I$896,9,FALSE)</f>
        <v>0.45117480535440041</v>
      </c>
      <c r="J21" s="1"/>
      <c r="K21" s="4">
        <v>4.4010388733396955</v>
      </c>
      <c r="L21" s="1"/>
      <c r="M21" s="8">
        <v>1</v>
      </c>
      <c r="N21" s="1"/>
      <c r="O21">
        <v>0.623</v>
      </c>
      <c r="P21" s="1"/>
      <c r="Q21" s="2">
        <v>-0.16</v>
      </c>
    </row>
    <row r="22" spans="1:17" x14ac:dyDescent="0.2">
      <c r="A22">
        <v>419</v>
      </c>
      <c r="B22">
        <v>54</v>
      </c>
      <c r="C22" t="s">
        <v>418</v>
      </c>
      <c r="D22" s="13" t="s">
        <v>912</v>
      </c>
      <c r="E22" s="1">
        <v>7.56373008637813</v>
      </c>
      <c r="F22" s="1">
        <v>7.4206804020258996</v>
      </c>
      <c r="G22">
        <f>VLOOKUP(C22,'[1]phenotypes-895'!$A$2:$G$896,7,FALSE)</f>
        <v>98</v>
      </c>
      <c r="H22" s="1">
        <v>-0.117287882474677</v>
      </c>
      <c r="I22" s="1">
        <f>VLOOKUP(C22,'[1]phenotypes-895'!$A$2:$I$896,9,FALSE)</f>
        <v>0</v>
      </c>
      <c r="J22" s="1"/>
      <c r="K22" s="4">
        <v>0</v>
      </c>
      <c r="L22" s="1"/>
      <c r="M22" s="8">
        <v>0</v>
      </c>
      <c r="N22" s="1"/>
      <c r="O22">
        <v>0.72299999999999998</v>
      </c>
      <c r="P22" s="1"/>
      <c r="Q22" s="2">
        <v>-0.11</v>
      </c>
    </row>
    <row r="23" spans="1:17" x14ac:dyDescent="0.2">
      <c r="A23">
        <v>352</v>
      </c>
      <c r="B23">
        <v>44</v>
      </c>
      <c r="C23" t="s">
        <v>351</v>
      </c>
      <c r="D23" s="13" t="s">
        <v>912</v>
      </c>
      <c r="E23" s="1">
        <v>5.1942882385679603</v>
      </c>
      <c r="F23" s="1">
        <v>7.3294724822694999</v>
      </c>
      <c r="G23">
        <f>VLOOKUP(C23,'[1]phenotypes-895'!$A$2:$G$896,7,FALSE)</f>
        <v>98</v>
      </c>
      <c r="H23" s="1">
        <v>-4.5859020096782298E-2</v>
      </c>
      <c r="I23" s="1">
        <f>VLOOKUP(C23,'[1]phenotypes-895'!$A$2:$I$896,9,FALSE)</f>
        <v>0.25395060260870539</v>
      </c>
      <c r="J23" s="1"/>
      <c r="K23" s="4">
        <v>3.8017494578560416</v>
      </c>
      <c r="L23" s="1"/>
      <c r="M23" s="8">
        <v>1</v>
      </c>
      <c r="N23" s="1"/>
      <c r="O23">
        <v>0.57799999999999996</v>
      </c>
      <c r="P23" s="1"/>
      <c r="Q23" s="2">
        <v>-0.19</v>
      </c>
    </row>
    <row r="24" spans="1:17" x14ac:dyDescent="0.2">
      <c r="A24">
        <v>433</v>
      </c>
      <c r="B24">
        <v>45</v>
      </c>
      <c r="C24" t="s">
        <v>432</v>
      </c>
      <c r="D24" s="13" t="s">
        <v>912</v>
      </c>
      <c r="E24" s="1">
        <v>5.3090349417568703</v>
      </c>
      <c r="F24" s="1">
        <v>7.2980141326748003</v>
      </c>
      <c r="G24">
        <f>VLOOKUP(C24,'[1]phenotypes-895'!$A$2:$G$896,7,FALSE)</f>
        <v>98</v>
      </c>
      <c r="H24" s="1">
        <v>-0.106717033448767</v>
      </c>
      <c r="I24" s="1">
        <f>VLOOKUP(C24,'[1]phenotypes-895'!$A$2:$I$896,9,FALSE)</f>
        <v>0</v>
      </c>
      <c r="J24" s="1"/>
      <c r="K24" s="4">
        <v>0</v>
      </c>
      <c r="L24" s="1"/>
      <c r="M24" s="8">
        <v>0</v>
      </c>
      <c r="N24" s="1"/>
      <c r="O24">
        <v>0.78600000000000003</v>
      </c>
      <c r="P24" s="1"/>
      <c r="Q24" s="2">
        <v>-0.08</v>
      </c>
    </row>
    <row r="25" spans="1:17" x14ac:dyDescent="0.2">
      <c r="A25">
        <v>758</v>
      </c>
      <c r="B25">
        <v>51</v>
      </c>
      <c r="C25" t="s">
        <v>757</v>
      </c>
      <c r="D25" s="13" t="s">
        <v>912</v>
      </c>
      <c r="E25" s="1">
        <v>4.2911540428392998</v>
      </c>
      <c r="F25" s="1">
        <v>7.2653241393763901</v>
      </c>
      <c r="G25">
        <f>VLOOKUP(C25,'[1]phenotypes-895'!$A$2:$G$896,7,FALSE)</f>
        <v>98</v>
      </c>
      <c r="H25" s="1">
        <v>-6.1844414291312502E-2</v>
      </c>
      <c r="I25" s="1">
        <f>VLOOKUP(C25,'[1]phenotypes-895'!$A$2:$I$896,9,FALSE)</f>
        <v>0.25690168677385511</v>
      </c>
      <c r="J25" s="1"/>
      <c r="K25" s="4">
        <v>2.7659485496878253</v>
      </c>
      <c r="L25" s="1"/>
      <c r="M25" s="8">
        <v>1</v>
      </c>
      <c r="N25" s="1"/>
      <c r="O25">
        <v>0.68200000000000005</v>
      </c>
      <c r="P25" s="1"/>
      <c r="Q25" s="2">
        <v>-0.13</v>
      </c>
    </row>
    <row r="26" spans="1:17" x14ac:dyDescent="0.2">
      <c r="A26">
        <v>391</v>
      </c>
      <c r="B26">
        <v>44</v>
      </c>
      <c r="C26" t="s">
        <v>390</v>
      </c>
      <c r="D26" s="13" t="s">
        <v>912</v>
      </c>
      <c r="E26" s="1">
        <v>6.2454642062755097</v>
      </c>
      <c r="F26" s="1">
        <v>7.2214419939567502</v>
      </c>
      <c r="G26">
        <f>VLOOKUP(C26,'[1]phenotypes-895'!$A$2:$G$896,7,FALSE)</f>
        <v>98</v>
      </c>
      <c r="H26" s="1">
        <v>-0.14254568495036599</v>
      </c>
      <c r="I26" s="1">
        <f>VLOOKUP(C26,'[1]phenotypes-895'!$A$2:$I$896,9,FALSE)</f>
        <v>0</v>
      </c>
      <c r="J26" s="1"/>
      <c r="K26" s="4">
        <v>0</v>
      </c>
      <c r="L26" s="1"/>
      <c r="M26" s="8">
        <v>0</v>
      </c>
      <c r="N26" s="1"/>
      <c r="O26">
        <v>0.96499999999999997</v>
      </c>
      <c r="P26" s="1"/>
      <c r="Q26" s="2">
        <v>-0.01</v>
      </c>
    </row>
    <row r="27" spans="1:17" x14ac:dyDescent="0.2">
      <c r="A27">
        <v>707</v>
      </c>
      <c r="B27">
        <v>50</v>
      </c>
      <c r="C27" t="s">
        <v>706</v>
      </c>
      <c r="D27" s="13" t="s">
        <v>912</v>
      </c>
      <c r="E27" s="1">
        <v>4.80687082992646</v>
      </c>
      <c r="F27" s="1">
        <v>7.1641591301378602</v>
      </c>
      <c r="G27">
        <f>VLOOKUP(C27,'[1]phenotypes-895'!$A$2:$G$896,7,FALSE)</f>
        <v>98</v>
      </c>
      <c r="H27" s="1">
        <v>-6.7685826328924004E-2</v>
      </c>
      <c r="I27" s="1">
        <f>VLOOKUP(C27,'[1]phenotypes-895'!$A$2:$I$896,9,FALSE)</f>
        <v>0</v>
      </c>
      <c r="J27" s="1"/>
      <c r="K27" s="4">
        <v>0</v>
      </c>
      <c r="L27" s="1"/>
      <c r="M27" s="8">
        <v>0</v>
      </c>
      <c r="N27" s="1"/>
      <c r="O27">
        <v>0.48599999999999999</v>
      </c>
      <c r="P27" s="1"/>
      <c r="Q27" s="2">
        <v>-0.24</v>
      </c>
    </row>
    <row r="28" spans="1:17" x14ac:dyDescent="0.2">
      <c r="A28">
        <v>846</v>
      </c>
      <c r="B28">
        <v>33</v>
      </c>
      <c r="C28" t="s">
        <v>845</v>
      </c>
      <c r="D28" s="13" t="s">
        <v>913</v>
      </c>
      <c r="E28" s="1">
        <v>5.2173893451162403</v>
      </c>
      <c r="F28" s="1">
        <v>7.0549917838479699</v>
      </c>
      <c r="G28">
        <f>VLOOKUP(C28,'[1]phenotypes-895'!$A$2:$G$896,7,FALSE)</f>
        <v>98</v>
      </c>
      <c r="H28" s="1">
        <v>-6.4286461099003198E-2</v>
      </c>
      <c r="I28" s="1">
        <f>VLOOKUP(C28,'[1]phenotypes-895'!$A$2:$I$896,9,FALSE)</f>
        <v>7.170008682779197E-2</v>
      </c>
      <c r="J28" s="1"/>
      <c r="K28" s="4">
        <v>3.1129901844172778</v>
      </c>
      <c r="L28" s="1"/>
      <c r="M28" s="8">
        <v>1</v>
      </c>
      <c r="N28" s="1"/>
      <c r="O28">
        <v>0.93799999999999994</v>
      </c>
      <c r="P28" s="1"/>
      <c r="Q28" s="2">
        <v>-0.02</v>
      </c>
    </row>
    <row r="29" spans="1:17" x14ac:dyDescent="0.2">
      <c r="A29">
        <v>875</v>
      </c>
      <c r="B29">
        <v>35</v>
      </c>
      <c r="C29" t="s">
        <v>874</v>
      </c>
      <c r="D29" s="13" t="s">
        <v>913</v>
      </c>
      <c r="E29" s="1">
        <v>8.2662754718474307</v>
      </c>
      <c r="F29" s="1">
        <v>7.02396423158803</v>
      </c>
      <c r="G29">
        <f>VLOOKUP(C29,'[1]phenotypes-895'!$A$2:$G$896,7,FALSE)</f>
        <v>98</v>
      </c>
      <c r="H29" s="1">
        <v>-0.124668051987689</v>
      </c>
      <c r="I29" s="1">
        <f>VLOOKUP(C29,'[1]phenotypes-895'!$A$2:$I$896,9,FALSE)</f>
        <v>0</v>
      </c>
      <c r="J29" s="1"/>
      <c r="K29" s="4">
        <v>0</v>
      </c>
      <c r="L29" s="1"/>
      <c r="M29" s="8">
        <v>0</v>
      </c>
      <c r="N29" s="1"/>
      <c r="O29">
        <v>0.95499999999999996</v>
      </c>
      <c r="P29" s="1"/>
      <c r="Q29" s="2">
        <v>-0.01</v>
      </c>
    </row>
    <row r="30" spans="1:17" x14ac:dyDescent="0.2">
      <c r="A30">
        <v>392</v>
      </c>
      <c r="B30">
        <v>49</v>
      </c>
      <c r="C30" t="s">
        <v>391</v>
      </c>
      <c r="D30" s="13" t="s">
        <v>912</v>
      </c>
      <c r="E30" s="1">
        <v>6.9646075431372196</v>
      </c>
      <c r="F30" s="1">
        <v>6.9992536789184401</v>
      </c>
      <c r="G30">
        <f>VLOOKUP(C30,'[1]phenotypes-895'!$A$2:$G$896,7,FALSE)</f>
        <v>98</v>
      </c>
      <c r="H30" s="1">
        <v>-0.118293629053386</v>
      </c>
      <c r="I30" s="1">
        <f>VLOOKUP(C30,'[1]phenotypes-895'!$A$2:$I$896,9,FALSE)</f>
        <v>0</v>
      </c>
      <c r="J30" s="1"/>
      <c r="K30" s="4">
        <v>0</v>
      </c>
      <c r="L30" s="1"/>
      <c r="M30" s="8">
        <v>0</v>
      </c>
      <c r="N30" s="1"/>
      <c r="O30">
        <v>0.73399999999999999</v>
      </c>
      <c r="P30" s="1"/>
      <c r="Q30" s="2">
        <v>-0.1</v>
      </c>
    </row>
    <row r="31" spans="1:17" x14ac:dyDescent="0.2">
      <c r="A31">
        <v>544</v>
      </c>
      <c r="B31">
        <v>39</v>
      </c>
      <c r="C31" t="s">
        <v>543</v>
      </c>
      <c r="D31" s="13" t="s">
        <v>913</v>
      </c>
      <c r="E31" s="1">
        <v>7.2932048808349297</v>
      </c>
      <c r="F31" s="1">
        <v>6.9389648876650396</v>
      </c>
      <c r="G31">
        <f>VLOOKUP(C31,'[1]phenotypes-895'!$A$2:$G$896,7,FALSE)</f>
        <v>98</v>
      </c>
      <c r="H31" s="1">
        <v>-0.111636597571059</v>
      </c>
      <c r="I31" s="1">
        <f>VLOOKUP(C31,'[1]phenotypes-895'!$A$2:$I$896,9,FALSE)</f>
        <v>0.32642503497008207</v>
      </c>
      <c r="J31" s="1"/>
      <c r="K31" s="4">
        <v>4.9455079587043533</v>
      </c>
      <c r="L31" s="1"/>
      <c r="M31" s="8">
        <v>1</v>
      </c>
      <c r="N31" s="1"/>
      <c r="O31">
        <v>1.06</v>
      </c>
      <c r="P31" s="1"/>
      <c r="Q31" s="2">
        <v>0.02</v>
      </c>
    </row>
    <row r="32" spans="1:17" x14ac:dyDescent="0.2">
      <c r="A32">
        <v>709</v>
      </c>
      <c r="B32">
        <v>36</v>
      </c>
      <c r="C32" t="s">
        <v>708</v>
      </c>
      <c r="D32" s="13" t="s">
        <v>913</v>
      </c>
      <c r="E32" s="1">
        <v>5.3442944599139697</v>
      </c>
      <c r="F32" s="1">
        <v>6.9034256170206296</v>
      </c>
      <c r="G32">
        <f>VLOOKUP(C32,'[1]phenotypes-895'!$A$2:$G$896,7,FALSE)</f>
        <v>98</v>
      </c>
      <c r="H32" s="1">
        <v>-0.129268390430158</v>
      </c>
      <c r="I32" s="1">
        <f>VLOOKUP(C32,'[1]phenotypes-895'!$A$2:$I$896,9,FALSE)</f>
        <v>0</v>
      </c>
      <c r="J32" s="1"/>
      <c r="K32" s="4">
        <v>0</v>
      </c>
      <c r="L32" s="1"/>
      <c r="M32" s="8">
        <v>0</v>
      </c>
      <c r="N32" s="1"/>
      <c r="O32">
        <v>1.238</v>
      </c>
      <c r="P32" s="1"/>
      <c r="Q32" s="2">
        <v>0.06</v>
      </c>
    </row>
    <row r="33" spans="1:17" x14ac:dyDescent="0.2">
      <c r="A33">
        <v>86</v>
      </c>
      <c r="B33">
        <v>36</v>
      </c>
      <c r="C33" t="s">
        <v>85</v>
      </c>
      <c r="D33" s="13" t="s">
        <v>913</v>
      </c>
      <c r="E33" s="1">
        <v>5.8579260886536302</v>
      </c>
      <c r="F33" s="1">
        <v>6.8937681377266102</v>
      </c>
      <c r="G33">
        <f>VLOOKUP(C33,'[1]phenotypes-895'!$A$2:$G$896,7,FALSE)</f>
        <v>73</v>
      </c>
      <c r="H33" s="1">
        <v>-0.133822582425218</v>
      </c>
      <c r="I33" s="1">
        <f>VLOOKUP(C33,'[1]phenotypes-895'!$A$2:$I$896,9,FALSE)</f>
        <v>0.25062426968364532</v>
      </c>
      <c r="J33" s="1"/>
      <c r="K33" s="4">
        <v>4.3112825784616051</v>
      </c>
      <c r="L33" s="1"/>
      <c r="M33" s="8">
        <v>1</v>
      </c>
      <c r="N33" s="1"/>
      <c r="O33">
        <v>1.4430000000000001</v>
      </c>
      <c r="P33" s="1"/>
      <c r="Q33" s="2">
        <v>0.11</v>
      </c>
    </row>
    <row r="34" spans="1:17" x14ac:dyDescent="0.2">
      <c r="A34">
        <v>716</v>
      </c>
      <c r="B34">
        <v>50</v>
      </c>
      <c r="C34" t="s">
        <v>715</v>
      </c>
      <c r="D34" s="13" t="s">
        <v>912</v>
      </c>
      <c r="E34" s="1">
        <v>3.8825961825921702</v>
      </c>
      <c r="F34" s="1">
        <v>6.8725379514086899</v>
      </c>
      <c r="G34">
        <f>VLOOKUP(C34,'[1]phenotypes-895'!$A$2:$G$896,7,FALSE)</f>
        <v>98</v>
      </c>
      <c r="H34" s="1">
        <v>-3.5119588221685802E-2</v>
      </c>
      <c r="I34" s="1">
        <f>VLOOKUP(C34,'[1]phenotypes-895'!$A$2:$I$896,9,FALSE)</f>
        <v>0.30524459679139587</v>
      </c>
      <c r="J34" s="1"/>
      <c r="K34" s="4">
        <v>4.7395168816671216</v>
      </c>
      <c r="L34" s="1"/>
      <c r="M34" s="8">
        <v>1</v>
      </c>
      <c r="N34" s="1"/>
      <c r="O34">
        <v>0.52100000000000002</v>
      </c>
      <c r="P34" s="1"/>
      <c r="Q34" s="2">
        <v>-0.22</v>
      </c>
    </row>
    <row r="35" spans="1:17" x14ac:dyDescent="0.2">
      <c r="A35">
        <v>538</v>
      </c>
      <c r="B35">
        <v>25</v>
      </c>
      <c r="C35" t="s">
        <v>537</v>
      </c>
      <c r="D35" s="13" t="s">
        <v>913</v>
      </c>
      <c r="E35" s="1">
        <v>7.1643470800156503</v>
      </c>
      <c r="F35" s="1">
        <v>6.8053087210185197</v>
      </c>
      <c r="G35">
        <f>VLOOKUP(C35,'[1]phenotypes-895'!$A$2:$G$896,7,FALSE)</f>
        <v>98</v>
      </c>
      <c r="H35" s="1">
        <v>-9.7461961060628002E-2</v>
      </c>
      <c r="I35" s="1">
        <f>VLOOKUP(C35,'[1]phenotypes-895'!$A$2:$I$896,9,FALSE)</f>
        <v>0</v>
      </c>
      <c r="J35" s="1"/>
      <c r="K35" s="4">
        <v>0</v>
      </c>
      <c r="L35" s="1"/>
      <c r="M35" s="8">
        <v>0</v>
      </c>
      <c r="N35" s="1"/>
      <c r="O35">
        <v>1.0940000000000001</v>
      </c>
      <c r="P35" s="1"/>
      <c r="Q35" s="2">
        <v>0.03</v>
      </c>
    </row>
    <row r="36" spans="1:17" x14ac:dyDescent="0.2">
      <c r="A36">
        <v>411</v>
      </c>
      <c r="B36">
        <v>50</v>
      </c>
      <c r="C36" t="s">
        <v>410</v>
      </c>
      <c r="D36" s="13" t="s">
        <v>912</v>
      </c>
      <c r="E36" s="1">
        <v>6.9758249164645401</v>
      </c>
      <c r="F36" s="1">
        <v>6.7363865646855796</v>
      </c>
      <c r="G36">
        <f>VLOOKUP(C36,'[1]phenotypes-895'!$A$2:$G$896,7,FALSE)</f>
        <v>98</v>
      </c>
      <c r="H36" s="1">
        <v>-0.121122541082476</v>
      </c>
      <c r="I36" s="1">
        <f>VLOOKUP(C36,'[1]phenotypes-895'!$A$2:$I$896,9,FALSE)</f>
        <v>0.13357018118390851</v>
      </c>
      <c r="J36" s="1"/>
      <c r="K36" s="4">
        <v>2.8435239241238093</v>
      </c>
      <c r="L36" s="1"/>
      <c r="M36" s="8">
        <v>1</v>
      </c>
      <c r="N36" s="1"/>
      <c r="O36">
        <v>0.77100000000000002</v>
      </c>
      <c r="P36" s="1"/>
      <c r="Q36" s="2">
        <v>-0.09</v>
      </c>
    </row>
    <row r="37" spans="1:17" x14ac:dyDescent="0.2">
      <c r="A37">
        <v>687</v>
      </c>
      <c r="B37">
        <v>44</v>
      </c>
      <c r="C37" t="s">
        <v>686</v>
      </c>
      <c r="D37" s="13" t="s">
        <v>912</v>
      </c>
      <c r="E37" s="1">
        <v>4.3728865909896699</v>
      </c>
      <c r="F37" s="1">
        <v>6.6995568928147504</v>
      </c>
      <c r="G37">
        <f>VLOOKUP(C37,'[1]phenotypes-895'!$A$2:$G$896,7,FALSE)</f>
        <v>62</v>
      </c>
      <c r="H37" s="1">
        <v>-6.1064352288483899E-2</v>
      </c>
      <c r="I37" s="1">
        <f>VLOOKUP(C37,'[1]phenotypes-895'!$A$2:$I$896,9,FALSE)</f>
        <v>0.41871237682847562</v>
      </c>
      <c r="J37" s="1"/>
      <c r="K37" s="4">
        <v>3.935193228499303</v>
      </c>
      <c r="L37" s="1"/>
      <c r="M37" s="8">
        <v>1</v>
      </c>
      <c r="N37" s="1"/>
      <c r="O37">
        <v>0.57099999999999995</v>
      </c>
      <c r="P37" s="1"/>
      <c r="Q37" s="2">
        <v>-0.19</v>
      </c>
    </row>
    <row r="38" spans="1:17" x14ac:dyDescent="0.2">
      <c r="A38">
        <v>681</v>
      </c>
      <c r="B38">
        <v>38</v>
      </c>
      <c r="C38" t="s">
        <v>680</v>
      </c>
      <c r="D38" s="13" t="s">
        <v>913</v>
      </c>
      <c r="E38" s="1">
        <v>6.00341497709947</v>
      </c>
      <c r="F38" s="1">
        <v>6.6786829012297302</v>
      </c>
      <c r="G38">
        <f>VLOOKUP(C38,'[1]phenotypes-895'!$A$2:$G$896,7,FALSE)</f>
        <v>98</v>
      </c>
      <c r="H38" s="1">
        <v>-4.8504830964378499E-2</v>
      </c>
      <c r="I38" s="1">
        <f>VLOOKUP(C38,'[1]phenotypes-895'!$A$2:$I$896,9,FALSE)</f>
        <v>0.41954287467453938</v>
      </c>
      <c r="J38" s="1"/>
      <c r="K38" s="4">
        <v>4.9193535517675766</v>
      </c>
      <c r="L38" s="1"/>
      <c r="M38" s="8">
        <v>1</v>
      </c>
      <c r="N38" s="1"/>
      <c r="O38">
        <v>1.216</v>
      </c>
      <c r="P38" s="1"/>
      <c r="Q38" s="2">
        <v>0.06</v>
      </c>
    </row>
    <row r="39" spans="1:17" x14ac:dyDescent="0.2">
      <c r="A39">
        <v>726</v>
      </c>
      <c r="B39">
        <v>26</v>
      </c>
      <c r="C39" t="s">
        <v>725</v>
      </c>
      <c r="D39" s="13" t="s">
        <v>913</v>
      </c>
      <c r="E39" s="1">
        <v>6.8307175125048403</v>
      </c>
      <c r="F39" s="1">
        <v>6.6151261254476097</v>
      </c>
      <c r="G39">
        <f>VLOOKUP(C39,'[1]phenotypes-895'!$A$2:$G$896,7,FALSE)</f>
        <v>98</v>
      </c>
      <c r="H39" s="1">
        <v>-9.2299193027096701E-2</v>
      </c>
      <c r="I39" s="1">
        <f>VLOOKUP(C39,'[1]phenotypes-895'!$A$2:$I$896,9,FALSE)</f>
        <v>0</v>
      </c>
      <c r="J39" s="1"/>
      <c r="K39" s="4">
        <v>0</v>
      </c>
      <c r="L39" s="1"/>
      <c r="M39" s="8">
        <v>0</v>
      </c>
      <c r="N39" s="1"/>
      <c r="O39">
        <v>1.296</v>
      </c>
      <c r="P39" s="1"/>
      <c r="Q39" s="2">
        <v>0.08</v>
      </c>
    </row>
    <row r="40" spans="1:17" x14ac:dyDescent="0.2">
      <c r="A40">
        <v>490</v>
      </c>
      <c r="B40">
        <v>46</v>
      </c>
      <c r="C40" t="s">
        <v>489</v>
      </c>
      <c r="D40" s="13" t="s">
        <v>912</v>
      </c>
      <c r="E40" s="1">
        <v>6.4249127477141403</v>
      </c>
      <c r="F40" s="1">
        <v>6.5365992740422696</v>
      </c>
      <c r="G40">
        <f>VLOOKUP(C40,'[1]phenotypes-895'!$A$2:$G$896,7,FALSE)</f>
        <v>98</v>
      </c>
      <c r="H40" s="1">
        <v>-0.13574547142235499</v>
      </c>
      <c r="I40" s="1">
        <f>VLOOKUP(C40,'[1]phenotypes-895'!$A$2:$I$896,9,FALSE)</f>
        <v>0</v>
      </c>
      <c r="J40" s="1"/>
      <c r="K40" s="4">
        <v>0</v>
      </c>
      <c r="L40" s="1"/>
      <c r="M40" s="8">
        <v>0</v>
      </c>
      <c r="N40" s="1"/>
      <c r="O40">
        <v>0.78400000000000003</v>
      </c>
      <c r="P40" s="1"/>
      <c r="Q40" s="2">
        <v>-0.08</v>
      </c>
    </row>
    <row r="41" spans="1:17" x14ac:dyDescent="0.2">
      <c r="A41">
        <v>804</v>
      </c>
      <c r="B41">
        <v>53</v>
      </c>
      <c r="C41" t="s">
        <v>803</v>
      </c>
      <c r="D41" s="13" t="s">
        <v>912</v>
      </c>
      <c r="E41" s="1">
        <v>5.2974680847822198</v>
      </c>
      <c r="F41" s="1">
        <v>6.4797879104081701</v>
      </c>
      <c r="G41">
        <f>VLOOKUP(C41,'[1]phenotypes-895'!$A$2:$G$896,7,FALSE)</f>
        <v>98</v>
      </c>
      <c r="H41" s="1">
        <v>-0.101071310228446</v>
      </c>
      <c r="I41" s="1">
        <f>VLOOKUP(C41,'[1]phenotypes-895'!$A$2:$I$896,9,FALSE)</f>
        <v>4.2236806188418387E-2</v>
      </c>
      <c r="J41" s="1"/>
      <c r="K41" s="4">
        <v>2.7451137361036109</v>
      </c>
      <c r="L41" s="1"/>
      <c r="M41" s="8">
        <v>1</v>
      </c>
      <c r="N41" s="1"/>
      <c r="O41">
        <v>0.46899999999999997</v>
      </c>
      <c r="P41" s="1"/>
      <c r="Q41" s="2">
        <v>-0.26</v>
      </c>
    </row>
    <row r="42" spans="1:17" x14ac:dyDescent="0.2">
      <c r="A42">
        <v>692</v>
      </c>
      <c r="B42">
        <v>37</v>
      </c>
      <c r="C42" t="s">
        <v>691</v>
      </c>
      <c r="D42" s="13" t="s">
        <v>913</v>
      </c>
      <c r="E42" s="1">
        <v>4.6059650274209503</v>
      </c>
      <c r="F42" s="1">
        <v>6.4448045434425598</v>
      </c>
      <c r="G42">
        <f>VLOOKUP(C42,'[1]phenotypes-895'!$A$2:$G$896,7,FALSE)</f>
        <v>98</v>
      </c>
      <c r="H42" s="1">
        <v>-7.0644820942644806E-2</v>
      </c>
      <c r="I42" s="1">
        <f>VLOOKUP(C42,'[1]phenotypes-895'!$A$2:$I$896,9,FALSE)</f>
        <v>0</v>
      </c>
      <c r="J42" s="1"/>
      <c r="K42" s="4">
        <v>0</v>
      </c>
      <c r="L42" s="1"/>
      <c r="M42" s="8">
        <v>0</v>
      </c>
      <c r="N42" s="1"/>
      <c r="O42">
        <v>1.337</v>
      </c>
      <c r="P42" s="1"/>
      <c r="Q42" s="2">
        <v>0.09</v>
      </c>
    </row>
    <row r="43" spans="1:17" x14ac:dyDescent="0.2">
      <c r="A43">
        <v>603</v>
      </c>
      <c r="B43">
        <v>34</v>
      </c>
      <c r="C43" t="s">
        <v>602</v>
      </c>
      <c r="D43" s="13" t="s">
        <v>913</v>
      </c>
      <c r="E43" s="1">
        <v>4.6386538353012403</v>
      </c>
      <c r="F43" s="1">
        <v>6.4192772143555201</v>
      </c>
      <c r="G43">
        <f>VLOOKUP(C43,'[1]phenotypes-895'!$A$2:$G$896,7,FALSE)</f>
        <v>98</v>
      </c>
      <c r="H43" s="1">
        <v>-9.9476672125273294E-2</v>
      </c>
      <c r="I43" s="1">
        <f>VLOOKUP(C43,'[1]phenotypes-895'!$A$2:$I$896,9,FALSE)</f>
        <v>0</v>
      </c>
      <c r="J43" s="1"/>
      <c r="K43" s="4">
        <v>0</v>
      </c>
      <c r="L43" s="1"/>
      <c r="M43" s="8">
        <v>0</v>
      </c>
      <c r="N43" s="1"/>
      <c r="O43">
        <v>1.0840000000000001</v>
      </c>
      <c r="P43" s="1"/>
      <c r="Q43" s="2">
        <v>0.02</v>
      </c>
    </row>
    <row r="44" spans="1:17" x14ac:dyDescent="0.2">
      <c r="A44">
        <v>429</v>
      </c>
      <c r="B44">
        <v>50</v>
      </c>
      <c r="C44" t="s">
        <v>428</v>
      </c>
      <c r="D44" s="13" t="s">
        <v>912</v>
      </c>
      <c r="E44" s="1">
        <v>4.0624680563467601</v>
      </c>
      <c r="F44" s="1">
        <v>6.3952503947185697</v>
      </c>
      <c r="G44">
        <f>VLOOKUP(C44,'[1]phenotypes-895'!$A$2:$G$896,7,FALSE)</f>
        <v>98</v>
      </c>
      <c r="H44" s="1">
        <v>-5.8061684881145902E-2</v>
      </c>
      <c r="I44" s="1">
        <f>VLOOKUP(C44,'[1]phenotypes-895'!$A$2:$I$896,9,FALSE)</f>
        <v>0</v>
      </c>
      <c r="J44" s="1"/>
      <c r="K44" s="4">
        <v>0</v>
      </c>
      <c r="L44" s="1"/>
      <c r="M44" s="8">
        <v>0</v>
      </c>
      <c r="N44" s="1"/>
      <c r="O44">
        <v>0.73199999999999998</v>
      </c>
      <c r="P44" s="1"/>
      <c r="Q44" s="2">
        <v>-0.1</v>
      </c>
    </row>
    <row r="45" spans="1:17" x14ac:dyDescent="0.2">
      <c r="A45">
        <v>510</v>
      </c>
      <c r="B45">
        <v>49</v>
      </c>
      <c r="C45" t="s">
        <v>509</v>
      </c>
      <c r="D45" s="13" t="s">
        <v>912</v>
      </c>
      <c r="E45" s="1">
        <v>4.5531704751623696</v>
      </c>
      <c r="F45" s="1">
        <v>6.3950130270424497</v>
      </c>
      <c r="G45">
        <f>VLOOKUP(C45,'[1]phenotypes-895'!$A$2:$G$896,7,FALSE)</f>
        <v>98</v>
      </c>
      <c r="H45" s="1">
        <v>-8.6542012265874005E-2</v>
      </c>
      <c r="I45" s="1">
        <f>VLOOKUP(C45,'[1]phenotypes-895'!$A$2:$I$896,9,FALSE)</f>
        <v>0</v>
      </c>
      <c r="J45" s="1"/>
      <c r="K45" s="4">
        <v>0</v>
      </c>
      <c r="L45" s="1"/>
      <c r="M45" s="8">
        <v>0</v>
      </c>
      <c r="N45" s="1"/>
      <c r="O45">
        <v>0.872</v>
      </c>
      <c r="P45" s="1"/>
      <c r="Q45" s="2">
        <v>-0.04</v>
      </c>
    </row>
    <row r="46" spans="1:17" x14ac:dyDescent="0.2">
      <c r="A46">
        <v>365</v>
      </c>
      <c r="B46">
        <v>50</v>
      </c>
      <c r="C46" t="s">
        <v>364</v>
      </c>
      <c r="D46" s="13" t="s">
        <v>912</v>
      </c>
      <c r="E46" s="1">
        <v>7.0480213906095797</v>
      </c>
      <c r="F46" s="1">
        <v>6.3365057564751002</v>
      </c>
      <c r="G46">
        <f>VLOOKUP(C46,'[1]phenotypes-895'!$A$2:$G$896,7,FALSE)</f>
        <v>98</v>
      </c>
      <c r="H46" s="1">
        <v>-8.4745446989068204E-2</v>
      </c>
      <c r="I46" s="1">
        <f>VLOOKUP(C46,'[1]phenotypes-895'!$A$2:$I$896,9,FALSE)</f>
        <v>0</v>
      </c>
      <c r="J46" s="1"/>
      <c r="K46" s="4">
        <v>0</v>
      </c>
      <c r="L46" s="1"/>
      <c r="M46" s="8">
        <v>0</v>
      </c>
      <c r="N46" s="1"/>
      <c r="O46">
        <v>0.47699999999999998</v>
      </c>
      <c r="P46" s="1"/>
      <c r="Q46" s="2">
        <v>-0.25</v>
      </c>
    </row>
    <row r="47" spans="1:17" x14ac:dyDescent="0.2">
      <c r="A47">
        <v>712</v>
      </c>
      <c r="B47">
        <v>50</v>
      </c>
      <c r="C47" t="s">
        <v>711</v>
      </c>
      <c r="D47" s="13" t="s">
        <v>912</v>
      </c>
      <c r="E47" s="1">
        <v>2.8832087021974901</v>
      </c>
      <c r="F47" s="1">
        <v>6.2473285402154</v>
      </c>
      <c r="G47">
        <f>VLOOKUP(C47,'[1]phenotypes-895'!$A$2:$G$896,7,FALSE)</f>
        <v>98</v>
      </c>
      <c r="H47" s="1">
        <v>-2.5191051018814199E-2</v>
      </c>
      <c r="I47" s="1">
        <f>VLOOKUP(C47,'[1]phenotypes-895'!$A$2:$I$896,9,FALSE)</f>
        <v>0.37458600801382691</v>
      </c>
      <c r="J47" s="1"/>
      <c r="K47" s="4">
        <v>4.7526394369881739</v>
      </c>
      <c r="L47" s="1"/>
      <c r="M47" s="8">
        <v>1</v>
      </c>
      <c r="N47" s="1"/>
      <c r="O47">
        <v>0.77400000000000002</v>
      </c>
      <c r="P47" s="1"/>
      <c r="Q47" s="2">
        <v>-0.08</v>
      </c>
    </row>
    <row r="48" spans="1:17" x14ac:dyDescent="0.2">
      <c r="A48">
        <v>573</v>
      </c>
      <c r="B48">
        <v>45</v>
      </c>
      <c r="C48" t="s">
        <v>572</v>
      </c>
      <c r="D48" s="13" t="s">
        <v>912</v>
      </c>
      <c r="E48" s="1">
        <v>3.8213209038812699</v>
      </c>
      <c r="F48" s="1">
        <v>6.2209696562644101</v>
      </c>
      <c r="G48">
        <f>VLOOKUP(C48,'[1]phenotypes-895'!$A$2:$G$896,7,FALSE)</f>
        <v>98</v>
      </c>
      <c r="H48" s="1">
        <v>-8.9066349320090804E-2</v>
      </c>
      <c r="I48" s="1">
        <f>VLOOKUP(C48,'[1]phenotypes-895'!$A$2:$I$896,9,FALSE)</f>
        <v>0</v>
      </c>
      <c r="J48" s="1"/>
      <c r="K48" s="4">
        <v>0</v>
      </c>
      <c r="L48" s="1"/>
      <c r="M48" s="8">
        <v>0</v>
      </c>
      <c r="N48" s="1"/>
      <c r="O48">
        <v>0.78800000000000003</v>
      </c>
      <c r="P48" s="1"/>
      <c r="Q48" s="2">
        <v>-0.08</v>
      </c>
    </row>
    <row r="49" spans="1:17" x14ac:dyDescent="0.2">
      <c r="A49">
        <v>644</v>
      </c>
      <c r="B49">
        <v>26</v>
      </c>
      <c r="C49" t="s">
        <v>643</v>
      </c>
      <c r="D49" s="13" t="s">
        <v>913</v>
      </c>
      <c r="E49" s="1">
        <v>7.3365452501364503</v>
      </c>
      <c r="F49" s="1">
        <v>6.2052655922406403</v>
      </c>
      <c r="G49">
        <f>VLOOKUP(C49,'[1]phenotypes-895'!$A$2:$G$896,7,FALSE)</f>
        <v>98</v>
      </c>
      <c r="H49" s="1">
        <v>-0.124183937478182</v>
      </c>
      <c r="I49" s="1">
        <f>VLOOKUP(C49,'[1]phenotypes-895'!$A$2:$I$896,9,FALSE)</f>
        <v>0</v>
      </c>
      <c r="J49" s="1"/>
      <c r="K49" s="4">
        <v>0</v>
      </c>
      <c r="L49" s="1"/>
      <c r="M49" s="8">
        <v>0</v>
      </c>
      <c r="N49" s="1"/>
      <c r="O49">
        <v>1.351</v>
      </c>
      <c r="P49" s="1"/>
      <c r="Q49" s="2">
        <v>0.09</v>
      </c>
    </row>
    <row r="50" spans="1:17" x14ac:dyDescent="0.2">
      <c r="A50">
        <v>885</v>
      </c>
      <c r="B50">
        <v>22</v>
      </c>
      <c r="C50" t="s">
        <v>884</v>
      </c>
      <c r="D50" s="13" t="s">
        <v>913</v>
      </c>
      <c r="E50" s="1">
        <v>4.54626595827441</v>
      </c>
      <c r="F50" s="1">
        <v>6.1340644723576796</v>
      </c>
      <c r="G50">
        <f>VLOOKUP(C50,'[1]phenotypes-895'!$A$2:$G$896,7,FALSE)</f>
        <v>98</v>
      </c>
      <c r="H50" s="1">
        <v>-5.1720206818552598E-2</v>
      </c>
      <c r="I50" s="1">
        <f>VLOOKUP(C50,'[1]phenotypes-895'!$A$2:$I$896,9,FALSE)</f>
        <v>0.26424293954166711</v>
      </c>
      <c r="J50" s="1"/>
      <c r="K50" s="4">
        <v>4.538023293544863</v>
      </c>
      <c r="L50" s="1"/>
      <c r="M50" s="8">
        <v>1</v>
      </c>
      <c r="N50" s="1"/>
      <c r="O50">
        <v>1.19</v>
      </c>
      <c r="P50" s="1"/>
      <c r="Q50" s="2">
        <v>0.05</v>
      </c>
    </row>
    <row r="51" spans="1:17" x14ac:dyDescent="0.2">
      <c r="A51">
        <v>409</v>
      </c>
      <c r="B51">
        <v>51</v>
      </c>
      <c r="C51" t="s">
        <v>408</v>
      </c>
      <c r="D51" s="13" t="s">
        <v>912</v>
      </c>
      <c r="E51" s="1">
        <v>6.0006079125526401</v>
      </c>
      <c r="F51" s="1">
        <v>6.1285661197806798</v>
      </c>
      <c r="G51">
        <f>VLOOKUP(C51,'[1]phenotypes-895'!$A$2:$G$896,7,FALSE)</f>
        <v>98</v>
      </c>
      <c r="H51" s="1">
        <v>-9.3450735769936302E-2</v>
      </c>
      <c r="I51" s="1">
        <f>VLOOKUP(C51,'[1]phenotypes-895'!$A$2:$I$896,9,FALSE)</f>
        <v>0</v>
      </c>
      <c r="J51" s="1"/>
      <c r="K51" s="4">
        <v>0</v>
      </c>
      <c r="L51" s="1"/>
      <c r="M51" s="8">
        <v>0</v>
      </c>
      <c r="N51" s="1"/>
      <c r="O51">
        <v>0.998</v>
      </c>
      <c r="P51" s="1"/>
      <c r="Q51" s="2">
        <v>0</v>
      </c>
    </row>
    <row r="52" spans="1:17" x14ac:dyDescent="0.2">
      <c r="A52">
        <v>774</v>
      </c>
      <c r="B52">
        <v>26</v>
      </c>
      <c r="C52" t="s">
        <v>773</v>
      </c>
      <c r="D52" s="13" t="s">
        <v>913</v>
      </c>
      <c r="E52" s="1">
        <v>6.5640084206432396</v>
      </c>
      <c r="F52" s="1">
        <v>6.1212769634794197</v>
      </c>
      <c r="G52">
        <f>VLOOKUP(C52,'[1]phenotypes-895'!$A$2:$G$896,7,FALSE)</f>
        <v>98</v>
      </c>
      <c r="H52" s="1">
        <v>-7.8714798603393005E-2</v>
      </c>
      <c r="I52" s="1">
        <f>VLOOKUP(C52,'[1]phenotypes-895'!$A$2:$I$896,9,FALSE)</f>
        <v>0</v>
      </c>
      <c r="J52" s="1"/>
      <c r="K52" s="4">
        <v>0</v>
      </c>
      <c r="L52" s="1"/>
      <c r="M52" s="8">
        <v>0</v>
      </c>
      <c r="N52" s="1"/>
      <c r="O52">
        <v>1.262</v>
      </c>
      <c r="P52" s="1"/>
      <c r="Q52" s="2">
        <v>7.0000000000000007E-2</v>
      </c>
    </row>
    <row r="53" spans="1:17" x14ac:dyDescent="0.2">
      <c r="A53">
        <v>378</v>
      </c>
      <c r="B53">
        <v>50</v>
      </c>
      <c r="C53" t="s">
        <v>377</v>
      </c>
      <c r="D53" s="13" t="s">
        <v>912</v>
      </c>
      <c r="E53" s="1">
        <v>3.5806071029691799</v>
      </c>
      <c r="F53" s="1">
        <v>6.09821731722558</v>
      </c>
      <c r="G53">
        <f>VLOOKUP(C53,'[1]phenotypes-895'!$A$2:$G$896,7,FALSE)</f>
        <v>98</v>
      </c>
      <c r="H53" s="1">
        <v>-7.0887114452248004E-2</v>
      </c>
      <c r="I53" s="1">
        <f>VLOOKUP(C53,'[1]phenotypes-895'!$A$2:$I$896,9,FALSE)</f>
        <v>0</v>
      </c>
      <c r="J53" s="1"/>
      <c r="K53" s="4">
        <v>0</v>
      </c>
      <c r="L53" s="1"/>
      <c r="M53" s="8">
        <v>0</v>
      </c>
      <c r="N53" s="1"/>
      <c r="O53">
        <v>0.72299999999999998</v>
      </c>
      <c r="P53" s="1"/>
      <c r="Q53" s="2">
        <v>-0.11</v>
      </c>
    </row>
    <row r="54" spans="1:17" x14ac:dyDescent="0.2">
      <c r="A54">
        <v>600</v>
      </c>
      <c r="B54">
        <v>36</v>
      </c>
      <c r="C54" t="s">
        <v>599</v>
      </c>
      <c r="D54" s="13" t="s">
        <v>913</v>
      </c>
      <c r="E54" s="1">
        <v>5.1137716625826304</v>
      </c>
      <c r="F54" s="1">
        <v>6.0777076736721698</v>
      </c>
      <c r="G54">
        <f>VLOOKUP(C54,'[1]phenotypes-895'!$A$2:$G$896,7,FALSE)</f>
        <v>76</v>
      </c>
      <c r="H54" s="1">
        <v>-9.7403903787869395E-2</v>
      </c>
      <c r="I54" s="1">
        <f>VLOOKUP(C54,'[1]phenotypes-895'!$A$2:$I$896,9,FALSE)</f>
        <v>0.47977647605070728</v>
      </c>
      <c r="J54" s="1"/>
      <c r="K54" s="4">
        <v>4.0383620224375321</v>
      </c>
      <c r="L54" s="1"/>
      <c r="M54" s="8">
        <v>1</v>
      </c>
      <c r="N54" s="1"/>
      <c r="O54">
        <v>1.2090000000000001</v>
      </c>
      <c r="P54" s="1"/>
      <c r="Q54" s="2">
        <v>0.06</v>
      </c>
    </row>
    <row r="55" spans="1:17" x14ac:dyDescent="0.2">
      <c r="A55">
        <v>412</v>
      </c>
      <c r="B55">
        <v>53</v>
      </c>
      <c r="C55" t="s">
        <v>411</v>
      </c>
      <c r="D55" s="13" t="s">
        <v>912</v>
      </c>
      <c r="E55" s="1">
        <v>5.8998151541066797</v>
      </c>
      <c r="F55" s="1">
        <v>6.0730468547740299</v>
      </c>
      <c r="G55">
        <f>VLOOKUP(C55,'[1]phenotypes-895'!$A$2:$G$896,7,FALSE)</f>
        <v>98</v>
      </c>
      <c r="H55" s="1">
        <v>-0.115707518041212</v>
      </c>
      <c r="I55" s="1">
        <f>VLOOKUP(C55,'[1]phenotypes-895'!$A$2:$I$896,9,FALSE)</f>
        <v>0</v>
      </c>
      <c r="J55" s="1"/>
      <c r="K55" s="4">
        <v>0</v>
      </c>
      <c r="L55" s="1"/>
      <c r="M55" s="8">
        <v>0</v>
      </c>
      <c r="N55" s="1"/>
      <c r="O55">
        <v>0.56999999999999995</v>
      </c>
      <c r="P55" s="1"/>
      <c r="Q55" s="2">
        <v>-0.19</v>
      </c>
    </row>
    <row r="56" spans="1:17" x14ac:dyDescent="0.2">
      <c r="A56">
        <v>380</v>
      </c>
      <c r="B56">
        <v>36</v>
      </c>
      <c r="C56" t="s">
        <v>379</v>
      </c>
      <c r="D56" s="13" t="s">
        <v>913</v>
      </c>
      <c r="E56" s="1">
        <v>4.6360127043599997</v>
      </c>
      <c r="F56" s="1">
        <v>6.0021842037984898</v>
      </c>
      <c r="G56">
        <f>VLOOKUP(C56,'[1]phenotypes-895'!$A$2:$G$896,7,FALSE)</f>
        <v>98</v>
      </c>
      <c r="H56" s="1">
        <v>-6.9004851757433205E-2</v>
      </c>
      <c r="I56" s="1">
        <f>VLOOKUP(C56,'[1]phenotypes-895'!$A$2:$I$896,9,FALSE)</f>
        <v>0</v>
      </c>
      <c r="J56" s="1"/>
      <c r="K56" s="4">
        <v>0</v>
      </c>
      <c r="L56" s="1"/>
      <c r="M56" s="8">
        <v>0</v>
      </c>
      <c r="N56" s="1"/>
      <c r="O56">
        <v>1.369</v>
      </c>
      <c r="P56" s="1"/>
      <c r="Q56" s="2">
        <v>0.1</v>
      </c>
    </row>
    <row r="57" spans="1:17" x14ac:dyDescent="0.2">
      <c r="A57">
        <v>373</v>
      </c>
      <c r="B57">
        <v>50</v>
      </c>
      <c r="C57" t="s">
        <v>372</v>
      </c>
      <c r="D57" s="13" t="s">
        <v>912</v>
      </c>
      <c r="E57" s="1">
        <v>4.2155241860900601</v>
      </c>
      <c r="F57" s="1">
        <v>5.9828552755867896</v>
      </c>
      <c r="G57">
        <f>VLOOKUP(C57,'[1]phenotypes-895'!$A$2:$G$896,7,FALSE)</f>
        <v>98</v>
      </c>
      <c r="H57" s="1">
        <v>-7.3835497407013007E-2</v>
      </c>
      <c r="I57" s="1">
        <f>VLOOKUP(C57,'[1]phenotypes-895'!$A$2:$I$896,9,FALSE)</f>
        <v>0</v>
      </c>
      <c r="J57" s="1"/>
      <c r="K57" s="4">
        <v>0</v>
      </c>
      <c r="L57" s="1"/>
      <c r="M57" s="8">
        <v>0</v>
      </c>
      <c r="N57" s="1"/>
      <c r="O57">
        <v>0.63200000000000001</v>
      </c>
      <c r="P57" s="1"/>
      <c r="Q57" s="2">
        <v>-0.15</v>
      </c>
    </row>
    <row r="58" spans="1:17" x14ac:dyDescent="0.2">
      <c r="A58">
        <v>480</v>
      </c>
      <c r="B58">
        <v>53</v>
      </c>
      <c r="C58" t="s">
        <v>479</v>
      </c>
      <c r="D58" s="13" t="s">
        <v>912</v>
      </c>
      <c r="E58" s="1">
        <v>5.8678976888934304</v>
      </c>
      <c r="F58" s="1">
        <v>5.9590126125409704</v>
      </c>
      <c r="G58">
        <f>VLOOKUP(C58,'[1]phenotypes-895'!$A$2:$G$896,7,FALSE)</f>
        <v>98</v>
      </c>
      <c r="H58" s="1">
        <v>-0.112302428084515</v>
      </c>
      <c r="I58" s="1">
        <f>VLOOKUP(C58,'[1]phenotypes-895'!$A$2:$I$896,9,FALSE)</f>
        <v>0</v>
      </c>
      <c r="J58" s="1"/>
      <c r="K58" s="4">
        <v>0</v>
      </c>
      <c r="L58" s="1"/>
      <c r="M58" s="8">
        <v>0</v>
      </c>
      <c r="N58" s="1"/>
      <c r="O58">
        <v>0.629</v>
      </c>
      <c r="P58" s="1"/>
      <c r="Q58" s="2">
        <v>-0.15</v>
      </c>
    </row>
    <row r="59" spans="1:17" x14ac:dyDescent="0.2">
      <c r="A59">
        <v>842</v>
      </c>
      <c r="B59">
        <v>37</v>
      </c>
      <c r="C59" t="s">
        <v>841</v>
      </c>
      <c r="D59" s="13" t="s">
        <v>913</v>
      </c>
      <c r="E59" s="1">
        <v>6.39161436906749</v>
      </c>
      <c r="F59" s="1">
        <v>5.9491441355691501</v>
      </c>
      <c r="G59">
        <f>VLOOKUP(C59,'[1]phenotypes-895'!$A$2:$G$896,7,FALSE)</f>
        <v>98</v>
      </c>
      <c r="H59" s="1">
        <v>-5.3051746310897603E-2</v>
      </c>
      <c r="I59" s="1">
        <f>VLOOKUP(C59,'[1]phenotypes-895'!$A$2:$I$896,9,FALSE)</f>
        <v>0.18957451027481351</v>
      </c>
      <c r="J59" s="1"/>
      <c r="K59" s="4">
        <v>2.8830711858830314</v>
      </c>
      <c r="L59" s="1"/>
      <c r="M59" s="8">
        <v>1</v>
      </c>
      <c r="N59" s="1"/>
      <c r="O59">
        <v>1.3169999999999999</v>
      </c>
      <c r="P59" s="1"/>
      <c r="Q59" s="2">
        <v>0.09</v>
      </c>
    </row>
    <row r="60" spans="1:17" x14ac:dyDescent="0.2">
      <c r="A60">
        <v>757</v>
      </c>
      <c r="B60">
        <v>35</v>
      </c>
      <c r="C60" t="s">
        <v>756</v>
      </c>
      <c r="D60" s="13" t="s">
        <v>913</v>
      </c>
      <c r="E60" s="1">
        <v>5.2613404368236303</v>
      </c>
      <c r="F60" s="1">
        <v>5.9459116229045001</v>
      </c>
      <c r="G60">
        <f>VLOOKUP(C60,'[1]phenotypes-895'!$A$2:$G$896,7,FALSE)</f>
        <v>98</v>
      </c>
      <c r="H60" s="1">
        <v>-0.14156710978304901</v>
      </c>
      <c r="I60" s="1">
        <f>VLOOKUP(C60,'[1]phenotypes-895'!$A$2:$I$896,9,FALSE)</f>
        <v>0</v>
      </c>
      <c r="J60" s="1"/>
      <c r="K60" s="4">
        <v>0</v>
      </c>
      <c r="L60" s="1"/>
      <c r="M60" s="8">
        <v>0</v>
      </c>
      <c r="N60" s="1"/>
      <c r="O60">
        <v>0.96499999999999997</v>
      </c>
      <c r="P60" s="1"/>
      <c r="Q60" s="2">
        <v>-0.01</v>
      </c>
    </row>
    <row r="61" spans="1:17" x14ac:dyDescent="0.2">
      <c r="A61">
        <v>570</v>
      </c>
      <c r="B61">
        <v>33</v>
      </c>
      <c r="C61" t="s">
        <v>569</v>
      </c>
      <c r="D61" s="13" t="s">
        <v>913</v>
      </c>
      <c r="E61" s="1">
        <v>5.78309201182637</v>
      </c>
      <c r="F61" s="1">
        <v>5.9221783754397803</v>
      </c>
      <c r="G61">
        <f>VLOOKUP(C61,'[1]phenotypes-895'!$A$2:$G$896,7,FALSE)</f>
        <v>98</v>
      </c>
      <c r="H61" s="1">
        <v>-0.131735127935867</v>
      </c>
      <c r="I61" s="1">
        <f>VLOOKUP(C61,'[1]phenotypes-895'!$A$2:$I$896,9,FALSE)</f>
        <v>0.19704759675619429</v>
      </c>
      <c r="J61" s="1"/>
      <c r="K61" s="4">
        <v>3.4731605587706613</v>
      </c>
      <c r="L61" s="1"/>
      <c r="M61" s="8">
        <v>1</v>
      </c>
      <c r="N61" s="1"/>
      <c r="O61">
        <v>1.3169999999999999</v>
      </c>
      <c r="P61" s="1"/>
      <c r="Q61" s="2">
        <v>0.08</v>
      </c>
    </row>
    <row r="62" spans="1:17" x14ac:dyDescent="0.2">
      <c r="A62">
        <v>669</v>
      </c>
      <c r="B62">
        <v>50</v>
      </c>
      <c r="C62" t="s">
        <v>668</v>
      </c>
      <c r="D62" s="13" t="s">
        <v>912</v>
      </c>
      <c r="E62" s="1">
        <v>2.65812349702763</v>
      </c>
      <c r="F62" s="1">
        <v>5.8688963462004198</v>
      </c>
      <c r="G62">
        <f>VLOOKUP(C62,'[1]phenotypes-895'!$A$2:$G$896,7,FALSE)</f>
        <v>98</v>
      </c>
      <c r="H62" s="1">
        <v>-5.9766466188914402E-2</v>
      </c>
      <c r="I62" s="1">
        <f>VLOOKUP(C62,'[1]phenotypes-895'!$A$2:$I$896,9,FALSE)</f>
        <v>0</v>
      </c>
      <c r="J62" s="1"/>
      <c r="K62" s="4">
        <v>0</v>
      </c>
      <c r="L62" s="1"/>
      <c r="M62" s="8">
        <v>0</v>
      </c>
      <c r="N62" s="1"/>
      <c r="O62">
        <v>0.54900000000000004</v>
      </c>
      <c r="P62" s="1"/>
      <c r="Q62" s="2">
        <v>-0.2</v>
      </c>
    </row>
    <row r="63" spans="1:17" x14ac:dyDescent="0.2">
      <c r="A63">
        <v>826</v>
      </c>
      <c r="B63">
        <v>49</v>
      </c>
      <c r="C63" t="s">
        <v>825</v>
      </c>
      <c r="D63" s="13" t="s">
        <v>912</v>
      </c>
      <c r="E63" s="1">
        <v>4.0905006010057701</v>
      </c>
      <c r="F63" s="1">
        <v>5.8606530529788703</v>
      </c>
      <c r="G63">
        <f>VLOOKUP(C63,'[1]phenotypes-895'!$A$2:$G$896,7,FALSE)</f>
        <v>98</v>
      </c>
      <c r="H63" s="1">
        <v>-5.2704861295896799E-2</v>
      </c>
      <c r="I63" s="1">
        <f>VLOOKUP(C63,'[1]phenotypes-895'!$A$2:$I$896,9,FALSE)</f>
        <v>0.30714170007208802</v>
      </c>
      <c r="J63" s="1"/>
      <c r="K63" s="4">
        <v>4.6822432727701679</v>
      </c>
      <c r="L63" s="1"/>
      <c r="M63" s="8">
        <v>1</v>
      </c>
      <c r="N63" s="1"/>
      <c r="O63">
        <v>0.59899999999999998</v>
      </c>
      <c r="P63" s="1"/>
      <c r="Q63" s="2">
        <v>-0.17</v>
      </c>
    </row>
    <row r="64" spans="1:17" x14ac:dyDescent="0.2">
      <c r="A64">
        <v>736</v>
      </c>
      <c r="B64">
        <v>29</v>
      </c>
      <c r="C64" t="s">
        <v>735</v>
      </c>
      <c r="D64" s="13" t="s">
        <v>913</v>
      </c>
      <c r="E64" s="1">
        <v>3.8349441234017001</v>
      </c>
      <c r="F64" s="1">
        <v>5.8576964331179404</v>
      </c>
      <c r="G64">
        <f>VLOOKUP(C64,'[1]phenotypes-895'!$A$2:$G$896,7,FALSE)</f>
        <v>98</v>
      </c>
      <c r="H64" s="1">
        <v>-8.21962847837093E-2</v>
      </c>
      <c r="I64" s="1">
        <f>VLOOKUP(C64,'[1]phenotypes-895'!$A$2:$I$896,9,FALSE)</f>
        <v>0</v>
      </c>
      <c r="J64" s="1"/>
      <c r="K64" s="4">
        <v>0</v>
      </c>
      <c r="L64" s="1"/>
      <c r="M64" s="8">
        <v>0</v>
      </c>
      <c r="N64" s="1"/>
      <c r="O64">
        <v>1.169</v>
      </c>
      <c r="P64" s="1"/>
      <c r="Q64" s="2">
        <v>0.05</v>
      </c>
    </row>
    <row r="65" spans="1:17" x14ac:dyDescent="0.2">
      <c r="A65">
        <v>161</v>
      </c>
      <c r="B65">
        <v>27</v>
      </c>
      <c r="C65" t="s">
        <v>160</v>
      </c>
      <c r="D65" s="13" t="s">
        <v>913</v>
      </c>
      <c r="E65" s="1">
        <v>6.5438548155164202</v>
      </c>
      <c r="F65" s="1">
        <v>5.8434013550124497</v>
      </c>
      <c r="G65">
        <f>VLOOKUP(C65,'[1]phenotypes-895'!$A$2:$G$896,7,FALSE)</f>
        <v>70</v>
      </c>
      <c r="H65" s="1">
        <v>-0.107682320894929</v>
      </c>
      <c r="I65" s="1">
        <f>VLOOKUP(C65,'[1]phenotypes-895'!$A$2:$I$896,9,FALSE)</f>
        <v>0.33647397106245619</v>
      </c>
      <c r="J65" s="1"/>
      <c r="K65" s="4">
        <v>3.7090313382387761</v>
      </c>
      <c r="L65" s="1"/>
      <c r="M65" s="8">
        <v>1</v>
      </c>
      <c r="N65" s="1"/>
      <c r="O65">
        <v>1.1819999999999999</v>
      </c>
      <c r="P65" s="1"/>
      <c r="Q65" s="2">
        <v>0.05</v>
      </c>
    </row>
    <row r="66" spans="1:17" x14ac:dyDescent="0.2">
      <c r="A66">
        <v>671</v>
      </c>
      <c r="B66">
        <v>22</v>
      </c>
      <c r="C66" t="s">
        <v>670</v>
      </c>
      <c r="D66" s="13" t="s">
        <v>913</v>
      </c>
      <c r="E66" s="1">
        <v>5.5653907046646696</v>
      </c>
      <c r="F66" s="1">
        <v>5.7746902113398502</v>
      </c>
      <c r="G66">
        <f>VLOOKUP(C66,'[1]phenotypes-895'!$A$2:$G$896,7,FALSE)</f>
        <v>98</v>
      </c>
      <c r="H66" s="1">
        <v>-7.6796483321424899E-2</v>
      </c>
      <c r="I66" s="1">
        <f>VLOOKUP(C66,'[1]phenotypes-895'!$A$2:$I$896,9,FALSE)</f>
        <v>0</v>
      </c>
      <c r="J66" s="1"/>
      <c r="K66" s="4">
        <v>0</v>
      </c>
      <c r="L66" s="1"/>
      <c r="M66" s="8">
        <v>0</v>
      </c>
      <c r="N66" s="1"/>
      <c r="O66">
        <v>1.1879999999999999</v>
      </c>
      <c r="P66" s="1"/>
      <c r="Q66" s="2">
        <v>0.05</v>
      </c>
    </row>
    <row r="67" spans="1:17" x14ac:dyDescent="0.2">
      <c r="A67">
        <v>269</v>
      </c>
      <c r="B67">
        <v>50</v>
      </c>
      <c r="C67" t="s">
        <v>268</v>
      </c>
      <c r="D67" s="13" t="s">
        <v>912</v>
      </c>
      <c r="E67" s="1">
        <v>3.21151158722992</v>
      </c>
      <c r="F67" s="1">
        <v>5.7388285820816503</v>
      </c>
      <c r="G67">
        <f>VLOOKUP(C67,'[1]phenotypes-895'!$A$2:$G$896,7,FALSE)</f>
        <v>76</v>
      </c>
      <c r="H67" s="1">
        <v>-3.9651058530180597E-2</v>
      </c>
      <c r="I67" s="1">
        <f>VLOOKUP(C67,'[1]phenotypes-895'!$A$2:$I$896,9,FALSE)</f>
        <v>0.29095147118619358</v>
      </c>
      <c r="J67" s="1"/>
      <c r="K67" s="4">
        <v>3.8364746071632414</v>
      </c>
      <c r="L67" s="1"/>
      <c r="M67" s="8">
        <v>1</v>
      </c>
      <c r="N67" s="1"/>
      <c r="O67">
        <v>0.53900000000000003</v>
      </c>
      <c r="P67" s="1"/>
      <c r="Q67" s="2">
        <v>-0.21</v>
      </c>
    </row>
    <row r="68" spans="1:17" x14ac:dyDescent="0.2">
      <c r="A68">
        <v>733</v>
      </c>
      <c r="B68">
        <v>39</v>
      </c>
      <c r="C68" t="s">
        <v>732</v>
      </c>
      <c r="D68" s="13" t="s">
        <v>913</v>
      </c>
      <c r="E68" s="1">
        <v>5.6628072377420899</v>
      </c>
      <c r="F68" s="1">
        <v>5.7366738786606302</v>
      </c>
      <c r="G68">
        <f>VLOOKUP(C68,'[1]phenotypes-895'!$A$2:$G$896,7,FALSE)</f>
        <v>98</v>
      </c>
      <c r="H68" s="1">
        <v>-4.9183988968420203E-2</v>
      </c>
      <c r="I68" s="1">
        <f>VLOOKUP(C68,'[1]phenotypes-895'!$A$2:$I$896,9,FALSE)</f>
        <v>0.38464015625292108</v>
      </c>
      <c r="J68" s="1"/>
      <c r="K68" s="4">
        <v>4.6098101713900164</v>
      </c>
      <c r="L68" s="1"/>
      <c r="M68" s="8">
        <v>1</v>
      </c>
      <c r="N68" s="1"/>
      <c r="O68">
        <v>1.071</v>
      </c>
      <c r="P68" s="1"/>
      <c r="Q68" s="2">
        <v>0.02</v>
      </c>
    </row>
    <row r="69" spans="1:17" x14ac:dyDescent="0.2">
      <c r="A69">
        <v>348</v>
      </c>
      <c r="B69">
        <v>36</v>
      </c>
      <c r="C69" t="s">
        <v>347</v>
      </c>
      <c r="D69" s="13" t="s">
        <v>913</v>
      </c>
      <c r="E69" s="1">
        <v>4.5118218275171502</v>
      </c>
      <c r="F69" s="1">
        <v>5.6663027961698296</v>
      </c>
      <c r="G69">
        <f>VLOOKUP(C69,'[1]phenotypes-895'!$A$2:$G$896,7,FALSE)</f>
        <v>84</v>
      </c>
      <c r="H69" s="1">
        <v>-0.109736509058035</v>
      </c>
      <c r="I69" s="1">
        <f>VLOOKUP(C69,'[1]phenotypes-895'!$A$2:$I$896,9,FALSE)</f>
        <v>0.17469240795962321</v>
      </c>
      <c r="J69" s="1"/>
      <c r="K69" s="4">
        <v>3.7822112280035398</v>
      </c>
      <c r="L69" s="1"/>
      <c r="M69" s="8">
        <v>1</v>
      </c>
      <c r="N69" s="1"/>
      <c r="O69">
        <v>1.181</v>
      </c>
      <c r="P69" s="1"/>
      <c r="Q69" s="2">
        <v>0.05</v>
      </c>
    </row>
    <row r="70" spans="1:17" x14ac:dyDescent="0.2">
      <c r="A70">
        <v>893</v>
      </c>
      <c r="B70">
        <v>38</v>
      </c>
      <c r="C70" t="s">
        <v>892</v>
      </c>
      <c r="D70" s="13" t="s">
        <v>913</v>
      </c>
      <c r="E70" s="1">
        <v>6.0513810840227196</v>
      </c>
      <c r="F70" s="1">
        <v>5.6561355662124599</v>
      </c>
      <c r="G70">
        <f>VLOOKUP(C70,'[1]phenotypes-895'!$A$2:$G$896,7,FALSE)</f>
        <v>98</v>
      </c>
      <c r="H70" s="1">
        <v>-9.6287709578976796E-2</v>
      </c>
      <c r="I70" s="1">
        <f>VLOOKUP(C70,'[1]phenotypes-895'!$A$2:$I$896,9,FALSE)</f>
        <v>0</v>
      </c>
      <c r="J70" s="1"/>
      <c r="K70" s="4">
        <v>0</v>
      </c>
      <c r="L70" s="1"/>
      <c r="M70" s="8">
        <v>0</v>
      </c>
      <c r="N70" s="1"/>
      <c r="O70">
        <v>1.296</v>
      </c>
      <c r="P70" s="1"/>
      <c r="Q70" s="2">
        <v>0.08</v>
      </c>
    </row>
    <row r="71" spans="1:17" x14ac:dyDescent="0.2">
      <c r="A71">
        <v>457</v>
      </c>
      <c r="B71">
        <v>45</v>
      </c>
      <c r="C71" t="s">
        <v>456</v>
      </c>
      <c r="D71" s="13" t="s">
        <v>912</v>
      </c>
      <c r="E71" s="1">
        <v>5.9382648635000397</v>
      </c>
      <c r="F71" s="1">
        <v>5.61458037917465</v>
      </c>
      <c r="G71">
        <f>VLOOKUP(C71,'[1]phenotypes-895'!$A$2:$G$896,7,FALSE)</f>
        <v>98</v>
      </c>
      <c r="H71" s="1">
        <v>-0.104444672980611</v>
      </c>
      <c r="I71" s="1">
        <f>VLOOKUP(C71,'[1]phenotypes-895'!$A$2:$I$896,9,FALSE)</f>
        <v>0</v>
      </c>
      <c r="J71" s="1"/>
      <c r="K71" s="4">
        <v>0</v>
      </c>
      <c r="L71" s="1"/>
      <c r="M71" s="8">
        <v>0</v>
      </c>
      <c r="N71" s="1"/>
      <c r="O71">
        <v>0.96599999999999997</v>
      </c>
      <c r="P71" s="1"/>
      <c r="Q71" s="2">
        <v>-0.01</v>
      </c>
    </row>
    <row r="72" spans="1:17" x14ac:dyDescent="0.2">
      <c r="A72">
        <v>36</v>
      </c>
      <c r="B72">
        <v>44</v>
      </c>
      <c r="C72" t="s">
        <v>35</v>
      </c>
      <c r="D72" s="13" t="s">
        <v>912</v>
      </c>
      <c r="E72" s="1">
        <v>2.80382593624328</v>
      </c>
      <c r="F72" s="1">
        <v>5.5601854995383997</v>
      </c>
      <c r="G72">
        <f>VLOOKUP(C72,'[1]phenotypes-895'!$A$2:$G$896,7,FALSE)</f>
        <v>98</v>
      </c>
      <c r="H72" s="1">
        <v>-4.2658780486717403E-2</v>
      </c>
      <c r="I72" s="1">
        <f>VLOOKUP(C72,'[1]phenotypes-895'!$A$2:$I$896,9,FALSE)</f>
        <v>0</v>
      </c>
      <c r="J72" s="1"/>
      <c r="K72" s="4">
        <v>0</v>
      </c>
      <c r="L72" s="1"/>
      <c r="M72" s="8">
        <v>0</v>
      </c>
      <c r="N72" s="1"/>
      <c r="O72">
        <v>0.60199999999999998</v>
      </c>
      <c r="P72" s="1"/>
      <c r="Q72" s="2">
        <v>-0.17</v>
      </c>
    </row>
    <row r="73" spans="1:17" x14ac:dyDescent="0.2">
      <c r="A73">
        <v>514</v>
      </c>
      <c r="B73">
        <v>50</v>
      </c>
      <c r="C73" t="s">
        <v>513</v>
      </c>
      <c r="D73" s="13" t="s">
        <v>912</v>
      </c>
      <c r="E73" s="1">
        <v>5.9549293914254102</v>
      </c>
      <c r="F73" s="1">
        <v>5.5097643616288501</v>
      </c>
      <c r="G73">
        <f>VLOOKUP(C73,'[1]phenotypes-895'!$A$2:$G$896,7,FALSE)</f>
        <v>74</v>
      </c>
      <c r="H73" s="1">
        <v>-6.6934996477575406E-2</v>
      </c>
      <c r="I73" s="1">
        <f>VLOOKUP(C73,'[1]phenotypes-895'!$A$2:$I$896,9,FALSE)</f>
        <v>0.38550771961244712</v>
      </c>
      <c r="J73" s="1"/>
      <c r="K73" s="4">
        <v>3.6886174925538628</v>
      </c>
      <c r="L73" s="1"/>
      <c r="M73" s="8">
        <v>1</v>
      </c>
      <c r="N73" s="1"/>
      <c r="O73">
        <v>0.73799999999999999</v>
      </c>
      <c r="P73" s="1"/>
      <c r="Q73" s="2">
        <v>-0.1</v>
      </c>
    </row>
    <row r="74" spans="1:17" x14ac:dyDescent="0.2">
      <c r="A74">
        <v>723</v>
      </c>
      <c r="B74">
        <v>53</v>
      </c>
      <c r="C74" t="s">
        <v>722</v>
      </c>
      <c r="D74" s="13" t="s">
        <v>912</v>
      </c>
      <c r="E74" s="1">
        <v>3.8512339508192599</v>
      </c>
      <c r="F74" s="1">
        <v>5.4975027689279603</v>
      </c>
      <c r="G74">
        <f>VLOOKUP(C74,'[1]phenotypes-895'!$A$2:$G$896,7,FALSE)</f>
        <v>98</v>
      </c>
      <c r="H74" s="1">
        <v>-3.9152868478304903E-2</v>
      </c>
      <c r="I74" s="1">
        <f>VLOOKUP(C74,'[1]phenotypes-895'!$A$2:$I$896,9,FALSE)</f>
        <v>0.25861341349897199</v>
      </c>
      <c r="J74" s="1"/>
      <c r="K74" s="4">
        <v>3.4599665821815111</v>
      </c>
      <c r="L74" s="1"/>
      <c r="M74" s="8">
        <v>1</v>
      </c>
      <c r="N74" s="1"/>
      <c r="O74">
        <v>0.52</v>
      </c>
      <c r="P74" s="1"/>
      <c r="Q74" s="2">
        <v>-0.22</v>
      </c>
    </row>
    <row r="75" spans="1:17" x14ac:dyDescent="0.2">
      <c r="A75">
        <v>426</v>
      </c>
      <c r="B75">
        <v>50</v>
      </c>
      <c r="C75" t="s">
        <v>425</v>
      </c>
      <c r="D75" s="13" t="s">
        <v>912</v>
      </c>
      <c r="E75" s="1">
        <v>4.4769087832134504</v>
      </c>
      <c r="F75" s="1">
        <v>5.4920118764738604</v>
      </c>
      <c r="G75">
        <f>VLOOKUP(C75,'[1]phenotypes-895'!$A$2:$G$896,7,FALSE)</f>
        <v>98</v>
      </c>
      <c r="H75" s="1">
        <v>-4.4353916043908301E-2</v>
      </c>
      <c r="I75" s="1">
        <f>VLOOKUP(C75,'[1]phenotypes-895'!$A$2:$I$896,9,FALSE)</f>
        <v>0</v>
      </c>
      <c r="J75" s="1"/>
      <c r="K75" s="4">
        <v>0</v>
      </c>
      <c r="L75" s="1"/>
      <c r="M75" s="8">
        <v>0</v>
      </c>
      <c r="N75" s="1"/>
      <c r="O75">
        <v>0.56100000000000005</v>
      </c>
      <c r="P75" s="1"/>
      <c r="Q75" s="2">
        <v>-0.2</v>
      </c>
    </row>
    <row r="76" spans="1:17" x14ac:dyDescent="0.2">
      <c r="A76">
        <v>117</v>
      </c>
      <c r="B76">
        <v>36</v>
      </c>
      <c r="C76" t="s">
        <v>116</v>
      </c>
      <c r="D76" s="13" t="s">
        <v>913</v>
      </c>
      <c r="E76" s="1">
        <v>4.3541399634978202</v>
      </c>
      <c r="F76" s="1">
        <v>5.4849175042705403</v>
      </c>
      <c r="G76">
        <f>VLOOKUP(C76,'[1]phenotypes-895'!$A$2:$G$896,7,FALSE)</f>
        <v>70</v>
      </c>
      <c r="H76" s="1">
        <v>-0.118361534250553</v>
      </c>
      <c r="I76" s="1">
        <f>VLOOKUP(C76,'[1]phenotypes-895'!$A$2:$I$896,9,FALSE)</f>
        <v>0.29992931595850292</v>
      </c>
      <c r="J76" s="1"/>
      <c r="K76" s="4">
        <v>3.682093562923431</v>
      </c>
      <c r="L76" s="1"/>
      <c r="M76" s="8">
        <v>1</v>
      </c>
      <c r="N76" s="1"/>
      <c r="O76">
        <v>1.177</v>
      </c>
      <c r="P76" s="1"/>
      <c r="Q76" s="2">
        <v>0.05</v>
      </c>
    </row>
    <row r="77" spans="1:17" x14ac:dyDescent="0.2">
      <c r="A77">
        <v>750</v>
      </c>
      <c r="B77">
        <v>22</v>
      </c>
      <c r="C77" t="s">
        <v>749</v>
      </c>
      <c r="D77" s="13" t="s">
        <v>913</v>
      </c>
      <c r="E77" s="1">
        <v>5.7430258110536698</v>
      </c>
      <c r="F77" s="1">
        <v>5.4311498644157599</v>
      </c>
      <c r="G77">
        <f>VLOOKUP(C77,'[1]phenotypes-895'!$A$2:$G$896,7,FALSE)</f>
        <v>98</v>
      </c>
      <c r="H77" s="1">
        <v>-0.11224883495992299</v>
      </c>
      <c r="I77" s="1">
        <f>VLOOKUP(C77,'[1]phenotypes-895'!$A$2:$I$896,9,FALSE)</f>
        <v>0</v>
      </c>
      <c r="J77" s="1"/>
      <c r="K77" s="4">
        <v>0</v>
      </c>
      <c r="L77" s="1"/>
      <c r="M77" s="8">
        <v>0</v>
      </c>
      <c r="N77" s="1"/>
      <c r="O77">
        <v>1.0760000000000001</v>
      </c>
      <c r="P77" s="1"/>
      <c r="Q77" s="2">
        <v>0.02</v>
      </c>
    </row>
    <row r="78" spans="1:17" x14ac:dyDescent="0.2">
      <c r="A78">
        <v>675</v>
      </c>
      <c r="B78">
        <v>25</v>
      </c>
      <c r="C78" t="s">
        <v>674</v>
      </c>
      <c r="D78" s="13" t="s">
        <v>913</v>
      </c>
      <c r="E78" s="1">
        <v>6.1515584339028004</v>
      </c>
      <c r="F78" s="1">
        <v>5.3899249187697</v>
      </c>
      <c r="G78">
        <f>VLOOKUP(C78,'[1]phenotypes-895'!$A$2:$G$896,7,FALSE)</f>
        <v>98</v>
      </c>
      <c r="H78" s="1">
        <v>-7.3379856521790604E-2</v>
      </c>
      <c r="I78" s="1">
        <f>VLOOKUP(C78,'[1]phenotypes-895'!$A$2:$I$896,9,FALSE)</f>
        <v>0</v>
      </c>
      <c r="J78" s="1"/>
      <c r="K78" s="4">
        <v>0</v>
      </c>
      <c r="L78" s="1"/>
      <c r="M78" s="8">
        <v>0</v>
      </c>
      <c r="N78" s="1"/>
      <c r="O78">
        <v>1.103</v>
      </c>
      <c r="P78" s="1"/>
      <c r="Q78" s="2">
        <v>0.03</v>
      </c>
    </row>
    <row r="79" spans="1:17" x14ac:dyDescent="0.2">
      <c r="A79">
        <v>727</v>
      </c>
      <c r="B79">
        <v>37</v>
      </c>
      <c r="C79" t="s">
        <v>726</v>
      </c>
      <c r="D79" s="13" t="s">
        <v>913</v>
      </c>
      <c r="E79" s="1">
        <v>5.6879823032273098</v>
      </c>
      <c r="F79" s="1">
        <v>5.3770987623908004</v>
      </c>
      <c r="G79">
        <f>VLOOKUP(C79,'[1]phenotypes-895'!$A$2:$G$896,7,FALSE)</f>
        <v>92</v>
      </c>
      <c r="H79" s="1">
        <v>-7.7652436548326098E-2</v>
      </c>
      <c r="I79" s="1">
        <f>VLOOKUP(C79,'[1]phenotypes-895'!$A$2:$I$896,9,FALSE)</f>
        <v>0.27286325666899552</v>
      </c>
      <c r="J79" s="1"/>
      <c r="K79" s="4">
        <v>4.2623363146355659</v>
      </c>
      <c r="L79" s="1"/>
      <c r="M79" s="8">
        <v>1</v>
      </c>
      <c r="N79" s="1"/>
      <c r="O79">
        <v>1.0740000000000001</v>
      </c>
      <c r="P79" s="1"/>
      <c r="Q79" s="2">
        <v>0.02</v>
      </c>
    </row>
    <row r="80" spans="1:17" x14ac:dyDescent="0.2">
      <c r="A80">
        <v>494</v>
      </c>
      <c r="B80">
        <v>47</v>
      </c>
      <c r="C80" t="s">
        <v>493</v>
      </c>
      <c r="D80" s="13" t="s">
        <v>912</v>
      </c>
      <c r="E80" s="1">
        <v>3.4515141360763799</v>
      </c>
      <c r="F80" s="1">
        <v>5.3662199311339496</v>
      </c>
      <c r="G80">
        <f>VLOOKUP(C80,'[1]phenotypes-895'!$A$2:$G$896,7,FALSE)</f>
        <v>90</v>
      </c>
      <c r="H80" s="1">
        <v>-4.2703199577780501E-2</v>
      </c>
      <c r="I80" s="1">
        <f>VLOOKUP(C80,'[1]phenotypes-895'!$A$2:$I$896,9,FALSE)</f>
        <v>0.32422905662581408</v>
      </c>
      <c r="J80" s="1"/>
      <c r="K80" s="4">
        <v>4.5895386842824477</v>
      </c>
      <c r="L80" s="1"/>
      <c r="M80" s="8">
        <v>1</v>
      </c>
      <c r="N80" s="1"/>
      <c r="O80">
        <v>1.0580000000000001</v>
      </c>
      <c r="P80" s="1"/>
      <c r="Q80" s="2">
        <v>0.02</v>
      </c>
    </row>
    <row r="81" spans="1:17" x14ac:dyDescent="0.2">
      <c r="A81">
        <v>870</v>
      </c>
      <c r="B81">
        <v>48</v>
      </c>
      <c r="C81" t="s">
        <v>869</v>
      </c>
      <c r="D81" s="13" t="s">
        <v>912</v>
      </c>
      <c r="E81" s="1">
        <v>3.42835929607807</v>
      </c>
      <c r="F81" s="1">
        <v>5.3610438184343598</v>
      </c>
      <c r="G81">
        <f>VLOOKUP(C81,'[1]phenotypes-895'!$A$2:$G$896,7,FALSE)</f>
        <v>98</v>
      </c>
      <c r="H81" s="1">
        <v>-4.5907251807851497E-2</v>
      </c>
      <c r="I81" s="1">
        <f>VLOOKUP(C81,'[1]phenotypes-895'!$A$2:$I$896,9,FALSE)</f>
        <v>0</v>
      </c>
      <c r="J81" s="1"/>
      <c r="K81" s="4">
        <v>0</v>
      </c>
      <c r="L81" s="1"/>
      <c r="M81" s="8">
        <v>0</v>
      </c>
      <c r="N81" s="1"/>
      <c r="O81">
        <v>0.54900000000000004</v>
      </c>
      <c r="P81" s="1"/>
      <c r="Q81" s="2">
        <v>-0.2</v>
      </c>
    </row>
    <row r="82" spans="1:17" x14ac:dyDescent="0.2">
      <c r="A82">
        <v>654</v>
      </c>
      <c r="B82">
        <v>39</v>
      </c>
      <c r="C82" t="s">
        <v>653</v>
      </c>
      <c r="D82" s="13" t="s">
        <v>913</v>
      </c>
      <c r="E82" s="1">
        <v>5.9403253884537301</v>
      </c>
      <c r="F82" s="1">
        <v>5.3567910527112996</v>
      </c>
      <c r="G82">
        <f>VLOOKUP(C82,'[1]phenotypes-895'!$A$2:$G$896,7,FALSE)</f>
        <v>98</v>
      </c>
      <c r="H82" s="1">
        <v>-7.8058637687958302E-2</v>
      </c>
      <c r="I82" s="1">
        <f>VLOOKUP(C82,'[1]phenotypes-895'!$A$2:$I$896,9,FALSE)</f>
        <v>0</v>
      </c>
      <c r="J82" s="1"/>
      <c r="K82" s="4">
        <v>0</v>
      </c>
      <c r="L82" s="1"/>
      <c r="M82" s="8">
        <v>0</v>
      </c>
      <c r="N82" s="1"/>
      <c r="O82">
        <v>1.107</v>
      </c>
      <c r="P82" s="1"/>
      <c r="Q82" s="2">
        <v>0.03</v>
      </c>
    </row>
    <row r="83" spans="1:17" x14ac:dyDescent="0.2">
      <c r="A83">
        <v>605</v>
      </c>
      <c r="B83">
        <v>40</v>
      </c>
      <c r="C83" t="s">
        <v>604</v>
      </c>
      <c r="D83" s="13" t="s">
        <v>913</v>
      </c>
      <c r="E83" s="1">
        <v>6.5236257244172302</v>
      </c>
      <c r="F83" s="1">
        <v>5.34791934192328</v>
      </c>
      <c r="G83">
        <f>VLOOKUP(C83,'[1]phenotypes-895'!$A$2:$G$896,7,FALSE)</f>
        <v>98</v>
      </c>
      <c r="H83" s="1">
        <v>-6.8746616764376101E-2</v>
      </c>
      <c r="I83" s="1">
        <f>VLOOKUP(C83,'[1]phenotypes-895'!$A$2:$I$896,9,FALSE)</f>
        <v>0</v>
      </c>
      <c r="J83" s="1"/>
      <c r="K83" s="4">
        <v>0</v>
      </c>
      <c r="L83" s="1"/>
      <c r="M83" s="8">
        <v>0</v>
      </c>
      <c r="N83" s="1"/>
      <c r="O83">
        <v>1.0189999999999999</v>
      </c>
      <c r="P83" s="1"/>
      <c r="Q83" s="2">
        <v>0.01</v>
      </c>
    </row>
    <row r="84" spans="1:17" x14ac:dyDescent="0.2">
      <c r="A84">
        <v>629</v>
      </c>
      <c r="B84">
        <v>27</v>
      </c>
      <c r="C84" t="s">
        <v>628</v>
      </c>
      <c r="D84" s="13" t="s">
        <v>913</v>
      </c>
      <c r="E84" s="1">
        <v>5.1599088549608103</v>
      </c>
      <c r="F84" s="1">
        <v>5.3320016061782702</v>
      </c>
      <c r="G84">
        <f>VLOOKUP(C84,'[1]phenotypes-895'!$A$2:$G$896,7,FALSE)</f>
        <v>98</v>
      </c>
      <c r="H84" s="1">
        <v>-3.4323531553421202E-2</v>
      </c>
      <c r="I84" s="1">
        <f>VLOOKUP(C84,'[1]phenotypes-895'!$A$2:$I$896,9,FALSE)</f>
        <v>0.33118506073143988</v>
      </c>
      <c r="J84" s="1"/>
      <c r="K84" s="4">
        <v>3.529581280033244</v>
      </c>
      <c r="L84" s="1"/>
      <c r="M84" s="8">
        <v>1</v>
      </c>
      <c r="N84" s="1"/>
      <c r="O84">
        <v>1.0840000000000001</v>
      </c>
      <c r="P84" s="1"/>
      <c r="Q84" s="2">
        <v>0.03</v>
      </c>
    </row>
    <row r="85" spans="1:17" x14ac:dyDescent="0.2">
      <c r="A85">
        <v>711</v>
      </c>
      <c r="B85">
        <v>26</v>
      </c>
      <c r="C85" t="s">
        <v>710</v>
      </c>
      <c r="D85" s="13" t="s">
        <v>913</v>
      </c>
      <c r="E85" s="1">
        <v>5.66499194386558</v>
      </c>
      <c r="F85" s="1">
        <v>5.3234347678605296</v>
      </c>
      <c r="G85">
        <f>VLOOKUP(C85,'[1]phenotypes-895'!$A$2:$G$896,7,FALSE)</f>
        <v>98</v>
      </c>
      <c r="H85" s="1">
        <v>-6.4822598565472206E-2</v>
      </c>
      <c r="I85" s="1">
        <f>VLOOKUP(C85,'[1]phenotypes-895'!$A$2:$I$896,9,FALSE)</f>
        <v>0</v>
      </c>
      <c r="J85" s="1"/>
      <c r="K85" s="4">
        <v>0</v>
      </c>
      <c r="L85" s="1"/>
      <c r="M85" s="8">
        <v>0</v>
      </c>
      <c r="N85" s="1"/>
      <c r="O85">
        <v>1.3029999999999999</v>
      </c>
      <c r="P85" s="1"/>
      <c r="Q85" s="2">
        <v>0.08</v>
      </c>
    </row>
    <row r="86" spans="1:17" x14ac:dyDescent="0.2">
      <c r="A86">
        <v>453</v>
      </c>
      <c r="B86">
        <v>53</v>
      </c>
      <c r="C86" t="s">
        <v>452</v>
      </c>
      <c r="D86" s="13" t="s">
        <v>912</v>
      </c>
      <c r="E86" s="1">
        <v>4.1674438599312902</v>
      </c>
      <c r="F86" s="1">
        <v>5.2872768264483501</v>
      </c>
      <c r="G86">
        <f>VLOOKUP(C86,'[1]phenotypes-895'!$A$2:$G$896,7,FALSE)</f>
        <v>98</v>
      </c>
      <c r="H86" s="1">
        <v>-0.115680709723307</v>
      </c>
      <c r="I86" s="1">
        <f>VLOOKUP(C86,'[1]phenotypes-895'!$A$2:$I$896,9,FALSE)</f>
        <v>0</v>
      </c>
      <c r="J86" s="1"/>
      <c r="K86" s="4">
        <v>0</v>
      </c>
      <c r="L86" s="1"/>
      <c r="M86" s="8">
        <v>0</v>
      </c>
      <c r="N86" s="1"/>
      <c r="O86">
        <v>0.86799999999999999</v>
      </c>
      <c r="P86" s="1"/>
      <c r="Q86" s="2">
        <v>-0.05</v>
      </c>
    </row>
    <row r="87" spans="1:17" x14ac:dyDescent="0.2">
      <c r="A87">
        <v>667</v>
      </c>
      <c r="B87">
        <v>51</v>
      </c>
      <c r="C87" t="s">
        <v>666</v>
      </c>
      <c r="D87" s="13" t="s">
        <v>912</v>
      </c>
      <c r="E87" s="1">
        <v>2.66668162322522</v>
      </c>
      <c r="F87" s="1">
        <v>5.2458238963512596</v>
      </c>
      <c r="G87">
        <f>VLOOKUP(C87,'[1]phenotypes-895'!$A$2:$G$896,7,FALSE)</f>
        <v>98</v>
      </c>
      <c r="H87" s="1">
        <v>-5.8097434511576403E-2</v>
      </c>
      <c r="I87" s="1">
        <f>VLOOKUP(C87,'[1]phenotypes-895'!$A$2:$I$896,9,FALSE)</f>
        <v>0.21997706535606809</v>
      </c>
      <c r="J87" s="1"/>
      <c r="K87" s="4">
        <v>2.2568493990430953</v>
      </c>
      <c r="L87" s="1"/>
      <c r="M87" s="8">
        <v>1</v>
      </c>
      <c r="N87" s="1"/>
      <c r="O87">
        <v>0.66400000000000003</v>
      </c>
      <c r="P87" s="1"/>
      <c r="Q87" s="2">
        <v>-0.13</v>
      </c>
    </row>
    <row r="88" spans="1:17" x14ac:dyDescent="0.2">
      <c r="A88">
        <v>591</v>
      </c>
      <c r="B88">
        <v>42</v>
      </c>
      <c r="C88" t="s">
        <v>590</v>
      </c>
      <c r="D88" s="13" t="s">
        <v>912</v>
      </c>
      <c r="E88" s="1">
        <v>2.1001350106500198</v>
      </c>
      <c r="F88" s="1">
        <v>5.2421701361236703</v>
      </c>
      <c r="G88">
        <f>VLOOKUP(C88,'[1]phenotypes-895'!$A$2:$G$896,7,FALSE)</f>
        <v>98</v>
      </c>
      <c r="H88" s="1">
        <v>2.0778823339527099E-2</v>
      </c>
      <c r="I88" s="1">
        <f>VLOOKUP(C88,'[1]phenotypes-895'!$A$2:$I$896,9,FALSE)</f>
        <v>0.46048637798186243</v>
      </c>
      <c r="J88" s="1"/>
      <c r="K88" s="4">
        <v>3.9474477263986567</v>
      </c>
      <c r="L88" s="1"/>
      <c r="M88" s="8">
        <v>1</v>
      </c>
      <c r="N88" s="1"/>
      <c r="O88">
        <v>0.70099999999999996</v>
      </c>
      <c r="P88" s="1"/>
      <c r="Q88" s="2">
        <v>-0.12</v>
      </c>
    </row>
    <row r="89" spans="1:17" x14ac:dyDescent="0.2">
      <c r="A89">
        <v>756</v>
      </c>
      <c r="B89">
        <v>37</v>
      </c>
      <c r="C89" t="s">
        <v>755</v>
      </c>
      <c r="D89" s="13" t="s">
        <v>913</v>
      </c>
      <c r="E89" s="1">
        <v>4.31982421831359</v>
      </c>
      <c r="F89" s="1">
        <v>5.17559089143045</v>
      </c>
      <c r="G89">
        <f>VLOOKUP(C89,'[1]phenotypes-895'!$A$2:$G$896,7,FALSE)</f>
        <v>98</v>
      </c>
      <c r="H89" s="1">
        <v>-2.0179528845319001E-2</v>
      </c>
      <c r="I89" s="1">
        <f>VLOOKUP(C89,'[1]phenotypes-895'!$A$2:$I$896,9,FALSE)</f>
        <v>0.35278905214378559</v>
      </c>
      <c r="J89" s="1"/>
      <c r="K89" s="4">
        <v>2.723865096559424</v>
      </c>
      <c r="L89" s="1"/>
      <c r="M89" s="8">
        <v>1</v>
      </c>
      <c r="N89" s="1"/>
      <c r="O89">
        <v>1.2470000000000001</v>
      </c>
      <c r="P89" s="1"/>
      <c r="Q89" s="2">
        <v>7.0000000000000007E-2</v>
      </c>
    </row>
    <row r="90" spans="1:17" x14ac:dyDescent="0.2">
      <c r="A90">
        <v>432</v>
      </c>
      <c r="B90">
        <v>50</v>
      </c>
      <c r="C90" t="s">
        <v>431</v>
      </c>
      <c r="D90" s="13" t="s">
        <v>912</v>
      </c>
      <c r="E90" s="1">
        <v>3.9752450150886198</v>
      </c>
      <c r="F90" s="1">
        <v>5.1645111422493102</v>
      </c>
      <c r="G90">
        <f>VLOOKUP(C90,'[1]phenotypes-895'!$A$2:$G$896,7,FALSE)</f>
        <v>98</v>
      </c>
      <c r="H90" s="1">
        <v>-4.3882983851176199E-2</v>
      </c>
      <c r="I90" s="1">
        <f>VLOOKUP(C90,'[1]phenotypes-895'!$A$2:$I$896,9,FALSE)</f>
        <v>0</v>
      </c>
      <c r="J90" s="1"/>
      <c r="K90" s="4">
        <v>0</v>
      </c>
      <c r="L90" s="1"/>
      <c r="M90" s="8">
        <v>0</v>
      </c>
      <c r="N90" s="1"/>
      <c r="O90">
        <v>0.57699999999999996</v>
      </c>
      <c r="P90" s="1"/>
      <c r="Q90" s="2">
        <v>-0.2</v>
      </c>
    </row>
    <row r="91" spans="1:17" x14ac:dyDescent="0.2">
      <c r="A91">
        <v>700</v>
      </c>
      <c r="B91">
        <v>23</v>
      </c>
      <c r="C91" t="s">
        <v>699</v>
      </c>
      <c r="D91" s="13" t="s">
        <v>913</v>
      </c>
      <c r="E91" s="1">
        <v>5.8951259140555896</v>
      </c>
      <c r="F91" s="1">
        <v>5.1619705187699401</v>
      </c>
      <c r="G91">
        <f>VLOOKUP(C91,'[1]phenotypes-895'!$A$2:$G$896,7,FALSE)</f>
        <v>98</v>
      </c>
      <c r="H91" s="1">
        <v>-0.11817097335407301</v>
      </c>
      <c r="I91" s="1">
        <f>VLOOKUP(C91,'[1]phenotypes-895'!$A$2:$I$896,9,FALSE)</f>
        <v>0</v>
      </c>
      <c r="J91" s="1"/>
      <c r="K91" s="4">
        <v>0</v>
      </c>
      <c r="L91" s="1"/>
      <c r="M91" s="8">
        <v>0</v>
      </c>
      <c r="N91" s="1"/>
      <c r="O91">
        <v>1.3640000000000001</v>
      </c>
      <c r="P91" s="1"/>
      <c r="Q91" s="2">
        <v>0.09</v>
      </c>
    </row>
    <row r="92" spans="1:17" x14ac:dyDescent="0.2">
      <c r="A92">
        <v>564</v>
      </c>
      <c r="B92">
        <v>34</v>
      </c>
      <c r="C92" t="s">
        <v>563</v>
      </c>
      <c r="D92" s="13" t="s">
        <v>913</v>
      </c>
      <c r="E92" s="1">
        <v>5.5429880634010598</v>
      </c>
      <c r="F92" s="1">
        <v>5.1581726766441296</v>
      </c>
      <c r="G92">
        <f>VLOOKUP(C92,'[1]phenotypes-895'!$A$2:$G$896,7,FALSE)</f>
        <v>98</v>
      </c>
      <c r="H92" s="1">
        <v>-5.2839414195022E-2</v>
      </c>
      <c r="I92" s="1">
        <f>VLOOKUP(C92,'[1]phenotypes-895'!$A$2:$I$896,9,FALSE)</f>
        <v>0.46101890394980688</v>
      </c>
      <c r="J92" s="1"/>
      <c r="K92" s="4">
        <v>4.098579707226949</v>
      </c>
      <c r="L92" s="1"/>
      <c r="M92" s="8">
        <v>1</v>
      </c>
      <c r="N92" s="1"/>
      <c r="O92">
        <v>0.90700000000000003</v>
      </c>
      <c r="P92" s="1"/>
      <c r="Q92" s="2">
        <v>-0.03</v>
      </c>
    </row>
    <row r="93" spans="1:17" x14ac:dyDescent="0.2">
      <c r="A93">
        <v>377</v>
      </c>
      <c r="B93">
        <v>41</v>
      </c>
      <c r="C93" t="s">
        <v>376</v>
      </c>
      <c r="D93" s="13" t="s">
        <v>912</v>
      </c>
      <c r="E93" s="1">
        <v>4.2037489265058898</v>
      </c>
      <c r="F93" s="1">
        <v>5.1514822994522804</v>
      </c>
      <c r="G93">
        <f>VLOOKUP(C93,'[1]phenotypes-895'!$A$2:$G$896,7,FALSE)</f>
        <v>98</v>
      </c>
      <c r="H93" s="1">
        <v>-9.5874736429896204E-2</v>
      </c>
      <c r="I93" s="1">
        <f>VLOOKUP(C93,'[1]phenotypes-895'!$A$2:$I$896,9,FALSE)</f>
        <v>0</v>
      </c>
      <c r="J93" s="1"/>
      <c r="K93" s="4">
        <v>0</v>
      </c>
      <c r="L93" s="1"/>
      <c r="M93" s="8">
        <v>0</v>
      </c>
      <c r="N93" s="1"/>
      <c r="O93">
        <v>1.214</v>
      </c>
      <c r="P93" s="1"/>
      <c r="Q93" s="2">
        <v>0.06</v>
      </c>
    </row>
    <row r="94" spans="1:17" x14ac:dyDescent="0.2">
      <c r="A94">
        <v>274</v>
      </c>
      <c r="B94">
        <v>2</v>
      </c>
      <c r="C94" t="s">
        <v>273</v>
      </c>
      <c r="D94" s="12" t="s">
        <v>913</v>
      </c>
      <c r="E94" s="1">
        <v>4.2217807945835002</v>
      </c>
      <c r="F94" s="1">
        <v>5.1209613549980704</v>
      </c>
      <c r="G94">
        <f>VLOOKUP(C94,'[1]phenotypes-895'!$A$2:$G$896,7,FALSE)</f>
        <v>98</v>
      </c>
      <c r="H94" s="1">
        <v>-6.7927828542568305E-2</v>
      </c>
      <c r="I94" s="1">
        <f>VLOOKUP(C94,'[1]phenotypes-895'!$A$2:$I$896,9,FALSE)</f>
        <v>0</v>
      </c>
      <c r="J94" s="1"/>
      <c r="K94" s="4">
        <v>0</v>
      </c>
      <c r="L94" s="1"/>
      <c r="M94" s="8">
        <v>0</v>
      </c>
      <c r="N94" s="1"/>
      <c r="O94" s="6">
        <v>1.036</v>
      </c>
      <c r="P94" s="1"/>
      <c r="Q94" s="7">
        <v>0.01</v>
      </c>
    </row>
    <row r="95" spans="1:17" x14ac:dyDescent="0.2">
      <c r="A95">
        <v>466</v>
      </c>
      <c r="B95">
        <v>54</v>
      </c>
      <c r="C95" t="s">
        <v>465</v>
      </c>
      <c r="D95" s="13" t="s">
        <v>912</v>
      </c>
      <c r="E95" s="1">
        <v>5.6616599823875697</v>
      </c>
      <c r="F95" s="1">
        <v>5.1134331798890003</v>
      </c>
      <c r="G95">
        <f>VLOOKUP(C95,'[1]phenotypes-895'!$A$2:$G$896,7,FALSE)</f>
        <v>98</v>
      </c>
      <c r="H95" s="1">
        <v>-8.1835924126285806E-2</v>
      </c>
      <c r="I95" s="1">
        <f>VLOOKUP(C95,'[1]phenotypes-895'!$A$2:$I$896,9,FALSE)</f>
        <v>1.0718164304846629E-2</v>
      </c>
      <c r="J95" s="1"/>
      <c r="K95" s="4">
        <v>2.5978738480368775</v>
      </c>
      <c r="L95" s="1"/>
      <c r="M95" s="8">
        <v>1</v>
      </c>
      <c r="N95" s="1"/>
      <c r="O95">
        <v>0.83199999999999996</v>
      </c>
      <c r="P95" s="1"/>
      <c r="Q95" s="2">
        <v>-0.06</v>
      </c>
    </row>
    <row r="96" spans="1:17" x14ac:dyDescent="0.2">
      <c r="A96">
        <v>609</v>
      </c>
      <c r="B96">
        <v>37</v>
      </c>
      <c r="C96" t="s">
        <v>608</v>
      </c>
      <c r="D96" s="13" t="s">
        <v>913</v>
      </c>
      <c r="E96" s="1">
        <v>5.7464806820054104</v>
      </c>
      <c r="F96" s="1">
        <v>5.0814887064335901</v>
      </c>
      <c r="G96">
        <f>VLOOKUP(C96,'[1]phenotypes-895'!$A$2:$G$896,7,FALSE)</f>
        <v>98</v>
      </c>
      <c r="H96" s="1">
        <v>-9.2235001619561593E-2</v>
      </c>
      <c r="I96" s="1">
        <f>VLOOKUP(C96,'[1]phenotypes-895'!$A$2:$I$896,9,FALSE)</f>
        <v>0.2021129848242596</v>
      </c>
      <c r="J96" s="1"/>
      <c r="K96" s="4">
        <v>3.2999498939377374</v>
      </c>
      <c r="L96" s="1"/>
      <c r="M96" s="8">
        <v>1</v>
      </c>
      <c r="N96" s="1"/>
      <c r="O96">
        <v>0.73399999999999999</v>
      </c>
      <c r="P96" s="1"/>
      <c r="Q96" s="2">
        <v>-0.1</v>
      </c>
    </row>
    <row r="97" spans="1:17" x14ac:dyDescent="0.2">
      <c r="A97">
        <v>660</v>
      </c>
      <c r="B97">
        <v>34</v>
      </c>
      <c r="C97" t="s">
        <v>659</v>
      </c>
      <c r="D97" s="13" t="s">
        <v>913</v>
      </c>
      <c r="E97" s="1">
        <v>3.49182271317212</v>
      </c>
      <c r="F97" s="1">
        <v>5.0556350388606202</v>
      </c>
      <c r="G97">
        <f>VLOOKUP(C97,'[1]phenotypes-895'!$A$2:$G$896,7,FALSE)</f>
        <v>98</v>
      </c>
      <c r="H97" s="1">
        <v>-7.2156285519444793E-2</v>
      </c>
      <c r="I97" s="1">
        <f>VLOOKUP(C97,'[1]phenotypes-895'!$A$2:$I$896,9,FALSE)</f>
        <v>0</v>
      </c>
      <c r="J97" s="1"/>
      <c r="K97" s="4">
        <v>0</v>
      </c>
      <c r="L97" s="9"/>
      <c r="M97" s="8">
        <v>0</v>
      </c>
      <c r="N97" s="1"/>
      <c r="O97">
        <v>1.2869999999999999</v>
      </c>
      <c r="P97" s="1"/>
      <c r="Q97" s="2">
        <v>0.08</v>
      </c>
    </row>
    <row r="98" spans="1:17" x14ac:dyDescent="0.2">
      <c r="A98">
        <v>795</v>
      </c>
      <c r="B98">
        <v>28</v>
      </c>
      <c r="C98" t="s">
        <v>794</v>
      </c>
      <c r="D98" s="13" t="s">
        <v>913</v>
      </c>
      <c r="E98" s="1">
        <v>4.7144027353215101</v>
      </c>
      <c r="F98" s="1">
        <v>5.0122039476283602</v>
      </c>
      <c r="G98">
        <f>VLOOKUP(C98,'[1]phenotypes-895'!$A$2:$G$896,7,FALSE)</f>
        <v>98</v>
      </c>
      <c r="H98" s="1">
        <v>-6.0151369838156298E-2</v>
      </c>
      <c r="I98" s="1">
        <f>VLOOKUP(C98,'[1]phenotypes-895'!$A$2:$I$896,9,FALSE)</f>
        <v>0</v>
      </c>
      <c r="J98" s="1"/>
      <c r="K98" s="4">
        <v>0</v>
      </c>
      <c r="L98" s="1"/>
      <c r="M98" s="8">
        <v>0</v>
      </c>
      <c r="N98" s="1"/>
      <c r="O98">
        <v>1.1639999999999999</v>
      </c>
      <c r="P98" s="1"/>
      <c r="Q98" s="2">
        <v>0.05</v>
      </c>
    </row>
    <row r="99" spans="1:17" x14ac:dyDescent="0.2">
      <c r="A99">
        <v>832</v>
      </c>
      <c r="B99">
        <v>53</v>
      </c>
      <c r="C99" t="s">
        <v>831</v>
      </c>
      <c r="D99" s="13" t="s">
        <v>912</v>
      </c>
      <c r="E99" s="1">
        <v>2.9150750805425298</v>
      </c>
      <c r="F99" s="1">
        <v>5.0075175717962797</v>
      </c>
      <c r="G99">
        <f>VLOOKUP(C99,'[1]phenotypes-895'!$A$2:$G$896,7,FALSE)</f>
        <v>82</v>
      </c>
      <c r="H99" s="1">
        <v>-2.8508088856694098E-2</v>
      </c>
      <c r="I99" s="1">
        <f>VLOOKUP(C99,'[1]phenotypes-895'!$A$2:$I$896,9,FALSE)</f>
        <v>0.44941695863096209</v>
      </c>
      <c r="J99" s="1"/>
      <c r="K99" s="4">
        <v>4.1394127691453271</v>
      </c>
      <c r="L99" s="1"/>
      <c r="M99" s="8">
        <v>1</v>
      </c>
      <c r="N99" s="1"/>
      <c r="O99">
        <v>0.49</v>
      </c>
      <c r="P99" s="1"/>
      <c r="Q99" s="2">
        <v>-0.24</v>
      </c>
    </row>
    <row r="100" spans="1:17" x14ac:dyDescent="0.2">
      <c r="A100">
        <v>560</v>
      </c>
      <c r="B100">
        <v>32</v>
      </c>
      <c r="C100" t="s">
        <v>559</v>
      </c>
      <c r="D100" s="13" t="s">
        <v>913</v>
      </c>
      <c r="E100" s="1">
        <v>5.87785431555481</v>
      </c>
      <c r="F100" s="1">
        <v>4.9813977901263096</v>
      </c>
      <c r="G100">
        <f>VLOOKUP(C100,'[1]phenotypes-895'!$A$2:$G$896,7,FALSE)</f>
        <v>98</v>
      </c>
      <c r="H100" s="1">
        <v>-6.8151001159872895E-2</v>
      </c>
      <c r="I100" s="1">
        <f>VLOOKUP(C100,'[1]phenotypes-895'!$A$2:$I$896,9,FALSE)</f>
        <v>0.12203769227491509</v>
      </c>
      <c r="J100" s="1"/>
      <c r="K100" s="4">
        <v>3.671030038063976</v>
      </c>
      <c r="L100" s="1"/>
      <c r="M100" s="8">
        <v>1</v>
      </c>
      <c r="N100" s="1"/>
      <c r="O100">
        <v>1.2769999999999999</v>
      </c>
      <c r="P100" s="1"/>
      <c r="Q100" s="2">
        <v>0.08</v>
      </c>
    </row>
    <row r="101" spans="1:17" x14ac:dyDescent="0.2">
      <c r="A101">
        <v>395</v>
      </c>
      <c r="B101">
        <v>44</v>
      </c>
      <c r="C101" t="s">
        <v>394</v>
      </c>
      <c r="D101" s="13" t="s">
        <v>912</v>
      </c>
      <c r="E101" s="1">
        <v>5.0353814272933297</v>
      </c>
      <c r="F101" s="1">
        <v>4.9777217686233604</v>
      </c>
      <c r="G101">
        <f>VLOOKUP(C101,'[1]phenotypes-895'!$A$2:$G$896,7,FALSE)</f>
        <v>98</v>
      </c>
      <c r="H101" s="1">
        <v>-2.6826445113653199E-2</v>
      </c>
      <c r="I101" s="1">
        <f>VLOOKUP(C101,'[1]phenotypes-895'!$A$2:$I$896,9,FALSE)</f>
        <v>0.31689774972064633</v>
      </c>
      <c r="J101" s="1"/>
      <c r="K101" s="4">
        <v>3.9142653097798061</v>
      </c>
      <c r="L101" s="1"/>
      <c r="M101" s="8">
        <v>1</v>
      </c>
      <c r="N101" s="1"/>
      <c r="O101">
        <v>0.69</v>
      </c>
      <c r="P101" s="1"/>
      <c r="Q101" s="2">
        <v>-0.12</v>
      </c>
    </row>
    <row r="102" spans="1:17" x14ac:dyDescent="0.2">
      <c r="A102">
        <v>493</v>
      </c>
      <c r="B102">
        <v>50</v>
      </c>
      <c r="C102" t="s">
        <v>492</v>
      </c>
      <c r="D102" s="13" t="s">
        <v>912</v>
      </c>
      <c r="E102" s="1">
        <v>5.2835747556229604</v>
      </c>
      <c r="F102" s="1">
        <v>4.9316406347109201</v>
      </c>
      <c r="G102">
        <f>VLOOKUP(C102,'[1]phenotypes-895'!$A$2:$G$896,7,FALSE)</f>
        <v>98</v>
      </c>
      <c r="H102" s="1">
        <v>-0.104814288839837</v>
      </c>
      <c r="I102" s="1">
        <f>VLOOKUP(C102,'[1]phenotypes-895'!$A$2:$I$896,9,FALSE)</f>
        <v>0</v>
      </c>
      <c r="J102" s="1"/>
      <c r="K102" s="4">
        <v>0</v>
      </c>
      <c r="L102" s="1"/>
      <c r="M102" s="8">
        <v>0</v>
      </c>
      <c r="N102" s="1"/>
      <c r="O102">
        <v>0.64700000000000002</v>
      </c>
      <c r="P102" s="1"/>
      <c r="Q102" s="2">
        <v>-0.14000000000000001</v>
      </c>
    </row>
    <row r="103" spans="1:17" x14ac:dyDescent="0.2">
      <c r="A103">
        <v>474</v>
      </c>
      <c r="B103">
        <v>54</v>
      </c>
      <c r="C103" t="s">
        <v>473</v>
      </c>
      <c r="D103" s="13" t="s">
        <v>912</v>
      </c>
      <c r="E103" s="1">
        <v>2.5671827802761502</v>
      </c>
      <c r="F103" s="1">
        <v>4.9253184725935997</v>
      </c>
      <c r="G103">
        <f>VLOOKUP(C103,'[1]phenotypes-895'!$A$2:$G$896,7,FALSE)</f>
        <v>98</v>
      </c>
      <c r="H103" s="1">
        <v>-8.0856028761119303E-2</v>
      </c>
      <c r="I103" s="1">
        <f>VLOOKUP(C103,'[1]phenotypes-895'!$A$2:$I$896,9,FALSE)</f>
        <v>0</v>
      </c>
      <c r="J103" s="1"/>
      <c r="K103" s="4">
        <v>0</v>
      </c>
      <c r="L103" s="1"/>
      <c r="M103" s="8">
        <v>0</v>
      </c>
      <c r="N103" s="1"/>
      <c r="O103">
        <v>0.73</v>
      </c>
      <c r="P103" s="1"/>
      <c r="Q103" s="2">
        <v>-0.1</v>
      </c>
    </row>
    <row r="104" spans="1:17" x14ac:dyDescent="0.2">
      <c r="A104">
        <v>547</v>
      </c>
      <c r="B104">
        <v>45</v>
      </c>
      <c r="C104" t="s">
        <v>546</v>
      </c>
      <c r="D104" s="13" t="s">
        <v>912</v>
      </c>
      <c r="E104" s="1">
        <v>2.5859107768188498</v>
      </c>
      <c r="F104" s="1">
        <v>4.9220427131690503</v>
      </c>
      <c r="G104">
        <f>VLOOKUP(C104,'[1]phenotypes-895'!$A$2:$G$896,7,FALSE)</f>
        <v>77</v>
      </c>
      <c r="H104" s="1">
        <v>-3.29072468092537E-2</v>
      </c>
      <c r="I104" s="1">
        <f>VLOOKUP(C104,'[1]phenotypes-895'!$A$2:$I$896,9,FALSE)</f>
        <v>0.45895124451300728</v>
      </c>
      <c r="J104" s="1"/>
      <c r="K104" s="4">
        <v>4.1251882369213613</v>
      </c>
      <c r="L104" s="1"/>
      <c r="M104" s="8">
        <v>1</v>
      </c>
      <c r="N104" s="1"/>
      <c r="O104">
        <v>0.72899999999999998</v>
      </c>
      <c r="P104" s="1"/>
      <c r="Q104" s="2">
        <v>-0.11</v>
      </c>
    </row>
    <row r="105" spans="1:17" x14ac:dyDescent="0.2">
      <c r="A105">
        <v>210</v>
      </c>
      <c r="B105">
        <v>50</v>
      </c>
      <c r="C105" t="s">
        <v>209</v>
      </c>
      <c r="D105" s="13" t="s">
        <v>912</v>
      </c>
      <c r="E105" s="1">
        <v>2.2805770274966801</v>
      </c>
      <c r="F105" s="1">
        <v>4.9127488212208901</v>
      </c>
      <c r="G105">
        <f>VLOOKUP(C105,'[1]phenotypes-895'!$A$2:$G$896,7,FALSE)</f>
        <v>74</v>
      </c>
      <c r="H105" s="1">
        <v>-2.53526344604088E-2</v>
      </c>
      <c r="I105" s="1">
        <f>VLOOKUP(C105,'[1]phenotypes-895'!$A$2:$I$896,9,FALSE)</f>
        <v>0.4532622341019194</v>
      </c>
      <c r="J105" s="1"/>
      <c r="K105" s="4">
        <v>4.0014133231002216</v>
      </c>
      <c r="L105" s="1"/>
      <c r="M105" s="8">
        <v>1</v>
      </c>
      <c r="N105" s="1"/>
      <c r="O105">
        <v>0.57499999999999996</v>
      </c>
      <c r="P105" s="1"/>
      <c r="Q105" s="2">
        <v>-0.19</v>
      </c>
    </row>
    <row r="106" spans="1:17" x14ac:dyDescent="0.2">
      <c r="A106">
        <v>708</v>
      </c>
      <c r="B106">
        <v>44</v>
      </c>
      <c r="C106" t="s">
        <v>707</v>
      </c>
      <c r="D106" s="13" t="s">
        <v>912</v>
      </c>
      <c r="E106" s="1">
        <v>2.4907438934387498</v>
      </c>
      <c r="F106" s="1">
        <v>4.9079350340310999</v>
      </c>
      <c r="G106">
        <f>VLOOKUP(C106,'[1]phenotypes-895'!$A$2:$G$896,7,FALSE)</f>
        <v>98</v>
      </c>
      <c r="H106" s="1">
        <v>-5.1464710710381403E-2</v>
      </c>
      <c r="I106" s="1">
        <f>VLOOKUP(C106,'[1]phenotypes-895'!$A$2:$I$896,9,FALSE)</f>
        <v>0</v>
      </c>
      <c r="J106" s="1"/>
      <c r="K106" s="4">
        <v>0</v>
      </c>
      <c r="L106" s="1"/>
      <c r="M106" s="8">
        <v>0</v>
      </c>
      <c r="N106" s="1"/>
      <c r="O106">
        <v>0.45800000000000002</v>
      </c>
      <c r="P106" s="1"/>
      <c r="Q106" s="2">
        <v>-0.27</v>
      </c>
    </row>
    <row r="107" spans="1:17" x14ac:dyDescent="0.2">
      <c r="A107">
        <v>695</v>
      </c>
      <c r="B107">
        <v>23</v>
      </c>
      <c r="C107" t="s">
        <v>694</v>
      </c>
      <c r="D107" s="13" t="s">
        <v>913</v>
      </c>
      <c r="E107" s="1">
        <v>6.1285989287022504</v>
      </c>
      <c r="F107" s="1">
        <v>4.8983506570177502</v>
      </c>
      <c r="G107">
        <f>VLOOKUP(C107,'[1]phenotypes-895'!$A$2:$G$896,7,FALSE)</f>
        <v>73</v>
      </c>
      <c r="H107" s="1">
        <v>-7.9934466906408097E-2</v>
      </c>
      <c r="I107" s="1">
        <f>VLOOKUP(C107,'[1]phenotypes-895'!$A$2:$I$896,9,FALSE)</f>
        <v>0.50808441536400317</v>
      </c>
      <c r="J107" s="1"/>
      <c r="K107" s="4">
        <v>4.3780478012205384</v>
      </c>
      <c r="L107" s="1"/>
      <c r="M107" s="8">
        <v>1</v>
      </c>
      <c r="N107" s="1"/>
      <c r="O107">
        <v>1.3759999999999999</v>
      </c>
      <c r="P107" s="1"/>
      <c r="Q107" s="2">
        <v>0.1</v>
      </c>
    </row>
    <row r="108" spans="1:17" x14ac:dyDescent="0.2">
      <c r="A108">
        <v>427</v>
      </c>
      <c r="B108">
        <v>49</v>
      </c>
      <c r="C108" t="s">
        <v>426</v>
      </c>
      <c r="D108" s="13" t="s">
        <v>912</v>
      </c>
      <c r="E108" s="1">
        <v>3.3609481409626998</v>
      </c>
      <c r="F108" s="1">
        <v>4.8901822553393304</v>
      </c>
      <c r="G108">
        <f>VLOOKUP(C108,'[1]phenotypes-895'!$A$2:$G$896,7,FALSE)</f>
        <v>63</v>
      </c>
      <c r="H108" s="1">
        <v>-8.8156219610359798E-2</v>
      </c>
      <c r="I108" s="1">
        <f>VLOOKUP(C108,'[1]phenotypes-895'!$A$2:$I$896,9,FALSE)</f>
        <v>0.59446887674050219</v>
      </c>
      <c r="J108" s="1"/>
      <c r="K108" s="4">
        <v>4.6927355029412752</v>
      </c>
      <c r="L108" s="1"/>
      <c r="M108" s="8">
        <v>1</v>
      </c>
      <c r="N108" s="1"/>
      <c r="O108">
        <v>0.755</v>
      </c>
      <c r="P108" s="1"/>
      <c r="Q108" s="2">
        <v>-0.09</v>
      </c>
    </row>
    <row r="109" spans="1:17" x14ac:dyDescent="0.2">
      <c r="A109">
        <v>224</v>
      </c>
      <c r="B109">
        <v>31</v>
      </c>
      <c r="C109" t="s">
        <v>223</v>
      </c>
      <c r="D109" s="13" t="s">
        <v>913</v>
      </c>
      <c r="E109" s="1">
        <v>5.1519190853438603</v>
      </c>
      <c r="F109" s="1">
        <v>4.8789162491468501</v>
      </c>
      <c r="G109">
        <f>VLOOKUP(C109,'[1]phenotypes-895'!$A$2:$G$896,7,FALSE)</f>
        <v>98</v>
      </c>
      <c r="H109" s="1">
        <v>-4.4285066132353001E-2</v>
      </c>
      <c r="I109" s="1">
        <f>VLOOKUP(C109,'[1]phenotypes-895'!$A$2:$I$896,9,FALSE)</f>
        <v>0</v>
      </c>
      <c r="J109" s="1"/>
      <c r="K109" s="4">
        <v>0</v>
      </c>
      <c r="L109" s="1"/>
      <c r="M109" s="8">
        <v>0</v>
      </c>
      <c r="N109" s="1"/>
      <c r="O109">
        <v>1.26</v>
      </c>
      <c r="P109" s="1"/>
      <c r="Q109" s="2">
        <v>7.0000000000000007E-2</v>
      </c>
    </row>
    <row r="110" spans="1:17" x14ac:dyDescent="0.2">
      <c r="A110">
        <v>485</v>
      </c>
      <c r="B110">
        <v>50</v>
      </c>
      <c r="C110" t="s">
        <v>484</v>
      </c>
      <c r="D110" s="13" t="s">
        <v>912</v>
      </c>
      <c r="E110" s="1">
        <v>4.9306791789124098</v>
      </c>
      <c r="F110" s="1">
        <v>4.8740806187663601</v>
      </c>
      <c r="G110">
        <f>VLOOKUP(C110,'[1]phenotypes-895'!$A$2:$G$896,7,FALSE)</f>
        <v>92</v>
      </c>
      <c r="H110" s="1">
        <v>-1.40017732568071E-2</v>
      </c>
      <c r="I110" s="1">
        <f>VLOOKUP(C110,'[1]phenotypes-895'!$A$2:$I$896,9,FALSE)</f>
        <v>0.40008184512920753</v>
      </c>
      <c r="J110" s="1"/>
      <c r="K110" s="4">
        <v>4.2419977748713054</v>
      </c>
      <c r="L110" s="1"/>
      <c r="M110" s="8">
        <v>1</v>
      </c>
      <c r="N110" s="1"/>
      <c r="O110">
        <v>0.55500000000000005</v>
      </c>
      <c r="P110" s="1"/>
      <c r="Q110" s="2">
        <v>-0.2</v>
      </c>
    </row>
    <row r="111" spans="1:17" x14ac:dyDescent="0.2">
      <c r="A111">
        <v>662</v>
      </c>
      <c r="B111">
        <v>39</v>
      </c>
      <c r="C111" t="s">
        <v>661</v>
      </c>
      <c r="D111" s="13" t="s">
        <v>913</v>
      </c>
      <c r="E111" s="1">
        <v>5.6091602197204198</v>
      </c>
      <c r="F111" s="1">
        <v>4.8403535559270896</v>
      </c>
      <c r="G111">
        <f>VLOOKUP(C111,'[1]phenotypes-895'!$A$2:$G$896,7,FALSE)</f>
        <v>98</v>
      </c>
      <c r="H111" s="1">
        <v>-7.6196472652553096E-2</v>
      </c>
      <c r="I111" s="1">
        <f>VLOOKUP(C111,'[1]phenotypes-895'!$A$2:$I$896,9,FALSE)</f>
        <v>0</v>
      </c>
      <c r="J111" s="1"/>
      <c r="K111" s="4">
        <v>0</v>
      </c>
      <c r="L111" s="1"/>
      <c r="M111" s="8">
        <v>0</v>
      </c>
      <c r="N111" s="1"/>
      <c r="O111">
        <v>1.048</v>
      </c>
      <c r="P111" s="1"/>
      <c r="Q111" s="2">
        <v>0.01</v>
      </c>
    </row>
    <row r="112" spans="1:17" x14ac:dyDescent="0.2">
      <c r="A112">
        <v>586</v>
      </c>
      <c r="B112">
        <v>45</v>
      </c>
      <c r="C112" t="s">
        <v>585</v>
      </c>
      <c r="D112" s="13" t="s">
        <v>912</v>
      </c>
      <c r="E112" s="1">
        <v>2.5226501093190299</v>
      </c>
      <c r="F112" s="1">
        <v>4.8327041634128598</v>
      </c>
      <c r="G112">
        <f>VLOOKUP(C112,'[1]phenotypes-895'!$A$2:$G$896,7,FALSE)</f>
        <v>53</v>
      </c>
      <c r="H112" s="1">
        <v>-3.8240384222440298E-2</v>
      </c>
      <c r="I112" s="1">
        <f>VLOOKUP(C112,'[1]phenotypes-895'!$A$2:$I$896,9,FALSE)</f>
        <v>0.63509708038219603</v>
      </c>
      <c r="J112" s="1"/>
      <c r="K112" s="4">
        <v>5.1650741504745925</v>
      </c>
      <c r="L112" s="1"/>
      <c r="M112" s="8">
        <v>1</v>
      </c>
      <c r="N112" s="1"/>
      <c r="O112">
        <v>0.67600000000000005</v>
      </c>
      <c r="P112" s="1"/>
      <c r="Q112" s="2">
        <v>-0.13</v>
      </c>
    </row>
    <row r="113" spans="1:17" x14ac:dyDescent="0.2">
      <c r="A113">
        <v>388</v>
      </c>
      <c r="B113">
        <v>52</v>
      </c>
      <c r="C113" t="s">
        <v>387</v>
      </c>
      <c r="D113" s="13" t="s">
        <v>912</v>
      </c>
      <c r="E113" s="1">
        <v>5.0338494475214404</v>
      </c>
      <c r="F113" s="1">
        <v>4.7959494544153598</v>
      </c>
      <c r="G113">
        <f>VLOOKUP(C113,'[1]phenotypes-895'!$A$2:$G$896,7,FALSE)</f>
        <v>98</v>
      </c>
      <c r="H113" s="1">
        <v>-6.7511275166064699E-2</v>
      </c>
      <c r="I113" s="1">
        <f>VLOOKUP(C113,'[1]phenotypes-895'!$A$2:$I$896,9,FALSE)</f>
        <v>0</v>
      </c>
      <c r="J113" s="1"/>
      <c r="K113" s="4">
        <v>0</v>
      </c>
      <c r="L113" s="1"/>
      <c r="M113" s="8">
        <v>0</v>
      </c>
      <c r="N113" s="1"/>
      <c r="O113">
        <v>0.76300000000000001</v>
      </c>
      <c r="P113" s="1"/>
      <c r="Q113" s="2">
        <v>-0.09</v>
      </c>
    </row>
    <row r="114" spans="1:17" x14ac:dyDescent="0.2">
      <c r="A114">
        <v>462</v>
      </c>
      <c r="B114">
        <v>32</v>
      </c>
      <c r="C114" t="s">
        <v>461</v>
      </c>
      <c r="D114" s="13" t="s">
        <v>913</v>
      </c>
      <c r="E114" s="1">
        <v>3.7846169883459999</v>
      </c>
      <c r="F114" s="1">
        <v>4.7741408973888397</v>
      </c>
      <c r="G114">
        <f>VLOOKUP(C114,'[1]phenotypes-895'!$A$2:$G$896,7,FALSE)</f>
        <v>89</v>
      </c>
      <c r="H114" s="1">
        <v>-2.99627207554914E-2</v>
      </c>
      <c r="I114" s="1">
        <f>VLOOKUP(C114,'[1]phenotypes-895'!$A$2:$I$896,9,FALSE)</f>
        <v>0.5606740979658148</v>
      </c>
      <c r="J114" s="1"/>
      <c r="K114" s="4">
        <v>5.0331932515403803</v>
      </c>
      <c r="L114" s="1"/>
      <c r="M114" s="8">
        <v>1</v>
      </c>
      <c r="N114" s="1"/>
      <c r="O114">
        <v>1.216</v>
      </c>
      <c r="P114" s="1"/>
      <c r="Q114" s="2">
        <v>0.06</v>
      </c>
    </row>
    <row r="115" spans="1:17" x14ac:dyDescent="0.2">
      <c r="A115">
        <v>634</v>
      </c>
      <c r="B115">
        <v>26</v>
      </c>
      <c r="C115" t="s">
        <v>633</v>
      </c>
      <c r="D115" s="13" t="s">
        <v>913</v>
      </c>
      <c r="E115" s="1">
        <v>5.0417337602759602</v>
      </c>
      <c r="F115" s="1">
        <v>4.7246109646440697</v>
      </c>
      <c r="G115">
        <f>VLOOKUP(C115,'[1]phenotypes-895'!$A$2:$G$896,7,FALSE)</f>
        <v>76</v>
      </c>
      <c r="H115" s="1">
        <v>-4.71570365706072E-2</v>
      </c>
      <c r="I115" s="1">
        <f>VLOOKUP(C115,'[1]phenotypes-895'!$A$2:$I$896,9,FALSE)</f>
        <v>0.48407828410791631</v>
      </c>
      <c r="J115" s="1"/>
      <c r="K115" s="4">
        <v>4.4626769740005443</v>
      </c>
      <c r="L115" s="1"/>
      <c r="M115" s="8">
        <v>1</v>
      </c>
      <c r="N115" s="1"/>
      <c r="O115">
        <v>1.333</v>
      </c>
      <c r="P115" s="1"/>
      <c r="Q115" s="2">
        <v>0.09</v>
      </c>
    </row>
    <row r="116" spans="1:17" x14ac:dyDescent="0.2">
      <c r="A116">
        <v>614</v>
      </c>
      <c r="B116">
        <v>23</v>
      </c>
      <c r="C116" t="s">
        <v>613</v>
      </c>
      <c r="D116" s="13" t="s">
        <v>913</v>
      </c>
      <c r="E116" s="1">
        <v>5.1856778599365301</v>
      </c>
      <c r="F116" s="1">
        <v>4.6792735871337801</v>
      </c>
      <c r="G116">
        <f>VLOOKUP(C116,'[1]phenotypes-895'!$A$2:$G$896,7,FALSE)</f>
        <v>98</v>
      </c>
      <c r="H116" s="1">
        <v>-0.109746634347693</v>
      </c>
      <c r="I116" s="1">
        <f>VLOOKUP(C116,'[1]phenotypes-895'!$A$2:$I$896,9,FALSE)</f>
        <v>0</v>
      </c>
      <c r="J116" s="1"/>
      <c r="K116" s="4">
        <v>0</v>
      </c>
      <c r="L116" s="1"/>
      <c r="M116" s="8">
        <v>0</v>
      </c>
      <c r="N116" s="1"/>
      <c r="O116">
        <v>1.238</v>
      </c>
      <c r="P116" s="1"/>
      <c r="Q116" s="2">
        <v>0.06</v>
      </c>
    </row>
    <row r="117" spans="1:17" x14ac:dyDescent="0.2">
      <c r="A117">
        <v>128</v>
      </c>
      <c r="B117">
        <v>50</v>
      </c>
      <c r="C117" t="s">
        <v>127</v>
      </c>
      <c r="D117" s="13" t="s">
        <v>912</v>
      </c>
      <c r="E117" s="1">
        <v>2.2111111909053101</v>
      </c>
      <c r="F117" s="1">
        <v>4.6171986609358404</v>
      </c>
      <c r="G117">
        <f>VLOOKUP(C117,'[1]phenotypes-895'!$A$2:$G$896,7,FALSE)</f>
        <v>98</v>
      </c>
      <c r="H117" s="1">
        <v>-1.3982565133297299E-2</v>
      </c>
      <c r="I117" s="1">
        <f>VLOOKUP(C117,'[1]phenotypes-895'!$A$2:$I$896,9,FALSE)</f>
        <v>8.5934783720589214E-2</v>
      </c>
      <c r="J117" s="1"/>
      <c r="K117" s="4">
        <v>1.4245861338591359</v>
      </c>
      <c r="L117" s="1"/>
      <c r="M117" s="8">
        <v>1</v>
      </c>
      <c r="N117" s="1"/>
      <c r="O117">
        <v>0.46300000000000002</v>
      </c>
      <c r="P117" s="1"/>
      <c r="Q117" s="2">
        <v>-0.26</v>
      </c>
    </row>
    <row r="118" spans="1:17" x14ac:dyDescent="0.2">
      <c r="A118">
        <v>548</v>
      </c>
      <c r="B118">
        <v>44</v>
      </c>
      <c r="C118" t="s">
        <v>547</v>
      </c>
      <c r="D118" s="13" t="s">
        <v>912</v>
      </c>
      <c r="E118" s="1">
        <v>2.4300064926369198</v>
      </c>
      <c r="F118" s="1">
        <v>4.5941887452426702</v>
      </c>
      <c r="G118">
        <f>VLOOKUP(C118,'[1]phenotypes-895'!$A$2:$G$896,7,FALSE)</f>
        <v>54</v>
      </c>
      <c r="H118" s="1">
        <v>-1.29426061585921E-2</v>
      </c>
      <c r="I118" s="1">
        <f>VLOOKUP(C118,'[1]phenotypes-895'!$A$2:$I$896,9,FALSE)</f>
        <v>0.92881484540637682</v>
      </c>
      <c r="J118" s="1"/>
      <c r="K118" s="4">
        <v>5.5996121365674334</v>
      </c>
      <c r="L118" s="1"/>
      <c r="M118" s="8">
        <v>1</v>
      </c>
      <c r="N118" s="1"/>
      <c r="O118">
        <v>0.67600000000000005</v>
      </c>
      <c r="P118" s="1"/>
      <c r="Q118" s="2">
        <v>-0.13</v>
      </c>
    </row>
    <row r="119" spans="1:17" x14ac:dyDescent="0.2">
      <c r="A119">
        <v>571</v>
      </c>
      <c r="B119">
        <v>41</v>
      </c>
      <c r="C119" t="s">
        <v>570</v>
      </c>
      <c r="D119" s="13" t="s">
        <v>912</v>
      </c>
      <c r="E119" s="1">
        <v>1.78883282969052</v>
      </c>
      <c r="F119" s="1">
        <v>4.5872765566026796</v>
      </c>
      <c r="G119">
        <f>VLOOKUP(C119,'[1]phenotypes-895'!$A$2:$G$896,7,FALSE)</f>
        <v>98</v>
      </c>
      <c r="H119" s="1">
        <v>-6.7999312615501101E-2</v>
      </c>
      <c r="I119" s="1">
        <f>VLOOKUP(C119,'[1]phenotypes-895'!$A$2:$I$896,9,FALSE)</f>
        <v>0</v>
      </c>
      <c r="J119" s="1"/>
      <c r="K119" s="4">
        <v>0</v>
      </c>
      <c r="L119" s="1"/>
      <c r="M119" s="8">
        <v>0</v>
      </c>
      <c r="N119" s="1"/>
      <c r="O119">
        <v>0.94099999999999995</v>
      </c>
      <c r="P119" s="1"/>
      <c r="Q119" s="2">
        <v>-0.02</v>
      </c>
    </row>
    <row r="120" spans="1:17" x14ac:dyDescent="0.2">
      <c r="A120">
        <v>535</v>
      </c>
      <c r="B120">
        <v>36</v>
      </c>
      <c r="C120" t="s">
        <v>534</v>
      </c>
      <c r="D120" s="13" t="s">
        <v>913</v>
      </c>
      <c r="E120" s="1">
        <v>3.4538347727361298</v>
      </c>
      <c r="F120" s="1">
        <v>4.5653816744090099</v>
      </c>
      <c r="G120">
        <f>VLOOKUP(C120,'[1]phenotypes-895'!$A$2:$G$896,7,FALSE)</f>
        <v>98</v>
      </c>
      <c r="H120" s="1">
        <v>-0.10381122405471201</v>
      </c>
      <c r="I120" s="1">
        <f>VLOOKUP(C120,'[1]phenotypes-895'!$A$2:$I$896,9,FALSE)</f>
        <v>0</v>
      </c>
      <c r="J120" s="1"/>
      <c r="K120" s="4">
        <v>0</v>
      </c>
      <c r="L120" s="1"/>
      <c r="M120" s="8">
        <v>0</v>
      </c>
      <c r="N120" s="1"/>
      <c r="O120">
        <v>1.2669999999999999</v>
      </c>
      <c r="P120" s="1"/>
      <c r="Q120" s="2">
        <v>7.0000000000000007E-2</v>
      </c>
    </row>
    <row r="121" spans="1:17" x14ac:dyDescent="0.2">
      <c r="A121">
        <v>455</v>
      </c>
      <c r="B121">
        <v>48</v>
      </c>
      <c r="C121" t="s">
        <v>454</v>
      </c>
      <c r="D121" s="13" t="s">
        <v>912</v>
      </c>
      <c r="E121" s="1">
        <v>4.8093390981219697</v>
      </c>
      <c r="F121" s="1">
        <v>4.5648227726479504</v>
      </c>
      <c r="G121">
        <f>VLOOKUP(C121,'[1]phenotypes-895'!$A$2:$G$896,7,FALSE)</f>
        <v>81</v>
      </c>
      <c r="H121" s="1">
        <v>-3.14948533758257E-2</v>
      </c>
      <c r="I121" s="1">
        <f>VLOOKUP(C121,'[1]phenotypes-895'!$A$2:$I$896,9,FALSE)</f>
        <v>0.40816151134575918</v>
      </c>
      <c r="J121" s="1"/>
      <c r="K121" s="4">
        <v>3.9340788547867631</v>
      </c>
      <c r="L121" s="1"/>
      <c r="M121" s="8">
        <v>1</v>
      </c>
      <c r="N121" s="1"/>
      <c r="O121">
        <v>0.80700000000000005</v>
      </c>
      <c r="P121" s="1"/>
      <c r="Q121" s="2">
        <v>-7.0000000000000007E-2</v>
      </c>
    </row>
    <row r="122" spans="1:17" x14ac:dyDescent="0.2">
      <c r="A122">
        <v>473</v>
      </c>
      <c r="B122">
        <v>51</v>
      </c>
      <c r="C122" t="s">
        <v>472</v>
      </c>
      <c r="D122" s="13" t="s">
        <v>912</v>
      </c>
      <c r="E122" s="1">
        <v>2.58240128734437</v>
      </c>
      <c r="F122" s="1">
        <v>4.5548805310643603</v>
      </c>
      <c r="G122">
        <f>VLOOKUP(C122,'[1]phenotypes-895'!$A$2:$G$896,7,FALSE)</f>
        <v>98</v>
      </c>
      <c r="H122" s="1">
        <v>-9.7606482851304396E-2</v>
      </c>
      <c r="I122" s="1">
        <f>VLOOKUP(C122,'[1]phenotypes-895'!$A$2:$I$896,9,FALSE)</f>
        <v>0</v>
      </c>
      <c r="J122" s="1"/>
      <c r="K122" s="4">
        <v>0</v>
      </c>
      <c r="L122" s="1"/>
      <c r="M122" s="8">
        <v>0</v>
      </c>
      <c r="N122" s="1"/>
      <c r="O122">
        <v>0.94299999999999995</v>
      </c>
      <c r="P122" s="1"/>
      <c r="Q122" s="2">
        <v>-0.02</v>
      </c>
    </row>
    <row r="123" spans="1:17" x14ac:dyDescent="0.2">
      <c r="A123">
        <v>789</v>
      </c>
      <c r="B123">
        <v>37</v>
      </c>
      <c r="C123" t="s">
        <v>788</v>
      </c>
      <c r="D123" s="13" t="s">
        <v>913</v>
      </c>
      <c r="E123" s="1">
        <v>5.6166950179906303</v>
      </c>
      <c r="F123" s="1">
        <v>4.5528200345288896</v>
      </c>
      <c r="G123">
        <f>VLOOKUP(C123,'[1]phenotypes-895'!$A$2:$G$896,7,FALSE)</f>
        <v>98</v>
      </c>
      <c r="H123" s="1">
        <v>-8.4069841938604895E-2</v>
      </c>
      <c r="I123" s="1">
        <f>VLOOKUP(C123,'[1]phenotypes-895'!$A$2:$I$896,9,FALSE)</f>
        <v>0</v>
      </c>
      <c r="J123" s="1"/>
      <c r="K123" s="4">
        <v>0</v>
      </c>
      <c r="L123" s="1"/>
      <c r="M123" s="8">
        <v>0</v>
      </c>
      <c r="N123" s="1"/>
      <c r="O123">
        <v>0.47799999999999998</v>
      </c>
      <c r="P123" s="1"/>
      <c r="Q123" s="2">
        <v>-0.25</v>
      </c>
    </row>
    <row r="124" spans="1:17" x14ac:dyDescent="0.2">
      <c r="A124">
        <v>504</v>
      </c>
      <c r="B124">
        <v>50</v>
      </c>
      <c r="C124" t="s">
        <v>503</v>
      </c>
      <c r="D124" s="13" t="s">
        <v>912</v>
      </c>
      <c r="E124" s="1">
        <v>4.6354367727122296</v>
      </c>
      <c r="F124" s="1">
        <v>4.5496471014022797</v>
      </c>
      <c r="G124">
        <f>VLOOKUP(C124,'[1]phenotypes-895'!$A$2:$G$896,7,FALSE)</f>
        <v>98</v>
      </c>
      <c r="H124" s="1">
        <v>-3.34973335882707E-2</v>
      </c>
      <c r="I124" s="1">
        <f>VLOOKUP(C124,'[1]phenotypes-895'!$A$2:$I$896,9,FALSE)</f>
        <v>0</v>
      </c>
      <c r="J124" s="1"/>
      <c r="K124" s="4">
        <v>0</v>
      </c>
      <c r="L124" s="1"/>
      <c r="M124" s="8">
        <v>0</v>
      </c>
      <c r="N124" s="1"/>
      <c r="O124">
        <v>0.70499999999999996</v>
      </c>
      <c r="P124" s="1"/>
      <c r="Q124" s="2">
        <v>-0.11</v>
      </c>
    </row>
    <row r="125" spans="1:17" x14ac:dyDescent="0.2">
      <c r="A125">
        <v>589</v>
      </c>
      <c r="B125">
        <v>50</v>
      </c>
      <c r="C125" t="s">
        <v>588</v>
      </c>
      <c r="D125" s="13" t="s">
        <v>912</v>
      </c>
      <c r="E125" s="1">
        <v>1.51445636246926</v>
      </c>
      <c r="F125" s="1">
        <v>4.5448455828238901</v>
      </c>
      <c r="G125">
        <f>VLOOKUP(C125,'[1]phenotypes-895'!$A$2:$G$896,7,FALSE)</f>
        <v>70</v>
      </c>
      <c r="H125" s="1">
        <v>-5.8653063347993702E-2</v>
      </c>
      <c r="I125" s="1">
        <f>VLOOKUP(C125,'[1]phenotypes-895'!$A$2:$I$896,9,FALSE)</f>
        <v>0.20991525032288499</v>
      </c>
      <c r="J125" s="1"/>
      <c r="K125" s="4">
        <v>2.9812757764709787</v>
      </c>
      <c r="L125" s="1"/>
      <c r="M125" s="8">
        <v>1</v>
      </c>
      <c r="N125" s="1"/>
      <c r="O125">
        <v>0.49299999999999999</v>
      </c>
      <c r="P125" s="1"/>
      <c r="Q125" s="2">
        <v>-0.24</v>
      </c>
    </row>
    <row r="126" spans="1:17" x14ac:dyDescent="0.2">
      <c r="A126">
        <v>345</v>
      </c>
      <c r="B126">
        <v>27</v>
      </c>
      <c r="C126" t="s">
        <v>344</v>
      </c>
      <c r="D126" s="13" t="s">
        <v>913</v>
      </c>
      <c r="E126" s="1">
        <v>5.5609832680813698</v>
      </c>
      <c r="F126" s="1">
        <v>4.5362116847238001</v>
      </c>
      <c r="G126">
        <f>VLOOKUP(C126,'[1]phenotypes-895'!$A$2:$G$896,7,FALSE)</f>
        <v>86</v>
      </c>
      <c r="H126" s="1">
        <v>-5.2392209191116798E-2</v>
      </c>
      <c r="I126" s="1">
        <f>VLOOKUP(C126,'[1]phenotypes-895'!$A$2:$I$896,9,FALSE)</f>
        <v>0.41730737134161322</v>
      </c>
      <c r="J126" s="1"/>
      <c r="K126" s="4">
        <v>4.4540233818243182</v>
      </c>
      <c r="L126" s="1"/>
      <c r="M126" s="8">
        <v>1</v>
      </c>
      <c r="N126" s="1"/>
      <c r="O126">
        <v>1.1659999999999999</v>
      </c>
      <c r="P126" s="1"/>
      <c r="Q126" s="2">
        <v>0.05</v>
      </c>
    </row>
    <row r="127" spans="1:17" x14ac:dyDescent="0.2">
      <c r="A127">
        <v>778</v>
      </c>
      <c r="B127">
        <v>39</v>
      </c>
      <c r="C127" t="s">
        <v>777</v>
      </c>
      <c r="D127" s="13" t="s">
        <v>913</v>
      </c>
      <c r="E127" s="1">
        <v>4.8440981143233</v>
      </c>
      <c r="F127" s="1">
        <v>4.5322309388345197</v>
      </c>
      <c r="G127">
        <f>VLOOKUP(C127,'[1]phenotypes-895'!$A$2:$G$896,7,FALSE)</f>
        <v>81</v>
      </c>
      <c r="H127" s="1">
        <v>-7.4961667785144306E-2</v>
      </c>
      <c r="I127" s="1">
        <f>VLOOKUP(C127,'[1]phenotypes-895'!$A$2:$I$896,9,FALSE)</f>
        <v>0.31036309594237782</v>
      </c>
      <c r="J127" s="1"/>
      <c r="K127" s="4">
        <v>4.3440967901016583</v>
      </c>
      <c r="L127" s="1"/>
      <c r="M127" s="8">
        <v>1</v>
      </c>
      <c r="N127" s="1"/>
      <c r="O127">
        <v>0.99099999999999999</v>
      </c>
      <c r="P127" s="1"/>
      <c r="Q127" s="2">
        <v>0</v>
      </c>
    </row>
    <row r="128" spans="1:17" x14ac:dyDescent="0.2">
      <c r="A128">
        <v>415</v>
      </c>
      <c r="B128">
        <v>48</v>
      </c>
      <c r="C128" t="s">
        <v>414</v>
      </c>
      <c r="D128" s="13" t="s">
        <v>912</v>
      </c>
      <c r="E128" s="1">
        <v>3.20881309834279</v>
      </c>
      <c r="F128" s="1">
        <v>4.5312506169971503</v>
      </c>
      <c r="G128">
        <f>VLOOKUP(C128,'[1]phenotypes-895'!$A$2:$G$896,7,FALSE)</f>
        <v>91</v>
      </c>
      <c r="H128" s="1">
        <v>-3.4634046723835403E-2</v>
      </c>
      <c r="I128" s="1">
        <f>VLOOKUP(C128,'[1]phenotypes-895'!$A$2:$I$896,9,FALSE)</f>
        <v>0.28778066498586757</v>
      </c>
      <c r="J128" s="1"/>
      <c r="K128" s="4">
        <v>4.1629362296111374</v>
      </c>
      <c r="L128" s="1"/>
      <c r="M128" s="8">
        <v>1</v>
      </c>
      <c r="N128" s="1"/>
      <c r="O128">
        <v>0.93300000000000005</v>
      </c>
      <c r="P128" s="1"/>
      <c r="Q128" s="2">
        <v>-0.02</v>
      </c>
    </row>
    <row r="129" spans="1:17" x14ac:dyDescent="0.2">
      <c r="A129">
        <v>790</v>
      </c>
      <c r="B129">
        <v>39</v>
      </c>
      <c r="C129" t="s">
        <v>789</v>
      </c>
      <c r="D129" s="13" t="s">
        <v>913</v>
      </c>
      <c r="E129" s="1">
        <v>6.7342409613653</v>
      </c>
      <c r="F129" s="1">
        <v>4.5053479107874601</v>
      </c>
      <c r="G129">
        <f>VLOOKUP(C129,'[1]phenotypes-895'!$A$2:$G$896,7,FALSE)</f>
        <v>98</v>
      </c>
      <c r="H129" s="1">
        <v>-9.3465460363538894E-2</v>
      </c>
      <c r="I129" s="1">
        <f>VLOOKUP(C129,'[1]phenotypes-895'!$A$2:$I$896,9,FALSE)</f>
        <v>0</v>
      </c>
      <c r="J129" s="1"/>
      <c r="K129" s="4">
        <v>0</v>
      </c>
      <c r="L129" s="1"/>
      <c r="M129" s="8">
        <v>0</v>
      </c>
      <c r="N129" s="1"/>
      <c r="O129">
        <v>1.01</v>
      </c>
      <c r="P129" s="1"/>
      <c r="Q129" s="2">
        <v>0</v>
      </c>
    </row>
    <row r="130" spans="1:17" x14ac:dyDescent="0.2">
      <c r="A130">
        <v>868</v>
      </c>
      <c r="B130">
        <v>38</v>
      </c>
      <c r="C130" t="s">
        <v>867</v>
      </c>
      <c r="D130" s="13" t="s">
        <v>913</v>
      </c>
      <c r="E130" s="1">
        <v>4.8797354855666404</v>
      </c>
      <c r="F130" s="1">
        <v>4.49247507646953</v>
      </c>
      <c r="G130">
        <f>VLOOKUP(C130,'[1]phenotypes-895'!$A$2:$G$896,7,FALSE)</f>
        <v>98</v>
      </c>
      <c r="H130" s="1">
        <v>-7.9163994164317006E-2</v>
      </c>
      <c r="I130" s="1">
        <f>VLOOKUP(C130,'[1]phenotypes-895'!$A$2:$I$896,9,FALSE)</f>
        <v>0</v>
      </c>
      <c r="J130" s="1"/>
      <c r="K130" s="4">
        <v>0</v>
      </c>
      <c r="L130" s="1"/>
      <c r="M130" s="8">
        <v>0</v>
      </c>
      <c r="N130" s="1"/>
      <c r="O130">
        <v>1.117</v>
      </c>
      <c r="P130" s="1"/>
      <c r="Q130" s="2">
        <v>0.04</v>
      </c>
    </row>
    <row r="131" spans="1:17" x14ac:dyDescent="0.2">
      <c r="A131">
        <v>88</v>
      </c>
      <c r="B131">
        <v>27</v>
      </c>
      <c r="C131" t="s">
        <v>87</v>
      </c>
      <c r="D131" s="13" t="s">
        <v>913</v>
      </c>
      <c r="E131" s="1">
        <v>5.25625422429788</v>
      </c>
      <c r="F131" s="1">
        <v>4.4915469946902604</v>
      </c>
      <c r="G131">
        <f>VLOOKUP(C131,'[1]phenotypes-895'!$A$2:$G$896,7,FALSE)</f>
        <v>89</v>
      </c>
      <c r="H131" s="1">
        <v>-3.8972245943508198E-2</v>
      </c>
      <c r="I131" s="1">
        <f>VLOOKUP(C131,'[1]phenotypes-895'!$A$2:$I$896,9,FALSE)</f>
        <v>0.4830157569598395</v>
      </c>
      <c r="J131" s="1"/>
      <c r="K131" s="4">
        <v>4.6436490873094698</v>
      </c>
      <c r="L131" s="1"/>
      <c r="M131" s="8">
        <v>1</v>
      </c>
      <c r="N131" s="1"/>
      <c r="O131">
        <v>1.1459999999999999</v>
      </c>
      <c r="P131" s="1"/>
      <c r="Q131" s="2">
        <v>0.04</v>
      </c>
    </row>
    <row r="132" spans="1:17" x14ac:dyDescent="0.2">
      <c r="A132">
        <v>864</v>
      </c>
      <c r="B132">
        <v>50</v>
      </c>
      <c r="C132" t="s">
        <v>863</v>
      </c>
      <c r="D132" s="13" t="s">
        <v>912</v>
      </c>
      <c r="E132" s="1">
        <v>2.1175037882012102</v>
      </c>
      <c r="F132" s="1">
        <v>4.4812851665632403</v>
      </c>
      <c r="G132">
        <f>VLOOKUP(C132,'[1]phenotypes-895'!$A$2:$G$896,7,FALSE)</f>
        <v>77</v>
      </c>
      <c r="H132" s="1">
        <v>-4.4515327423318901E-2</v>
      </c>
      <c r="I132" s="1">
        <f>VLOOKUP(C132,'[1]phenotypes-895'!$A$2:$I$896,9,FALSE)</f>
        <v>0.55744987364081644</v>
      </c>
      <c r="J132" s="1"/>
      <c r="K132" s="4">
        <v>3.6569302959739503</v>
      </c>
      <c r="L132" s="1"/>
      <c r="M132" s="8">
        <v>1</v>
      </c>
      <c r="N132" s="1"/>
      <c r="O132">
        <v>0.56299999999999994</v>
      </c>
      <c r="P132" s="1"/>
      <c r="Q132" s="2">
        <v>-0.19</v>
      </c>
    </row>
    <row r="133" spans="1:17" x14ac:dyDescent="0.2">
      <c r="A133">
        <v>390</v>
      </c>
      <c r="B133">
        <v>42</v>
      </c>
      <c r="C133" t="s">
        <v>389</v>
      </c>
      <c r="D133" s="13" t="s">
        <v>912</v>
      </c>
      <c r="E133" s="1">
        <v>4.3360946091663299</v>
      </c>
      <c r="F133" s="1">
        <v>4.4719288352750404</v>
      </c>
      <c r="G133">
        <f>VLOOKUP(C133,'[1]phenotypes-895'!$A$2:$G$896,7,FALSE)</f>
        <v>98</v>
      </c>
      <c r="H133" s="1">
        <v>-3.1032957867666799E-2</v>
      </c>
      <c r="I133" s="1">
        <f>VLOOKUP(C133,'[1]phenotypes-895'!$A$2:$I$896,9,FALSE)</f>
        <v>0.14182569204914641</v>
      </c>
      <c r="J133" s="1"/>
      <c r="K133" s="4">
        <v>3.3659013439006102</v>
      </c>
      <c r="L133" s="1"/>
      <c r="M133" s="8">
        <v>1</v>
      </c>
      <c r="N133" s="1"/>
      <c r="O133">
        <v>0.78600000000000003</v>
      </c>
      <c r="P133" s="1"/>
      <c r="Q133" s="2">
        <v>-0.08</v>
      </c>
    </row>
    <row r="134" spans="1:17" x14ac:dyDescent="0.2">
      <c r="A134">
        <v>745</v>
      </c>
      <c r="B134">
        <v>23</v>
      </c>
      <c r="C134" t="s">
        <v>744</v>
      </c>
      <c r="D134" s="13" t="s">
        <v>913</v>
      </c>
      <c r="E134" s="1">
        <v>4.2109793984427997</v>
      </c>
      <c r="F134" s="1">
        <v>4.4558632696179696</v>
      </c>
      <c r="G134">
        <f>VLOOKUP(C134,'[1]phenotypes-895'!$A$2:$G$896,7,FALSE)</f>
        <v>98</v>
      </c>
      <c r="H134" s="1">
        <v>-3.5288420044128098E-2</v>
      </c>
      <c r="I134" s="1">
        <f>VLOOKUP(C134,'[1]phenotypes-895'!$A$2:$I$896,9,FALSE)</f>
        <v>0.30368046023516387</v>
      </c>
      <c r="J134" s="1"/>
      <c r="K134" s="4">
        <v>3.7370403650701607</v>
      </c>
      <c r="L134" s="1"/>
      <c r="M134" s="8">
        <v>1</v>
      </c>
      <c r="N134" s="1"/>
      <c r="O134">
        <v>1.1439999999999999</v>
      </c>
      <c r="P134" s="1"/>
      <c r="Q134" s="2">
        <v>0.04</v>
      </c>
    </row>
    <row r="135" spans="1:17" x14ac:dyDescent="0.2">
      <c r="A135">
        <v>471</v>
      </c>
      <c r="B135">
        <v>54</v>
      </c>
      <c r="C135" t="s">
        <v>470</v>
      </c>
      <c r="D135" s="13" t="s">
        <v>912</v>
      </c>
      <c r="E135" s="1">
        <v>3.1138463390354501</v>
      </c>
      <c r="F135" s="1">
        <v>4.4323394936512104</v>
      </c>
      <c r="G135">
        <f>VLOOKUP(C135,'[1]phenotypes-895'!$A$2:$G$896,7,FALSE)</f>
        <v>98</v>
      </c>
      <c r="H135" s="1">
        <v>-4.1607464905138801E-2</v>
      </c>
      <c r="I135" s="1">
        <f>VLOOKUP(C135,'[1]phenotypes-895'!$A$2:$I$896,9,FALSE)</f>
        <v>0</v>
      </c>
      <c r="J135" s="1"/>
      <c r="K135" s="4">
        <v>0</v>
      </c>
      <c r="L135" s="1"/>
      <c r="M135" s="8">
        <v>0</v>
      </c>
      <c r="N135" s="1"/>
      <c r="O135">
        <v>0.72</v>
      </c>
      <c r="P135" s="1"/>
      <c r="Q135" s="2">
        <v>-0.11</v>
      </c>
    </row>
    <row r="136" spans="1:17" x14ac:dyDescent="0.2">
      <c r="A136">
        <v>529</v>
      </c>
      <c r="B136">
        <v>49</v>
      </c>
      <c r="C136" t="s">
        <v>528</v>
      </c>
      <c r="D136" s="13" t="s">
        <v>912</v>
      </c>
      <c r="E136" s="1">
        <v>2.3863333381898699</v>
      </c>
      <c r="F136" s="1">
        <v>4.4170684992710996</v>
      </c>
      <c r="G136">
        <f>VLOOKUP(C136,'[1]phenotypes-895'!$A$2:$G$896,7,FALSE)</f>
        <v>72</v>
      </c>
      <c r="H136" s="1">
        <v>-1.58092145333458E-2</v>
      </c>
      <c r="I136" s="1">
        <f>VLOOKUP(C136,'[1]phenotypes-895'!$A$2:$I$896,9,FALSE)</f>
        <v>0.49668662869003372</v>
      </c>
      <c r="J136" s="1"/>
      <c r="K136" s="4">
        <v>3.8129888505062022</v>
      </c>
      <c r="L136" s="1"/>
      <c r="M136" s="8">
        <v>1</v>
      </c>
      <c r="N136" s="1"/>
      <c r="O136">
        <v>0.70799999999999996</v>
      </c>
      <c r="P136" s="1"/>
      <c r="Q136" s="2">
        <v>-0.11</v>
      </c>
    </row>
    <row r="137" spans="1:17" x14ac:dyDescent="0.2">
      <c r="A137">
        <v>481</v>
      </c>
      <c r="B137">
        <v>34</v>
      </c>
      <c r="C137" t="s">
        <v>480</v>
      </c>
      <c r="D137" s="13" t="s">
        <v>913</v>
      </c>
      <c r="E137" s="1">
        <v>6.0064249661289004</v>
      </c>
      <c r="F137" s="1">
        <v>4.4166087078993996</v>
      </c>
      <c r="G137">
        <f>VLOOKUP(C137,'[1]phenotypes-895'!$A$2:$G$896,7,FALSE)</f>
        <v>98</v>
      </c>
      <c r="H137" s="1">
        <v>-9.0272346869212705E-2</v>
      </c>
      <c r="I137" s="1">
        <f>VLOOKUP(C137,'[1]phenotypes-895'!$A$2:$I$896,9,FALSE)</f>
        <v>0</v>
      </c>
      <c r="J137" s="1"/>
      <c r="K137" s="4">
        <v>0</v>
      </c>
      <c r="L137" s="1"/>
      <c r="M137" s="8">
        <v>0</v>
      </c>
      <c r="N137" s="1"/>
      <c r="O137">
        <v>0.96599999999999997</v>
      </c>
      <c r="P137" s="1"/>
      <c r="Q137" s="2">
        <v>-0.01</v>
      </c>
    </row>
    <row r="138" spans="1:17" x14ac:dyDescent="0.2">
      <c r="A138">
        <v>567</v>
      </c>
      <c r="B138">
        <v>35</v>
      </c>
      <c r="C138" t="s">
        <v>566</v>
      </c>
      <c r="D138" s="13" t="s">
        <v>913</v>
      </c>
      <c r="E138" s="1">
        <v>1.93374846029326</v>
      </c>
      <c r="F138" s="1">
        <v>4.41449767901294</v>
      </c>
      <c r="G138">
        <f>VLOOKUP(C138,'[1]phenotypes-895'!$A$2:$G$896,7,FALSE)</f>
        <v>98</v>
      </c>
      <c r="H138" s="1">
        <v>-1.6024585120773399E-2</v>
      </c>
      <c r="I138" s="1">
        <f>VLOOKUP(C138,'[1]phenotypes-895'!$A$2:$I$896,9,FALSE)</f>
        <v>0</v>
      </c>
      <c r="J138" s="1"/>
      <c r="K138" s="4">
        <v>0</v>
      </c>
      <c r="L138" s="1"/>
      <c r="M138" s="8">
        <v>0</v>
      </c>
      <c r="N138" s="1"/>
      <c r="O138">
        <v>1.171</v>
      </c>
      <c r="P138" s="1"/>
      <c r="Q138" s="2">
        <v>0.05</v>
      </c>
    </row>
    <row r="139" spans="1:17" x14ac:dyDescent="0.2">
      <c r="A139">
        <v>689</v>
      </c>
      <c r="B139">
        <v>50</v>
      </c>
      <c r="C139" t="s">
        <v>688</v>
      </c>
      <c r="D139" s="13" t="s">
        <v>912</v>
      </c>
      <c r="E139" s="1">
        <v>1.73007409378625</v>
      </c>
      <c r="F139" s="1">
        <v>4.3860513393269303</v>
      </c>
      <c r="G139">
        <f>VLOOKUP(C139,'[1]phenotypes-895'!$A$2:$G$896,7,FALSE)</f>
        <v>59</v>
      </c>
      <c r="H139" s="1">
        <v>-6.5874503427356304E-2</v>
      </c>
      <c r="I139" s="1">
        <f>VLOOKUP(C139,'[1]phenotypes-895'!$A$2:$I$896,9,FALSE)</f>
        <v>0.45778566875524962</v>
      </c>
      <c r="J139" s="1"/>
      <c r="K139" s="4">
        <v>4.0444144282428587</v>
      </c>
      <c r="L139" s="1"/>
      <c r="M139" s="8">
        <v>1</v>
      </c>
      <c r="N139" s="1"/>
      <c r="O139">
        <v>0.498</v>
      </c>
      <c r="P139" s="1"/>
      <c r="Q139" s="2">
        <v>-0.23</v>
      </c>
    </row>
    <row r="140" spans="1:17" x14ac:dyDescent="0.2">
      <c r="A140">
        <v>425</v>
      </c>
      <c r="B140">
        <v>52</v>
      </c>
      <c r="C140" t="s">
        <v>424</v>
      </c>
      <c r="D140" s="13" t="s">
        <v>912</v>
      </c>
      <c r="E140" s="1">
        <v>2.5038908871185401</v>
      </c>
      <c r="F140" s="1">
        <v>4.3817990963529798</v>
      </c>
      <c r="G140">
        <f>VLOOKUP(C140,'[1]phenotypes-895'!$A$2:$G$896,7,FALSE)</f>
        <v>57</v>
      </c>
      <c r="H140" s="1">
        <v>-4.9770858447638198E-2</v>
      </c>
      <c r="I140" s="1">
        <f>VLOOKUP(C140,'[1]phenotypes-895'!$A$2:$I$896,9,FALSE)</f>
        <v>0.59139519201014545</v>
      </c>
      <c r="J140" s="1"/>
      <c r="K140" s="4">
        <v>3.9603389485610601</v>
      </c>
      <c r="L140" s="1"/>
      <c r="M140" s="8">
        <v>1</v>
      </c>
      <c r="N140" s="1"/>
      <c r="O140">
        <v>0.85899999999999999</v>
      </c>
      <c r="P140" s="1"/>
      <c r="Q140" s="2">
        <v>-0.05</v>
      </c>
    </row>
    <row r="141" spans="1:17" x14ac:dyDescent="0.2">
      <c r="A141">
        <v>861</v>
      </c>
      <c r="B141">
        <v>51</v>
      </c>
      <c r="C141" t="s">
        <v>860</v>
      </c>
      <c r="D141" s="13" t="s">
        <v>912</v>
      </c>
      <c r="E141" s="1">
        <v>1.5234596459325001</v>
      </c>
      <c r="F141" s="1">
        <v>4.3817965408132196</v>
      </c>
      <c r="G141">
        <f>VLOOKUP(C141,'[1]phenotypes-895'!$A$2:$G$896,7,FALSE)</f>
        <v>98</v>
      </c>
      <c r="H141" s="1">
        <v>-2.6210810473374199E-2</v>
      </c>
      <c r="I141" s="1">
        <f>VLOOKUP(C141,'[1]phenotypes-895'!$A$2:$I$896,9,FALSE)</f>
        <v>0.24987389574887739</v>
      </c>
      <c r="J141" s="1"/>
      <c r="K141" s="4">
        <v>4.4906317006765448</v>
      </c>
      <c r="L141" s="1"/>
      <c r="M141" s="8">
        <v>1</v>
      </c>
      <c r="N141" s="1"/>
      <c r="O141">
        <v>0.63300000000000001</v>
      </c>
      <c r="P141" s="1"/>
      <c r="Q141" s="2">
        <v>-0.15</v>
      </c>
    </row>
    <row r="142" spans="1:17" x14ac:dyDescent="0.2">
      <c r="A142">
        <v>470</v>
      </c>
      <c r="B142">
        <v>49</v>
      </c>
      <c r="C142" t="s">
        <v>469</v>
      </c>
      <c r="D142" s="13" t="s">
        <v>912</v>
      </c>
      <c r="E142" s="1">
        <v>5.6916641234604999</v>
      </c>
      <c r="F142" s="1">
        <v>4.3709871590703102</v>
      </c>
      <c r="G142">
        <f>VLOOKUP(C142,'[1]phenotypes-895'!$A$2:$G$896,7,FALSE)</f>
        <v>98</v>
      </c>
      <c r="H142" s="1">
        <v>-9.5028237249751804E-2</v>
      </c>
      <c r="I142" s="1">
        <f>VLOOKUP(C142,'[1]phenotypes-895'!$A$2:$I$896,9,FALSE)</f>
        <v>0</v>
      </c>
      <c r="J142" s="1"/>
      <c r="K142" s="4">
        <v>0</v>
      </c>
      <c r="L142" s="1"/>
      <c r="M142" s="8">
        <v>0</v>
      </c>
      <c r="N142" s="1"/>
      <c r="O142">
        <v>0.79900000000000004</v>
      </c>
      <c r="P142" s="1"/>
      <c r="Q142" s="2">
        <v>-7.0000000000000007E-2</v>
      </c>
    </row>
    <row r="143" spans="1:17" x14ac:dyDescent="0.2">
      <c r="A143">
        <v>540</v>
      </c>
      <c r="B143">
        <v>26</v>
      </c>
      <c r="C143" t="s">
        <v>539</v>
      </c>
      <c r="D143" s="13" t="s">
        <v>913</v>
      </c>
      <c r="E143" s="1">
        <v>5.2068829097124896</v>
      </c>
      <c r="F143" s="1">
        <v>4.3706928684611297</v>
      </c>
      <c r="G143">
        <f>VLOOKUP(C143,'[1]phenotypes-895'!$A$2:$G$896,7,FALSE)</f>
        <v>67</v>
      </c>
      <c r="H143" s="1">
        <v>-5.7438368030618497E-2</v>
      </c>
      <c r="I143" s="1">
        <f>VLOOKUP(C143,'[1]phenotypes-895'!$A$2:$I$896,9,FALSE)</f>
        <v>0.50599359288076795</v>
      </c>
      <c r="J143" s="1"/>
      <c r="K143" s="4">
        <v>4.1573656379813437</v>
      </c>
      <c r="L143" s="1"/>
      <c r="M143" s="8">
        <v>1</v>
      </c>
      <c r="N143" s="1"/>
      <c r="O143">
        <v>1.238</v>
      </c>
      <c r="P143" s="1"/>
      <c r="Q143" s="2">
        <v>7.0000000000000007E-2</v>
      </c>
    </row>
    <row r="144" spans="1:17" x14ac:dyDescent="0.2">
      <c r="A144">
        <v>839</v>
      </c>
      <c r="B144">
        <v>37</v>
      </c>
      <c r="C144" t="s">
        <v>838</v>
      </c>
      <c r="D144" s="13" t="s">
        <v>913</v>
      </c>
      <c r="E144" s="1">
        <v>4.1498698358368999</v>
      </c>
      <c r="F144" s="1">
        <v>4.3579975165664999</v>
      </c>
      <c r="G144">
        <f>VLOOKUP(C144,'[1]phenotypes-895'!$A$2:$G$896,7,FALSE)</f>
        <v>98</v>
      </c>
      <c r="H144" s="1">
        <v>-4.5940918716607999E-2</v>
      </c>
      <c r="I144" s="1">
        <f>VLOOKUP(C144,'[1]phenotypes-895'!$A$2:$I$896,9,FALSE)</f>
        <v>0</v>
      </c>
      <c r="J144" s="1"/>
      <c r="K144" s="4">
        <v>0</v>
      </c>
      <c r="L144" s="1"/>
      <c r="M144" s="8">
        <v>0</v>
      </c>
      <c r="N144" s="1"/>
      <c r="O144">
        <v>1.224</v>
      </c>
      <c r="P144" s="1"/>
      <c r="Q144" s="2">
        <v>0.06</v>
      </c>
    </row>
    <row r="145" spans="1:17" x14ac:dyDescent="0.2">
      <c r="A145">
        <v>314</v>
      </c>
      <c r="B145">
        <v>39</v>
      </c>
      <c r="C145" t="s">
        <v>313</v>
      </c>
      <c r="D145" s="13" t="s">
        <v>913</v>
      </c>
      <c r="E145" s="1">
        <v>4.93914967544075</v>
      </c>
      <c r="F145" s="1">
        <v>4.3537348750087004</v>
      </c>
      <c r="G145">
        <f>VLOOKUP(C145,'[1]phenotypes-895'!$A$2:$G$896,7,FALSE)</f>
        <v>98</v>
      </c>
      <c r="H145" s="1">
        <v>-9.0243447789412998E-2</v>
      </c>
      <c r="I145" s="1">
        <f>VLOOKUP(C145,'[1]phenotypes-895'!$A$2:$I$896,9,FALSE)</f>
        <v>0</v>
      </c>
      <c r="J145" s="1"/>
      <c r="K145" s="4">
        <v>0</v>
      </c>
      <c r="L145" s="1"/>
      <c r="M145" s="8">
        <v>0</v>
      </c>
      <c r="N145" s="1"/>
      <c r="O145">
        <v>0.84199999999999997</v>
      </c>
      <c r="P145" s="1"/>
      <c r="Q145" s="2">
        <v>-0.06</v>
      </c>
    </row>
    <row r="146" spans="1:17" x14ac:dyDescent="0.2">
      <c r="A146">
        <v>449</v>
      </c>
      <c r="B146">
        <v>53</v>
      </c>
      <c r="C146" t="s">
        <v>448</v>
      </c>
      <c r="D146" s="13" t="s">
        <v>912</v>
      </c>
      <c r="E146" s="1">
        <v>2.7728239206459802</v>
      </c>
      <c r="F146" s="1">
        <v>4.2683215459233796</v>
      </c>
      <c r="G146">
        <f>VLOOKUP(C146,'[1]phenotypes-895'!$A$2:$G$896,7,FALSE)</f>
        <v>98</v>
      </c>
      <c r="H146" s="1">
        <v>-2.89037669866519E-2</v>
      </c>
      <c r="I146" s="1">
        <f>VLOOKUP(C146,'[1]phenotypes-895'!$A$2:$I$896,9,FALSE)</f>
        <v>0</v>
      </c>
      <c r="J146" s="1"/>
      <c r="K146" s="4">
        <v>0</v>
      </c>
      <c r="L146" s="1"/>
      <c r="M146" s="8">
        <v>0</v>
      </c>
      <c r="N146" s="1"/>
      <c r="O146">
        <v>0.64800000000000002</v>
      </c>
      <c r="P146" s="1"/>
      <c r="Q146" s="2">
        <v>-0.14000000000000001</v>
      </c>
    </row>
    <row r="147" spans="1:17" x14ac:dyDescent="0.2">
      <c r="A147">
        <v>698</v>
      </c>
      <c r="B147">
        <v>27</v>
      </c>
      <c r="C147" t="s">
        <v>697</v>
      </c>
      <c r="D147" s="13" t="s">
        <v>913</v>
      </c>
      <c r="E147" s="1">
        <v>2.51988159154938</v>
      </c>
      <c r="F147" s="1">
        <v>4.2626206397946298</v>
      </c>
      <c r="G147">
        <f>VLOOKUP(C147,'[1]phenotypes-895'!$A$2:$G$896,7,FALSE)</f>
        <v>98</v>
      </c>
      <c r="H147" s="1">
        <v>-5.46747973752328E-2</v>
      </c>
      <c r="I147" s="1">
        <f>VLOOKUP(C147,'[1]phenotypes-895'!$A$2:$I$896,9,FALSE)</f>
        <v>0</v>
      </c>
      <c r="J147" s="1"/>
      <c r="K147" s="4">
        <v>0</v>
      </c>
      <c r="L147" s="1"/>
      <c r="M147" s="8">
        <v>0</v>
      </c>
      <c r="N147" s="1"/>
      <c r="O147">
        <v>1.0389999999999999</v>
      </c>
      <c r="P147" s="1"/>
      <c r="Q147" s="2">
        <v>0.01</v>
      </c>
    </row>
    <row r="148" spans="1:17" x14ac:dyDescent="0.2">
      <c r="A148">
        <v>777</v>
      </c>
      <c r="B148">
        <v>39</v>
      </c>
      <c r="C148" t="s">
        <v>776</v>
      </c>
      <c r="D148" s="13" t="s">
        <v>913</v>
      </c>
      <c r="E148" s="1">
        <v>4.4507370903114403</v>
      </c>
      <c r="F148" s="1">
        <v>4.2491681670174</v>
      </c>
      <c r="G148">
        <f>VLOOKUP(C148,'[1]phenotypes-895'!$A$2:$G$896,7,FALSE)</f>
        <v>98</v>
      </c>
      <c r="H148" s="1">
        <v>-7.7795302581673303E-2</v>
      </c>
      <c r="I148" s="1">
        <f>VLOOKUP(C148,'[1]phenotypes-895'!$A$2:$I$896,9,FALSE)</f>
        <v>0</v>
      </c>
      <c r="J148" s="1"/>
      <c r="K148" s="4">
        <v>0</v>
      </c>
      <c r="L148" s="1"/>
      <c r="M148" s="8">
        <v>0</v>
      </c>
      <c r="N148" s="1"/>
      <c r="O148">
        <v>0.90600000000000003</v>
      </c>
      <c r="P148" s="1"/>
      <c r="Q148" s="2">
        <v>-0.03</v>
      </c>
    </row>
    <row r="149" spans="1:17" x14ac:dyDescent="0.2">
      <c r="A149">
        <v>226</v>
      </c>
      <c r="B149">
        <v>25</v>
      </c>
      <c r="C149" t="s">
        <v>225</v>
      </c>
      <c r="D149" s="13" t="s">
        <v>913</v>
      </c>
      <c r="E149" s="1">
        <v>5.37518509359204</v>
      </c>
      <c r="F149" s="1">
        <v>4.2486771222740698</v>
      </c>
      <c r="G149">
        <f>VLOOKUP(C149,'[1]phenotypes-895'!$A$2:$G$896,7,FALSE)</f>
        <v>98</v>
      </c>
      <c r="H149" s="1">
        <v>-8.1274595899870197E-2</v>
      </c>
      <c r="I149" s="1">
        <f>VLOOKUP(C149,'[1]phenotypes-895'!$A$2:$I$896,9,FALSE)</f>
        <v>0</v>
      </c>
      <c r="J149" s="1"/>
      <c r="K149" s="4">
        <v>0</v>
      </c>
      <c r="L149" s="1"/>
      <c r="M149" s="8">
        <v>0</v>
      </c>
      <c r="N149" s="1"/>
      <c r="O149">
        <v>1.0489999999999999</v>
      </c>
      <c r="P149" s="1"/>
      <c r="Q149" s="2">
        <v>0.02</v>
      </c>
    </row>
    <row r="150" spans="1:17" x14ac:dyDescent="0.2">
      <c r="A150">
        <v>889</v>
      </c>
      <c r="B150">
        <v>24</v>
      </c>
      <c r="C150" t="s">
        <v>888</v>
      </c>
      <c r="D150" s="13" t="s">
        <v>913</v>
      </c>
      <c r="E150" s="1">
        <v>5.1940670170655103</v>
      </c>
      <c r="F150" s="1">
        <v>4.2092591831531703</v>
      </c>
      <c r="G150">
        <f>VLOOKUP(C150,'[1]phenotypes-895'!$A$2:$G$896,7,FALSE)</f>
        <v>80</v>
      </c>
      <c r="H150" s="1">
        <v>-9.0600797223631804E-2</v>
      </c>
      <c r="I150" s="1">
        <f>VLOOKUP(C150,'[1]phenotypes-895'!$A$2:$I$896,9,FALSE)</f>
        <v>0.46657610918557768</v>
      </c>
      <c r="J150" s="1"/>
      <c r="K150" s="4">
        <v>3.4843156970147988</v>
      </c>
      <c r="L150" s="1"/>
      <c r="M150" s="8">
        <v>1</v>
      </c>
      <c r="N150" s="1"/>
      <c r="O150">
        <v>1.319</v>
      </c>
      <c r="P150" s="1"/>
      <c r="Q150" s="2">
        <v>0.08</v>
      </c>
    </row>
    <row r="151" spans="1:17" x14ac:dyDescent="0.2">
      <c r="A151">
        <v>747</v>
      </c>
      <c r="B151">
        <v>22</v>
      </c>
      <c r="C151" t="s">
        <v>746</v>
      </c>
      <c r="D151" s="13" t="s">
        <v>913</v>
      </c>
      <c r="E151" s="1">
        <v>5.4782983795923199</v>
      </c>
      <c r="F151" s="1">
        <v>4.1988628347237897</v>
      </c>
      <c r="G151">
        <f>VLOOKUP(C151,'[1]phenotypes-895'!$A$2:$G$896,7,FALSE)</f>
        <v>98</v>
      </c>
      <c r="H151" s="1">
        <v>-0.107743937192291</v>
      </c>
      <c r="I151" s="1">
        <f>VLOOKUP(C151,'[1]phenotypes-895'!$A$2:$I$896,9,FALSE)</f>
        <v>0</v>
      </c>
      <c r="J151" s="1"/>
      <c r="K151" s="4">
        <v>0</v>
      </c>
      <c r="L151" s="1"/>
      <c r="M151" s="8">
        <v>0</v>
      </c>
      <c r="N151" s="1"/>
      <c r="O151">
        <v>1.2470000000000001</v>
      </c>
      <c r="P151" s="1"/>
      <c r="Q151" s="2">
        <v>7.0000000000000007E-2</v>
      </c>
    </row>
    <row r="152" spans="1:17" x14ac:dyDescent="0.2">
      <c r="A152">
        <v>527</v>
      </c>
      <c r="B152">
        <v>26</v>
      </c>
      <c r="C152" t="s">
        <v>526</v>
      </c>
      <c r="D152" s="13" t="s">
        <v>913</v>
      </c>
      <c r="E152" s="1">
        <v>4.9736785885558197</v>
      </c>
      <c r="F152" s="1">
        <v>4.1965279835073801</v>
      </c>
      <c r="G152">
        <f>VLOOKUP(C152,'[1]phenotypes-895'!$A$2:$G$896,7,FALSE)</f>
        <v>68</v>
      </c>
      <c r="H152" s="1">
        <v>-4.6276645831059199E-2</v>
      </c>
      <c r="I152" s="1">
        <f>VLOOKUP(C152,'[1]phenotypes-895'!$A$2:$I$896,9,FALSE)</f>
        <v>0.60562034307865975</v>
      </c>
      <c r="J152" s="1"/>
      <c r="K152" s="4">
        <v>4.5280533721238596</v>
      </c>
      <c r="L152" s="1"/>
      <c r="M152" s="8">
        <v>1</v>
      </c>
      <c r="N152" s="1"/>
      <c r="O152">
        <v>1.198</v>
      </c>
      <c r="P152" s="1"/>
      <c r="Q152" s="2">
        <v>0.06</v>
      </c>
    </row>
    <row r="153" spans="1:17" x14ac:dyDescent="0.2">
      <c r="A153">
        <v>216</v>
      </c>
      <c r="B153">
        <v>44</v>
      </c>
      <c r="C153" t="s">
        <v>215</v>
      </c>
      <c r="D153" s="13" t="s">
        <v>912</v>
      </c>
      <c r="E153" s="1">
        <v>2.2468457349944502</v>
      </c>
      <c r="F153" s="1">
        <v>4.1905079532218803</v>
      </c>
      <c r="G153">
        <f>VLOOKUP(C153,'[1]phenotypes-895'!$A$2:$G$896,7,FALSE)</f>
        <v>62</v>
      </c>
      <c r="H153" s="1">
        <v>-8.3422862411132004E-2</v>
      </c>
      <c r="I153" s="1">
        <f>VLOOKUP(C153,'[1]phenotypes-895'!$A$2:$I$896,9,FALSE)</f>
        <v>0.34912474985027531</v>
      </c>
      <c r="J153" s="1"/>
      <c r="K153" s="4">
        <v>4.1694972090482345</v>
      </c>
      <c r="L153" s="1"/>
      <c r="M153" s="8">
        <v>1</v>
      </c>
      <c r="N153" s="1"/>
      <c r="O153">
        <v>0.71699999999999997</v>
      </c>
      <c r="P153" s="1"/>
      <c r="Q153" s="2">
        <v>-0.11</v>
      </c>
    </row>
    <row r="154" spans="1:17" x14ac:dyDescent="0.2">
      <c r="A154">
        <v>549</v>
      </c>
      <c r="B154">
        <v>39</v>
      </c>
      <c r="C154" t="s">
        <v>548</v>
      </c>
      <c r="D154" s="13" t="s">
        <v>913</v>
      </c>
      <c r="E154" s="1">
        <v>2.8868558965041</v>
      </c>
      <c r="F154" s="1">
        <v>4.1897235313970302</v>
      </c>
      <c r="G154">
        <f>VLOOKUP(C154,'[1]phenotypes-895'!$A$2:$G$896,7,FALSE)</f>
        <v>98</v>
      </c>
      <c r="H154" s="1">
        <v>-3.3858328754674497E-2</v>
      </c>
      <c r="I154" s="1">
        <f>VLOOKUP(C154,'[1]phenotypes-895'!$A$2:$I$896,9,FALSE)</f>
        <v>0</v>
      </c>
      <c r="J154" s="1"/>
      <c r="K154" s="4">
        <v>0</v>
      </c>
      <c r="L154" s="1"/>
      <c r="M154" s="8">
        <v>0</v>
      </c>
      <c r="N154" s="1"/>
      <c r="O154">
        <v>1.04</v>
      </c>
      <c r="P154" s="1"/>
      <c r="Q154" s="2">
        <v>0.01</v>
      </c>
    </row>
    <row r="155" spans="1:17" x14ac:dyDescent="0.2">
      <c r="A155">
        <v>569</v>
      </c>
      <c r="B155">
        <v>40</v>
      </c>
      <c r="C155" t="s">
        <v>568</v>
      </c>
      <c r="D155" s="13" t="s">
        <v>913</v>
      </c>
      <c r="E155" s="1">
        <v>4.7999807386093298</v>
      </c>
      <c r="F155" s="1">
        <v>4.1734343101936799</v>
      </c>
      <c r="G155">
        <f>VLOOKUP(C155,'[1]phenotypes-895'!$A$2:$G$896,7,FALSE)</f>
        <v>98</v>
      </c>
      <c r="H155" s="1">
        <v>-0.101493503692396</v>
      </c>
      <c r="I155" s="1">
        <f>VLOOKUP(C155,'[1]phenotypes-895'!$A$2:$I$896,9,FALSE)</f>
        <v>0</v>
      </c>
      <c r="J155" s="1"/>
      <c r="K155" s="4">
        <v>0</v>
      </c>
      <c r="L155" s="1"/>
      <c r="M155" s="8">
        <v>0</v>
      </c>
      <c r="N155" s="1"/>
      <c r="O155">
        <v>1.105</v>
      </c>
      <c r="P155" s="1"/>
      <c r="Q155" s="2">
        <v>0.03</v>
      </c>
    </row>
    <row r="156" spans="1:17" x14ac:dyDescent="0.2">
      <c r="A156">
        <v>663</v>
      </c>
      <c r="B156">
        <v>42</v>
      </c>
      <c r="C156" t="s">
        <v>662</v>
      </c>
      <c r="D156" s="13" t="s">
        <v>912</v>
      </c>
      <c r="E156" s="1">
        <v>1.94842292172364</v>
      </c>
      <c r="F156" s="1">
        <v>4.1701195353703504</v>
      </c>
      <c r="G156">
        <f>VLOOKUP(C156,'[1]phenotypes-895'!$A$2:$G$896,7,FALSE)</f>
        <v>98</v>
      </c>
      <c r="H156" s="1">
        <v>-2.2004542565676102E-2</v>
      </c>
      <c r="I156" s="1">
        <f>VLOOKUP(C156,'[1]phenotypes-895'!$A$2:$I$896,9,FALSE)</f>
        <v>0.38019587651258219</v>
      </c>
      <c r="J156" s="1"/>
      <c r="K156" s="4">
        <v>4.5880178467353963</v>
      </c>
      <c r="L156" s="1"/>
      <c r="M156" s="8">
        <v>1</v>
      </c>
      <c r="N156" s="1"/>
      <c r="O156">
        <v>0.80800000000000005</v>
      </c>
      <c r="P156" s="1"/>
      <c r="Q156" s="2">
        <v>-7.0000000000000007E-2</v>
      </c>
    </row>
    <row r="157" spans="1:17" x14ac:dyDescent="0.2">
      <c r="A157">
        <v>261</v>
      </c>
      <c r="B157">
        <v>42</v>
      </c>
      <c r="C157" t="s">
        <v>260</v>
      </c>
      <c r="D157" s="13" t="s">
        <v>912</v>
      </c>
      <c r="E157" s="1">
        <v>1.5337632343313601</v>
      </c>
      <c r="F157" s="1">
        <v>4.16268036774024</v>
      </c>
      <c r="G157">
        <f>VLOOKUP(C157,'[1]phenotypes-895'!$A$2:$G$896,7,FALSE)</f>
        <v>71</v>
      </c>
      <c r="H157" s="1">
        <v>2.14950410665848E-2</v>
      </c>
      <c r="I157" s="1">
        <f>VLOOKUP(C157,'[1]phenotypes-895'!$A$2:$I$896,9,FALSE)</f>
        <v>0.34823437310703781</v>
      </c>
      <c r="J157" s="1"/>
      <c r="K157" s="4">
        <v>4.3188731202104753</v>
      </c>
      <c r="L157" s="1"/>
      <c r="M157" s="8">
        <v>1</v>
      </c>
      <c r="N157" s="1"/>
      <c r="O157">
        <v>0.88100000000000001</v>
      </c>
      <c r="P157" s="1"/>
      <c r="Q157" s="2">
        <v>-0.04</v>
      </c>
    </row>
    <row r="158" spans="1:17" x14ac:dyDescent="0.2">
      <c r="A158">
        <v>814</v>
      </c>
      <c r="B158">
        <v>50</v>
      </c>
      <c r="C158" t="s">
        <v>813</v>
      </c>
      <c r="D158" s="13" t="s">
        <v>912</v>
      </c>
      <c r="E158" s="1">
        <v>1.5355540555075999</v>
      </c>
      <c r="F158" s="1">
        <v>4.1554979244961601</v>
      </c>
      <c r="G158">
        <f>VLOOKUP(C158,'[1]phenotypes-895'!$A$2:$G$896,7,FALSE)</f>
        <v>79</v>
      </c>
      <c r="H158" s="1">
        <v>-6.5170669090554197E-3</v>
      </c>
      <c r="I158" s="1">
        <f>VLOOKUP(C158,'[1]phenotypes-895'!$A$2:$I$896,9,FALSE)</f>
        <v>0.40925525828141418</v>
      </c>
      <c r="J158" s="1"/>
      <c r="K158" s="4">
        <v>4.2924285910746276</v>
      </c>
      <c r="L158" s="1"/>
      <c r="M158" s="8">
        <v>1</v>
      </c>
      <c r="N158" s="1"/>
      <c r="O158">
        <v>0.52200000000000002</v>
      </c>
      <c r="P158" s="1"/>
      <c r="Q158" s="2">
        <v>-0.22</v>
      </c>
    </row>
    <row r="159" spans="1:17" x14ac:dyDescent="0.2">
      <c r="A159">
        <v>362</v>
      </c>
      <c r="B159">
        <v>36</v>
      </c>
      <c r="C159" t="s">
        <v>361</v>
      </c>
      <c r="D159" s="13" t="s">
        <v>913</v>
      </c>
      <c r="E159" s="1">
        <v>4.9528341797584003</v>
      </c>
      <c r="F159" s="1">
        <v>4.1371596676485698</v>
      </c>
      <c r="G159">
        <f>VLOOKUP(C159,'[1]phenotypes-895'!$A$2:$G$896,7,FALSE)</f>
        <v>98</v>
      </c>
      <c r="H159" s="1">
        <v>-5.0666212597840203E-2</v>
      </c>
      <c r="I159" s="1">
        <f>VLOOKUP(C159,'[1]phenotypes-895'!$A$2:$I$896,9,FALSE)</f>
        <v>0</v>
      </c>
      <c r="J159" s="1"/>
      <c r="K159" s="4">
        <v>0</v>
      </c>
      <c r="L159" s="1"/>
      <c r="M159" s="8">
        <v>0</v>
      </c>
      <c r="N159" s="1"/>
      <c r="O159">
        <v>1.35</v>
      </c>
      <c r="P159" s="1"/>
      <c r="Q159" s="2">
        <v>0.09</v>
      </c>
    </row>
    <row r="160" spans="1:17" x14ac:dyDescent="0.2">
      <c r="A160">
        <v>593</v>
      </c>
      <c r="B160">
        <v>45</v>
      </c>
      <c r="C160" t="s">
        <v>592</v>
      </c>
      <c r="D160" s="13" t="s">
        <v>912</v>
      </c>
      <c r="E160" s="1">
        <v>2.1255791499530501</v>
      </c>
      <c r="F160" s="1">
        <v>4.1292034318860296</v>
      </c>
      <c r="G160">
        <f>VLOOKUP(C160,'[1]phenotypes-895'!$A$2:$G$896,7,FALSE)</f>
        <v>81</v>
      </c>
      <c r="H160" s="1">
        <v>-3.7896074865595597E-2</v>
      </c>
      <c r="I160" s="1">
        <f>VLOOKUP(C160,'[1]phenotypes-895'!$A$2:$I$896,9,FALSE)</f>
        <v>0.35616625836234528</v>
      </c>
      <c r="J160" s="1"/>
      <c r="K160" s="4">
        <v>3.2638996942817577</v>
      </c>
      <c r="L160" s="1"/>
      <c r="M160" s="8">
        <v>1</v>
      </c>
      <c r="N160" s="1"/>
      <c r="O160">
        <v>0.65500000000000003</v>
      </c>
      <c r="P160" s="1"/>
      <c r="Q160" s="2">
        <v>-0.14000000000000001</v>
      </c>
    </row>
    <row r="161" spans="1:17" x14ac:dyDescent="0.2">
      <c r="A161">
        <v>344</v>
      </c>
      <c r="B161">
        <v>50</v>
      </c>
      <c r="C161" t="s">
        <v>343</v>
      </c>
      <c r="D161" s="13" t="s">
        <v>912</v>
      </c>
      <c r="E161" s="1">
        <v>1.3351841152911601</v>
      </c>
      <c r="F161" s="1">
        <v>4.11820452266661</v>
      </c>
      <c r="G161">
        <f>VLOOKUP(C161,'[1]phenotypes-895'!$A$2:$G$896,7,FALSE)</f>
        <v>98</v>
      </c>
      <c r="H161" s="1">
        <v>-5.14810588305184E-3</v>
      </c>
      <c r="I161" s="1">
        <f>VLOOKUP(C161,'[1]phenotypes-895'!$A$2:$I$896,9,FALSE)</f>
        <v>0.22800800991986911</v>
      </c>
      <c r="J161" s="1"/>
      <c r="K161" s="4">
        <v>3.7714901976265307</v>
      </c>
      <c r="L161" s="1"/>
      <c r="M161" s="8">
        <v>1</v>
      </c>
      <c r="N161" s="1"/>
      <c r="O161">
        <v>0.61699999999999999</v>
      </c>
      <c r="P161" s="1"/>
      <c r="Q161" s="2">
        <v>-0.16</v>
      </c>
    </row>
    <row r="162" spans="1:17" x14ac:dyDescent="0.2">
      <c r="A162">
        <v>595</v>
      </c>
      <c r="B162">
        <v>25</v>
      </c>
      <c r="C162" t="s">
        <v>594</v>
      </c>
      <c r="D162" s="13" t="s">
        <v>913</v>
      </c>
      <c r="E162" s="1">
        <v>5.2341247252837899</v>
      </c>
      <c r="F162" s="1">
        <v>4.11596195426183</v>
      </c>
      <c r="G162">
        <f>VLOOKUP(C162,'[1]phenotypes-895'!$A$2:$G$896,7,FALSE)</f>
        <v>98</v>
      </c>
      <c r="H162" s="1">
        <v>-0.103373113847777</v>
      </c>
      <c r="I162" s="1">
        <f>VLOOKUP(C162,'[1]phenotypes-895'!$A$2:$I$896,9,FALSE)</f>
        <v>0</v>
      </c>
      <c r="J162" s="1"/>
      <c r="K162" s="4">
        <v>0</v>
      </c>
      <c r="L162" s="1"/>
      <c r="M162" s="8">
        <v>0</v>
      </c>
      <c r="N162" s="1"/>
      <c r="O162">
        <v>0.97299999999999998</v>
      </c>
      <c r="P162" s="1"/>
      <c r="Q162" s="2">
        <v>-0.01</v>
      </c>
    </row>
    <row r="163" spans="1:17" x14ac:dyDescent="0.2">
      <c r="A163">
        <v>320</v>
      </c>
      <c r="B163">
        <v>8</v>
      </c>
      <c r="C163" t="s">
        <v>319</v>
      </c>
      <c r="D163" s="12" t="s">
        <v>913</v>
      </c>
      <c r="E163" s="1">
        <v>5.4447044291841902</v>
      </c>
      <c r="F163" s="1">
        <v>4.0920339499113503</v>
      </c>
      <c r="G163">
        <f>VLOOKUP(C163,'[1]phenotypes-895'!$A$2:$G$896,7,FALSE)</f>
        <v>98</v>
      </c>
      <c r="H163" s="1">
        <v>-3.1230525327400099E-2</v>
      </c>
      <c r="I163" s="1">
        <f>VLOOKUP(C163,'[1]phenotypes-895'!$A$2:$I$896,9,FALSE)</f>
        <v>0.31580077526682099</v>
      </c>
      <c r="J163" s="1"/>
      <c r="K163" s="4">
        <v>3.9198381413404739</v>
      </c>
      <c r="L163" s="1"/>
      <c r="M163" s="8">
        <v>1</v>
      </c>
      <c r="N163" s="1"/>
      <c r="O163" s="6">
        <v>0.89100000000000001</v>
      </c>
      <c r="P163" s="1"/>
      <c r="Q163" s="7">
        <v>-0.04</v>
      </c>
    </row>
    <row r="164" spans="1:17" x14ac:dyDescent="0.2">
      <c r="A164">
        <v>608</v>
      </c>
      <c r="B164">
        <v>36</v>
      </c>
      <c r="C164" t="s">
        <v>607</v>
      </c>
      <c r="D164" s="13" t="s">
        <v>913</v>
      </c>
      <c r="E164" s="1">
        <v>2.7085345847634201</v>
      </c>
      <c r="F164" s="1">
        <v>4.0881081368638696</v>
      </c>
      <c r="G164">
        <f>VLOOKUP(C164,'[1]phenotypes-895'!$A$2:$G$896,7,FALSE)</f>
        <v>98</v>
      </c>
      <c r="H164" s="1">
        <v>-5.94222492166495E-2</v>
      </c>
      <c r="I164" s="1">
        <f>VLOOKUP(C164,'[1]phenotypes-895'!$A$2:$I$896,9,FALSE)</f>
        <v>0.23186478874809269</v>
      </c>
      <c r="J164" s="1"/>
      <c r="K164" s="4">
        <v>3.1623136816052435</v>
      </c>
      <c r="L164" s="1"/>
      <c r="M164" s="8">
        <v>1</v>
      </c>
      <c r="N164" s="1"/>
      <c r="O164">
        <v>0.52100000000000002</v>
      </c>
      <c r="P164" s="1"/>
      <c r="Q164" s="2">
        <v>-0.21</v>
      </c>
    </row>
    <row r="165" spans="1:17" x14ac:dyDescent="0.2">
      <c r="A165">
        <v>680</v>
      </c>
      <c r="B165">
        <v>35</v>
      </c>
      <c r="C165" t="s">
        <v>679</v>
      </c>
      <c r="D165" s="13" t="s">
        <v>913</v>
      </c>
      <c r="E165" s="1">
        <v>3.6073165697479701</v>
      </c>
      <c r="F165" s="1">
        <v>4.08389893259484</v>
      </c>
      <c r="G165">
        <f>VLOOKUP(C165,'[1]phenotypes-895'!$A$2:$G$896,7,FALSE)</f>
        <v>98</v>
      </c>
      <c r="H165" s="1">
        <v>-6.4973551068674307E-2</v>
      </c>
      <c r="I165" s="1">
        <f>VLOOKUP(C165,'[1]phenotypes-895'!$A$2:$I$896,9,FALSE)</f>
        <v>0</v>
      </c>
      <c r="J165" s="1"/>
      <c r="K165" s="4">
        <v>0</v>
      </c>
      <c r="L165" s="1"/>
      <c r="M165" s="8">
        <v>0</v>
      </c>
      <c r="N165" s="1"/>
      <c r="O165">
        <v>1.0009999999999999</v>
      </c>
      <c r="P165" s="1"/>
      <c r="Q165" s="2">
        <v>0</v>
      </c>
    </row>
    <row r="166" spans="1:17" x14ac:dyDescent="0.2">
      <c r="A166">
        <v>626</v>
      </c>
      <c r="B166">
        <v>27</v>
      </c>
      <c r="C166" t="s">
        <v>625</v>
      </c>
      <c r="D166" s="13" t="s">
        <v>913</v>
      </c>
      <c r="E166" s="1">
        <v>4.5608465193971197</v>
      </c>
      <c r="F166" s="1">
        <v>4.0647574000649298</v>
      </c>
      <c r="G166">
        <f>VLOOKUP(C166,'[1]phenotypes-895'!$A$2:$G$896,7,FALSE)</f>
        <v>70</v>
      </c>
      <c r="H166" s="1">
        <v>-2.39844361824216E-2</v>
      </c>
      <c r="I166" s="1">
        <f>VLOOKUP(C166,'[1]phenotypes-895'!$A$2:$I$896,9,FALSE)</f>
        <v>0.59779795698478777</v>
      </c>
      <c r="J166" s="1"/>
      <c r="K166" s="4">
        <v>4.7581503227145223</v>
      </c>
      <c r="L166" s="1"/>
      <c r="M166" s="8">
        <v>1</v>
      </c>
      <c r="N166" s="1"/>
      <c r="O166">
        <v>1.022</v>
      </c>
      <c r="P166" s="1"/>
      <c r="Q166" s="2">
        <v>0.01</v>
      </c>
    </row>
    <row r="167" spans="1:17" x14ac:dyDescent="0.2">
      <c r="A167">
        <v>45</v>
      </c>
      <c r="B167">
        <v>20</v>
      </c>
      <c r="C167" t="s">
        <v>44</v>
      </c>
      <c r="D167" s="12" t="s">
        <v>912</v>
      </c>
      <c r="E167" s="1">
        <v>3.0303065068277499</v>
      </c>
      <c r="F167" s="1">
        <v>4.0574794056141004</v>
      </c>
      <c r="G167">
        <f>VLOOKUP(C167,'[1]phenotypes-895'!$A$2:$G$896,7,FALSE)</f>
        <v>98</v>
      </c>
      <c r="H167" s="1">
        <v>-4.7861672652853099E-2</v>
      </c>
      <c r="I167" s="1">
        <f>VLOOKUP(C167,'[1]phenotypes-895'!$A$2:$I$896,9,FALSE)</f>
        <v>0</v>
      </c>
      <c r="J167" s="1"/>
      <c r="K167" s="4">
        <v>0</v>
      </c>
      <c r="L167" s="1"/>
      <c r="M167" s="8">
        <v>0</v>
      </c>
      <c r="N167" s="1"/>
      <c r="O167" s="6">
        <v>0.98399999999999999</v>
      </c>
      <c r="P167" s="1"/>
      <c r="Q167" s="7">
        <v>-0.01</v>
      </c>
    </row>
    <row r="168" spans="1:17" x14ac:dyDescent="0.2">
      <c r="A168">
        <v>653</v>
      </c>
      <c r="B168">
        <v>23</v>
      </c>
      <c r="C168" t="s">
        <v>652</v>
      </c>
      <c r="D168" s="13" t="s">
        <v>913</v>
      </c>
      <c r="E168" s="1">
        <v>2.4777014512406099</v>
      </c>
      <c r="F168" s="1">
        <v>4.0549588146336397</v>
      </c>
      <c r="G168">
        <f>VLOOKUP(C168,'[1]phenotypes-895'!$A$2:$G$896,7,FALSE)</f>
        <v>98</v>
      </c>
      <c r="H168" s="1">
        <v>-6.3842755956855096E-2</v>
      </c>
      <c r="I168" s="1">
        <f>VLOOKUP(C168,'[1]phenotypes-895'!$A$2:$I$896,9,FALSE)</f>
        <v>0</v>
      </c>
      <c r="J168" s="1"/>
      <c r="K168" s="4">
        <v>0</v>
      </c>
      <c r="L168" s="1"/>
      <c r="M168" s="8">
        <v>0</v>
      </c>
      <c r="N168" s="1"/>
      <c r="O168">
        <v>1.2829999999999999</v>
      </c>
      <c r="P168" s="1"/>
      <c r="Q168" s="2">
        <v>0.08</v>
      </c>
    </row>
    <row r="169" spans="1:17" x14ac:dyDescent="0.2">
      <c r="A169">
        <v>85</v>
      </c>
      <c r="B169">
        <v>8</v>
      </c>
      <c r="C169" t="s">
        <v>84</v>
      </c>
      <c r="D169" s="12" t="s">
        <v>913</v>
      </c>
      <c r="E169" s="1">
        <v>5.3699863539380397</v>
      </c>
      <c r="F169" s="1">
        <v>4.0545620221990903</v>
      </c>
      <c r="G169">
        <f>VLOOKUP(C169,'[1]phenotypes-895'!$A$2:$G$896,7,FALSE)</f>
        <v>98</v>
      </c>
      <c r="H169" s="1">
        <v>-5.3715440414002003E-2</v>
      </c>
      <c r="I169" s="1">
        <f>VLOOKUP(C169,'[1]phenotypes-895'!$A$2:$I$896,9,FALSE)</f>
        <v>0</v>
      </c>
      <c r="J169" s="1"/>
      <c r="K169" s="4">
        <v>0</v>
      </c>
      <c r="L169" s="1"/>
      <c r="M169" s="8">
        <v>0</v>
      </c>
      <c r="N169" s="1"/>
      <c r="O169" s="6">
        <v>0.93300000000000005</v>
      </c>
      <c r="P169" s="1"/>
      <c r="Q169" s="7">
        <v>-0.02</v>
      </c>
    </row>
    <row r="170" spans="1:17" x14ac:dyDescent="0.2">
      <c r="A170">
        <v>456</v>
      </c>
      <c r="B170">
        <v>53</v>
      </c>
      <c r="C170" t="s">
        <v>455</v>
      </c>
      <c r="D170" s="13" t="s">
        <v>912</v>
      </c>
      <c r="E170" s="1">
        <v>1.52335665660538</v>
      </c>
      <c r="F170" s="1">
        <v>4.0474303280938404</v>
      </c>
      <c r="G170">
        <f>VLOOKUP(C170,'[1]phenotypes-895'!$A$2:$G$896,7,FALSE)</f>
        <v>98</v>
      </c>
      <c r="H170" s="1">
        <v>-5.6167797609174099E-2</v>
      </c>
      <c r="I170" s="1">
        <f>VLOOKUP(C170,'[1]phenotypes-895'!$A$2:$I$896,9,FALSE)</f>
        <v>0</v>
      </c>
      <c r="J170" s="1"/>
      <c r="K170" s="4">
        <v>0</v>
      </c>
      <c r="L170" s="1"/>
      <c r="M170" s="8">
        <v>0</v>
      </c>
      <c r="N170" s="1"/>
      <c r="O170">
        <v>0.80400000000000005</v>
      </c>
      <c r="P170" s="1"/>
      <c r="Q170" s="2">
        <v>-7.0000000000000007E-2</v>
      </c>
    </row>
    <row r="171" spans="1:17" x14ac:dyDescent="0.2">
      <c r="A171">
        <v>873</v>
      </c>
      <c r="B171">
        <v>31</v>
      </c>
      <c r="C171" t="s">
        <v>872</v>
      </c>
      <c r="D171" s="13" t="s">
        <v>913</v>
      </c>
      <c r="E171" s="1">
        <v>4.2060871034916198</v>
      </c>
      <c r="F171" s="1">
        <v>4.0372885263542404</v>
      </c>
      <c r="G171">
        <f>VLOOKUP(C171,'[1]phenotypes-895'!$A$2:$G$896,7,FALSE)</f>
        <v>98</v>
      </c>
      <c r="H171" s="1">
        <v>-3.0042691474160301E-2</v>
      </c>
      <c r="I171" s="1">
        <f>VLOOKUP(C171,'[1]phenotypes-895'!$A$2:$I$896,9,FALSE)</f>
        <v>0</v>
      </c>
      <c r="J171" s="1"/>
      <c r="K171" s="4">
        <v>0</v>
      </c>
      <c r="L171" s="1"/>
      <c r="M171" s="8">
        <v>0</v>
      </c>
      <c r="N171" s="1"/>
      <c r="O171">
        <v>1.0029999999999999</v>
      </c>
      <c r="P171" s="1"/>
      <c r="Q171" s="2">
        <v>0</v>
      </c>
    </row>
    <row r="172" spans="1:17" x14ac:dyDescent="0.2">
      <c r="A172">
        <v>797</v>
      </c>
      <c r="B172">
        <v>21</v>
      </c>
      <c r="C172" t="s">
        <v>796</v>
      </c>
      <c r="D172" s="13" t="s">
        <v>913</v>
      </c>
      <c r="E172" s="1">
        <v>4.5491566693590002</v>
      </c>
      <c r="F172" s="1">
        <v>4.0362047543390602</v>
      </c>
      <c r="G172">
        <f>VLOOKUP(C172,'[1]phenotypes-895'!$A$2:$G$896,7,FALSE)</f>
        <v>98</v>
      </c>
      <c r="H172" s="1">
        <v>-8.4525073854958693E-2</v>
      </c>
      <c r="I172" s="1">
        <f>VLOOKUP(C172,'[1]phenotypes-895'!$A$2:$I$896,9,FALSE)</f>
        <v>0</v>
      </c>
      <c r="J172" s="1"/>
      <c r="K172" s="4">
        <v>0</v>
      </c>
      <c r="L172" s="1"/>
      <c r="M172" s="8">
        <v>0</v>
      </c>
      <c r="N172" s="1"/>
      <c r="O172">
        <v>1.145</v>
      </c>
      <c r="P172" s="1"/>
      <c r="Q172" s="2">
        <v>0.04</v>
      </c>
    </row>
    <row r="173" spans="1:17" x14ac:dyDescent="0.2">
      <c r="A173">
        <v>791</v>
      </c>
      <c r="B173">
        <v>25</v>
      </c>
      <c r="C173" t="s">
        <v>790</v>
      </c>
      <c r="D173" s="13" t="s">
        <v>913</v>
      </c>
      <c r="E173" s="1">
        <v>4.2289158718849302</v>
      </c>
      <c r="F173" s="1">
        <v>4.0300089923045599</v>
      </c>
      <c r="G173">
        <f>VLOOKUP(C173,'[1]phenotypes-895'!$A$2:$G$896,7,FALSE)</f>
        <v>98</v>
      </c>
      <c r="H173" s="1">
        <v>-5.4925455417866503E-2</v>
      </c>
      <c r="I173" s="1">
        <f>VLOOKUP(C173,'[1]phenotypes-895'!$A$2:$I$896,9,FALSE)</f>
        <v>0</v>
      </c>
      <c r="J173" s="1"/>
      <c r="K173" s="4">
        <v>0</v>
      </c>
      <c r="L173" s="1"/>
      <c r="M173" s="8">
        <v>0</v>
      </c>
      <c r="N173" s="1"/>
      <c r="O173">
        <v>0.96399999999999997</v>
      </c>
      <c r="P173" s="1"/>
      <c r="Q173" s="2">
        <v>-0.01</v>
      </c>
    </row>
    <row r="174" spans="1:17" x14ac:dyDescent="0.2">
      <c r="A174">
        <v>672</v>
      </c>
      <c r="B174">
        <v>49</v>
      </c>
      <c r="C174" t="s">
        <v>671</v>
      </c>
      <c r="D174" s="13" t="s">
        <v>912</v>
      </c>
      <c r="E174" s="1">
        <v>2.0471683531638498</v>
      </c>
      <c r="F174" s="1">
        <v>4.0264801322807902</v>
      </c>
      <c r="G174">
        <f>VLOOKUP(C174,'[1]phenotypes-895'!$A$2:$G$896,7,FALSE)</f>
        <v>98</v>
      </c>
      <c r="H174" s="1">
        <v>-1.2267297530297301E-2</v>
      </c>
      <c r="I174" s="1">
        <f>VLOOKUP(C174,'[1]phenotypes-895'!$A$2:$I$896,9,FALSE)</f>
        <v>0.37585889046872811</v>
      </c>
      <c r="J174" s="1"/>
      <c r="K174" s="4">
        <v>3.5260362356544128</v>
      </c>
      <c r="L174" s="1"/>
      <c r="M174" s="8">
        <v>1</v>
      </c>
      <c r="N174" s="1"/>
      <c r="O174">
        <v>0.68799999999999994</v>
      </c>
      <c r="P174" s="1"/>
      <c r="Q174" s="2">
        <v>-0.13</v>
      </c>
    </row>
    <row r="175" spans="1:17" x14ac:dyDescent="0.2">
      <c r="A175">
        <v>649</v>
      </c>
      <c r="B175">
        <v>39</v>
      </c>
      <c r="C175" t="s">
        <v>648</v>
      </c>
      <c r="D175" s="13" t="s">
        <v>913</v>
      </c>
      <c r="E175" s="1">
        <v>5.4315951113172698</v>
      </c>
      <c r="F175" s="1">
        <v>4.0239232972541403</v>
      </c>
      <c r="G175">
        <f>VLOOKUP(C175,'[1]phenotypes-895'!$A$2:$G$896,7,FALSE)</f>
        <v>98</v>
      </c>
      <c r="H175" s="1">
        <v>-7.2131555370931702E-2</v>
      </c>
      <c r="I175" s="1">
        <f>VLOOKUP(C175,'[1]phenotypes-895'!$A$2:$I$896,9,FALSE)</f>
        <v>0</v>
      </c>
      <c r="J175" s="1"/>
      <c r="K175" s="4">
        <v>0</v>
      </c>
      <c r="L175" s="1"/>
      <c r="M175" s="8">
        <v>0</v>
      </c>
      <c r="N175" s="1"/>
      <c r="O175">
        <v>1.099</v>
      </c>
      <c r="P175" s="1"/>
      <c r="Q175" s="2">
        <v>0.03</v>
      </c>
    </row>
    <row r="176" spans="1:17" x14ac:dyDescent="0.2">
      <c r="A176">
        <v>621</v>
      </c>
      <c r="B176">
        <v>25</v>
      </c>
      <c r="C176" t="s">
        <v>620</v>
      </c>
      <c r="D176" s="13" t="s">
        <v>913</v>
      </c>
      <c r="E176" s="1">
        <v>4.4239950818857299</v>
      </c>
      <c r="F176" s="1">
        <v>3.9917592289895198</v>
      </c>
      <c r="G176">
        <f>VLOOKUP(C176,'[1]phenotypes-895'!$A$2:$G$896,7,FALSE)</f>
        <v>94</v>
      </c>
      <c r="H176" s="1">
        <v>-5.1634881141466298E-2</v>
      </c>
      <c r="I176" s="1">
        <f>VLOOKUP(C176,'[1]phenotypes-895'!$A$2:$I$896,9,FALSE)</f>
        <v>0.25558443053730628</v>
      </c>
      <c r="J176" s="1"/>
      <c r="K176" s="4">
        <v>4.1997997801790703</v>
      </c>
      <c r="L176" s="1"/>
      <c r="M176" s="8">
        <v>1</v>
      </c>
      <c r="N176" s="1"/>
      <c r="O176">
        <v>1.1930000000000001</v>
      </c>
      <c r="P176" s="1"/>
      <c r="Q176" s="2">
        <v>0.06</v>
      </c>
    </row>
    <row r="177" spans="1:17" x14ac:dyDescent="0.2">
      <c r="A177">
        <v>697</v>
      </c>
      <c r="B177">
        <v>39</v>
      </c>
      <c r="C177" t="s">
        <v>696</v>
      </c>
      <c r="D177" s="13" t="s">
        <v>913</v>
      </c>
      <c r="E177" s="1">
        <v>5.3274406481817804</v>
      </c>
      <c r="F177" s="1">
        <v>3.9832383286831301</v>
      </c>
      <c r="G177">
        <f>VLOOKUP(C177,'[1]phenotypes-895'!$A$2:$G$896,7,FALSE)</f>
        <v>98</v>
      </c>
      <c r="H177" s="1">
        <v>-8.8593175895562107E-2</v>
      </c>
      <c r="I177" s="1">
        <f>VLOOKUP(C177,'[1]phenotypes-895'!$A$2:$I$896,9,FALSE)</f>
        <v>0</v>
      </c>
      <c r="J177" s="1"/>
      <c r="K177" s="4">
        <v>0</v>
      </c>
      <c r="L177" s="1"/>
      <c r="M177" s="8">
        <v>0</v>
      </c>
      <c r="N177" s="1"/>
      <c r="O177">
        <v>1.032</v>
      </c>
      <c r="P177" s="1"/>
      <c r="Q177" s="2">
        <v>0.01</v>
      </c>
    </row>
    <row r="178" spans="1:17" x14ac:dyDescent="0.2">
      <c r="A178">
        <v>641</v>
      </c>
      <c r="B178">
        <v>21</v>
      </c>
      <c r="C178" t="s">
        <v>640</v>
      </c>
      <c r="D178" s="13" t="s">
        <v>913</v>
      </c>
      <c r="E178" s="1">
        <v>2.1171969351331001</v>
      </c>
      <c r="F178" s="1">
        <v>3.9808432481913698</v>
      </c>
      <c r="G178">
        <f>VLOOKUP(C178,'[1]phenotypes-895'!$A$2:$G$896,7,FALSE)</f>
        <v>98</v>
      </c>
      <c r="H178" s="1">
        <v>-3.37013449884438E-2</v>
      </c>
      <c r="I178" s="1">
        <f>VLOOKUP(C178,'[1]phenotypes-895'!$A$2:$I$896,9,FALSE)</f>
        <v>0</v>
      </c>
      <c r="J178" s="1"/>
      <c r="K178" s="4">
        <v>0</v>
      </c>
      <c r="L178" s="1"/>
      <c r="M178" s="8">
        <v>0</v>
      </c>
      <c r="N178" s="1"/>
      <c r="O178">
        <v>1.1870000000000001</v>
      </c>
      <c r="P178" s="1"/>
      <c r="Q178" s="2">
        <v>0.05</v>
      </c>
    </row>
    <row r="179" spans="1:17" x14ac:dyDescent="0.2">
      <c r="A179">
        <v>354</v>
      </c>
      <c r="B179">
        <v>53</v>
      </c>
      <c r="C179" t="s">
        <v>353</v>
      </c>
      <c r="D179" s="13" t="s">
        <v>912</v>
      </c>
      <c r="E179" s="1">
        <v>1.9060658817665901</v>
      </c>
      <c r="F179" s="1">
        <v>3.9613469158484902</v>
      </c>
      <c r="G179">
        <f>VLOOKUP(C179,'[1]phenotypes-895'!$A$2:$G$896,7,FALSE)</f>
        <v>62</v>
      </c>
      <c r="H179" s="1">
        <v>-5.4887730486759101E-2</v>
      </c>
      <c r="I179" s="1">
        <f>VLOOKUP(C179,'[1]phenotypes-895'!$A$2:$I$896,9,FALSE)</f>
        <v>0.51399173358109262</v>
      </c>
      <c r="J179" s="1"/>
      <c r="K179" s="4">
        <v>3.8481041945551686</v>
      </c>
      <c r="L179" s="1"/>
      <c r="M179" s="8">
        <v>1</v>
      </c>
      <c r="N179" s="1"/>
      <c r="O179">
        <v>0.53100000000000003</v>
      </c>
      <c r="P179" s="1"/>
      <c r="Q179" s="2">
        <v>-0.21</v>
      </c>
    </row>
    <row r="180" spans="1:17" x14ac:dyDescent="0.2">
      <c r="A180">
        <v>405</v>
      </c>
      <c r="B180">
        <v>48</v>
      </c>
      <c r="C180" t="s">
        <v>404</v>
      </c>
      <c r="D180" s="13" t="s">
        <v>912</v>
      </c>
      <c r="E180" s="1">
        <v>4.5110025673214196</v>
      </c>
      <c r="F180" s="1">
        <v>3.9535652223487601</v>
      </c>
      <c r="G180">
        <f>VLOOKUP(C180,'[1]phenotypes-895'!$A$2:$G$896,7,FALSE)</f>
        <v>98</v>
      </c>
      <c r="H180" s="1">
        <v>-8.77157398198736E-2</v>
      </c>
      <c r="I180" s="1">
        <f>VLOOKUP(C180,'[1]phenotypes-895'!$A$2:$I$896,9,FALSE)</f>
        <v>0</v>
      </c>
      <c r="J180" s="1"/>
      <c r="K180" s="4">
        <v>0</v>
      </c>
      <c r="L180" s="1"/>
      <c r="M180" s="8">
        <v>0</v>
      </c>
      <c r="N180" s="1"/>
      <c r="O180">
        <v>0.81399999999999995</v>
      </c>
      <c r="P180" s="1"/>
      <c r="Q180" s="2">
        <v>-7.0000000000000007E-2</v>
      </c>
    </row>
    <row r="181" spans="1:17" x14ac:dyDescent="0.2">
      <c r="A181">
        <v>255</v>
      </c>
      <c r="B181">
        <v>50</v>
      </c>
      <c r="C181" t="s">
        <v>254</v>
      </c>
      <c r="D181" s="13" t="s">
        <v>912</v>
      </c>
      <c r="E181" s="1">
        <v>1.48726725347162</v>
      </c>
      <c r="F181" s="1">
        <v>3.9526544555612202</v>
      </c>
      <c r="G181">
        <f>VLOOKUP(C181,'[1]phenotypes-895'!$A$2:$G$896,7,FALSE)</f>
        <v>79</v>
      </c>
      <c r="H181" s="1">
        <v>-3.1439621762274203E-2</v>
      </c>
      <c r="I181" s="1">
        <f>VLOOKUP(C181,'[1]phenotypes-895'!$A$2:$I$896,9,FALSE)</f>
        <v>0.37626339438349948</v>
      </c>
      <c r="J181" s="1"/>
      <c r="K181" s="4">
        <v>4.3448240944259018</v>
      </c>
      <c r="L181" s="1"/>
      <c r="M181" s="8">
        <v>1</v>
      </c>
      <c r="N181" s="1"/>
      <c r="O181">
        <v>0.498</v>
      </c>
      <c r="P181" s="1"/>
      <c r="Q181" s="2">
        <v>-0.24</v>
      </c>
    </row>
    <row r="182" spans="1:17" x14ac:dyDescent="0.2">
      <c r="A182">
        <v>443</v>
      </c>
      <c r="B182">
        <v>29</v>
      </c>
      <c r="C182" t="s">
        <v>442</v>
      </c>
      <c r="D182" s="13" t="s">
        <v>913</v>
      </c>
      <c r="E182" s="1">
        <v>5.4602834169780996</v>
      </c>
      <c r="F182" s="1">
        <v>3.9396022339609398</v>
      </c>
      <c r="G182">
        <f>VLOOKUP(C182,'[1]phenotypes-895'!$A$2:$G$896,7,FALSE)</f>
        <v>98</v>
      </c>
      <c r="H182" s="1">
        <v>-6.3493846949309596E-2</v>
      </c>
      <c r="I182" s="1">
        <f>VLOOKUP(C182,'[1]phenotypes-895'!$A$2:$I$896,9,FALSE)</f>
        <v>0</v>
      </c>
      <c r="J182" s="1"/>
      <c r="K182" s="4">
        <v>0</v>
      </c>
      <c r="L182" s="1"/>
      <c r="M182" s="8">
        <v>0</v>
      </c>
      <c r="N182" s="1"/>
      <c r="O182">
        <v>0.77600000000000002</v>
      </c>
      <c r="P182" s="1"/>
      <c r="Q182" s="2">
        <v>-0.08</v>
      </c>
    </row>
    <row r="183" spans="1:17" x14ac:dyDescent="0.2">
      <c r="A183">
        <v>588</v>
      </c>
      <c r="B183">
        <v>37</v>
      </c>
      <c r="C183" t="s">
        <v>587</v>
      </c>
      <c r="D183" s="13" t="s">
        <v>913</v>
      </c>
      <c r="E183" s="1">
        <v>4.6206751161469999</v>
      </c>
      <c r="F183" s="1">
        <v>3.92708474630111</v>
      </c>
      <c r="G183">
        <f>VLOOKUP(C183,'[1]phenotypes-895'!$A$2:$G$896,7,FALSE)</f>
        <v>50</v>
      </c>
      <c r="H183" s="1">
        <v>-8.6785191364242995E-2</v>
      </c>
      <c r="I183" s="1">
        <f>VLOOKUP(C183,'[1]phenotypes-895'!$A$2:$I$896,9,FALSE)</f>
        <v>0.46213208965169422</v>
      </c>
      <c r="J183" s="1"/>
      <c r="K183" s="4">
        <v>3.1832873541892694</v>
      </c>
      <c r="L183" s="1"/>
      <c r="M183" s="8">
        <v>1</v>
      </c>
      <c r="N183" s="1"/>
      <c r="O183">
        <v>1.137</v>
      </c>
      <c r="P183" s="1"/>
      <c r="Q183" s="2">
        <v>0.04</v>
      </c>
    </row>
    <row r="184" spans="1:17" x14ac:dyDescent="0.2">
      <c r="A184">
        <v>813</v>
      </c>
      <c r="B184">
        <v>23</v>
      </c>
      <c r="C184" t="s">
        <v>812</v>
      </c>
      <c r="D184" s="13" t="s">
        <v>913</v>
      </c>
      <c r="E184" s="1">
        <v>3.9189538498796299</v>
      </c>
      <c r="F184" s="1">
        <v>3.9073680675667499</v>
      </c>
      <c r="G184">
        <f>VLOOKUP(C184,'[1]phenotypes-895'!$A$2:$G$896,7,FALSE)</f>
        <v>89</v>
      </c>
      <c r="H184" s="1">
        <v>-5.1713816867793402E-2</v>
      </c>
      <c r="I184" s="1">
        <f>VLOOKUP(C184,'[1]phenotypes-895'!$A$2:$I$896,9,FALSE)</f>
        <v>0.31088728489938661</v>
      </c>
      <c r="J184" s="1"/>
      <c r="K184" s="4">
        <v>4.8291131086249406</v>
      </c>
      <c r="L184" s="1"/>
      <c r="M184" s="8">
        <v>1</v>
      </c>
      <c r="N184" s="1"/>
      <c r="O184">
        <v>1.367</v>
      </c>
      <c r="P184" s="1"/>
      <c r="Q184" s="2">
        <v>0.09</v>
      </c>
    </row>
    <row r="185" spans="1:17" x14ac:dyDescent="0.2">
      <c r="A185">
        <v>799</v>
      </c>
      <c r="B185">
        <v>32</v>
      </c>
      <c r="C185" t="s">
        <v>798</v>
      </c>
      <c r="D185" s="13" t="s">
        <v>913</v>
      </c>
      <c r="E185" s="1">
        <v>4.6716735345931903</v>
      </c>
      <c r="F185" s="1">
        <v>3.90493000640395</v>
      </c>
      <c r="G185">
        <f>VLOOKUP(C185,'[1]phenotypes-895'!$A$2:$G$896,7,FALSE)</f>
        <v>98</v>
      </c>
      <c r="H185" s="1">
        <v>-0.108146965889869</v>
      </c>
      <c r="I185" s="1">
        <f>VLOOKUP(C185,'[1]phenotypes-895'!$A$2:$I$896,9,FALSE)</f>
        <v>0</v>
      </c>
      <c r="J185" s="1"/>
      <c r="K185" s="4">
        <v>0</v>
      </c>
      <c r="L185" s="1"/>
      <c r="M185" s="8">
        <v>0</v>
      </c>
      <c r="N185" s="1"/>
      <c r="O185">
        <v>1.0900000000000001</v>
      </c>
      <c r="P185" s="1"/>
      <c r="Q185" s="2">
        <v>0.03</v>
      </c>
    </row>
    <row r="186" spans="1:17" x14ac:dyDescent="0.2">
      <c r="A186">
        <v>658</v>
      </c>
      <c r="B186">
        <v>32</v>
      </c>
      <c r="C186" t="s">
        <v>657</v>
      </c>
      <c r="D186" s="13" t="s">
        <v>913</v>
      </c>
      <c r="E186" s="1">
        <v>2.3866920068514701</v>
      </c>
      <c r="F186" s="1">
        <v>3.8694428386644901</v>
      </c>
      <c r="G186">
        <f>VLOOKUP(C186,'[1]phenotypes-895'!$A$2:$G$896,7,FALSE)</f>
        <v>98</v>
      </c>
      <c r="H186" s="1">
        <v>-1.97128948238804E-2</v>
      </c>
      <c r="I186" s="1">
        <f>VLOOKUP(C186,'[1]phenotypes-895'!$A$2:$I$896,9,FALSE)</f>
        <v>0</v>
      </c>
      <c r="J186" s="1"/>
      <c r="K186" s="4">
        <v>0</v>
      </c>
      <c r="L186" s="1"/>
      <c r="M186" s="8">
        <v>0</v>
      </c>
      <c r="N186" s="1"/>
      <c r="O186">
        <v>1.1879999999999999</v>
      </c>
      <c r="P186" s="1"/>
      <c r="Q186" s="2">
        <v>0.05</v>
      </c>
    </row>
    <row r="187" spans="1:17" x14ac:dyDescent="0.2">
      <c r="A187">
        <v>869</v>
      </c>
      <c r="B187">
        <v>52</v>
      </c>
      <c r="C187" t="s">
        <v>868</v>
      </c>
      <c r="D187" s="13" t="s">
        <v>912</v>
      </c>
      <c r="E187" s="1">
        <v>4.0683570596656704</v>
      </c>
      <c r="F187" s="1">
        <v>3.85767957765021</v>
      </c>
      <c r="G187">
        <f>VLOOKUP(C187,'[1]phenotypes-895'!$A$2:$G$896,7,FALSE)</f>
        <v>74</v>
      </c>
      <c r="H187" s="1">
        <v>-5.0650732652305998E-2</v>
      </c>
      <c r="I187" s="1">
        <f>VLOOKUP(C187,'[1]phenotypes-895'!$A$2:$I$896,9,FALSE)</f>
        <v>0.46122642371119332</v>
      </c>
      <c r="J187" s="1"/>
      <c r="K187" s="4">
        <v>3.9075591881090292</v>
      </c>
      <c r="L187" s="1"/>
      <c r="M187" s="8">
        <v>1</v>
      </c>
      <c r="N187" s="1"/>
      <c r="O187">
        <v>0.54600000000000004</v>
      </c>
      <c r="P187" s="1"/>
      <c r="Q187" s="2">
        <v>-0.2</v>
      </c>
    </row>
    <row r="188" spans="1:17" x14ac:dyDescent="0.2">
      <c r="A188">
        <v>170</v>
      </c>
      <c r="B188">
        <v>8</v>
      </c>
      <c r="C188" t="s">
        <v>169</v>
      </c>
      <c r="D188" s="12" t="s">
        <v>913</v>
      </c>
      <c r="E188" s="1">
        <v>5.5144966926882697</v>
      </c>
      <c r="F188" s="1">
        <v>3.8267863785895302</v>
      </c>
      <c r="G188">
        <f>VLOOKUP(C188,'[1]phenotypes-895'!$A$2:$G$896,7,FALSE)</f>
        <v>98</v>
      </c>
      <c r="H188" s="1">
        <v>-3.7644590900995097E-2</v>
      </c>
      <c r="I188" s="1">
        <f>VLOOKUP(C188,'[1]phenotypes-895'!$A$2:$I$896,9,FALSE)</f>
        <v>0</v>
      </c>
      <c r="J188" s="1"/>
      <c r="K188" s="4">
        <v>0</v>
      </c>
      <c r="L188" s="1"/>
      <c r="M188" s="8">
        <v>0</v>
      </c>
      <c r="N188" s="1"/>
      <c r="O188" s="6">
        <v>0.89600000000000002</v>
      </c>
      <c r="P188" s="1"/>
      <c r="Q188" s="7">
        <v>-0.04</v>
      </c>
    </row>
    <row r="189" spans="1:17" x14ac:dyDescent="0.2">
      <c r="A189">
        <v>808</v>
      </c>
      <c r="B189">
        <v>49</v>
      </c>
      <c r="C189" t="s">
        <v>807</v>
      </c>
      <c r="D189" s="13" t="s">
        <v>912</v>
      </c>
      <c r="E189" s="1">
        <v>1.9656332927644</v>
      </c>
      <c r="F189" s="1">
        <v>3.7988908838844702</v>
      </c>
      <c r="G189">
        <f>VLOOKUP(C189,'[1]phenotypes-895'!$A$2:$G$896,7,FALSE)</f>
        <v>98</v>
      </c>
      <c r="H189" s="1">
        <v>-2.6631347183899399E-2</v>
      </c>
      <c r="I189" s="1">
        <f>VLOOKUP(C189,'[1]phenotypes-895'!$A$2:$I$896,9,FALSE)</f>
        <v>0</v>
      </c>
      <c r="J189" s="1"/>
      <c r="K189" s="4">
        <v>0</v>
      </c>
      <c r="L189" s="1"/>
      <c r="M189" s="8">
        <v>0</v>
      </c>
      <c r="N189" s="1"/>
      <c r="O189">
        <v>0.51800000000000002</v>
      </c>
      <c r="P189" s="1"/>
      <c r="Q189" s="2">
        <v>-0.22</v>
      </c>
    </row>
    <row r="190" spans="1:17" x14ac:dyDescent="0.2">
      <c r="A190">
        <v>165</v>
      </c>
      <c r="B190">
        <v>50</v>
      </c>
      <c r="C190" t="s">
        <v>164</v>
      </c>
      <c r="D190" s="13" t="s">
        <v>912</v>
      </c>
      <c r="E190" s="1">
        <v>2.3864837078192802</v>
      </c>
      <c r="F190" s="1">
        <v>3.7918752451814202</v>
      </c>
      <c r="G190">
        <f>VLOOKUP(C190,'[1]phenotypes-895'!$A$2:$G$896,7,FALSE)</f>
        <v>98</v>
      </c>
      <c r="H190" s="1">
        <v>-3.92313375303898E-2</v>
      </c>
      <c r="I190" s="1">
        <f>VLOOKUP(C190,'[1]phenotypes-895'!$A$2:$I$896,9,FALSE)</f>
        <v>0</v>
      </c>
      <c r="J190" s="1"/>
      <c r="K190" s="4">
        <v>0</v>
      </c>
      <c r="L190" s="1"/>
      <c r="M190" s="8">
        <v>0</v>
      </c>
      <c r="N190" s="1"/>
      <c r="O190">
        <v>0.47499999999999998</v>
      </c>
      <c r="P190" s="1"/>
      <c r="Q190" s="2">
        <v>-0.25</v>
      </c>
    </row>
    <row r="191" spans="1:17" x14ac:dyDescent="0.2">
      <c r="A191">
        <v>763</v>
      </c>
      <c r="B191">
        <v>49</v>
      </c>
      <c r="C191" t="s">
        <v>762</v>
      </c>
      <c r="D191" s="13" t="s">
        <v>912</v>
      </c>
      <c r="E191" s="1">
        <v>1.9483658048441099</v>
      </c>
      <c r="F191" s="1">
        <v>3.7889246400130898</v>
      </c>
      <c r="G191">
        <f>VLOOKUP(C191,'[1]phenotypes-895'!$A$2:$G$896,7,FALSE)</f>
        <v>71</v>
      </c>
      <c r="H191" s="1">
        <v>-2.8705189696862001E-2</v>
      </c>
      <c r="I191" s="1">
        <f>VLOOKUP(C191,'[1]phenotypes-895'!$A$2:$I$896,9,FALSE)</f>
        <v>0.33400899633591552</v>
      </c>
      <c r="J191" s="1"/>
      <c r="K191" s="4">
        <v>4.467797874257327</v>
      </c>
      <c r="L191" s="1"/>
      <c r="M191" s="8">
        <v>1</v>
      </c>
      <c r="N191" s="1"/>
      <c r="O191">
        <v>0.75700000000000001</v>
      </c>
      <c r="P191" s="1"/>
      <c r="Q191" s="2">
        <v>-0.09</v>
      </c>
    </row>
    <row r="192" spans="1:17" x14ac:dyDescent="0.2">
      <c r="A192">
        <v>192</v>
      </c>
      <c r="B192">
        <v>8</v>
      </c>
      <c r="C192" t="s">
        <v>191</v>
      </c>
      <c r="D192" s="12" t="s">
        <v>913</v>
      </c>
      <c r="E192" s="1">
        <v>5.3654454431926899</v>
      </c>
      <c r="F192" s="1">
        <v>3.7841538999398701</v>
      </c>
      <c r="G192">
        <f>VLOOKUP(C192,'[1]phenotypes-895'!$A$2:$G$896,7,FALSE)</f>
        <v>98</v>
      </c>
      <c r="H192" s="1">
        <v>-5.51359965038936E-2</v>
      </c>
      <c r="I192" s="1">
        <f>VLOOKUP(C192,'[1]phenotypes-895'!$A$2:$I$896,9,FALSE)</f>
        <v>0</v>
      </c>
      <c r="J192" s="1"/>
      <c r="K192" s="4">
        <v>0</v>
      </c>
      <c r="L192" s="1"/>
      <c r="M192" s="8">
        <v>0</v>
      </c>
      <c r="N192" s="1"/>
      <c r="O192" s="6">
        <v>1.0249999999999999</v>
      </c>
      <c r="P192" s="1"/>
      <c r="Q192" s="7">
        <v>0.01</v>
      </c>
    </row>
    <row r="193" spans="1:17" x14ac:dyDescent="0.2">
      <c r="A193">
        <v>677</v>
      </c>
      <c r="B193">
        <v>31</v>
      </c>
      <c r="C193" t="s">
        <v>676</v>
      </c>
      <c r="D193" s="13" t="s">
        <v>913</v>
      </c>
      <c r="E193" s="1">
        <v>4.1849199610878101</v>
      </c>
      <c r="F193" s="1">
        <v>3.7746753089588299</v>
      </c>
      <c r="G193">
        <f>VLOOKUP(C193,'[1]phenotypes-895'!$A$2:$G$896,7,FALSE)</f>
        <v>86</v>
      </c>
      <c r="H193" s="1">
        <v>-1.13351791676889E-2</v>
      </c>
      <c r="I193" s="1">
        <f>VLOOKUP(C193,'[1]phenotypes-895'!$A$2:$I$896,9,FALSE)</f>
        <v>0.41868162736656439</v>
      </c>
      <c r="J193" s="1"/>
      <c r="K193" s="4">
        <v>4.5505170893414073</v>
      </c>
      <c r="L193" s="1"/>
      <c r="M193" s="8">
        <v>1</v>
      </c>
      <c r="N193" s="1"/>
      <c r="O193">
        <v>1.044</v>
      </c>
      <c r="P193" s="1"/>
      <c r="Q193" s="2">
        <v>0.01</v>
      </c>
    </row>
    <row r="194" spans="1:17" x14ac:dyDescent="0.2">
      <c r="A194">
        <v>537</v>
      </c>
      <c r="B194">
        <v>26</v>
      </c>
      <c r="C194" t="s">
        <v>536</v>
      </c>
      <c r="D194" s="13" t="s">
        <v>913</v>
      </c>
      <c r="E194" s="1">
        <v>4.6176089494121602</v>
      </c>
      <c r="F194" s="1">
        <v>3.7483434304190699</v>
      </c>
      <c r="G194">
        <f>VLOOKUP(C194,'[1]phenotypes-895'!$A$2:$G$896,7,FALSE)</f>
        <v>85</v>
      </c>
      <c r="H194" s="1">
        <v>-3.0687714940620999E-2</v>
      </c>
      <c r="I194" s="1">
        <f>VLOOKUP(C194,'[1]phenotypes-895'!$A$2:$I$896,9,FALSE)</f>
        <v>0.41887490970767421</v>
      </c>
      <c r="J194" s="1"/>
      <c r="K194" s="4">
        <v>4.7497736944481321</v>
      </c>
      <c r="L194" s="1"/>
      <c r="M194" s="8">
        <v>1</v>
      </c>
      <c r="N194" s="1"/>
      <c r="O194">
        <v>1.2490000000000001</v>
      </c>
      <c r="P194" s="1"/>
      <c r="Q194" s="2">
        <v>7.0000000000000007E-2</v>
      </c>
    </row>
    <row r="195" spans="1:17" x14ac:dyDescent="0.2">
      <c r="A195">
        <v>633</v>
      </c>
      <c r="B195">
        <v>23</v>
      </c>
      <c r="C195" t="s">
        <v>632</v>
      </c>
      <c r="D195" s="13" t="s">
        <v>913</v>
      </c>
      <c r="E195" s="1">
        <v>4.1479442200408503</v>
      </c>
      <c r="F195" s="1">
        <v>3.7428032902188799</v>
      </c>
      <c r="G195">
        <f>VLOOKUP(C195,'[1]phenotypes-895'!$A$2:$G$896,7,FALSE)</f>
        <v>98</v>
      </c>
      <c r="H195" s="1">
        <v>-7.5755244274069503E-2</v>
      </c>
      <c r="I195" s="1">
        <f>VLOOKUP(C195,'[1]phenotypes-895'!$A$2:$I$896,9,FALSE)</f>
        <v>-3.2703524897251868E-2</v>
      </c>
      <c r="J195" s="1"/>
      <c r="K195" s="4">
        <v>3.0714168175085099</v>
      </c>
      <c r="L195" s="1"/>
      <c r="M195" s="8">
        <v>1</v>
      </c>
      <c r="N195" s="1"/>
      <c r="O195">
        <v>1.073</v>
      </c>
      <c r="P195" s="1"/>
      <c r="Q195" s="2">
        <v>0.02</v>
      </c>
    </row>
    <row r="196" spans="1:17" x14ac:dyDescent="0.2">
      <c r="A196">
        <v>584</v>
      </c>
      <c r="B196">
        <v>46</v>
      </c>
      <c r="C196" t="s">
        <v>583</v>
      </c>
      <c r="D196" s="13" t="s">
        <v>912</v>
      </c>
      <c r="E196" s="1">
        <v>0.84866411643798201</v>
      </c>
      <c r="F196" s="1">
        <v>3.7426088280110799</v>
      </c>
      <c r="G196">
        <f>VLOOKUP(C196,'[1]phenotypes-895'!$A$2:$G$896,7,FALSE)</f>
        <v>98</v>
      </c>
      <c r="H196" s="1">
        <v>2.6787032927331301E-2</v>
      </c>
      <c r="I196" s="1">
        <f>VLOOKUP(C196,'[1]phenotypes-895'!$A$2:$I$896,9,FALSE)</f>
        <v>0.41846734080544967</v>
      </c>
      <c r="J196" s="1"/>
      <c r="K196" s="4">
        <v>4.032544365363921</v>
      </c>
      <c r="L196" s="1"/>
      <c r="M196" s="8">
        <v>1</v>
      </c>
      <c r="N196" s="1"/>
      <c r="O196">
        <v>0.54</v>
      </c>
      <c r="P196" s="1"/>
      <c r="Q196" s="2">
        <v>-0.21</v>
      </c>
    </row>
    <row r="197" spans="1:17" x14ac:dyDescent="0.2">
      <c r="A197">
        <v>643</v>
      </c>
      <c r="B197">
        <v>22</v>
      </c>
      <c r="C197" t="s">
        <v>642</v>
      </c>
      <c r="D197" s="13" t="s">
        <v>913</v>
      </c>
      <c r="E197" s="1">
        <v>3.54714076585595</v>
      </c>
      <c r="F197" s="1">
        <v>3.7367509435660802</v>
      </c>
      <c r="G197">
        <f>VLOOKUP(C197,'[1]phenotypes-895'!$A$2:$G$896,7,FALSE)</f>
        <v>98</v>
      </c>
      <c r="H197" s="1">
        <v>-3.1906501011254799E-2</v>
      </c>
      <c r="I197" s="1">
        <f>VLOOKUP(C197,'[1]phenotypes-895'!$A$2:$I$896,9,FALSE)</f>
        <v>0</v>
      </c>
      <c r="J197" s="1"/>
      <c r="K197" s="4">
        <v>0</v>
      </c>
      <c r="L197" s="1"/>
      <c r="M197" s="8">
        <v>0</v>
      </c>
      <c r="N197" s="1"/>
      <c r="O197">
        <v>0.98399999999999999</v>
      </c>
      <c r="P197" s="1"/>
      <c r="Q197" s="2">
        <v>-0.01</v>
      </c>
    </row>
    <row r="198" spans="1:17" x14ac:dyDescent="0.2">
      <c r="A198">
        <v>769</v>
      </c>
      <c r="B198">
        <v>45</v>
      </c>
      <c r="C198" t="s">
        <v>768</v>
      </c>
      <c r="D198" s="13" t="s">
        <v>912</v>
      </c>
      <c r="E198" s="1">
        <v>1.55804953393447</v>
      </c>
      <c r="F198" s="1">
        <v>3.7306367146553199</v>
      </c>
      <c r="G198">
        <f>VLOOKUP(C198,'[1]phenotypes-895'!$A$2:$G$896,7,FALSE)</f>
        <v>47</v>
      </c>
      <c r="H198" s="1">
        <v>-6.4390793319959602E-2</v>
      </c>
      <c r="I198" s="1">
        <f>VLOOKUP(C198,'[1]phenotypes-895'!$A$2:$I$896,9,FALSE)</f>
        <v>0.50918636374187165</v>
      </c>
      <c r="J198" s="1"/>
      <c r="K198" s="4">
        <v>3.1221711964288734</v>
      </c>
      <c r="L198" s="1"/>
      <c r="M198" s="8">
        <v>1</v>
      </c>
      <c r="N198" s="1"/>
      <c r="O198">
        <v>0.72599999999999998</v>
      </c>
      <c r="P198" s="1"/>
      <c r="Q198" s="2">
        <v>-0.11</v>
      </c>
    </row>
    <row r="199" spans="1:17" x14ac:dyDescent="0.2">
      <c r="A199">
        <v>803</v>
      </c>
      <c r="B199">
        <v>48</v>
      </c>
      <c r="C199" t="s">
        <v>802</v>
      </c>
      <c r="D199" s="13" t="s">
        <v>912</v>
      </c>
      <c r="E199" s="1">
        <v>1.8206916568754099</v>
      </c>
      <c r="F199" s="1">
        <v>3.7269135512755902</v>
      </c>
      <c r="G199">
        <f>VLOOKUP(C199,'[1]phenotypes-895'!$A$2:$G$896,7,FALSE)</f>
        <v>98</v>
      </c>
      <c r="H199" s="1">
        <v>-4.6122258173404297E-2</v>
      </c>
      <c r="I199" s="1">
        <f>VLOOKUP(C199,'[1]phenotypes-895'!$A$2:$I$896,9,FALSE)</f>
        <v>0.14442969736472669</v>
      </c>
      <c r="J199" s="1"/>
      <c r="K199" s="4">
        <v>3.9696950710626138</v>
      </c>
      <c r="L199" s="1"/>
      <c r="M199" s="8">
        <v>1</v>
      </c>
      <c r="N199" s="1"/>
      <c r="O199">
        <v>0.69099999999999995</v>
      </c>
      <c r="P199" s="1"/>
      <c r="Q199" s="2">
        <v>-0.12</v>
      </c>
    </row>
    <row r="200" spans="1:17" x14ac:dyDescent="0.2">
      <c r="A200">
        <v>503</v>
      </c>
      <c r="B200">
        <v>52</v>
      </c>
      <c r="C200" t="s">
        <v>502</v>
      </c>
      <c r="D200" s="13" t="s">
        <v>912</v>
      </c>
      <c r="E200" s="1">
        <v>4.4407835854763604</v>
      </c>
      <c r="F200" s="1">
        <v>3.7223836878641801</v>
      </c>
      <c r="G200">
        <f>VLOOKUP(C200,'[1]phenotypes-895'!$A$2:$G$896,7,FALSE)</f>
        <v>83</v>
      </c>
      <c r="H200" s="1">
        <v>-4.1836871561614503E-3</v>
      </c>
      <c r="I200" s="1">
        <f>VLOOKUP(C200,'[1]phenotypes-895'!$A$2:$I$896,9,FALSE)</f>
        <v>0.61705930084459315</v>
      </c>
      <c r="J200" s="1"/>
      <c r="K200" s="4">
        <v>5.6300419978026781</v>
      </c>
      <c r="L200" s="1"/>
      <c r="M200" s="8">
        <v>1</v>
      </c>
      <c r="N200" s="1"/>
      <c r="O200">
        <v>0.83399999999999996</v>
      </c>
      <c r="P200" s="1"/>
      <c r="Q200" s="2">
        <v>-0.06</v>
      </c>
    </row>
    <row r="201" spans="1:17" x14ac:dyDescent="0.2">
      <c r="A201">
        <v>394</v>
      </c>
      <c r="B201">
        <v>42</v>
      </c>
      <c r="C201" t="s">
        <v>393</v>
      </c>
      <c r="D201" s="13" t="s">
        <v>912</v>
      </c>
      <c r="E201" s="1">
        <v>3.0185937546367301</v>
      </c>
      <c r="F201" s="1">
        <v>3.68489103460151</v>
      </c>
      <c r="G201">
        <f>VLOOKUP(C201,'[1]phenotypes-895'!$A$2:$G$896,7,FALSE)</f>
        <v>98</v>
      </c>
      <c r="H201" s="1">
        <v>-3.7378389083600298E-2</v>
      </c>
      <c r="I201" s="1">
        <f>VLOOKUP(C201,'[1]phenotypes-895'!$A$2:$I$896,9,FALSE)</f>
        <v>0</v>
      </c>
      <c r="J201" s="1"/>
      <c r="K201" s="4">
        <v>0</v>
      </c>
      <c r="L201" s="1"/>
      <c r="M201" s="8">
        <v>0</v>
      </c>
      <c r="N201" s="1"/>
      <c r="O201">
        <v>0.79700000000000004</v>
      </c>
      <c r="P201" s="1"/>
      <c r="Q201" s="2">
        <v>-7.0000000000000007E-2</v>
      </c>
    </row>
    <row r="202" spans="1:17" x14ac:dyDescent="0.2">
      <c r="A202">
        <v>435</v>
      </c>
      <c r="B202">
        <v>42</v>
      </c>
      <c r="C202" t="s">
        <v>434</v>
      </c>
      <c r="D202" s="13" t="s">
        <v>912</v>
      </c>
      <c r="E202" s="1">
        <v>2.7805716890732501</v>
      </c>
      <c r="F202" s="1">
        <v>3.6733234024071901</v>
      </c>
      <c r="G202">
        <f>VLOOKUP(C202,'[1]phenotypes-895'!$A$2:$G$896,7,FALSE)</f>
        <v>98</v>
      </c>
      <c r="H202" s="1">
        <v>-4.4948805328008101E-2</v>
      </c>
      <c r="I202" s="1">
        <f>VLOOKUP(C202,'[1]phenotypes-895'!$A$2:$I$896,9,FALSE)</f>
        <v>-3.5212525183069478E-2</v>
      </c>
      <c r="J202" s="1"/>
      <c r="K202" s="4">
        <v>2.4517594005740366</v>
      </c>
      <c r="L202" s="1"/>
      <c r="M202" s="8">
        <v>1</v>
      </c>
      <c r="N202" s="1"/>
      <c r="O202">
        <v>0.80200000000000005</v>
      </c>
      <c r="P202" s="1"/>
      <c r="Q202" s="2">
        <v>-7.0000000000000007E-2</v>
      </c>
    </row>
    <row r="203" spans="1:17" x14ac:dyDescent="0.2">
      <c r="A203">
        <v>151</v>
      </c>
      <c r="B203">
        <v>12</v>
      </c>
      <c r="C203" t="s">
        <v>150</v>
      </c>
      <c r="D203" s="12" t="s">
        <v>912</v>
      </c>
      <c r="E203" s="1">
        <v>2.5406246411297499</v>
      </c>
      <c r="F203" s="1">
        <v>3.6713012739709501</v>
      </c>
      <c r="G203">
        <f>VLOOKUP(C203,'[1]phenotypes-895'!$A$2:$G$896,7,FALSE)</f>
        <v>98</v>
      </c>
      <c r="H203" s="1">
        <v>-4.4208103402381398E-2</v>
      </c>
      <c r="I203" s="1">
        <f>VLOOKUP(C203,'[1]phenotypes-895'!$A$2:$I$896,9,FALSE)</f>
        <v>0.26250305666094143</v>
      </c>
      <c r="J203" s="1"/>
      <c r="K203" s="4">
        <v>2.9592867776127072</v>
      </c>
      <c r="L203" s="1"/>
      <c r="M203" s="8">
        <v>1</v>
      </c>
      <c r="N203" s="1"/>
      <c r="O203" s="6">
        <v>0.78100000000000003</v>
      </c>
      <c r="P203" s="1"/>
      <c r="Q203" s="7">
        <v>-0.08</v>
      </c>
    </row>
    <row r="204" spans="1:17" x14ac:dyDescent="0.2">
      <c r="A204">
        <v>118</v>
      </c>
      <c r="B204">
        <v>12</v>
      </c>
      <c r="C204" t="s">
        <v>117</v>
      </c>
      <c r="D204" s="12" t="s">
        <v>912</v>
      </c>
      <c r="E204" s="1">
        <v>1.8976006241851</v>
      </c>
      <c r="F204" s="1">
        <v>3.64284665094904</v>
      </c>
      <c r="G204">
        <f>VLOOKUP(C204,'[1]phenotypes-895'!$A$2:$G$896,7,FALSE)</f>
        <v>98</v>
      </c>
      <c r="H204" s="1">
        <v>-4.65428426510777E-2</v>
      </c>
      <c r="I204" s="1">
        <f>VLOOKUP(C204,'[1]phenotypes-895'!$A$2:$I$896,9,FALSE)</f>
        <v>0</v>
      </c>
      <c r="J204" s="1"/>
      <c r="K204" s="4">
        <v>0</v>
      </c>
      <c r="L204" s="1"/>
      <c r="M204" s="8">
        <v>0</v>
      </c>
      <c r="N204" s="1"/>
      <c r="O204" s="6">
        <v>0.95399999999999996</v>
      </c>
      <c r="P204" s="1"/>
      <c r="Q204" s="7">
        <v>-0.02</v>
      </c>
    </row>
    <row r="205" spans="1:17" x14ac:dyDescent="0.2">
      <c r="A205">
        <v>445</v>
      </c>
      <c r="B205">
        <v>52</v>
      </c>
      <c r="C205" t="s">
        <v>444</v>
      </c>
      <c r="D205" s="13" t="s">
        <v>912</v>
      </c>
      <c r="E205" s="1">
        <v>2.32113676346161</v>
      </c>
      <c r="F205" s="1">
        <v>3.6018254135438101</v>
      </c>
      <c r="G205">
        <f>VLOOKUP(C205,'[1]phenotypes-895'!$A$2:$G$896,7,FALSE)</f>
        <v>85</v>
      </c>
      <c r="H205" s="1">
        <v>-1.7518852962251901E-2</v>
      </c>
      <c r="I205" s="1">
        <f>VLOOKUP(C205,'[1]phenotypes-895'!$A$2:$I$896,9,FALSE)</f>
        <v>0.43567405445917678</v>
      </c>
      <c r="J205" s="1"/>
      <c r="K205" s="4">
        <v>4.8525893353807064</v>
      </c>
      <c r="L205" s="1"/>
      <c r="M205" s="8">
        <v>1</v>
      </c>
      <c r="N205" s="1"/>
      <c r="O205">
        <v>0.84499999999999997</v>
      </c>
      <c r="P205" s="1"/>
      <c r="Q205" s="2">
        <v>-0.05</v>
      </c>
    </row>
    <row r="206" spans="1:17" x14ac:dyDescent="0.2">
      <c r="A206">
        <v>528</v>
      </c>
      <c r="B206">
        <v>49</v>
      </c>
      <c r="C206" t="s">
        <v>527</v>
      </c>
      <c r="D206" s="13" t="s">
        <v>912</v>
      </c>
      <c r="E206" s="1">
        <v>1.1845489042742301</v>
      </c>
      <c r="F206" s="1">
        <v>3.5902727512180501</v>
      </c>
      <c r="G206">
        <f>VLOOKUP(C206,'[1]phenotypes-895'!$A$2:$G$896,7,FALSE)</f>
        <v>78</v>
      </c>
      <c r="H206" s="1">
        <v>-1.5860806548886001E-3</v>
      </c>
      <c r="I206" s="1">
        <f>VLOOKUP(C206,'[1]phenotypes-895'!$A$2:$I$896,9,FALSE)</f>
        <v>0.32520575458984591</v>
      </c>
      <c r="J206" s="1"/>
      <c r="K206" s="4">
        <v>4.3128006881961829</v>
      </c>
      <c r="L206" s="1"/>
      <c r="M206" s="8">
        <v>1</v>
      </c>
      <c r="N206" s="1"/>
      <c r="O206">
        <v>0.76</v>
      </c>
      <c r="P206" s="1"/>
      <c r="Q206" s="2">
        <v>-0.09</v>
      </c>
    </row>
    <row r="207" spans="1:17" x14ac:dyDescent="0.2">
      <c r="A207">
        <v>27</v>
      </c>
      <c r="B207">
        <v>12</v>
      </c>
      <c r="C207" t="s">
        <v>26</v>
      </c>
      <c r="D207" s="12" t="s">
        <v>912</v>
      </c>
      <c r="E207" s="1">
        <v>1.7400191270799199</v>
      </c>
      <c r="F207" s="1">
        <v>3.5843891451609902</v>
      </c>
      <c r="G207">
        <f>VLOOKUP(C207,'[1]phenotypes-895'!$A$2:$G$896,7,FALSE)</f>
        <v>98</v>
      </c>
      <c r="H207" s="1">
        <v>-4.1378451328692403E-2</v>
      </c>
      <c r="I207" s="1">
        <f>VLOOKUP(C207,'[1]phenotypes-895'!$A$2:$I$896,9,FALSE)</f>
        <v>0</v>
      </c>
      <c r="J207" s="1"/>
      <c r="K207" s="4">
        <v>0</v>
      </c>
      <c r="L207" s="1"/>
      <c r="M207" s="8">
        <v>0</v>
      </c>
      <c r="N207" s="1"/>
      <c r="O207" s="6">
        <v>0.91400000000000003</v>
      </c>
      <c r="P207" s="1"/>
      <c r="Q207" s="7">
        <v>-0.03</v>
      </c>
    </row>
    <row r="208" spans="1:17" x14ac:dyDescent="0.2">
      <c r="A208">
        <v>683</v>
      </c>
      <c r="B208">
        <v>42</v>
      </c>
      <c r="C208" t="s">
        <v>682</v>
      </c>
      <c r="D208" s="13" t="s">
        <v>912</v>
      </c>
      <c r="E208" s="1">
        <v>1.77734131820049</v>
      </c>
      <c r="F208" s="1">
        <v>3.58388523373472</v>
      </c>
      <c r="G208">
        <f>VLOOKUP(C208,'[1]phenotypes-895'!$A$2:$G$896,7,FALSE)</f>
        <v>58</v>
      </c>
      <c r="H208" s="1">
        <v>-1.17069972254075E-2</v>
      </c>
      <c r="I208" s="1">
        <f>VLOOKUP(C208,'[1]phenotypes-895'!$A$2:$I$896,9,FALSE)</f>
        <v>0.55458494153389459</v>
      </c>
      <c r="J208" s="1"/>
      <c r="K208" s="4">
        <v>4.0546793305753956</v>
      </c>
      <c r="L208" s="1"/>
      <c r="M208" s="8">
        <v>1</v>
      </c>
      <c r="N208" s="1"/>
      <c r="O208">
        <v>0.75900000000000001</v>
      </c>
      <c r="P208" s="1"/>
      <c r="Q208" s="2">
        <v>-0.09</v>
      </c>
    </row>
    <row r="209" spans="1:17" x14ac:dyDescent="0.2">
      <c r="A209">
        <v>874</v>
      </c>
      <c r="B209">
        <v>50</v>
      </c>
      <c r="C209" t="s">
        <v>873</v>
      </c>
      <c r="D209" s="13" t="s">
        <v>912</v>
      </c>
      <c r="E209" s="1">
        <v>1.6817684247342299</v>
      </c>
      <c r="F209" s="1">
        <v>3.5815874084609098</v>
      </c>
      <c r="G209">
        <f>VLOOKUP(C209,'[1]phenotypes-895'!$A$2:$G$896,7,FALSE)</f>
        <v>80</v>
      </c>
      <c r="H209" s="1">
        <v>-4.0153123533917E-2</v>
      </c>
      <c r="I209" s="1">
        <f>VLOOKUP(C209,'[1]phenotypes-895'!$A$2:$I$896,9,FALSE)</f>
        <v>0.22765727611327319</v>
      </c>
      <c r="J209" s="1"/>
      <c r="K209" s="4">
        <v>3.9368706396988333</v>
      </c>
      <c r="L209" s="1"/>
      <c r="M209" s="8">
        <v>1</v>
      </c>
      <c r="N209" s="1"/>
      <c r="O209">
        <v>0.42699999999999999</v>
      </c>
      <c r="P209" s="1"/>
      <c r="Q209" s="2">
        <v>-0.28999999999999998</v>
      </c>
    </row>
    <row r="210" spans="1:17" x14ac:dyDescent="0.2">
      <c r="A210">
        <v>172</v>
      </c>
      <c r="B210">
        <v>11</v>
      </c>
      <c r="C210" t="s">
        <v>171</v>
      </c>
      <c r="D210" s="12" t="s">
        <v>912</v>
      </c>
      <c r="E210" s="1">
        <v>2.4872315355081702</v>
      </c>
      <c r="F210" s="1">
        <v>3.57230498017748</v>
      </c>
      <c r="G210">
        <f>VLOOKUP(C210,'[1]phenotypes-895'!$A$2:$G$896,7,FALSE)</f>
        <v>98</v>
      </c>
      <c r="H210" s="1">
        <v>-3.6368887982105698E-2</v>
      </c>
      <c r="I210" s="1">
        <f>VLOOKUP(C210,'[1]phenotypes-895'!$A$2:$I$896,9,FALSE)</f>
        <v>0</v>
      </c>
      <c r="J210" s="1"/>
      <c r="K210" s="4">
        <v>0</v>
      </c>
      <c r="L210" s="1"/>
      <c r="M210" s="8">
        <v>0</v>
      </c>
      <c r="N210" s="1"/>
      <c r="O210" s="6">
        <v>0.751</v>
      </c>
      <c r="P210" s="1"/>
      <c r="Q210" s="7">
        <v>-0.09</v>
      </c>
    </row>
    <row r="211" spans="1:17" x14ac:dyDescent="0.2">
      <c r="A211">
        <v>491</v>
      </c>
      <c r="B211">
        <v>46</v>
      </c>
      <c r="C211" t="s">
        <v>490</v>
      </c>
      <c r="D211" s="13" t="s">
        <v>912</v>
      </c>
      <c r="E211" s="1">
        <v>0.97583064186992896</v>
      </c>
      <c r="F211" s="1">
        <v>3.5536571610096099</v>
      </c>
      <c r="G211">
        <f>VLOOKUP(C211,'[1]phenotypes-895'!$A$2:$G$896,7,FALSE)</f>
        <v>80</v>
      </c>
      <c r="H211" s="1">
        <v>7.9429443868778895E-3</v>
      </c>
      <c r="I211" s="1">
        <f>VLOOKUP(C211,'[1]phenotypes-895'!$A$2:$I$896,9,FALSE)</f>
        <v>0.37776790423792428</v>
      </c>
      <c r="J211" s="1"/>
      <c r="K211" s="4">
        <v>3.8955764081870168</v>
      </c>
      <c r="L211" s="1"/>
      <c r="M211" s="8">
        <v>1</v>
      </c>
      <c r="N211" s="1"/>
      <c r="O211">
        <v>0.82299999999999995</v>
      </c>
      <c r="P211" s="1"/>
      <c r="Q211" s="2">
        <v>-0.06</v>
      </c>
    </row>
    <row r="212" spans="1:17" x14ac:dyDescent="0.2">
      <c r="A212">
        <v>765</v>
      </c>
      <c r="B212">
        <v>26</v>
      </c>
      <c r="C212" t="s">
        <v>764</v>
      </c>
      <c r="D212" s="13" t="s">
        <v>913</v>
      </c>
      <c r="E212" s="1">
        <v>4.1367334447853796</v>
      </c>
      <c r="F212" s="1">
        <v>3.5517481958058599</v>
      </c>
      <c r="G212">
        <f>VLOOKUP(C212,'[1]phenotypes-895'!$A$2:$G$896,7,FALSE)</f>
        <v>71</v>
      </c>
      <c r="H212" s="1">
        <v>-4.73230934950239E-2</v>
      </c>
      <c r="I212" s="1">
        <f>VLOOKUP(C212,'[1]phenotypes-895'!$A$2:$I$896,9,FALSE)</f>
        <v>0.46354026028331402</v>
      </c>
      <c r="J212" s="1"/>
      <c r="K212" s="4">
        <v>4.2098672920002214</v>
      </c>
      <c r="L212" s="1"/>
      <c r="M212" s="8">
        <v>1</v>
      </c>
      <c r="N212" s="1"/>
      <c r="O212">
        <v>1.1859999999999999</v>
      </c>
      <c r="P212" s="1"/>
      <c r="Q212" s="2">
        <v>0.05</v>
      </c>
    </row>
    <row r="213" spans="1:17" x14ac:dyDescent="0.2">
      <c r="A213">
        <v>489</v>
      </c>
      <c r="B213">
        <v>50</v>
      </c>
      <c r="C213" t="s">
        <v>488</v>
      </c>
      <c r="D213" s="13" t="s">
        <v>912</v>
      </c>
      <c r="E213" s="1">
        <v>0.86217588859304395</v>
      </c>
      <c r="F213" s="1">
        <v>3.5425899906459701</v>
      </c>
      <c r="G213">
        <f>VLOOKUP(C213,'[1]phenotypes-895'!$A$2:$G$896,7,FALSE)</f>
        <v>69</v>
      </c>
      <c r="H213" s="1">
        <v>1.9022260297218301E-2</v>
      </c>
      <c r="I213" s="1">
        <f>VLOOKUP(C213,'[1]phenotypes-895'!$A$2:$I$896,9,FALSE)</f>
        <v>0.6598322222044869</v>
      </c>
      <c r="J213" s="1"/>
      <c r="K213" s="4">
        <v>5.7194284918218736</v>
      </c>
      <c r="L213" s="1"/>
      <c r="M213" s="8">
        <v>1</v>
      </c>
      <c r="N213" s="1"/>
      <c r="O213">
        <v>0.81100000000000005</v>
      </c>
      <c r="P213" s="1"/>
      <c r="Q213" s="2">
        <v>-7.0000000000000007E-2</v>
      </c>
    </row>
    <row r="214" spans="1:17" x14ac:dyDescent="0.2">
      <c r="A214">
        <v>116</v>
      </c>
      <c r="B214">
        <v>8</v>
      </c>
      <c r="C214" t="s">
        <v>115</v>
      </c>
      <c r="D214" s="12" t="s">
        <v>913</v>
      </c>
      <c r="E214" s="1">
        <v>5.1232308990945601</v>
      </c>
      <c r="F214" s="1">
        <v>3.5350613811559799</v>
      </c>
      <c r="G214">
        <f>VLOOKUP(C214,'[1]phenotypes-895'!$A$2:$G$896,7,FALSE)</f>
        <v>98</v>
      </c>
      <c r="H214" s="1">
        <v>-2.98911378694037E-2</v>
      </c>
      <c r="I214" s="1">
        <f>VLOOKUP(C214,'[1]phenotypes-895'!$A$2:$I$896,9,FALSE)</f>
        <v>0.1152357926008398</v>
      </c>
      <c r="J214" s="1"/>
      <c r="K214" s="4">
        <v>1.8741261539247269</v>
      </c>
      <c r="L214" s="1"/>
      <c r="M214" s="8">
        <v>1</v>
      </c>
      <c r="N214" s="1"/>
      <c r="O214" s="6">
        <v>0.93300000000000005</v>
      </c>
      <c r="P214" s="1"/>
      <c r="Q214" s="7">
        <v>-0.02</v>
      </c>
    </row>
    <row r="215" spans="1:17" x14ac:dyDescent="0.2">
      <c r="A215">
        <v>142</v>
      </c>
      <c r="B215">
        <v>8</v>
      </c>
      <c r="C215" t="s">
        <v>141</v>
      </c>
      <c r="D215" s="12" t="s">
        <v>913</v>
      </c>
      <c r="E215" s="1">
        <v>5.2674588680485499</v>
      </c>
      <c r="F215" s="1">
        <v>3.5118596114352898</v>
      </c>
      <c r="G215">
        <f>VLOOKUP(C215,'[1]phenotypes-895'!$A$2:$G$896,7,FALSE)</f>
        <v>98</v>
      </c>
      <c r="H215" s="1">
        <v>-3.9147752266164799E-2</v>
      </c>
      <c r="I215" s="1">
        <f>VLOOKUP(C215,'[1]phenotypes-895'!$A$2:$I$896,9,FALSE)</f>
        <v>0</v>
      </c>
      <c r="J215" s="1"/>
      <c r="K215" s="4">
        <v>0</v>
      </c>
      <c r="L215" s="1"/>
      <c r="M215" s="8">
        <v>0</v>
      </c>
      <c r="N215" s="1"/>
      <c r="O215" s="6">
        <v>1.0780000000000001</v>
      </c>
      <c r="P215" s="1"/>
      <c r="Q215" s="7">
        <v>0.02</v>
      </c>
    </row>
    <row r="216" spans="1:17" x14ac:dyDescent="0.2">
      <c r="A216">
        <v>360</v>
      </c>
      <c r="B216">
        <v>27</v>
      </c>
      <c r="C216" t="s">
        <v>359</v>
      </c>
      <c r="D216" s="13" t="s">
        <v>913</v>
      </c>
      <c r="E216" s="1">
        <v>4.6570891236598602</v>
      </c>
      <c r="F216" s="1">
        <v>3.5074878047638198</v>
      </c>
      <c r="G216">
        <f>VLOOKUP(C216,'[1]phenotypes-895'!$A$2:$G$896,7,FALSE)</f>
        <v>98</v>
      </c>
      <c r="H216" s="1">
        <v>-5.4665064883594898E-2</v>
      </c>
      <c r="I216" s="1">
        <f>VLOOKUP(C216,'[1]phenotypes-895'!$A$2:$I$896,9,FALSE)</f>
        <v>0</v>
      </c>
      <c r="J216" s="1"/>
      <c r="K216" s="4">
        <v>0</v>
      </c>
      <c r="L216" s="1"/>
      <c r="M216" s="8">
        <v>0</v>
      </c>
      <c r="N216" s="1"/>
      <c r="O216">
        <v>1.0009999999999999</v>
      </c>
      <c r="P216" s="1"/>
      <c r="Q216" s="2">
        <v>0</v>
      </c>
    </row>
    <row r="217" spans="1:17" x14ac:dyDescent="0.2">
      <c r="A217">
        <v>762</v>
      </c>
      <c r="B217">
        <v>44</v>
      </c>
      <c r="C217" t="s">
        <v>761</v>
      </c>
      <c r="D217" s="13" t="s">
        <v>912</v>
      </c>
      <c r="E217" s="1">
        <v>0.97191250428488696</v>
      </c>
      <c r="F217" s="1">
        <v>3.4625274586285602</v>
      </c>
      <c r="G217">
        <f>VLOOKUP(C217,'[1]phenotypes-895'!$A$2:$G$896,7,FALSE)</f>
        <v>68</v>
      </c>
      <c r="H217" s="1">
        <v>-3.6753669881898203E-2</v>
      </c>
      <c r="I217" s="1">
        <f>VLOOKUP(C217,'[1]phenotypes-895'!$A$2:$I$896,9,FALSE)</f>
        <v>0.35656350168215611</v>
      </c>
      <c r="J217" s="1"/>
      <c r="K217" s="4">
        <v>4.8031840463259456</v>
      </c>
      <c r="L217" s="1"/>
      <c r="M217" s="8">
        <v>1</v>
      </c>
      <c r="N217" s="1"/>
      <c r="O217">
        <v>0.68200000000000005</v>
      </c>
      <c r="P217" s="1"/>
      <c r="Q217" s="2">
        <v>-0.13</v>
      </c>
    </row>
    <row r="218" spans="1:17" x14ac:dyDescent="0.2">
      <c r="A218">
        <v>741</v>
      </c>
      <c r="B218">
        <v>33</v>
      </c>
      <c r="C218" t="s">
        <v>740</v>
      </c>
      <c r="D218" s="13" t="s">
        <v>913</v>
      </c>
      <c r="E218" s="1">
        <v>3.0634118616870101</v>
      </c>
      <c r="F218" s="1">
        <v>3.4570717660713099</v>
      </c>
      <c r="G218">
        <f>VLOOKUP(C218,'[1]phenotypes-895'!$A$2:$G$896,7,FALSE)</f>
        <v>98</v>
      </c>
      <c r="H218" s="1">
        <v>-2.5933763948064799E-2</v>
      </c>
      <c r="I218" s="1">
        <f>VLOOKUP(C218,'[1]phenotypes-895'!$A$2:$I$896,9,FALSE)</f>
        <v>0</v>
      </c>
      <c r="J218" s="1"/>
      <c r="K218" s="4">
        <v>0</v>
      </c>
      <c r="L218" s="1"/>
      <c r="M218" s="8">
        <v>0</v>
      </c>
      <c r="N218" s="1"/>
      <c r="O218">
        <v>0.877</v>
      </c>
      <c r="P218" s="1"/>
      <c r="Q218" s="2">
        <v>-0.04</v>
      </c>
    </row>
    <row r="219" spans="1:17" x14ac:dyDescent="0.2">
      <c r="A219">
        <v>265</v>
      </c>
      <c r="B219">
        <v>47</v>
      </c>
      <c r="C219" t="s">
        <v>264</v>
      </c>
      <c r="D219" s="13" t="s">
        <v>912</v>
      </c>
      <c r="E219" s="1">
        <v>1.7114441153228701</v>
      </c>
      <c r="F219" s="1">
        <v>3.4510099986220499</v>
      </c>
      <c r="G219">
        <f>VLOOKUP(C219,'[1]phenotypes-895'!$A$2:$G$896,7,FALSE)</f>
        <v>98</v>
      </c>
      <c r="H219" s="1">
        <v>-2.0269049106598901E-2</v>
      </c>
      <c r="I219" s="1">
        <f>VLOOKUP(C219,'[1]phenotypes-895'!$A$2:$I$896,9,FALSE)</f>
        <v>0</v>
      </c>
      <c r="J219" s="1"/>
      <c r="K219" s="4">
        <v>0</v>
      </c>
      <c r="L219" s="1"/>
      <c r="M219" s="8">
        <v>0</v>
      </c>
      <c r="N219" s="1"/>
      <c r="O219">
        <v>0.78800000000000003</v>
      </c>
      <c r="P219" s="1"/>
      <c r="Q219" s="2">
        <v>-0.08</v>
      </c>
    </row>
    <row r="220" spans="1:17" x14ac:dyDescent="0.2">
      <c r="A220">
        <v>501</v>
      </c>
      <c r="B220">
        <v>49</v>
      </c>
      <c r="C220" t="s">
        <v>500</v>
      </c>
      <c r="D220" s="13" t="s">
        <v>912</v>
      </c>
      <c r="E220" s="1">
        <v>4.2361655504589901</v>
      </c>
      <c r="F220" s="1">
        <v>3.4393455467195699</v>
      </c>
      <c r="G220">
        <f>VLOOKUP(C220,'[1]phenotypes-895'!$A$2:$G$896,7,FALSE)</f>
        <v>98</v>
      </c>
      <c r="H220" s="1">
        <v>-2.1055576743532901E-2</v>
      </c>
      <c r="I220" s="1">
        <f>VLOOKUP(C220,'[1]phenotypes-895'!$A$2:$I$896,9,FALSE)</f>
        <v>0</v>
      </c>
      <c r="J220" s="1"/>
      <c r="K220" s="4">
        <v>0</v>
      </c>
      <c r="L220" s="1"/>
      <c r="M220" s="8">
        <v>0</v>
      </c>
      <c r="N220" s="1"/>
      <c r="O220">
        <v>0.77300000000000002</v>
      </c>
      <c r="P220" s="1"/>
      <c r="Q220" s="2">
        <v>-0.08</v>
      </c>
    </row>
    <row r="221" spans="1:17" x14ac:dyDescent="0.2">
      <c r="A221">
        <v>746</v>
      </c>
      <c r="B221">
        <v>21</v>
      </c>
      <c r="C221" t="s">
        <v>745</v>
      </c>
      <c r="D221" s="13" t="s">
        <v>913</v>
      </c>
      <c r="E221" s="1">
        <v>2.4847188920508598</v>
      </c>
      <c r="F221" s="1">
        <v>3.4318311797327699</v>
      </c>
      <c r="G221">
        <f>VLOOKUP(C221,'[1]phenotypes-895'!$A$2:$G$896,7,FALSE)</f>
        <v>98</v>
      </c>
      <c r="H221" s="1">
        <v>-4.8294867180419802E-2</v>
      </c>
      <c r="I221" s="1">
        <f>VLOOKUP(C221,'[1]phenotypes-895'!$A$2:$I$896,9,FALSE)</f>
        <v>0</v>
      </c>
      <c r="J221" s="1"/>
      <c r="K221" s="4">
        <v>0</v>
      </c>
      <c r="L221" s="1"/>
      <c r="M221" s="8">
        <v>0</v>
      </c>
      <c r="N221" s="1"/>
      <c r="O221">
        <v>1.089</v>
      </c>
      <c r="P221" s="1"/>
      <c r="Q221" s="2">
        <v>0.03</v>
      </c>
    </row>
    <row r="222" spans="1:17" x14ac:dyDescent="0.2">
      <c r="A222">
        <v>693</v>
      </c>
      <c r="B222">
        <v>47</v>
      </c>
      <c r="C222" t="s">
        <v>692</v>
      </c>
      <c r="D222" s="13" t="s">
        <v>912</v>
      </c>
      <c r="E222" s="1">
        <v>1.7261149481412099</v>
      </c>
      <c r="F222" s="1">
        <v>3.4203989203263401</v>
      </c>
      <c r="G222">
        <f>VLOOKUP(C222,'[1]phenotypes-895'!$A$2:$G$896,7,FALSE)</f>
        <v>78</v>
      </c>
      <c r="H222" s="1">
        <v>-1.38424834172812E-3</v>
      </c>
      <c r="I222" s="1">
        <f>VLOOKUP(C222,'[1]phenotypes-895'!$A$2:$I$896,9,FALSE)</f>
        <v>0.48121485834784899</v>
      </c>
      <c r="J222" s="1"/>
      <c r="K222" s="4">
        <v>4.7505472176147654</v>
      </c>
      <c r="L222" s="1"/>
      <c r="M222" s="8">
        <v>1</v>
      </c>
      <c r="N222" s="1"/>
      <c r="O222">
        <v>0.77600000000000002</v>
      </c>
      <c r="P222" s="1"/>
      <c r="Q222" s="2">
        <v>-0.08</v>
      </c>
    </row>
    <row r="223" spans="1:17" x14ac:dyDescent="0.2">
      <c r="A223">
        <v>561</v>
      </c>
      <c r="B223">
        <v>23</v>
      </c>
      <c r="C223" t="s">
        <v>560</v>
      </c>
      <c r="D223" s="13" t="s">
        <v>913</v>
      </c>
      <c r="E223" s="1">
        <v>4.7567843078127199</v>
      </c>
      <c r="F223" s="1">
        <v>3.40047865353282</v>
      </c>
      <c r="G223">
        <f>VLOOKUP(C223,'[1]phenotypes-895'!$A$2:$G$896,7,FALSE)</f>
        <v>98</v>
      </c>
      <c r="H223" s="1">
        <v>-8.7015068407048105E-2</v>
      </c>
      <c r="I223" s="1">
        <f>VLOOKUP(C223,'[1]phenotypes-895'!$A$2:$I$896,9,FALSE)</f>
        <v>0</v>
      </c>
      <c r="J223" s="1"/>
      <c r="K223" s="4">
        <v>0</v>
      </c>
      <c r="L223" s="1"/>
      <c r="M223" s="8">
        <v>0</v>
      </c>
      <c r="N223" s="1"/>
      <c r="O223">
        <v>1.264</v>
      </c>
      <c r="P223" s="1"/>
      <c r="Q223" s="2">
        <v>7.0000000000000007E-2</v>
      </c>
    </row>
    <row r="224" spans="1:17" x14ac:dyDescent="0.2">
      <c r="A224">
        <v>717</v>
      </c>
      <c r="B224">
        <v>49</v>
      </c>
      <c r="C224" t="s">
        <v>716</v>
      </c>
      <c r="D224" s="13" t="s">
        <v>912</v>
      </c>
      <c r="E224" s="1">
        <v>1.5937606631510799</v>
      </c>
      <c r="F224" s="1">
        <v>3.39873620816679</v>
      </c>
      <c r="G224">
        <f>VLOOKUP(C224,'[1]phenotypes-895'!$A$2:$G$896,7,FALSE)</f>
        <v>63</v>
      </c>
      <c r="H224" s="1">
        <v>-5.6900375601190998E-3</v>
      </c>
      <c r="I224" s="1">
        <f>VLOOKUP(C224,'[1]phenotypes-895'!$A$2:$I$896,9,FALSE)</f>
        <v>0.67703018888550481</v>
      </c>
      <c r="J224" s="1"/>
      <c r="K224" s="4">
        <v>4.112337982818481</v>
      </c>
      <c r="L224" s="1"/>
      <c r="M224" s="8">
        <v>1</v>
      </c>
      <c r="N224" s="1"/>
      <c r="O224">
        <v>0.61899999999999999</v>
      </c>
      <c r="P224" s="1"/>
      <c r="Q224" s="2">
        <v>-0.16</v>
      </c>
    </row>
    <row r="225" spans="1:17" x14ac:dyDescent="0.2">
      <c r="A225">
        <v>221</v>
      </c>
      <c r="B225">
        <v>11</v>
      </c>
      <c r="C225" t="s">
        <v>220</v>
      </c>
      <c r="D225" s="12" t="s">
        <v>912</v>
      </c>
      <c r="E225" s="1">
        <v>1.9391916597639101</v>
      </c>
      <c r="F225" s="1">
        <v>3.3694862663384599</v>
      </c>
      <c r="G225">
        <f>VLOOKUP(C225,'[1]phenotypes-895'!$A$2:$G$896,7,FALSE)</f>
        <v>98</v>
      </c>
      <c r="H225" s="1">
        <v>-3.72586252696602E-2</v>
      </c>
      <c r="I225" s="1">
        <f>VLOOKUP(C225,'[1]phenotypes-895'!$A$2:$I$896,9,FALSE)</f>
        <v>0</v>
      </c>
      <c r="J225" s="1"/>
      <c r="K225" s="4">
        <v>0</v>
      </c>
      <c r="L225" s="1"/>
      <c r="M225" s="8">
        <v>0</v>
      </c>
      <c r="N225" s="1"/>
      <c r="O225" s="6">
        <v>0.78</v>
      </c>
      <c r="P225" s="1"/>
      <c r="Q225" s="7">
        <v>-0.08</v>
      </c>
    </row>
    <row r="226" spans="1:17" x14ac:dyDescent="0.2">
      <c r="A226">
        <v>867</v>
      </c>
      <c r="B226">
        <v>50</v>
      </c>
      <c r="C226" t="s">
        <v>866</v>
      </c>
      <c r="D226" s="13" t="s">
        <v>912</v>
      </c>
      <c r="E226" s="1">
        <v>-0.111903897470781</v>
      </c>
      <c r="F226" s="1">
        <v>3.3635669757520601</v>
      </c>
      <c r="G226">
        <f>VLOOKUP(C226,'[1]phenotypes-895'!$A$2:$G$896,7,FALSE)</f>
        <v>65</v>
      </c>
      <c r="H226" s="1">
        <v>-1.3738860420410901E-2</v>
      </c>
      <c r="I226" s="1">
        <f>VLOOKUP(C226,'[1]phenotypes-895'!$A$2:$I$896,9,FALSE)</f>
        <v>0.34634333241937981</v>
      </c>
      <c r="J226" s="1"/>
      <c r="K226" s="4">
        <v>3.5055309345784988</v>
      </c>
      <c r="L226" s="1"/>
      <c r="M226" s="8">
        <v>1</v>
      </c>
      <c r="N226" s="1"/>
      <c r="O226">
        <v>0.48299999999999998</v>
      </c>
      <c r="P226" s="1"/>
      <c r="Q226" s="2">
        <v>-0.25</v>
      </c>
    </row>
    <row r="227" spans="1:17" x14ac:dyDescent="0.2">
      <c r="A227">
        <v>701</v>
      </c>
      <c r="B227">
        <v>30</v>
      </c>
      <c r="C227" t="s">
        <v>700</v>
      </c>
      <c r="D227" s="13" t="s">
        <v>913</v>
      </c>
      <c r="E227" s="1">
        <v>4.6635702131035002</v>
      </c>
      <c r="F227" s="1">
        <v>3.3615890138436302</v>
      </c>
      <c r="G227">
        <f>VLOOKUP(C227,'[1]phenotypes-895'!$A$2:$G$896,7,FALSE)</f>
        <v>80</v>
      </c>
      <c r="H227" s="1">
        <v>-6.4668305619533101E-2</v>
      </c>
      <c r="I227" s="1">
        <f>VLOOKUP(C227,'[1]phenotypes-895'!$A$2:$I$896,9,FALSE)</f>
        <v>0.33123365181120762</v>
      </c>
      <c r="J227" s="1"/>
      <c r="K227" s="4">
        <v>4.510107596858167</v>
      </c>
      <c r="L227" s="1"/>
      <c r="M227" s="8">
        <v>1</v>
      </c>
      <c r="N227" s="1"/>
      <c r="O227">
        <v>1.306</v>
      </c>
      <c r="P227" s="1"/>
      <c r="Q227" s="2">
        <v>0.08</v>
      </c>
    </row>
    <row r="228" spans="1:17" x14ac:dyDescent="0.2">
      <c r="A228">
        <v>854</v>
      </c>
      <c r="B228">
        <v>35</v>
      </c>
      <c r="C228" t="s">
        <v>853</v>
      </c>
      <c r="D228" s="13" t="s">
        <v>913</v>
      </c>
      <c r="E228" s="1">
        <v>2.79281971758672</v>
      </c>
      <c r="F228" s="1">
        <v>3.3558123132753699</v>
      </c>
      <c r="G228">
        <f>VLOOKUP(C228,'[1]phenotypes-895'!$A$2:$G$896,7,FALSE)</f>
        <v>76</v>
      </c>
      <c r="H228" s="1">
        <v>-7.9329768053235106E-2</v>
      </c>
      <c r="I228" s="1">
        <f>VLOOKUP(C228,'[1]phenotypes-895'!$A$2:$I$896,9,FALSE)</f>
        <v>0.36164138878101237</v>
      </c>
      <c r="J228" s="1"/>
      <c r="K228" s="4">
        <v>4.4450277399237299</v>
      </c>
      <c r="L228" s="1"/>
      <c r="M228" s="8">
        <v>1</v>
      </c>
      <c r="N228" s="1"/>
      <c r="O228">
        <v>1.012</v>
      </c>
      <c r="P228" s="1"/>
      <c r="Q228" s="2">
        <v>0</v>
      </c>
    </row>
    <row r="229" spans="1:17" x14ac:dyDescent="0.2">
      <c r="A229">
        <v>46</v>
      </c>
      <c r="B229">
        <v>48</v>
      </c>
      <c r="C229" t="s">
        <v>45</v>
      </c>
      <c r="D229" s="13" t="s">
        <v>912</v>
      </c>
      <c r="E229" s="1">
        <v>1.60810187688995</v>
      </c>
      <c r="F229" s="1">
        <v>3.33769675021178</v>
      </c>
      <c r="G229">
        <f>VLOOKUP(C229,'[1]phenotypes-895'!$A$2:$G$896,7,FALSE)</f>
        <v>67</v>
      </c>
      <c r="H229" s="1">
        <v>-6.7769404671140801E-2</v>
      </c>
      <c r="I229" s="1">
        <f>VLOOKUP(C229,'[1]phenotypes-895'!$A$2:$I$896,9,FALSE)</f>
        <v>0.43414309660345768</v>
      </c>
      <c r="J229" s="1"/>
      <c r="K229" s="4">
        <v>4.159002894782855</v>
      </c>
      <c r="L229" s="1"/>
      <c r="M229" s="8">
        <v>1</v>
      </c>
      <c r="N229" s="1"/>
      <c r="O229">
        <v>0.66700000000000004</v>
      </c>
      <c r="P229" s="1"/>
      <c r="Q229" s="2">
        <v>-0.14000000000000001</v>
      </c>
    </row>
    <row r="230" spans="1:17" x14ac:dyDescent="0.2">
      <c r="A230">
        <v>134</v>
      </c>
      <c r="B230">
        <v>28</v>
      </c>
      <c r="C230" t="s">
        <v>133</v>
      </c>
      <c r="D230" s="13" t="s">
        <v>913</v>
      </c>
      <c r="E230" s="1">
        <v>5.1558813289167302</v>
      </c>
      <c r="F230" s="1">
        <v>3.3368158844753699</v>
      </c>
      <c r="G230">
        <f>VLOOKUP(C230,'[1]phenotypes-895'!$A$2:$G$896,7,FALSE)</f>
        <v>98</v>
      </c>
      <c r="H230" s="1">
        <v>-8.2244115259561101E-2</v>
      </c>
      <c r="I230" s="1">
        <f>VLOOKUP(C230,'[1]phenotypes-895'!$A$2:$I$896,9,FALSE)</f>
        <v>0</v>
      </c>
      <c r="J230" s="1"/>
      <c r="K230" s="4">
        <v>0</v>
      </c>
      <c r="L230" s="1"/>
      <c r="M230" s="8">
        <v>0</v>
      </c>
      <c r="N230" s="1"/>
      <c r="O230">
        <v>1.2190000000000001</v>
      </c>
      <c r="P230" s="1"/>
      <c r="Q230" s="2">
        <v>0.06</v>
      </c>
    </row>
    <row r="231" spans="1:17" x14ac:dyDescent="0.2">
      <c r="A231">
        <v>713</v>
      </c>
      <c r="B231">
        <v>35</v>
      </c>
      <c r="C231" t="s">
        <v>712</v>
      </c>
      <c r="D231" s="13" t="s">
        <v>913</v>
      </c>
      <c r="E231" s="1">
        <v>3.07296612185853</v>
      </c>
      <c r="F231" s="1">
        <v>3.3313943126108598</v>
      </c>
      <c r="G231">
        <f>VLOOKUP(C231,'[1]phenotypes-895'!$A$2:$G$896,7,FALSE)</f>
        <v>98</v>
      </c>
      <c r="H231" s="1">
        <v>-0.116417896819776</v>
      </c>
      <c r="I231" s="1">
        <f>VLOOKUP(C231,'[1]phenotypes-895'!$A$2:$I$896,9,FALSE)</f>
        <v>0</v>
      </c>
      <c r="J231" s="1"/>
      <c r="K231" s="4">
        <v>0</v>
      </c>
      <c r="L231" s="1"/>
      <c r="M231" s="8">
        <v>0</v>
      </c>
      <c r="N231" s="1"/>
      <c r="O231">
        <v>1.115</v>
      </c>
      <c r="P231" s="1"/>
      <c r="Q231" s="2">
        <v>0.03</v>
      </c>
    </row>
    <row r="232" spans="1:17" x14ac:dyDescent="0.2">
      <c r="A232">
        <v>604</v>
      </c>
      <c r="B232">
        <v>34</v>
      </c>
      <c r="C232" t="s">
        <v>603</v>
      </c>
      <c r="D232" s="13" t="s">
        <v>913</v>
      </c>
      <c r="E232" s="1">
        <v>2.1476093416317701</v>
      </c>
      <c r="F232" s="1">
        <v>3.3255745227436799</v>
      </c>
      <c r="G232">
        <f>VLOOKUP(C232,'[1]phenotypes-895'!$A$2:$G$896,7,FALSE)</f>
        <v>72</v>
      </c>
      <c r="H232" s="1">
        <v>1.6822065931915601E-2</v>
      </c>
      <c r="I232" s="1">
        <f>VLOOKUP(C232,'[1]phenotypes-895'!$A$2:$I$896,9,FALSE)</f>
        <v>0.67234503593184514</v>
      </c>
      <c r="J232" s="1"/>
      <c r="K232" s="4">
        <v>4.7424219422299414</v>
      </c>
      <c r="L232" s="1"/>
      <c r="M232" s="8">
        <v>1</v>
      </c>
      <c r="N232" s="1"/>
      <c r="O232">
        <v>0.27600000000000002</v>
      </c>
      <c r="P232" s="1"/>
      <c r="Q232" s="2">
        <v>-0.45</v>
      </c>
    </row>
    <row r="233" spans="1:17" x14ac:dyDescent="0.2">
      <c r="A233">
        <v>366</v>
      </c>
      <c r="B233">
        <v>50</v>
      </c>
      <c r="C233" t="s">
        <v>365</v>
      </c>
      <c r="D233" s="13" t="s">
        <v>912</v>
      </c>
      <c r="E233" s="1">
        <v>3.2146692857941899</v>
      </c>
      <c r="F233" s="1">
        <v>3.3153832271372101</v>
      </c>
      <c r="G233">
        <f>VLOOKUP(C233,'[1]phenotypes-895'!$A$2:$G$896,7,FALSE)</f>
        <v>98</v>
      </c>
      <c r="H233" s="1">
        <v>-1.24259870752229E-2</v>
      </c>
      <c r="I233" s="1">
        <f>VLOOKUP(C233,'[1]phenotypes-895'!$A$2:$I$896,9,FALSE)</f>
        <v>0</v>
      </c>
      <c r="J233" s="1"/>
      <c r="K233" s="4">
        <v>0</v>
      </c>
      <c r="L233" s="1"/>
      <c r="M233" s="8">
        <v>0</v>
      </c>
      <c r="N233" s="1"/>
      <c r="O233">
        <v>0.76300000000000001</v>
      </c>
      <c r="P233" s="1"/>
      <c r="Q233" s="2">
        <v>-0.09</v>
      </c>
    </row>
    <row r="234" spans="1:17" x14ac:dyDescent="0.2">
      <c r="A234">
        <v>719</v>
      </c>
      <c r="B234">
        <v>50</v>
      </c>
      <c r="C234" t="s">
        <v>718</v>
      </c>
      <c r="D234" s="13" t="s">
        <v>912</v>
      </c>
      <c r="E234" s="1">
        <v>0.93195707438937403</v>
      </c>
      <c r="F234" s="1">
        <v>3.29041282769583</v>
      </c>
      <c r="G234">
        <f>VLOOKUP(C234,'[1]phenotypes-895'!$A$2:$G$896,7,FALSE)</f>
        <v>65</v>
      </c>
      <c r="H234" s="1">
        <v>-1.9607669062803701E-2</v>
      </c>
      <c r="I234" s="1">
        <f>VLOOKUP(C234,'[1]phenotypes-895'!$A$2:$I$896,9,FALSE)</f>
        <v>0.44737318204083271</v>
      </c>
      <c r="J234" s="1"/>
      <c r="K234" s="4">
        <v>3.9996985081341685</v>
      </c>
      <c r="L234" s="1"/>
      <c r="M234" s="8">
        <v>1</v>
      </c>
      <c r="N234" s="1"/>
      <c r="O234">
        <v>0.58599999999999997</v>
      </c>
      <c r="P234" s="1"/>
      <c r="Q234" s="2">
        <v>-0.18</v>
      </c>
    </row>
    <row r="235" spans="1:17" x14ac:dyDescent="0.2">
      <c r="A235">
        <v>828</v>
      </c>
      <c r="B235">
        <v>42</v>
      </c>
      <c r="C235" t="s">
        <v>827</v>
      </c>
      <c r="D235" s="13" t="s">
        <v>912</v>
      </c>
      <c r="E235" s="1">
        <v>0.498715461310554</v>
      </c>
      <c r="F235" s="1">
        <v>3.2885040370496901</v>
      </c>
      <c r="G235">
        <f>VLOOKUP(C235,'[1]phenotypes-895'!$A$2:$G$896,7,FALSE)</f>
        <v>98</v>
      </c>
      <c r="H235" s="1">
        <v>3.3904972918401999E-2</v>
      </c>
      <c r="I235" s="1">
        <f>VLOOKUP(C235,'[1]phenotypes-895'!$A$2:$I$896,9,FALSE)</f>
        <v>0.34793755242132007</v>
      </c>
      <c r="J235" s="1"/>
      <c r="K235" s="4">
        <v>3.7394240138208232</v>
      </c>
      <c r="L235" s="1"/>
      <c r="M235" s="8">
        <v>1</v>
      </c>
      <c r="N235" s="1"/>
      <c r="O235">
        <v>0.34899999999999998</v>
      </c>
      <c r="P235" s="1"/>
      <c r="Q235" s="2">
        <v>-0.37</v>
      </c>
    </row>
    <row r="236" spans="1:17" x14ac:dyDescent="0.2">
      <c r="A236">
        <v>615</v>
      </c>
      <c r="B236">
        <v>35</v>
      </c>
      <c r="C236" t="s">
        <v>614</v>
      </c>
      <c r="D236" s="13" t="s">
        <v>913</v>
      </c>
      <c r="E236" s="1">
        <v>1.1188095786074299</v>
      </c>
      <c r="F236" s="1">
        <v>3.2840894155397402</v>
      </c>
      <c r="G236">
        <f>VLOOKUP(C236,'[1]phenotypes-895'!$A$2:$G$896,7,FALSE)</f>
        <v>98</v>
      </c>
      <c r="H236" s="1">
        <v>-1.8475467474930798E-2</v>
      </c>
      <c r="I236" s="1">
        <f>VLOOKUP(C236,'[1]phenotypes-895'!$A$2:$I$896,9,FALSE)</f>
        <v>0</v>
      </c>
      <c r="J236" s="1"/>
      <c r="K236" s="4">
        <v>0</v>
      </c>
      <c r="L236" s="1"/>
      <c r="M236" s="8">
        <v>0</v>
      </c>
      <c r="N236" s="1"/>
      <c r="O236">
        <v>0.95599999999999996</v>
      </c>
      <c r="P236" s="1"/>
      <c r="Q236" s="2">
        <v>-0.01</v>
      </c>
    </row>
    <row r="237" spans="1:17" x14ac:dyDescent="0.2">
      <c r="A237">
        <v>606</v>
      </c>
      <c r="B237">
        <v>21</v>
      </c>
      <c r="C237" t="s">
        <v>605</v>
      </c>
      <c r="D237" s="13" t="s">
        <v>913</v>
      </c>
      <c r="E237" s="1">
        <v>4.5607384620478904</v>
      </c>
      <c r="F237" s="1">
        <v>3.2712946219757399</v>
      </c>
      <c r="G237">
        <f>VLOOKUP(C237,'[1]phenotypes-895'!$A$2:$G$896,7,FALSE)</f>
        <v>98</v>
      </c>
      <c r="H237" s="1">
        <v>-6.4991700783532599E-2</v>
      </c>
      <c r="I237" s="1">
        <f>VLOOKUP(C237,'[1]phenotypes-895'!$A$2:$I$896,9,FALSE)</f>
        <v>0</v>
      </c>
      <c r="J237" s="1"/>
      <c r="K237" s="4">
        <v>0</v>
      </c>
      <c r="L237" s="1"/>
      <c r="M237" s="8">
        <v>0</v>
      </c>
      <c r="N237" s="1"/>
      <c r="O237">
        <v>1.286</v>
      </c>
      <c r="P237" s="1"/>
      <c r="Q237" s="2">
        <v>0.08</v>
      </c>
    </row>
    <row r="238" spans="1:17" x14ac:dyDescent="0.2">
      <c r="A238">
        <v>646</v>
      </c>
      <c r="B238">
        <v>26</v>
      </c>
      <c r="C238" t="s">
        <v>645</v>
      </c>
      <c r="D238" s="13" t="s">
        <v>913</v>
      </c>
      <c r="E238" s="1">
        <v>2.2158620907873701</v>
      </c>
      <c r="F238" s="1">
        <v>3.26730769790408</v>
      </c>
      <c r="G238">
        <f>VLOOKUP(C238,'[1]phenotypes-895'!$A$2:$G$896,7,FALSE)</f>
        <v>88</v>
      </c>
      <c r="H238" s="1">
        <v>-1.39950434923192E-2</v>
      </c>
      <c r="I238" s="1">
        <f>VLOOKUP(C238,'[1]phenotypes-895'!$A$2:$I$896,9,FALSE)</f>
        <v>0.35300895304660951</v>
      </c>
      <c r="J238" s="1"/>
      <c r="K238" s="4">
        <v>3.8951480164781507</v>
      </c>
      <c r="L238" s="1"/>
      <c r="M238" s="8">
        <v>1</v>
      </c>
      <c r="N238" s="1"/>
      <c r="O238">
        <v>1.3109999999999999</v>
      </c>
      <c r="P238" s="1"/>
      <c r="Q238" s="2">
        <v>0.08</v>
      </c>
    </row>
    <row r="239" spans="1:17" x14ac:dyDescent="0.2">
      <c r="A239">
        <v>84</v>
      </c>
      <c r="B239">
        <v>39</v>
      </c>
      <c r="C239" t="s">
        <v>83</v>
      </c>
      <c r="D239" s="13" t="s">
        <v>913</v>
      </c>
      <c r="E239" s="1">
        <v>3.7226478263747498</v>
      </c>
      <c r="F239" s="1">
        <v>3.2418134448523901</v>
      </c>
      <c r="G239">
        <f>VLOOKUP(C239,'[1]phenotypes-895'!$A$2:$G$896,7,FALSE)</f>
        <v>63</v>
      </c>
      <c r="H239" s="1">
        <v>-6.00139048920783E-2</v>
      </c>
      <c r="I239" s="1">
        <f>VLOOKUP(C239,'[1]phenotypes-895'!$A$2:$I$896,9,FALSE)</f>
        <v>0.37659950478442888</v>
      </c>
      <c r="J239" s="1"/>
      <c r="K239" s="4">
        <v>4.0582710560400361</v>
      </c>
      <c r="L239" s="1"/>
      <c r="M239" s="8">
        <v>1</v>
      </c>
      <c r="N239" s="1"/>
      <c r="O239">
        <v>0.875</v>
      </c>
      <c r="P239" s="1"/>
      <c r="Q239" s="2">
        <v>-0.04</v>
      </c>
    </row>
    <row r="240" spans="1:17" x14ac:dyDescent="0.2">
      <c r="A240">
        <v>703</v>
      </c>
      <c r="B240">
        <v>26</v>
      </c>
      <c r="C240" t="s">
        <v>702</v>
      </c>
      <c r="D240" s="13" t="s">
        <v>913</v>
      </c>
      <c r="E240" s="1">
        <v>2.2029560288397598</v>
      </c>
      <c r="F240" s="1">
        <v>3.2243223866078501</v>
      </c>
      <c r="G240">
        <f>VLOOKUP(C240,'[1]phenotypes-895'!$A$2:$G$896,7,FALSE)</f>
        <v>98</v>
      </c>
      <c r="H240" s="1">
        <v>-1.6561014360007301E-2</v>
      </c>
      <c r="I240" s="1">
        <f>VLOOKUP(C240,'[1]phenotypes-895'!$A$2:$I$896,9,FALSE)</f>
        <v>5.3628761632552563E-2</v>
      </c>
      <c r="J240" s="1"/>
      <c r="K240" s="4">
        <v>1.5572451137027028</v>
      </c>
      <c r="L240" s="1"/>
      <c r="M240" s="8">
        <v>1</v>
      </c>
      <c r="N240" s="1"/>
      <c r="O240">
        <v>1.2350000000000001</v>
      </c>
      <c r="P240" s="1"/>
      <c r="Q240" s="2">
        <v>0.06</v>
      </c>
    </row>
    <row r="241" spans="1:17" x14ac:dyDescent="0.2">
      <c r="A241">
        <v>382</v>
      </c>
      <c r="B241">
        <v>27</v>
      </c>
      <c r="C241" t="s">
        <v>381</v>
      </c>
      <c r="D241" s="12" t="s">
        <v>913</v>
      </c>
      <c r="E241" s="1">
        <v>4.9625316865833602</v>
      </c>
      <c r="F241" s="1">
        <v>3.2184166467561299</v>
      </c>
      <c r="G241">
        <f>VLOOKUP(C241,'[1]phenotypes-895'!$A$2:$G$896,7,FALSE)</f>
        <v>61</v>
      </c>
      <c r="H241" s="1">
        <v>-9.1177579714430898E-2</v>
      </c>
      <c r="I241" s="1">
        <f>VLOOKUP(C241,'[1]phenotypes-895'!$A$2:$I$896,9,FALSE)</f>
        <v>0.41698989880547832</v>
      </c>
      <c r="J241" s="1"/>
      <c r="K241" s="4">
        <v>3.1525079795373925</v>
      </c>
      <c r="L241" s="1"/>
      <c r="M241" s="8">
        <v>1</v>
      </c>
      <c r="N241" s="1"/>
      <c r="O241">
        <v>1.1319999999999999</v>
      </c>
      <c r="P241" s="1"/>
      <c r="Q241" s="2">
        <v>0.04</v>
      </c>
    </row>
    <row r="242" spans="1:17" x14ac:dyDescent="0.2">
      <c r="A242">
        <v>286</v>
      </c>
      <c r="B242">
        <v>11</v>
      </c>
      <c r="C242" t="s">
        <v>285</v>
      </c>
      <c r="D242" s="12" t="s">
        <v>912</v>
      </c>
      <c r="E242" s="1">
        <v>2.5610563785039102</v>
      </c>
      <c r="F242" s="1">
        <v>3.2155112046469099</v>
      </c>
      <c r="G242">
        <f>VLOOKUP(C242,'[1]phenotypes-895'!$A$2:$G$896,7,FALSE)</f>
        <v>98</v>
      </c>
      <c r="H242" s="1">
        <v>-5.1310629182101802E-2</v>
      </c>
      <c r="I242" s="1">
        <f>VLOOKUP(C242,'[1]phenotypes-895'!$A$2:$I$896,9,FALSE)</f>
        <v>0</v>
      </c>
      <c r="J242" s="1"/>
      <c r="K242" s="4">
        <v>0</v>
      </c>
      <c r="L242" s="1"/>
      <c r="M242" s="8">
        <v>0</v>
      </c>
      <c r="N242" s="1"/>
      <c r="O242" s="6">
        <v>1.0409999999999999</v>
      </c>
      <c r="P242" s="1"/>
      <c r="Q242" s="7">
        <v>0.01</v>
      </c>
    </row>
    <row r="243" spans="1:17" x14ac:dyDescent="0.2">
      <c r="A243">
        <v>637</v>
      </c>
      <c r="B243">
        <v>46</v>
      </c>
      <c r="C243" t="s">
        <v>636</v>
      </c>
      <c r="D243" s="13" t="s">
        <v>912</v>
      </c>
      <c r="E243" s="1">
        <v>0.20140689146818899</v>
      </c>
      <c r="F243" s="1">
        <v>3.2037962769934998</v>
      </c>
      <c r="G243">
        <f>VLOOKUP(C243,'[1]phenotypes-895'!$A$2:$G$896,7,FALSE)</f>
        <v>98</v>
      </c>
      <c r="H243" s="1">
        <v>4.8591983398417497E-3</v>
      </c>
      <c r="I243" s="1">
        <f>VLOOKUP(C243,'[1]phenotypes-895'!$A$2:$I$896,9,FALSE)</f>
        <v>0</v>
      </c>
      <c r="J243" s="1"/>
      <c r="K243" s="4">
        <v>0</v>
      </c>
      <c r="L243" s="1"/>
      <c r="M243" s="8">
        <v>0</v>
      </c>
      <c r="N243" s="1"/>
      <c r="O243">
        <v>0.54900000000000004</v>
      </c>
      <c r="P243" s="1"/>
      <c r="Q243" s="2">
        <v>-0.2</v>
      </c>
    </row>
    <row r="244" spans="1:17" x14ac:dyDescent="0.2">
      <c r="A244">
        <v>507</v>
      </c>
      <c r="B244">
        <v>46</v>
      </c>
      <c r="C244" t="s">
        <v>506</v>
      </c>
      <c r="D244" s="13" t="s">
        <v>912</v>
      </c>
      <c r="E244" s="1">
        <v>1.85385045795458</v>
      </c>
      <c r="F244" s="1">
        <v>3.18660662793588</v>
      </c>
      <c r="G244">
        <f>VLOOKUP(C244,'[1]phenotypes-895'!$A$2:$G$896,7,FALSE)</f>
        <v>75</v>
      </c>
      <c r="H244" s="1">
        <v>-2.05824409626469E-2</v>
      </c>
      <c r="I244" s="1">
        <f>VLOOKUP(C244,'[1]phenotypes-895'!$A$2:$I$896,9,FALSE)</f>
        <v>0.47484904126418542</v>
      </c>
      <c r="J244" s="1"/>
      <c r="K244" s="4">
        <v>3.9240390097899569</v>
      </c>
      <c r="L244" s="1"/>
      <c r="M244" s="8">
        <v>1</v>
      </c>
      <c r="N244" s="1"/>
      <c r="O244">
        <v>0.76800000000000002</v>
      </c>
      <c r="P244" s="1"/>
      <c r="Q244" s="2">
        <v>-0.09</v>
      </c>
    </row>
    <row r="245" spans="1:17" x14ac:dyDescent="0.2">
      <c r="A245">
        <v>849</v>
      </c>
      <c r="B245">
        <v>35</v>
      </c>
      <c r="C245" t="s">
        <v>848</v>
      </c>
      <c r="D245" s="13" t="s">
        <v>913</v>
      </c>
      <c r="E245" s="1">
        <v>1.91399174701174</v>
      </c>
      <c r="F245" s="1">
        <v>3.1817599136999002</v>
      </c>
      <c r="G245">
        <f>VLOOKUP(C245,'[1]phenotypes-895'!$A$2:$G$896,7,FALSE)</f>
        <v>98</v>
      </c>
      <c r="H245" s="1">
        <v>-8.4245114814931299E-2</v>
      </c>
      <c r="I245" s="1">
        <f>VLOOKUP(C245,'[1]phenotypes-895'!$A$2:$I$896,9,FALSE)</f>
        <v>0</v>
      </c>
      <c r="J245" s="1"/>
      <c r="K245" s="4">
        <v>0</v>
      </c>
      <c r="L245" s="1"/>
      <c r="M245" s="8">
        <v>0</v>
      </c>
      <c r="N245" s="1"/>
      <c r="O245">
        <v>1.046</v>
      </c>
      <c r="P245" s="1"/>
      <c r="Q245" s="2">
        <v>0.01</v>
      </c>
    </row>
    <row r="246" spans="1:17" x14ac:dyDescent="0.2">
      <c r="A246">
        <v>805</v>
      </c>
      <c r="B246">
        <v>48</v>
      </c>
      <c r="C246" t="s">
        <v>804</v>
      </c>
      <c r="D246" s="13" t="s">
        <v>912</v>
      </c>
      <c r="E246" s="1">
        <v>1.2198591147069999</v>
      </c>
      <c r="F246" s="1">
        <v>3.1447947685225</v>
      </c>
      <c r="G246">
        <f>VLOOKUP(C246,'[1]phenotypes-895'!$A$2:$G$896,7,FALSE)</f>
        <v>98</v>
      </c>
      <c r="H246" s="1">
        <v>-4.9387261724084801E-2</v>
      </c>
      <c r="I246" s="1">
        <f>VLOOKUP(C246,'[1]phenotypes-895'!$A$2:$I$896,9,FALSE)</f>
        <v>0</v>
      </c>
      <c r="J246" s="1"/>
      <c r="K246" s="4">
        <v>0</v>
      </c>
      <c r="L246" s="1"/>
      <c r="M246" s="8">
        <v>0</v>
      </c>
      <c r="N246" s="1"/>
      <c r="O246">
        <v>0.69</v>
      </c>
      <c r="P246" s="1"/>
      <c r="Q246" s="2">
        <v>-0.12</v>
      </c>
    </row>
    <row r="247" spans="1:17" x14ac:dyDescent="0.2">
      <c r="A247">
        <v>816</v>
      </c>
      <c r="B247">
        <v>33</v>
      </c>
      <c r="C247" t="s">
        <v>815</v>
      </c>
      <c r="D247" s="13" t="s">
        <v>913</v>
      </c>
      <c r="E247" s="1">
        <v>2.4924280966495398</v>
      </c>
      <c r="F247" s="1">
        <v>3.14430708665699</v>
      </c>
      <c r="G247">
        <f>VLOOKUP(C247,'[1]phenotypes-895'!$A$2:$G$896,7,FALSE)</f>
        <v>73</v>
      </c>
      <c r="H247" s="1">
        <v>1.00535720821973E-2</v>
      </c>
      <c r="I247" s="1">
        <f>VLOOKUP(C247,'[1]phenotypes-895'!$A$2:$I$896,9,FALSE)</f>
        <v>0.40986502313256562</v>
      </c>
      <c r="J247" s="1"/>
      <c r="K247" s="4">
        <v>4.1895640632679392</v>
      </c>
      <c r="L247" s="1"/>
      <c r="M247" s="8">
        <v>1</v>
      </c>
      <c r="N247" s="1"/>
      <c r="O247">
        <v>1.0489999999999999</v>
      </c>
      <c r="P247" s="1"/>
      <c r="Q247" s="2">
        <v>0.02</v>
      </c>
    </row>
    <row r="248" spans="1:17" x14ac:dyDescent="0.2">
      <c r="A248">
        <v>743</v>
      </c>
      <c r="B248">
        <v>25</v>
      </c>
      <c r="C248" t="s">
        <v>742</v>
      </c>
      <c r="D248" s="13" t="s">
        <v>913</v>
      </c>
      <c r="E248" s="1">
        <v>3.0845981408154302</v>
      </c>
      <c r="F248" s="1">
        <v>3.1435543748935699</v>
      </c>
      <c r="G248">
        <f>VLOOKUP(C248,'[1]phenotypes-895'!$A$2:$G$896,7,FALSE)</f>
        <v>98</v>
      </c>
      <c r="H248" s="1">
        <v>-5.0510482117498499E-2</v>
      </c>
      <c r="I248" s="1">
        <f>VLOOKUP(C248,'[1]phenotypes-895'!$A$2:$I$896,9,FALSE)</f>
        <v>0</v>
      </c>
      <c r="J248" s="1"/>
      <c r="K248" s="4">
        <v>0</v>
      </c>
      <c r="L248" s="1"/>
      <c r="M248" s="8">
        <v>0</v>
      </c>
      <c r="N248" s="1"/>
      <c r="O248">
        <v>1.147</v>
      </c>
      <c r="P248" s="1"/>
      <c r="Q248" s="2">
        <v>0.04</v>
      </c>
    </row>
    <row r="249" spans="1:17" x14ac:dyDescent="0.2">
      <c r="A249">
        <v>775</v>
      </c>
      <c r="B249">
        <v>21</v>
      </c>
      <c r="C249" t="s">
        <v>774</v>
      </c>
      <c r="D249" s="13" t="s">
        <v>913</v>
      </c>
      <c r="E249" s="1">
        <v>3.9552463230602499</v>
      </c>
      <c r="F249" s="1">
        <v>3.1314742263592801</v>
      </c>
      <c r="G249">
        <f>VLOOKUP(C249,'[1]phenotypes-895'!$A$2:$G$896,7,FALSE)</f>
        <v>98</v>
      </c>
      <c r="H249" s="1">
        <v>-5.5538248851947102E-2</v>
      </c>
      <c r="I249" s="1">
        <f>VLOOKUP(C249,'[1]phenotypes-895'!$A$2:$I$896,9,FALSE)</f>
        <v>0</v>
      </c>
      <c r="J249" s="1"/>
      <c r="K249" s="4">
        <v>0</v>
      </c>
      <c r="L249" s="1"/>
      <c r="M249" s="8">
        <v>0</v>
      </c>
      <c r="N249" s="1"/>
      <c r="O249">
        <v>1.1319999999999999</v>
      </c>
      <c r="P249" s="1"/>
      <c r="Q249" s="2">
        <v>0.04</v>
      </c>
    </row>
    <row r="250" spans="1:17" x14ac:dyDescent="0.2">
      <c r="A250">
        <v>793</v>
      </c>
      <c r="B250">
        <v>30</v>
      </c>
      <c r="C250" t="s">
        <v>792</v>
      </c>
      <c r="D250" s="13" t="s">
        <v>913</v>
      </c>
      <c r="E250" s="1">
        <v>2.4277873895234401</v>
      </c>
      <c r="F250" s="1">
        <v>3.0969537796040298</v>
      </c>
      <c r="G250">
        <f>VLOOKUP(C250,'[1]phenotypes-895'!$A$2:$G$896,7,FALSE)</f>
        <v>98</v>
      </c>
      <c r="H250" s="1">
        <v>-7.8172390799478297E-2</v>
      </c>
      <c r="I250" s="1">
        <f>VLOOKUP(C250,'[1]phenotypes-895'!$A$2:$I$896,9,FALSE)</f>
        <v>0.1505831517793316</v>
      </c>
      <c r="J250" s="1"/>
      <c r="K250" s="4">
        <v>3.2421878726959346</v>
      </c>
      <c r="L250" s="1"/>
      <c r="M250" s="8">
        <v>1</v>
      </c>
      <c r="N250" s="1"/>
      <c r="O250">
        <v>1.1719999999999999</v>
      </c>
      <c r="P250" s="1"/>
      <c r="Q250" s="2">
        <v>0.05</v>
      </c>
    </row>
    <row r="251" spans="1:17" x14ac:dyDescent="0.2">
      <c r="A251">
        <v>623</v>
      </c>
      <c r="B251">
        <v>23</v>
      </c>
      <c r="C251" t="s">
        <v>622</v>
      </c>
      <c r="D251" s="13" t="s">
        <v>913</v>
      </c>
      <c r="E251" s="1">
        <v>3.2784674089828498</v>
      </c>
      <c r="F251" s="1">
        <v>3.0655183822296301</v>
      </c>
      <c r="G251">
        <f>VLOOKUP(C251,'[1]phenotypes-895'!$A$2:$G$896,7,FALSE)</f>
        <v>98</v>
      </c>
      <c r="H251" s="1">
        <v>-6.12920184021742E-2</v>
      </c>
      <c r="I251" s="1">
        <f>VLOOKUP(C251,'[1]phenotypes-895'!$A$2:$I$896,9,FALSE)</f>
        <v>0</v>
      </c>
      <c r="J251" s="1"/>
      <c r="K251" s="4">
        <v>0</v>
      </c>
      <c r="L251" s="1"/>
      <c r="M251" s="8">
        <v>0</v>
      </c>
      <c r="N251" s="1"/>
      <c r="O251">
        <v>1.173</v>
      </c>
      <c r="P251" s="1"/>
      <c r="Q251" s="2">
        <v>0.05</v>
      </c>
    </row>
    <row r="252" spans="1:17" x14ac:dyDescent="0.2">
      <c r="A252">
        <v>14</v>
      </c>
      <c r="B252">
        <v>8</v>
      </c>
      <c r="C252" t="s">
        <v>13</v>
      </c>
      <c r="D252" s="12" t="s">
        <v>913</v>
      </c>
      <c r="E252" s="1">
        <v>4.4496792629058799</v>
      </c>
      <c r="F252" s="1">
        <v>3.06513670417388</v>
      </c>
      <c r="G252">
        <f>VLOOKUP(C252,'[1]phenotypes-895'!$A$2:$G$896,7,FALSE)</f>
        <v>72</v>
      </c>
      <c r="H252" s="1">
        <v>-7.3572879542609503E-3</v>
      </c>
      <c r="I252" s="1">
        <f>VLOOKUP(C252,'[1]phenotypes-895'!$A$2:$I$896,9,FALSE)</f>
        <v>0.60575833896475673</v>
      </c>
      <c r="J252" s="1"/>
      <c r="K252" s="4">
        <v>4.9030020398305973</v>
      </c>
      <c r="L252" s="1"/>
      <c r="M252" s="8">
        <v>1</v>
      </c>
      <c r="N252" s="1"/>
      <c r="O252" s="6">
        <v>1.0680000000000001</v>
      </c>
      <c r="P252" s="1"/>
      <c r="Q252" s="7">
        <v>0.02</v>
      </c>
    </row>
    <row r="253" spans="1:17" x14ac:dyDescent="0.2">
      <c r="A253">
        <v>830</v>
      </c>
      <c r="B253">
        <v>35</v>
      </c>
      <c r="C253" t="s">
        <v>829</v>
      </c>
      <c r="D253" s="13" t="s">
        <v>913</v>
      </c>
      <c r="E253" s="1">
        <v>2.8873192815113802</v>
      </c>
      <c r="F253" s="1">
        <v>3.0575220127240201</v>
      </c>
      <c r="G253">
        <f>VLOOKUP(C253,'[1]phenotypes-895'!$A$2:$G$896,7,FALSE)</f>
        <v>35</v>
      </c>
      <c r="H253" s="1">
        <v>-0.194376110672174</v>
      </c>
      <c r="I253" s="1">
        <f>VLOOKUP(C253,'[1]phenotypes-895'!$A$2:$I$896,9,FALSE)</f>
        <v>-0.5841936134913801</v>
      </c>
      <c r="J253" s="1"/>
      <c r="K253" s="4">
        <v>3.7059611919450379</v>
      </c>
      <c r="L253" s="1"/>
      <c r="M253" s="8">
        <v>1</v>
      </c>
      <c r="N253" s="1"/>
      <c r="O253">
        <v>0.76700000000000002</v>
      </c>
      <c r="P253" s="1"/>
      <c r="Q253" s="2">
        <v>-0.09</v>
      </c>
    </row>
    <row r="254" spans="1:17" x14ac:dyDescent="0.2">
      <c r="A254">
        <v>467</v>
      </c>
      <c r="B254">
        <v>42</v>
      </c>
      <c r="C254" t="s">
        <v>466</v>
      </c>
      <c r="D254" s="13" t="s">
        <v>912</v>
      </c>
      <c r="E254" s="1">
        <v>2.9815304337792599</v>
      </c>
      <c r="F254" s="1">
        <v>3.0553354087391602</v>
      </c>
      <c r="G254">
        <f>VLOOKUP(C254,'[1]phenotypes-895'!$A$2:$G$896,7,FALSE)</f>
        <v>98</v>
      </c>
      <c r="H254" s="1">
        <v>-1.24891341560432E-2</v>
      </c>
      <c r="I254" s="1">
        <f>VLOOKUP(C254,'[1]phenotypes-895'!$A$2:$I$896,9,FALSE)</f>
        <v>0</v>
      </c>
      <c r="J254" s="1"/>
      <c r="K254" s="4">
        <v>0</v>
      </c>
      <c r="L254" s="1"/>
      <c r="M254" s="8">
        <v>0</v>
      </c>
      <c r="N254" s="1"/>
      <c r="O254">
        <v>0.89600000000000002</v>
      </c>
      <c r="P254" s="1"/>
      <c r="Q254" s="2">
        <v>-0.04</v>
      </c>
    </row>
    <row r="255" spans="1:17" x14ac:dyDescent="0.2">
      <c r="A255">
        <v>558</v>
      </c>
      <c r="B255">
        <v>39</v>
      </c>
      <c r="C255" t="s">
        <v>557</v>
      </c>
      <c r="D255" s="13" t="s">
        <v>913</v>
      </c>
      <c r="E255" s="1">
        <v>3.98773908564158</v>
      </c>
      <c r="F255" s="1">
        <v>3.0302426325419498</v>
      </c>
      <c r="G255">
        <f>VLOOKUP(C255,'[1]phenotypes-895'!$A$2:$G$896,7,FALSE)</f>
        <v>78</v>
      </c>
      <c r="H255" s="1">
        <v>6.2062492079752096E-3</v>
      </c>
      <c r="I255" s="1">
        <f>VLOOKUP(C255,'[1]phenotypes-895'!$A$2:$I$896,9,FALSE)</f>
        <v>0.67290026975515405</v>
      </c>
      <c r="J255" s="1"/>
      <c r="K255" s="4">
        <v>5.3993408020416238</v>
      </c>
      <c r="L255" s="1"/>
      <c r="M255" s="8">
        <v>1</v>
      </c>
      <c r="N255" s="1"/>
      <c r="O255">
        <v>1.1930000000000001</v>
      </c>
      <c r="P255" s="1"/>
      <c r="Q255" s="2">
        <v>0.05</v>
      </c>
    </row>
    <row r="256" spans="1:17" x14ac:dyDescent="0.2">
      <c r="A256">
        <v>818</v>
      </c>
      <c r="B256">
        <v>48</v>
      </c>
      <c r="C256" t="s">
        <v>817</v>
      </c>
      <c r="D256" s="13" t="s">
        <v>912</v>
      </c>
      <c r="E256" s="1">
        <v>1.27670976712224</v>
      </c>
      <c r="F256" s="1">
        <v>3.0130186691182201</v>
      </c>
      <c r="G256">
        <f>VLOOKUP(C256,'[1]phenotypes-895'!$A$2:$G$896,7,FALSE)</f>
        <v>63</v>
      </c>
      <c r="H256" s="1">
        <v>-7.4569696552254594E-2</v>
      </c>
      <c r="I256" s="1">
        <f>VLOOKUP(C256,'[1]phenotypes-895'!$A$2:$I$896,9,FALSE)</f>
        <v>0.33549785857118819</v>
      </c>
      <c r="J256" s="1"/>
      <c r="K256" s="4">
        <v>4.1776690950279809</v>
      </c>
      <c r="L256" s="1"/>
      <c r="M256" s="8">
        <v>1</v>
      </c>
      <c r="N256" s="1"/>
      <c r="O256">
        <v>0.60899999999999999</v>
      </c>
      <c r="P256" s="1"/>
      <c r="Q256" s="2">
        <v>-0.16</v>
      </c>
    </row>
    <row r="257" spans="1:17" x14ac:dyDescent="0.2">
      <c r="A257">
        <v>766</v>
      </c>
      <c r="B257">
        <v>42</v>
      </c>
      <c r="C257" t="s">
        <v>765</v>
      </c>
      <c r="D257" s="13" t="s">
        <v>912</v>
      </c>
      <c r="E257" s="1">
        <v>-0.13903125245535899</v>
      </c>
      <c r="F257" s="1">
        <v>2.9954609101480401</v>
      </c>
      <c r="G257">
        <f>VLOOKUP(C257,'[1]phenotypes-895'!$A$2:$G$896,7,FALSE)</f>
        <v>98</v>
      </c>
      <c r="H257" s="1">
        <v>2.1877999311586301E-2</v>
      </c>
      <c r="I257" s="1">
        <f>VLOOKUP(C257,'[1]phenotypes-895'!$A$2:$I$896,9,FALSE)</f>
        <v>0</v>
      </c>
      <c r="J257" s="1"/>
      <c r="K257" s="4">
        <v>0</v>
      </c>
      <c r="L257" s="1"/>
      <c r="M257" s="8">
        <v>0</v>
      </c>
      <c r="N257" s="1"/>
      <c r="O257">
        <v>0.51500000000000001</v>
      </c>
      <c r="P257" s="1"/>
      <c r="Q257" s="2">
        <v>-0.22</v>
      </c>
    </row>
    <row r="258" spans="1:17" x14ac:dyDescent="0.2">
      <c r="A258">
        <v>702</v>
      </c>
      <c r="B258">
        <v>24</v>
      </c>
      <c r="C258" t="s">
        <v>701</v>
      </c>
      <c r="D258" s="13" t="s">
        <v>913</v>
      </c>
      <c r="E258" s="1">
        <v>1.61449379408662</v>
      </c>
      <c r="F258" s="1">
        <v>2.99084648898554</v>
      </c>
      <c r="G258">
        <f>VLOOKUP(C258,'[1]phenotypes-895'!$A$2:$G$896,7,FALSE)</f>
        <v>98</v>
      </c>
      <c r="H258" s="1">
        <v>-4.0255058238268103E-2</v>
      </c>
      <c r="I258" s="1">
        <f>VLOOKUP(C258,'[1]phenotypes-895'!$A$2:$I$896,9,FALSE)</f>
        <v>0</v>
      </c>
      <c r="J258" s="1"/>
      <c r="K258" s="4">
        <v>0</v>
      </c>
      <c r="L258" s="1"/>
      <c r="M258" s="8">
        <v>0</v>
      </c>
      <c r="N258" s="1"/>
      <c r="O258">
        <v>1.1339999999999999</v>
      </c>
      <c r="P258" s="1"/>
      <c r="Q258" s="2">
        <v>0.04</v>
      </c>
    </row>
    <row r="259" spans="1:17" x14ac:dyDescent="0.2">
      <c r="A259">
        <v>468</v>
      </c>
      <c r="B259">
        <v>44</v>
      </c>
      <c r="C259" t="s">
        <v>467</v>
      </c>
      <c r="D259" s="13" t="s">
        <v>912</v>
      </c>
      <c r="E259" s="1">
        <v>0.71282541397254295</v>
      </c>
      <c r="F259" s="1">
        <v>2.9848236191102999</v>
      </c>
      <c r="G259">
        <f>VLOOKUP(C259,'[1]phenotypes-895'!$A$2:$G$896,7,FALSE)</f>
        <v>98</v>
      </c>
      <c r="H259" s="1">
        <v>-2.6347122060506501E-3</v>
      </c>
      <c r="I259" s="1">
        <f>VLOOKUP(C259,'[1]phenotypes-895'!$A$2:$I$896,9,FALSE)</f>
        <v>0</v>
      </c>
      <c r="J259" s="1"/>
      <c r="K259" s="4">
        <v>0</v>
      </c>
      <c r="L259" s="1"/>
      <c r="M259" s="8">
        <v>0</v>
      </c>
      <c r="N259" s="1"/>
      <c r="O259">
        <v>0.629</v>
      </c>
      <c r="P259" s="1"/>
      <c r="Q259" s="2">
        <v>-0.15</v>
      </c>
    </row>
    <row r="260" spans="1:17" x14ac:dyDescent="0.2">
      <c r="A260">
        <v>541</v>
      </c>
      <c r="B260">
        <v>45</v>
      </c>
      <c r="C260" t="s">
        <v>540</v>
      </c>
      <c r="D260" s="13" t="s">
        <v>912</v>
      </c>
      <c r="E260" s="1">
        <v>0.93384182826250905</v>
      </c>
      <c r="F260" s="1">
        <v>2.9793041428901401</v>
      </c>
      <c r="G260">
        <f>VLOOKUP(C260,'[1]phenotypes-895'!$A$2:$G$896,7,FALSE)</f>
        <v>65</v>
      </c>
      <c r="H260" s="1">
        <v>-3.3185997771844597E-2</v>
      </c>
      <c r="I260" s="1">
        <f>VLOOKUP(C260,'[1]phenotypes-895'!$A$2:$I$896,9,FALSE)</f>
        <v>0.42846263072252838</v>
      </c>
      <c r="J260" s="1"/>
      <c r="K260" s="4">
        <v>3.5235726688891185</v>
      </c>
      <c r="L260" s="1"/>
      <c r="M260" s="8">
        <v>1</v>
      </c>
      <c r="N260" s="1"/>
      <c r="O260">
        <v>0.66900000000000004</v>
      </c>
      <c r="P260" s="1"/>
      <c r="Q260" s="2">
        <v>-0.14000000000000001</v>
      </c>
    </row>
    <row r="261" spans="1:17" x14ac:dyDescent="0.2">
      <c r="A261">
        <v>171</v>
      </c>
      <c r="B261">
        <v>53</v>
      </c>
      <c r="C261" t="s">
        <v>170</v>
      </c>
      <c r="D261" s="13" t="s">
        <v>912</v>
      </c>
      <c r="E261" s="1">
        <v>1.1457132465589901</v>
      </c>
      <c r="F261" s="1">
        <v>2.9624984989956</v>
      </c>
      <c r="G261">
        <f>VLOOKUP(C261,'[1]phenotypes-895'!$A$2:$G$896,7,FALSE)</f>
        <v>84</v>
      </c>
      <c r="H261" s="1">
        <v>5.8144407316978496E-3</v>
      </c>
      <c r="I261" s="1">
        <f>VLOOKUP(C261,'[1]phenotypes-895'!$A$2:$I$896,9,FALSE)</f>
        <v>0.37175684313114349</v>
      </c>
      <c r="J261" s="1"/>
      <c r="K261" s="4">
        <v>3.9873541015388771</v>
      </c>
      <c r="L261" s="1"/>
      <c r="M261" s="8">
        <v>1</v>
      </c>
      <c r="N261" s="1"/>
      <c r="O261">
        <v>0.5</v>
      </c>
      <c r="P261" s="1"/>
      <c r="Q261" s="2">
        <v>-0.23</v>
      </c>
    </row>
    <row r="262" spans="1:17" x14ac:dyDescent="0.2">
      <c r="A262">
        <v>800</v>
      </c>
      <c r="B262">
        <v>39</v>
      </c>
      <c r="C262" t="s">
        <v>799</v>
      </c>
      <c r="D262" s="13" t="s">
        <v>913</v>
      </c>
      <c r="E262" s="1">
        <v>3.5259918364785601</v>
      </c>
      <c r="F262" s="1">
        <v>2.9543887127196098</v>
      </c>
      <c r="G262">
        <f>VLOOKUP(C262,'[1]phenotypes-895'!$A$2:$G$896,7,FALSE)</f>
        <v>98</v>
      </c>
      <c r="H262" s="1">
        <v>-5.6932294073896099E-2</v>
      </c>
      <c r="I262" s="1">
        <f>VLOOKUP(C262,'[1]phenotypes-895'!$A$2:$I$896,9,FALSE)</f>
        <v>0</v>
      </c>
      <c r="J262" s="1"/>
      <c r="K262" s="4">
        <v>0</v>
      </c>
      <c r="L262" s="1"/>
      <c r="M262" s="8">
        <v>0</v>
      </c>
      <c r="N262" s="1"/>
      <c r="O262">
        <v>1.161</v>
      </c>
      <c r="P262" s="1"/>
      <c r="Q262" s="2">
        <v>0.05</v>
      </c>
    </row>
    <row r="263" spans="1:17" x14ac:dyDescent="0.2">
      <c r="A263">
        <v>631</v>
      </c>
      <c r="B263">
        <v>28</v>
      </c>
      <c r="C263" t="s">
        <v>630</v>
      </c>
      <c r="D263" s="13" t="s">
        <v>913</v>
      </c>
      <c r="E263" s="1">
        <v>3.8549067807019401</v>
      </c>
      <c r="F263" s="1">
        <v>2.9487085564432101</v>
      </c>
      <c r="G263">
        <f>VLOOKUP(C263,'[1]phenotypes-895'!$A$2:$G$896,7,FALSE)</f>
        <v>98</v>
      </c>
      <c r="H263" s="1">
        <v>-3.0005699966336501E-2</v>
      </c>
      <c r="I263" s="1">
        <f>VLOOKUP(C263,'[1]phenotypes-895'!$A$2:$I$896,9,FALSE)</f>
        <v>0.54154726130043318</v>
      </c>
      <c r="J263" s="1"/>
      <c r="K263" s="4">
        <v>4.1356045243474817</v>
      </c>
      <c r="L263" s="1"/>
      <c r="M263" s="8">
        <v>1</v>
      </c>
      <c r="N263" s="1"/>
      <c r="O263">
        <v>1.431</v>
      </c>
      <c r="P263" s="1"/>
      <c r="Q263" s="2">
        <v>0.11</v>
      </c>
    </row>
    <row r="264" spans="1:17" x14ac:dyDescent="0.2">
      <c r="A264">
        <v>518</v>
      </c>
      <c r="B264">
        <v>53</v>
      </c>
      <c r="C264" t="s">
        <v>517</v>
      </c>
      <c r="D264" s="13" t="s">
        <v>912</v>
      </c>
      <c r="E264" s="1">
        <v>0.614376097379848</v>
      </c>
      <c r="F264" s="1">
        <v>2.9477614912544099</v>
      </c>
      <c r="G264">
        <f>VLOOKUP(C264,'[1]phenotypes-895'!$A$2:$G$896,7,FALSE)</f>
        <v>98</v>
      </c>
      <c r="H264" s="1">
        <v>9.4456243871233201E-4</v>
      </c>
      <c r="I264" s="1">
        <f>VLOOKUP(C264,'[1]phenotypes-895'!$A$2:$I$896,9,FALSE)</f>
        <v>0.3442565004826042</v>
      </c>
      <c r="J264" s="1"/>
      <c r="K264" s="4">
        <v>4.2166346196411792</v>
      </c>
      <c r="L264" s="1"/>
      <c r="M264" s="8">
        <v>1</v>
      </c>
      <c r="N264" s="1"/>
      <c r="O264">
        <v>0.71499999999999997</v>
      </c>
      <c r="P264" s="1"/>
      <c r="Q264" s="2">
        <v>-0.11</v>
      </c>
    </row>
    <row r="265" spans="1:17" x14ac:dyDescent="0.2">
      <c r="A265">
        <v>742</v>
      </c>
      <c r="B265">
        <v>35</v>
      </c>
      <c r="C265" t="s">
        <v>741</v>
      </c>
      <c r="D265" s="13" t="s">
        <v>913</v>
      </c>
      <c r="E265" s="1">
        <v>3.0944668988822799</v>
      </c>
      <c r="F265" s="1">
        <v>2.9441562088477902</v>
      </c>
      <c r="G265">
        <f>VLOOKUP(C265,'[1]phenotypes-895'!$A$2:$G$896,7,FALSE)</f>
        <v>98</v>
      </c>
      <c r="H265" s="1">
        <v>-3.9664502762480902E-2</v>
      </c>
      <c r="I265" s="1">
        <f>VLOOKUP(C265,'[1]phenotypes-895'!$A$2:$I$896,9,FALSE)</f>
        <v>0</v>
      </c>
      <c r="J265" s="1"/>
      <c r="K265" s="4">
        <v>0</v>
      </c>
      <c r="L265" s="1"/>
      <c r="M265" s="8">
        <v>0</v>
      </c>
      <c r="N265" s="1"/>
      <c r="O265">
        <v>1.022</v>
      </c>
      <c r="P265" s="1"/>
      <c r="Q265" s="2">
        <v>0.01</v>
      </c>
    </row>
    <row r="266" spans="1:17" x14ac:dyDescent="0.2">
      <c r="A266">
        <v>557</v>
      </c>
      <c r="B266">
        <v>33</v>
      </c>
      <c r="C266" t="s">
        <v>556</v>
      </c>
      <c r="D266" s="13" t="s">
        <v>913</v>
      </c>
      <c r="E266" s="1">
        <v>4.5130547489919604</v>
      </c>
      <c r="F266" s="1">
        <v>2.9425819472698498</v>
      </c>
      <c r="G266">
        <f>VLOOKUP(C266,'[1]phenotypes-895'!$A$2:$G$896,7,FALSE)</f>
        <v>98</v>
      </c>
      <c r="H266" s="1">
        <v>-3.9382623041039302E-2</v>
      </c>
      <c r="I266" s="1">
        <f>VLOOKUP(C266,'[1]phenotypes-895'!$A$2:$I$896,9,FALSE)</f>
        <v>0</v>
      </c>
      <c r="J266" s="1"/>
      <c r="K266" s="4">
        <v>0</v>
      </c>
      <c r="L266" s="1"/>
      <c r="M266" s="8">
        <v>0</v>
      </c>
      <c r="N266" s="1"/>
      <c r="O266">
        <v>1.244</v>
      </c>
      <c r="P266" s="1"/>
      <c r="Q266" s="2">
        <v>7.0000000000000007E-2</v>
      </c>
    </row>
    <row r="267" spans="1:17" x14ac:dyDescent="0.2">
      <c r="A267">
        <v>590</v>
      </c>
      <c r="B267">
        <v>42</v>
      </c>
      <c r="C267" t="s">
        <v>589</v>
      </c>
      <c r="D267" s="13" t="s">
        <v>912</v>
      </c>
      <c r="E267" s="1">
        <v>-2.3565743601248398E-2</v>
      </c>
      <c r="F267" s="1">
        <v>2.94163918206171</v>
      </c>
      <c r="G267">
        <f>VLOOKUP(C267,'[1]phenotypes-895'!$A$2:$G$896,7,FALSE)</f>
        <v>72</v>
      </c>
      <c r="H267" s="1">
        <v>2.9460000450538999E-2</v>
      </c>
      <c r="I267" s="1">
        <f>VLOOKUP(C267,'[1]phenotypes-895'!$A$2:$I$896,9,FALSE)</f>
        <v>0.38938506414532881</v>
      </c>
      <c r="J267" s="1"/>
      <c r="K267" s="4">
        <v>3.9945727213777955</v>
      </c>
      <c r="L267" s="1"/>
      <c r="M267" s="8">
        <v>1</v>
      </c>
      <c r="N267" s="1"/>
      <c r="O267">
        <v>0.66600000000000004</v>
      </c>
      <c r="P267" s="1"/>
      <c r="Q267" s="2">
        <v>-0.13</v>
      </c>
    </row>
    <row r="268" spans="1:17" x14ac:dyDescent="0.2">
      <c r="A268">
        <v>498</v>
      </c>
      <c r="B268">
        <v>49</v>
      </c>
      <c r="C268" t="s">
        <v>497</v>
      </c>
      <c r="D268" s="13" t="s">
        <v>912</v>
      </c>
      <c r="E268" s="1">
        <v>2.5268509974441198</v>
      </c>
      <c r="F268" s="1">
        <v>2.9124507230915802</v>
      </c>
      <c r="G268">
        <f>VLOOKUP(C268,'[1]phenotypes-895'!$A$2:$G$896,7,FALSE)</f>
        <v>98</v>
      </c>
      <c r="H268" s="1">
        <v>-2.5133168752227899E-2</v>
      </c>
      <c r="I268" s="1">
        <f>VLOOKUP(C268,'[1]phenotypes-895'!$A$2:$I$896,9,FALSE)</f>
        <v>0</v>
      </c>
      <c r="J268" s="1"/>
      <c r="K268" s="4">
        <v>0</v>
      </c>
      <c r="L268" s="1"/>
      <c r="M268" s="8">
        <v>0</v>
      </c>
      <c r="N268" s="1"/>
      <c r="O268">
        <v>0.92300000000000004</v>
      </c>
      <c r="P268" s="1"/>
      <c r="Q268" s="2">
        <v>-0.03</v>
      </c>
    </row>
    <row r="269" spans="1:17" x14ac:dyDescent="0.2">
      <c r="A269">
        <v>90</v>
      </c>
      <c r="B269">
        <v>48</v>
      </c>
      <c r="C269" t="s">
        <v>89</v>
      </c>
      <c r="D269" s="13" t="s">
        <v>912</v>
      </c>
      <c r="E269" s="1">
        <v>1.01903137146818</v>
      </c>
      <c r="F269" s="1">
        <v>2.8886146414928602</v>
      </c>
      <c r="G269">
        <f>VLOOKUP(C269,'[1]phenotypes-895'!$A$2:$G$896,7,FALSE)</f>
        <v>98</v>
      </c>
      <c r="H269" s="1">
        <v>-7.0441525315834197E-2</v>
      </c>
      <c r="I269" s="1">
        <f>VLOOKUP(C269,'[1]phenotypes-895'!$A$2:$I$896,9,FALSE)</f>
        <v>0</v>
      </c>
      <c r="J269" s="1"/>
      <c r="K269" s="4">
        <v>0</v>
      </c>
      <c r="L269" s="1"/>
      <c r="M269" s="8">
        <v>0</v>
      </c>
      <c r="N269" s="1"/>
      <c r="O269">
        <v>0.54300000000000004</v>
      </c>
      <c r="P269" s="1"/>
      <c r="Q269" s="2">
        <v>-0.2</v>
      </c>
    </row>
    <row r="270" spans="1:17" x14ac:dyDescent="0.2">
      <c r="A270">
        <v>119</v>
      </c>
      <c r="B270">
        <v>52</v>
      </c>
      <c r="C270" t="s">
        <v>118</v>
      </c>
      <c r="D270" s="13" t="s">
        <v>912</v>
      </c>
      <c r="E270" s="1">
        <v>0.210937269612612</v>
      </c>
      <c r="F270" s="1">
        <v>2.8783807238519099</v>
      </c>
      <c r="G270">
        <f>VLOOKUP(C270,'[1]phenotypes-895'!$A$2:$G$896,7,FALSE)</f>
        <v>98</v>
      </c>
      <c r="H270" s="1">
        <v>-3.2337402721835801E-2</v>
      </c>
      <c r="I270" s="1">
        <f>VLOOKUP(C270,'[1]phenotypes-895'!$A$2:$I$896,9,FALSE)</f>
        <v>0</v>
      </c>
      <c r="J270" s="1"/>
      <c r="K270" s="4">
        <v>0</v>
      </c>
      <c r="L270" s="1"/>
      <c r="M270" s="8">
        <v>0</v>
      </c>
      <c r="N270" s="1"/>
      <c r="O270">
        <v>0.66</v>
      </c>
      <c r="P270" s="1"/>
      <c r="Q270" s="2">
        <v>-0.14000000000000001</v>
      </c>
    </row>
    <row r="271" spans="1:17" x14ac:dyDescent="0.2">
      <c r="A271">
        <v>891</v>
      </c>
      <c r="B271">
        <v>27</v>
      </c>
      <c r="C271" t="s">
        <v>890</v>
      </c>
      <c r="D271" s="13" t="s">
        <v>913</v>
      </c>
      <c r="E271" s="1">
        <v>1.95113237690414</v>
      </c>
      <c r="F271" s="1">
        <v>2.8760896585317899</v>
      </c>
      <c r="G271">
        <f>VLOOKUP(C271,'[1]phenotypes-895'!$A$2:$G$896,7,FALSE)</f>
        <v>98</v>
      </c>
      <c r="H271" s="1">
        <v>-5.5159501045412999E-2</v>
      </c>
      <c r="I271" s="1">
        <f>VLOOKUP(C271,'[1]phenotypes-895'!$A$2:$I$896,9,FALSE)</f>
        <v>0</v>
      </c>
      <c r="J271" s="1"/>
      <c r="K271" s="4">
        <v>0</v>
      </c>
      <c r="L271" s="1"/>
      <c r="M271" s="8">
        <v>0</v>
      </c>
      <c r="N271" s="1"/>
      <c r="O271">
        <v>1.0589999999999999</v>
      </c>
      <c r="P271" s="1"/>
      <c r="Q271" s="2">
        <v>0.02</v>
      </c>
    </row>
    <row r="272" spans="1:17" x14ac:dyDescent="0.2">
      <c r="A272">
        <v>620</v>
      </c>
      <c r="B272">
        <v>38</v>
      </c>
      <c r="C272" t="s">
        <v>619</v>
      </c>
      <c r="D272" s="13" t="s">
        <v>913</v>
      </c>
      <c r="E272" s="1">
        <v>2.55639655641806</v>
      </c>
      <c r="F272" s="1">
        <v>2.8682251964484702</v>
      </c>
      <c r="G272">
        <f>VLOOKUP(C272,'[1]phenotypes-895'!$A$2:$G$896,7,FALSE)</f>
        <v>95</v>
      </c>
      <c r="H272" s="1">
        <v>-2.5489236804297301E-2</v>
      </c>
      <c r="I272" s="1">
        <f>VLOOKUP(C272,'[1]phenotypes-895'!$A$2:$I$896,9,FALSE)</f>
        <v>0.31993845102133439</v>
      </c>
      <c r="J272" s="1"/>
      <c r="K272" s="4">
        <v>4.73769919221869</v>
      </c>
      <c r="L272" s="1"/>
      <c r="M272" s="8">
        <v>1</v>
      </c>
      <c r="N272" s="1"/>
      <c r="O272">
        <v>1.282</v>
      </c>
      <c r="P272" s="1"/>
      <c r="Q272" s="2">
        <v>0.09</v>
      </c>
    </row>
    <row r="273" spans="1:17" x14ac:dyDescent="0.2">
      <c r="A273">
        <v>293</v>
      </c>
      <c r="B273">
        <v>7</v>
      </c>
      <c r="C273" t="s">
        <v>292</v>
      </c>
      <c r="D273" s="12" t="s">
        <v>913</v>
      </c>
      <c r="E273" s="1">
        <v>3.7626818495912602</v>
      </c>
      <c r="F273" s="1">
        <v>2.86760531808598</v>
      </c>
      <c r="G273">
        <f>VLOOKUP(C273,'[1]phenotypes-895'!$A$2:$G$896,7,FALSE)</f>
        <v>98</v>
      </c>
      <c r="H273" s="1">
        <v>-6.1035251334252603E-2</v>
      </c>
      <c r="I273" s="1">
        <f>VLOOKUP(C273,'[1]phenotypes-895'!$A$2:$I$896,9,FALSE)</f>
        <v>0</v>
      </c>
      <c r="J273" s="1"/>
      <c r="K273" s="4">
        <v>0</v>
      </c>
      <c r="L273" s="1"/>
      <c r="M273" s="8">
        <v>0</v>
      </c>
      <c r="N273" s="1"/>
      <c r="O273" s="6">
        <v>1.1639999999999999</v>
      </c>
      <c r="P273" s="1"/>
      <c r="Q273" s="7">
        <v>0.05</v>
      </c>
    </row>
    <row r="274" spans="1:17" x14ac:dyDescent="0.2">
      <c r="A274">
        <v>579</v>
      </c>
      <c r="B274">
        <v>42</v>
      </c>
      <c r="C274" t="s">
        <v>578</v>
      </c>
      <c r="D274" s="13" t="s">
        <v>912</v>
      </c>
      <c r="E274" s="1">
        <v>0.62626434318753499</v>
      </c>
      <c r="F274" s="1">
        <v>2.8515567163438802</v>
      </c>
      <c r="G274">
        <f>VLOOKUP(C274,'[1]phenotypes-895'!$A$2:$G$896,7,FALSE)</f>
        <v>98</v>
      </c>
      <c r="H274" s="1">
        <v>-5.9398122862245701E-3</v>
      </c>
      <c r="I274" s="1">
        <f>VLOOKUP(C274,'[1]phenotypes-895'!$A$2:$I$896,9,FALSE)</f>
        <v>0</v>
      </c>
      <c r="J274" s="1"/>
      <c r="K274" s="4">
        <v>0</v>
      </c>
      <c r="L274" s="1"/>
      <c r="M274" s="8">
        <v>0</v>
      </c>
      <c r="N274" s="1"/>
      <c r="O274">
        <v>0.623</v>
      </c>
      <c r="P274" s="1"/>
      <c r="Q274" s="2">
        <v>-0.15</v>
      </c>
    </row>
    <row r="275" spans="1:17" x14ac:dyDescent="0.2">
      <c r="A275">
        <v>725</v>
      </c>
      <c r="B275">
        <v>50</v>
      </c>
      <c r="C275" t="s">
        <v>724</v>
      </c>
      <c r="D275" s="13" t="s">
        <v>912</v>
      </c>
      <c r="E275" s="1">
        <v>0.86591593245271803</v>
      </c>
      <c r="F275" s="1">
        <v>2.8483492484160999</v>
      </c>
      <c r="G275">
        <f>VLOOKUP(C275,'[1]phenotypes-895'!$A$2:$G$896,7,FALSE)</f>
        <v>80</v>
      </c>
      <c r="H275" s="1">
        <v>-1.09479830309204E-2</v>
      </c>
      <c r="I275" s="1">
        <f>VLOOKUP(C275,'[1]phenotypes-895'!$A$2:$I$896,9,FALSE)</f>
        <v>0.22716384647649229</v>
      </c>
      <c r="J275" s="1"/>
      <c r="K275" s="4">
        <v>3.7061433648144919</v>
      </c>
      <c r="L275" s="1"/>
      <c r="M275" s="8">
        <v>1</v>
      </c>
      <c r="N275" s="1"/>
      <c r="O275">
        <v>0.46899999999999997</v>
      </c>
      <c r="P275" s="1"/>
      <c r="Q275" s="2">
        <v>-0.26</v>
      </c>
    </row>
    <row r="276" spans="1:17" x14ac:dyDescent="0.2">
      <c r="A276">
        <v>596</v>
      </c>
      <c r="B276">
        <v>32</v>
      </c>
      <c r="C276" t="s">
        <v>595</v>
      </c>
      <c r="D276" s="13" t="s">
        <v>913</v>
      </c>
      <c r="E276" s="1">
        <v>3.74827939354061</v>
      </c>
      <c r="F276" s="1">
        <v>2.8343282887975199</v>
      </c>
      <c r="G276">
        <f>VLOOKUP(C276,'[1]phenotypes-895'!$A$2:$G$896,7,FALSE)</f>
        <v>98</v>
      </c>
      <c r="H276" s="1">
        <v>-6.5810651126062797E-2</v>
      </c>
      <c r="I276" s="1">
        <f>VLOOKUP(C276,'[1]phenotypes-895'!$A$2:$I$896,9,FALSE)</f>
        <v>0</v>
      </c>
      <c r="J276" s="1"/>
      <c r="K276" s="4">
        <v>0</v>
      </c>
      <c r="L276" s="1"/>
      <c r="M276" s="8">
        <v>0</v>
      </c>
      <c r="N276" s="1"/>
      <c r="O276">
        <v>1.151</v>
      </c>
      <c r="P276" s="1"/>
      <c r="Q276" s="2">
        <v>0.04</v>
      </c>
    </row>
    <row r="277" spans="1:17" x14ac:dyDescent="0.2">
      <c r="A277">
        <v>755</v>
      </c>
      <c r="B277">
        <v>50</v>
      </c>
      <c r="C277" t="s">
        <v>754</v>
      </c>
      <c r="D277" s="13" t="s">
        <v>912</v>
      </c>
      <c r="E277" s="1">
        <v>1.3746703099947499</v>
      </c>
      <c r="F277" s="1">
        <v>2.8257950516652999</v>
      </c>
      <c r="G277">
        <f>VLOOKUP(C277,'[1]phenotypes-895'!$A$2:$G$896,7,FALSE)</f>
        <v>98</v>
      </c>
      <c r="H277" s="1">
        <v>1.55000716443196E-2</v>
      </c>
      <c r="I277" s="1">
        <f>VLOOKUP(C277,'[1]phenotypes-895'!$A$2:$I$896,9,FALSE)</f>
        <v>0.59631999082742426</v>
      </c>
      <c r="J277" s="1"/>
      <c r="K277" s="4">
        <v>3.4734435944664543</v>
      </c>
      <c r="L277" s="1"/>
      <c r="M277" s="8">
        <v>1</v>
      </c>
      <c r="N277" s="1"/>
      <c r="O277">
        <v>0.57699999999999996</v>
      </c>
      <c r="P277" s="1"/>
      <c r="Q277" s="2">
        <v>-0.19</v>
      </c>
    </row>
    <row r="278" spans="1:17" x14ac:dyDescent="0.2">
      <c r="A278">
        <v>582</v>
      </c>
      <c r="B278">
        <v>49</v>
      </c>
      <c r="C278" t="s">
        <v>581</v>
      </c>
      <c r="D278" s="13" t="s">
        <v>912</v>
      </c>
      <c r="E278" s="1">
        <v>0.31241107409118302</v>
      </c>
      <c r="F278" s="1">
        <v>2.7959055382776801</v>
      </c>
      <c r="G278">
        <f>VLOOKUP(C278,'[1]phenotypes-895'!$A$2:$G$896,7,FALSE)</f>
        <v>98</v>
      </c>
      <c r="H278" s="1">
        <v>-1.1130762718591199E-2</v>
      </c>
      <c r="I278" s="1">
        <f>VLOOKUP(C278,'[1]phenotypes-895'!$A$2:$I$896,9,FALSE)</f>
        <v>0</v>
      </c>
      <c r="J278" s="1"/>
      <c r="K278" s="4">
        <v>0</v>
      </c>
      <c r="L278" s="1"/>
      <c r="M278" s="8">
        <v>0</v>
      </c>
      <c r="N278" s="1"/>
      <c r="O278">
        <v>0.81100000000000005</v>
      </c>
      <c r="P278" s="1"/>
      <c r="Q278" s="2">
        <v>-7.0000000000000007E-2</v>
      </c>
    </row>
    <row r="279" spans="1:17" x14ac:dyDescent="0.2">
      <c r="A279">
        <v>820</v>
      </c>
      <c r="B279">
        <v>49</v>
      </c>
      <c r="C279" t="s">
        <v>819</v>
      </c>
      <c r="D279" s="13" t="s">
        <v>912</v>
      </c>
      <c r="E279" s="1">
        <v>1.2014078133327499</v>
      </c>
      <c r="F279" s="1">
        <v>2.7803209684116701</v>
      </c>
      <c r="G279">
        <f>VLOOKUP(C279,'[1]phenotypes-895'!$A$2:$G$896,7,FALSE)</f>
        <v>65</v>
      </c>
      <c r="H279" s="1">
        <v>-2.35274450349531E-2</v>
      </c>
      <c r="I279" s="1">
        <f>VLOOKUP(C279,'[1]phenotypes-895'!$A$2:$I$896,9,FALSE)</f>
        <v>0.61584824103496949</v>
      </c>
      <c r="J279" s="1"/>
      <c r="K279" s="4">
        <v>5.3092579441341314</v>
      </c>
      <c r="L279" s="1"/>
      <c r="M279" s="8">
        <v>1</v>
      </c>
      <c r="N279" s="1"/>
      <c r="O279">
        <v>0.624</v>
      </c>
      <c r="P279" s="1"/>
      <c r="Q279" s="2">
        <v>-0.16</v>
      </c>
    </row>
    <row r="280" spans="1:17" x14ac:dyDescent="0.2">
      <c r="A280">
        <v>53</v>
      </c>
      <c r="B280">
        <v>10</v>
      </c>
      <c r="C280" t="s">
        <v>52</v>
      </c>
      <c r="D280" s="12" t="s">
        <v>912</v>
      </c>
      <c r="E280" s="1">
        <v>2.4597416650721202</v>
      </c>
      <c r="F280" s="1">
        <v>2.7617983815607299</v>
      </c>
      <c r="G280">
        <f>VLOOKUP(C280,'[1]phenotypes-895'!$A$2:$G$896,7,FALSE)</f>
        <v>98</v>
      </c>
      <c r="H280" s="1">
        <v>-3.9307987679871398E-2</v>
      </c>
      <c r="I280" s="1">
        <f>VLOOKUP(C280,'[1]phenotypes-895'!$A$2:$I$896,9,FALSE)</f>
        <v>0</v>
      </c>
      <c r="J280" s="1"/>
      <c r="K280" s="4">
        <v>0</v>
      </c>
      <c r="L280" s="1"/>
      <c r="M280" s="8">
        <v>0</v>
      </c>
      <c r="N280" s="1"/>
      <c r="O280" s="6">
        <v>0.88300000000000001</v>
      </c>
      <c r="P280" s="1"/>
      <c r="Q280" s="7">
        <v>-0.04</v>
      </c>
    </row>
    <row r="281" spans="1:17" x14ac:dyDescent="0.2">
      <c r="A281">
        <v>203</v>
      </c>
      <c r="B281">
        <v>8</v>
      </c>
      <c r="C281" t="s">
        <v>202</v>
      </c>
      <c r="D281" s="12" t="s">
        <v>913</v>
      </c>
      <c r="E281" s="1">
        <v>3.94711222504489</v>
      </c>
      <c r="F281" s="1">
        <v>2.7598553190367401</v>
      </c>
      <c r="G281">
        <f>VLOOKUP(C281,'[1]phenotypes-895'!$A$2:$G$896,7,FALSE)</f>
        <v>76</v>
      </c>
      <c r="H281" s="1">
        <v>-1.41144672901031E-2</v>
      </c>
      <c r="I281" s="1">
        <f>VLOOKUP(C281,'[1]phenotypes-895'!$A$2:$I$896,9,FALSE)</f>
        <v>0.51072135173809396</v>
      </c>
      <c r="J281" s="1"/>
      <c r="K281" s="4">
        <v>4.4499029595503714</v>
      </c>
      <c r="L281" s="1"/>
      <c r="M281" s="8">
        <v>1</v>
      </c>
      <c r="N281" s="1"/>
      <c r="O281" s="6">
        <v>0.76</v>
      </c>
      <c r="P281" s="1"/>
      <c r="Q281" s="7">
        <v>-0.09</v>
      </c>
    </row>
    <row r="282" spans="1:17" x14ac:dyDescent="0.2">
      <c r="A282">
        <v>555</v>
      </c>
      <c r="B282">
        <v>39</v>
      </c>
      <c r="C282" t="s">
        <v>554</v>
      </c>
      <c r="D282" s="13" t="s">
        <v>913</v>
      </c>
      <c r="E282" s="1">
        <v>1.5261674691167799</v>
      </c>
      <c r="F282" s="1">
        <v>2.7594194007610202</v>
      </c>
      <c r="G282">
        <f>VLOOKUP(C282,'[1]phenotypes-895'!$A$2:$G$896,7,FALSE)</f>
        <v>98</v>
      </c>
      <c r="H282" s="1">
        <v>-2.69411362518348E-2</v>
      </c>
      <c r="I282" s="1">
        <f>VLOOKUP(C282,'[1]phenotypes-895'!$A$2:$I$896,9,FALSE)</f>
        <v>0</v>
      </c>
      <c r="J282" s="1"/>
      <c r="K282" s="4">
        <v>0</v>
      </c>
      <c r="L282" s="1"/>
      <c r="M282" s="8">
        <v>0</v>
      </c>
      <c r="N282" s="1"/>
      <c r="O282">
        <v>0.93400000000000005</v>
      </c>
      <c r="P282" s="1"/>
      <c r="Q282" s="2">
        <v>-0.02</v>
      </c>
    </row>
    <row r="283" spans="1:17" x14ac:dyDescent="0.2">
      <c r="A283">
        <v>562</v>
      </c>
      <c r="B283">
        <v>39</v>
      </c>
      <c r="C283" t="s">
        <v>561</v>
      </c>
      <c r="D283" s="13" t="s">
        <v>913</v>
      </c>
      <c r="E283" s="1">
        <v>1.38453649771368</v>
      </c>
      <c r="F283" s="1">
        <v>2.7589137926348699</v>
      </c>
      <c r="G283">
        <f>VLOOKUP(C283,'[1]phenotypes-895'!$A$2:$G$896,7,FALSE)</f>
        <v>98</v>
      </c>
      <c r="H283" s="1">
        <v>-3.62514453042629E-2</v>
      </c>
      <c r="I283" s="1">
        <f>VLOOKUP(C283,'[1]phenotypes-895'!$A$2:$I$896,9,FALSE)</f>
        <v>0</v>
      </c>
      <c r="J283" s="1"/>
      <c r="K283" s="4">
        <v>0</v>
      </c>
      <c r="L283" s="1"/>
      <c r="M283" s="8">
        <v>0</v>
      </c>
      <c r="N283" s="1"/>
      <c r="O283">
        <v>1.0780000000000001</v>
      </c>
      <c r="P283" s="1"/>
      <c r="Q283" s="2">
        <v>0.02</v>
      </c>
    </row>
    <row r="284" spans="1:17" x14ac:dyDescent="0.2">
      <c r="A284">
        <v>434</v>
      </c>
      <c r="B284">
        <v>42</v>
      </c>
      <c r="C284" t="s">
        <v>433</v>
      </c>
      <c r="D284" s="13" t="s">
        <v>912</v>
      </c>
      <c r="E284" s="1">
        <v>3.0628279635201401</v>
      </c>
      <c r="F284" s="1">
        <v>2.7581256049902398</v>
      </c>
      <c r="G284">
        <f>VLOOKUP(C284,'[1]phenotypes-895'!$A$2:$G$896,7,FALSE)</f>
        <v>98</v>
      </c>
      <c r="H284" s="1">
        <v>-6.9090208271460105E-2</v>
      </c>
      <c r="I284" s="1">
        <f>VLOOKUP(C284,'[1]phenotypes-895'!$A$2:$I$896,9,FALSE)</f>
        <v>0</v>
      </c>
      <c r="J284" s="1"/>
      <c r="K284" s="4">
        <v>0</v>
      </c>
      <c r="L284" s="1"/>
      <c r="M284" s="8">
        <v>0</v>
      </c>
      <c r="N284" s="1"/>
      <c r="O284">
        <v>0.70399999999999996</v>
      </c>
      <c r="P284" s="1"/>
      <c r="Q284" s="2">
        <v>-0.11</v>
      </c>
    </row>
    <row r="285" spans="1:17" x14ac:dyDescent="0.2">
      <c r="A285">
        <v>347</v>
      </c>
      <c r="B285">
        <v>53</v>
      </c>
      <c r="C285" t="s">
        <v>346</v>
      </c>
      <c r="D285" s="13" t="s">
        <v>912</v>
      </c>
      <c r="E285" s="1">
        <v>0.88445552175585695</v>
      </c>
      <c r="F285" s="1">
        <v>2.7577886962624598</v>
      </c>
      <c r="G285">
        <f>VLOOKUP(C285,'[1]phenotypes-895'!$A$2:$G$896,7,FALSE)</f>
        <v>60</v>
      </c>
      <c r="H285" s="1">
        <v>-2.6587394426907201E-2</v>
      </c>
      <c r="I285" s="1">
        <f>VLOOKUP(C285,'[1]phenotypes-895'!$A$2:$I$896,9,FALSE)</f>
        <v>0.43753051231149392</v>
      </c>
      <c r="J285" s="1"/>
      <c r="K285" s="4">
        <v>3.8605690635935535</v>
      </c>
      <c r="L285" s="1"/>
      <c r="M285" s="8">
        <v>1</v>
      </c>
      <c r="N285" s="1"/>
      <c r="O285">
        <v>0.54800000000000004</v>
      </c>
      <c r="P285" s="1"/>
      <c r="Q285" s="2">
        <v>-0.2</v>
      </c>
    </row>
    <row r="286" spans="1:17" x14ac:dyDescent="0.2">
      <c r="A286">
        <v>705</v>
      </c>
      <c r="B286">
        <v>25</v>
      </c>
      <c r="C286" t="s">
        <v>704</v>
      </c>
      <c r="D286" s="13" t="s">
        <v>913</v>
      </c>
      <c r="E286" s="1">
        <v>1.5414641981038899</v>
      </c>
      <c r="F286" s="1">
        <v>2.7482247756065599</v>
      </c>
      <c r="G286">
        <f>VLOOKUP(C286,'[1]phenotypes-895'!$A$2:$G$896,7,FALSE)</f>
        <v>63</v>
      </c>
      <c r="H286" s="1">
        <v>-2.0830786047113199E-2</v>
      </c>
      <c r="I286" s="1">
        <f>VLOOKUP(C286,'[1]phenotypes-895'!$A$2:$I$896,9,FALSE)</f>
        <v>0.48760928265686249</v>
      </c>
      <c r="J286" s="1"/>
      <c r="K286" s="4">
        <v>4.2657246870653811</v>
      </c>
      <c r="L286" s="1"/>
      <c r="M286" s="8">
        <v>1</v>
      </c>
      <c r="N286" s="1"/>
      <c r="O286">
        <v>1.302</v>
      </c>
      <c r="P286" s="1"/>
      <c r="Q286" s="2">
        <v>0.08</v>
      </c>
    </row>
    <row r="287" spans="1:17" x14ac:dyDescent="0.2">
      <c r="A287">
        <v>308</v>
      </c>
      <c r="B287">
        <v>7</v>
      </c>
      <c r="C287" t="s">
        <v>307</v>
      </c>
      <c r="D287" s="12" t="s">
        <v>913</v>
      </c>
      <c r="E287" s="1">
        <v>4.0487681812269196</v>
      </c>
      <c r="F287" s="1">
        <v>2.7436899843816098</v>
      </c>
      <c r="G287">
        <f>VLOOKUP(C287,'[1]phenotypes-895'!$A$2:$G$896,7,FALSE)</f>
        <v>98</v>
      </c>
      <c r="H287" s="1">
        <v>-5.9322668051536603E-2</v>
      </c>
      <c r="I287" s="1">
        <f>VLOOKUP(C287,'[1]phenotypes-895'!$A$2:$I$896,9,FALSE)</f>
        <v>0</v>
      </c>
      <c r="J287" s="1"/>
      <c r="K287" s="4">
        <v>0</v>
      </c>
      <c r="L287" s="1"/>
      <c r="M287" s="8">
        <v>0</v>
      </c>
      <c r="N287" s="1"/>
      <c r="O287" s="6">
        <v>1.1060000000000001</v>
      </c>
      <c r="P287" s="1"/>
      <c r="Q287" s="7">
        <v>0.03</v>
      </c>
    </row>
    <row r="288" spans="1:17" x14ac:dyDescent="0.2">
      <c r="A288">
        <v>484</v>
      </c>
      <c r="B288">
        <v>50</v>
      </c>
      <c r="C288" t="s">
        <v>483</v>
      </c>
      <c r="D288" s="13" t="s">
        <v>912</v>
      </c>
      <c r="E288" s="1">
        <v>2.9653632424473599</v>
      </c>
      <c r="F288" s="1">
        <v>2.7360609724178002</v>
      </c>
      <c r="G288">
        <f>VLOOKUP(C288,'[1]phenotypes-895'!$A$2:$G$896,7,FALSE)</f>
        <v>69</v>
      </c>
      <c r="H288" s="1">
        <v>-5.9537101939024797E-2</v>
      </c>
      <c r="I288" s="1">
        <f>VLOOKUP(C288,'[1]phenotypes-895'!$A$2:$I$896,9,FALSE)</f>
        <v>0.56757725202521947</v>
      </c>
      <c r="J288" s="1"/>
      <c r="K288" s="4">
        <v>4.5895191922616272</v>
      </c>
      <c r="L288" s="1"/>
      <c r="M288" s="8">
        <v>1</v>
      </c>
      <c r="N288" s="1"/>
      <c r="O288">
        <v>0.61899999999999999</v>
      </c>
      <c r="P288" s="1"/>
      <c r="Q288" s="2">
        <v>-0.16</v>
      </c>
    </row>
    <row r="289" spans="1:17" x14ac:dyDescent="0.2">
      <c r="A289">
        <v>749</v>
      </c>
      <c r="B289">
        <v>30</v>
      </c>
      <c r="C289" t="s">
        <v>748</v>
      </c>
      <c r="D289" s="13" t="s">
        <v>913</v>
      </c>
      <c r="E289" s="1">
        <v>4.5829117079225403</v>
      </c>
      <c r="F289" s="1">
        <v>2.7169513602011599</v>
      </c>
      <c r="G289">
        <f>VLOOKUP(C289,'[1]phenotypes-895'!$A$2:$G$896,7,FALSE)</f>
        <v>98</v>
      </c>
      <c r="H289" s="1">
        <v>-9.5797230366790498E-2</v>
      </c>
      <c r="I289" s="1">
        <f>VLOOKUP(C289,'[1]phenotypes-895'!$A$2:$I$896,9,FALSE)</f>
        <v>0</v>
      </c>
      <c r="J289" s="1"/>
      <c r="K289" s="4">
        <v>0</v>
      </c>
      <c r="L289" s="1"/>
      <c r="M289" s="8">
        <v>0</v>
      </c>
      <c r="N289" s="1"/>
      <c r="O289">
        <v>1.1060000000000001</v>
      </c>
      <c r="P289" s="1"/>
      <c r="Q289" s="2">
        <v>0.03</v>
      </c>
    </row>
    <row r="290" spans="1:17" x14ac:dyDescent="0.2">
      <c r="A290">
        <v>647</v>
      </c>
      <c r="B290">
        <v>31</v>
      </c>
      <c r="C290" t="s">
        <v>646</v>
      </c>
      <c r="D290" s="13" t="s">
        <v>913</v>
      </c>
      <c r="E290" s="1">
        <v>3.37589241972772</v>
      </c>
      <c r="F290" s="1">
        <v>2.7112705724356601</v>
      </c>
      <c r="G290">
        <f>VLOOKUP(C290,'[1]phenotypes-895'!$A$2:$G$896,7,FALSE)</f>
        <v>84</v>
      </c>
      <c r="H290" s="1">
        <v>4.5961344994265496E-3</v>
      </c>
      <c r="I290" s="1">
        <f>VLOOKUP(C290,'[1]phenotypes-895'!$A$2:$I$896,9,FALSE)</f>
        <v>0.56637934309925853</v>
      </c>
      <c r="J290" s="1"/>
      <c r="K290" s="4">
        <v>4.0846968923055718</v>
      </c>
      <c r="L290" s="1"/>
      <c r="M290" s="8">
        <v>1</v>
      </c>
      <c r="N290" s="1"/>
      <c r="O290">
        <v>1.0329999999999999</v>
      </c>
      <c r="P290" s="1"/>
      <c r="Q290" s="2">
        <v>0.01</v>
      </c>
    </row>
    <row r="291" spans="1:17" x14ac:dyDescent="0.2">
      <c r="A291">
        <v>682</v>
      </c>
      <c r="B291">
        <v>35</v>
      </c>
      <c r="C291" t="s">
        <v>681</v>
      </c>
      <c r="D291" s="13" t="s">
        <v>913</v>
      </c>
      <c r="E291" s="1">
        <v>2.6958419901439101</v>
      </c>
      <c r="F291" s="1">
        <v>2.69550590029385</v>
      </c>
      <c r="G291">
        <f>VLOOKUP(C291,'[1]phenotypes-895'!$A$2:$G$896,7,FALSE)</f>
        <v>75</v>
      </c>
      <c r="H291" s="1">
        <v>-1.1165747269130199E-2</v>
      </c>
      <c r="I291" s="1">
        <f>VLOOKUP(C291,'[1]phenotypes-895'!$A$2:$I$896,9,FALSE)</f>
        <v>0.50774173167307657</v>
      </c>
      <c r="J291" s="1"/>
      <c r="K291" s="4">
        <v>4.4015566913904607</v>
      </c>
      <c r="L291" s="1"/>
      <c r="M291" s="8">
        <v>1</v>
      </c>
      <c r="N291" s="1"/>
      <c r="O291">
        <v>1.0980000000000001</v>
      </c>
      <c r="P291" s="1"/>
      <c r="Q291" s="2">
        <v>0.03</v>
      </c>
    </row>
    <row r="292" spans="1:17" x14ac:dyDescent="0.2">
      <c r="A292">
        <v>850</v>
      </c>
      <c r="B292">
        <v>22</v>
      </c>
      <c r="C292" t="s">
        <v>849</v>
      </c>
      <c r="D292" s="13" t="s">
        <v>913</v>
      </c>
      <c r="E292" s="1">
        <v>2.9509366002108801</v>
      </c>
      <c r="F292" s="1">
        <v>2.6888128140984402</v>
      </c>
      <c r="G292">
        <f>VLOOKUP(C292,'[1]phenotypes-895'!$A$2:$G$896,7,FALSE)</f>
        <v>98</v>
      </c>
      <c r="H292" s="1">
        <v>-5.5852529097750996E-3</v>
      </c>
      <c r="I292" s="1">
        <f>VLOOKUP(C292,'[1]phenotypes-895'!$A$2:$I$896,9,FALSE)</f>
        <v>0</v>
      </c>
      <c r="J292" s="1"/>
      <c r="K292" s="4">
        <v>0</v>
      </c>
      <c r="L292" s="1"/>
      <c r="M292" s="8">
        <v>0</v>
      </c>
      <c r="N292" s="1"/>
      <c r="O292">
        <v>1.032</v>
      </c>
      <c r="P292" s="1"/>
      <c r="Q292" s="2">
        <v>0.01</v>
      </c>
    </row>
    <row r="293" spans="1:17" x14ac:dyDescent="0.2">
      <c r="A293">
        <v>730</v>
      </c>
      <c r="B293">
        <v>25</v>
      </c>
      <c r="C293" t="s">
        <v>729</v>
      </c>
      <c r="D293" s="13" t="s">
        <v>913</v>
      </c>
      <c r="E293" s="1">
        <v>4.2316964621861901</v>
      </c>
      <c r="F293" s="1">
        <v>2.6886187992112398</v>
      </c>
      <c r="G293">
        <f>VLOOKUP(C293,'[1]phenotypes-895'!$A$2:$G$896,7,FALSE)</f>
        <v>77</v>
      </c>
      <c r="H293" s="1">
        <v>-7.3045346618402604E-2</v>
      </c>
      <c r="I293" s="1">
        <f>VLOOKUP(C293,'[1]phenotypes-895'!$A$2:$I$896,9,FALSE)</f>
        <v>0.5022186853947761</v>
      </c>
      <c r="J293" s="1"/>
      <c r="K293" s="4">
        <v>3.7704062493690911</v>
      </c>
      <c r="L293" s="1"/>
      <c r="M293" s="8">
        <v>1</v>
      </c>
      <c r="N293" s="1"/>
      <c r="O293">
        <v>1.022</v>
      </c>
      <c r="P293" s="1"/>
      <c r="Q293" s="2">
        <v>0.01</v>
      </c>
    </row>
    <row r="294" spans="1:17" x14ac:dyDescent="0.2">
      <c r="A294">
        <v>384</v>
      </c>
      <c r="B294">
        <v>46</v>
      </c>
      <c r="C294" t="s">
        <v>383</v>
      </c>
      <c r="D294" s="13" t="s">
        <v>912</v>
      </c>
      <c r="E294" s="1">
        <v>2.6227951940296501</v>
      </c>
      <c r="F294" s="1">
        <v>2.6842134683463201</v>
      </c>
      <c r="G294">
        <f>VLOOKUP(C294,'[1]phenotypes-895'!$A$2:$G$896,7,FALSE)</f>
        <v>89</v>
      </c>
      <c r="H294" s="1">
        <v>-9.0287229033987795E-2</v>
      </c>
      <c r="I294" s="1">
        <f>VLOOKUP(C294,'[1]phenotypes-895'!$A$2:$I$896,9,FALSE)</f>
        <v>0.42608856428626002</v>
      </c>
      <c r="J294" s="1"/>
      <c r="K294" s="4">
        <v>3.5667329520107987</v>
      </c>
      <c r="L294" s="1"/>
      <c r="M294" s="8">
        <v>1</v>
      </c>
      <c r="N294" s="1"/>
      <c r="O294">
        <v>0.68300000000000005</v>
      </c>
      <c r="P294" s="1"/>
      <c r="Q294" s="2">
        <v>-0.13</v>
      </c>
    </row>
    <row r="295" spans="1:17" x14ac:dyDescent="0.2">
      <c r="A295">
        <v>865</v>
      </c>
      <c r="B295">
        <v>32</v>
      </c>
      <c r="C295" t="s">
        <v>864</v>
      </c>
      <c r="D295" s="13" t="s">
        <v>913</v>
      </c>
      <c r="E295" s="1">
        <v>3.1641244195098399</v>
      </c>
      <c r="F295" s="1">
        <v>2.67318991836426</v>
      </c>
      <c r="G295">
        <f>VLOOKUP(C295,'[1]phenotypes-895'!$A$2:$G$896,7,FALSE)</f>
        <v>71</v>
      </c>
      <c r="H295" s="1">
        <v>-6.3470564506757296E-3</v>
      </c>
      <c r="I295" s="1">
        <f>VLOOKUP(C295,'[1]phenotypes-895'!$A$2:$I$896,9,FALSE)</f>
        <v>0.44811736806432062</v>
      </c>
      <c r="J295" s="1"/>
      <c r="K295" s="4">
        <v>4.1320607662606825</v>
      </c>
      <c r="L295" s="1"/>
      <c r="M295" s="8">
        <v>1</v>
      </c>
      <c r="N295" s="1"/>
      <c r="O295">
        <v>1.244</v>
      </c>
      <c r="P295" s="1"/>
      <c r="Q295" s="2">
        <v>7.0000000000000007E-2</v>
      </c>
    </row>
    <row r="296" spans="1:17" x14ac:dyDescent="0.2">
      <c r="A296">
        <v>242</v>
      </c>
      <c r="B296">
        <v>12</v>
      </c>
      <c r="C296" t="s">
        <v>241</v>
      </c>
      <c r="D296" s="12" t="s">
        <v>912</v>
      </c>
      <c r="E296" s="1">
        <v>1.1004915909478501</v>
      </c>
      <c r="F296" s="1">
        <v>2.66162559736755</v>
      </c>
      <c r="G296">
        <f>VLOOKUP(C296,'[1]phenotypes-895'!$A$2:$G$896,7,FALSE)</f>
        <v>69</v>
      </c>
      <c r="H296" s="1">
        <v>-3.5401191412806197E-2</v>
      </c>
      <c r="I296" s="1">
        <f>VLOOKUP(C296,'[1]phenotypes-895'!$A$2:$I$896,9,FALSE)</f>
        <v>0.32526641533594902</v>
      </c>
      <c r="J296" s="1"/>
      <c r="K296" s="4">
        <v>2.623650550822922</v>
      </c>
      <c r="L296" s="1"/>
      <c r="M296" s="8">
        <v>1</v>
      </c>
      <c r="N296" s="1"/>
      <c r="O296" s="6">
        <v>0.85</v>
      </c>
      <c r="P296" s="1"/>
      <c r="Q296" s="7">
        <v>-0.05</v>
      </c>
    </row>
    <row r="297" spans="1:17" x14ac:dyDescent="0.2">
      <c r="A297">
        <v>516</v>
      </c>
      <c r="B297">
        <v>44</v>
      </c>
      <c r="C297" t="s">
        <v>515</v>
      </c>
      <c r="D297" s="13" t="s">
        <v>912</v>
      </c>
      <c r="E297" s="1">
        <v>3.47903111224934</v>
      </c>
      <c r="F297" s="1">
        <v>2.6595889522745599</v>
      </c>
      <c r="G297">
        <f>VLOOKUP(C297,'[1]phenotypes-895'!$A$2:$G$896,7,FALSE)</f>
        <v>98</v>
      </c>
      <c r="H297" s="1">
        <v>-6.8604786805659804E-2</v>
      </c>
      <c r="I297" s="1">
        <f>VLOOKUP(C297,'[1]phenotypes-895'!$A$2:$I$896,9,FALSE)</f>
        <v>0</v>
      </c>
      <c r="J297" s="1"/>
      <c r="K297" s="4">
        <v>0</v>
      </c>
      <c r="L297" s="1"/>
      <c r="M297" s="8">
        <v>0</v>
      </c>
      <c r="N297" s="1"/>
      <c r="O297">
        <v>0.70799999999999996</v>
      </c>
      <c r="P297" s="1"/>
      <c r="Q297" s="2">
        <v>-0.11</v>
      </c>
    </row>
    <row r="298" spans="1:17" x14ac:dyDescent="0.2">
      <c r="A298">
        <v>802</v>
      </c>
      <c r="B298">
        <v>34</v>
      </c>
      <c r="C298" t="s">
        <v>801</v>
      </c>
      <c r="D298" s="13" t="s">
        <v>913</v>
      </c>
      <c r="E298" s="1">
        <v>2.3295772388417899</v>
      </c>
      <c r="F298" s="1">
        <v>2.6301918873630399</v>
      </c>
      <c r="G298">
        <f>VLOOKUP(C298,'[1]phenotypes-895'!$A$2:$G$896,7,FALSE)</f>
        <v>98</v>
      </c>
      <c r="H298" s="1">
        <v>7.6850127563006503E-3</v>
      </c>
      <c r="I298" s="1">
        <f>VLOOKUP(C298,'[1]phenotypes-895'!$A$2:$I$896,9,FALSE)</f>
        <v>0.52273216384706378</v>
      </c>
      <c r="J298" s="1"/>
      <c r="K298" s="4">
        <v>4.4196351993118741</v>
      </c>
      <c r="L298" s="1"/>
      <c r="M298" s="8">
        <v>1</v>
      </c>
      <c r="N298" s="1"/>
      <c r="O298">
        <v>0.96199999999999997</v>
      </c>
      <c r="P298" s="1"/>
      <c r="Q298" s="2">
        <v>-0.01</v>
      </c>
    </row>
    <row r="299" spans="1:17" x14ac:dyDescent="0.2">
      <c r="A299">
        <v>460</v>
      </c>
      <c r="B299">
        <v>50</v>
      </c>
      <c r="C299" t="s">
        <v>459</v>
      </c>
      <c r="D299" s="13" t="s">
        <v>912</v>
      </c>
      <c r="E299" s="1">
        <v>0.92205242191608505</v>
      </c>
      <c r="F299" s="1">
        <v>2.6285365862155499</v>
      </c>
      <c r="G299">
        <f>VLOOKUP(C299,'[1]phenotypes-895'!$A$2:$G$896,7,FALSE)</f>
        <v>63</v>
      </c>
      <c r="H299" s="1">
        <v>-1.32071715873496E-2</v>
      </c>
      <c r="I299" s="1">
        <f>VLOOKUP(C299,'[1]phenotypes-895'!$A$2:$I$896,9,FALSE)</f>
        <v>0.48061059610620949</v>
      </c>
      <c r="J299" s="1"/>
      <c r="K299" s="4">
        <v>4.6491041159036968</v>
      </c>
      <c r="L299" s="1"/>
      <c r="M299" s="8">
        <v>1</v>
      </c>
      <c r="N299" s="1"/>
      <c r="O299">
        <v>0.57099999999999995</v>
      </c>
      <c r="P299" s="1"/>
      <c r="Q299" s="2">
        <v>-0.19</v>
      </c>
    </row>
    <row r="300" spans="1:17" x14ac:dyDescent="0.2">
      <c r="A300">
        <v>253</v>
      </c>
      <c r="B300">
        <v>22</v>
      </c>
      <c r="C300" t="s">
        <v>252</v>
      </c>
      <c r="D300" s="13" t="s">
        <v>913</v>
      </c>
      <c r="E300" s="1">
        <v>3.1622351089140199</v>
      </c>
      <c r="F300" s="1">
        <v>2.6262200172848802</v>
      </c>
      <c r="G300">
        <f>VLOOKUP(C300,'[1]phenotypes-895'!$A$2:$G$896,7,FALSE)</f>
        <v>98</v>
      </c>
      <c r="H300" s="1">
        <v>6.5568000017148605E-4</v>
      </c>
      <c r="I300" s="1">
        <f>VLOOKUP(C300,'[1]phenotypes-895'!$A$2:$I$896,9,FALSE)</f>
        <v>0.19214702532238001</v>
      </c>
      <c r="J300" s="1"/>
      <c r="K300" s="4">
        <v>4.3946203871802565</v>
      </c>
      <c r="L300" s="1"/>
      <c r="M300" s="8">
        <v>1</v>
      </c>
      <c r="N300" s="1"/>
      <c r="O300">
        <v>1.135</v>
      </c>
      <c r="P300" s="1"/>
      <c r="Q300" s="2">
        <v>0.04</v>
      </c>
    </row>
    <row r="301" spans="1:17" x14ac:dyDescent="0.2">
      <c r="A301">
        <v>650</v>
      </c>
      <c r="B301">
        <v>31</v>
      </c>
      <c r="C301" t="s">
        <v>649</v>
      </c>
      <c r="D301" s="13" t="s">
        <v>913</v>
      </c>
      <c r="E301" s="1">
        <v>3.93701062101022</v>
      </c>
      <c r="F301" s="1">
        <v>2.6225811329376301</v>
      </c>
      <c r="G301">
        <f>VLOOKUP(C301,'[1]phenotypes-895'!$A$2:$G$896,7,FALSE)</f>
        <v>98</v>
      </c>
      <c r="H301" s="1">
        <v>-2.6774514682487399E-2</v>
      </c>
      <c r="I301" s="1">
        <f>VLOOKUP(C301,'[1]phenotypes-895'!$A$2:$I$896,9,FALSE)</f>
        <v>0</v>
      </c>
      <c r="J301" s="1"/>
      <c r="K301" s="4">
        <v>0</v>
      </c>
      <c r="L301" s="1"/>
      <c r="M301" s="8">
        <v>0</v>
      </c>
      <c r="N301" s="1"/>
      <c r="O301">
        <v>1.0429999999999999</v>
      </c>
      <c r="P301" s="1"/>
      <c r="Q301" s="2">
        <v>0.01</v>
      </c>
    </row>
    <row r="302" spans="1:17" x14ac:dyDescent="0.2">
      <c r="A302">
        <v>851</v>
      </c>
      <c r="B302">
        <v>52</v>
      </c>
      <c r="C302" t="s">
        <v>850</v>
      </c>
      <c r="D302" s="13" t="s">
        <v>912</v>
      </c>
      <c r="E302" s="1">
        <v>0.33262889331497603</v>
      </c>
      <c r="F302" s="1">
        <v>2.6032919325356398</v>
      </c>
      <c r="G302">
        <f>VLOOKUP(C302,'[1]phenotypes-895'!$A$2:$G$896,7,FALSE)</f>
        <v>98</v>
      </c>
      <c r="H302" s="1">
        <v>-3.12182375362785E-2</v>
      </c>
      <c r="I302" s="1">
        <f>VLOOKUP(C302,'[1]phenotypes-895'!$A$2:$I$896,9,FALSE)</f>
        <v>0</v>
      </c>
      <c r="J302" s="1"/>
      <c r="K302" s="4">
        <v>0</v>
      </c>
      <c r="L302" s="1"/>
      <c r="M302" s="8">
        <v>0</v>
      </c>
      <c r="N302" s="1"/>
      <c r="O302">
        <v>0.58099999999999996</v>
      </c>
      <c r="P302" s="1"/>
      <c r="Q302" s="2">
        <v>-0.18</v>
      </c>
    </row>
    <row r="303" spans="1:17" x14ac:dyDescent="0.2">
      <c r="A303">
        <v>841</v>
      </c>
      <c r="B303">
        <v>34</v>
      </c>
      <c r="C303" t="s">
        <v>840</v>
      </c>
      <c r="D303" s="13" t="s">
        <v>913</v>
      </c>
      <c r="E303" s="1">
        <v>0.42353931589351801</v>
      </c>
      <c r="F303" s="1">
        <v>2.6013797778282299</v>
      </c>
      <c r="G303">
        <f>VLOOKUP(C303,'[1]phenotypes-895'!$A$2:$G$896,7,FALSE)</f>
        <v>98</v>
      </c>
      <c r="H303" s="1">
        <v>-1.1004206110364E-2</v>
      </c>
      <c r="I303" s="1">
        <f>VLOOKUP(C303,'[1]phenotypes-895'!$A$2:$I$896,9,FALSE)</f>
        <v>0</v>
      </c>
      <c r="J303" s="1"/>
      <c r="K303" s="4">
        <v>0</v>
      </c>
      <c r="L303" s="1"/>
      <c r="M303" s="8">
        <v>0</v>
      </c>
      <c r="N303" s="1"/>
      <c r="O303">
        <v>0.48899999999999999</v>
      </c>
      <c r="P303" s="1"/>
      <c r="Q303" s="2">
        <v>-0.24</v>
      </c>
    </row>
    <row r="304" spans="1:17" x14ac:dyDescent="0.2">
      <c r="A304">
        <v>824</v>
      </c>
      <c r="B304">
        <v>49</v>
      </c>
      <c r="C304" t="s">
        <v>823</v>
      </c>
      <c r="D304" s="13" t="s">
        <v>912</v>
      </c>
      <c r="E304" s="1">
        <v>0.79036351803914195</v>
      </c>
      <c r="F304" s="1">
        <v>2.59774818472737</v>
      </c>
      <c r="G304">
        <f>VLOOKUP(C304,'[1]phenotypes-895'!$A$2:$G$896,7,FALSE)</f>
        <v>67</v>
      </c>
      <c r="H304" s="1">
        <v>-1.51248105553824E-2</v>
      </c>
      <c r="I304" s="1">
        <f>VLOOKUP(C304,'[1]phenotypes-895'!$A$2:$I$896,9,FALSE)</f>
        <v>0.43302700362990548</v>
      </c>
      <c r="J304" s="1"/>
      <c r="K304" s="4">
        <v>4.374658152248764</v>
      </c>
      <c r="L304" s="1"/>
      <c r="M304" s="8">
        <v>1</v>
      </c>
      <c r="N304" s="1"/>
      <c r="O304">
        <v>0.67900000000000005</v>
      </c>
      <c r="P304" s="1"/>
      <c r="Q304" s="2">
        <v>-0.13</v>
      </c>
    </row>
    <row r="305" spans="1:17" x14ac:dyDescent="0.2">
      <c r="A305">
        <v>882</v>
      </c>
      <c r="B305">
        <v>54</v>
      </c>
      <c r="C305" t="s">
        <v>881</v>
      </c>
      <c r="D305" s="13" t="s">
        <v>912</v>
      </c>
      <c r="E305" s="1">
        <v>0.40120299494459799</v>
      </c>
      <c r="F305" s="1">
        <v>2.5973896771918201</v>
      </c>
      <c r="G305">
        <f>VLOOKUP(C305,'[1]phenotypes-895'!$A$2:$G$896,7,FALSE)</f>
        <v>98</v>
      </c>
      <c r="H305" s="1">
        <v>-1.9072006881038699E-2</v>
      </c>
      <c r="I305" s="1">
        <f>VLOOKUP(C305,'[1]phenotypes-895'!$A$2:$I$896,9,FALSE)</f>
        <v>0</v>
      </c>
      <c r="J305" s="1"/>
      <c r="K305" s="4">
        <v>0</v>
      </c>
      <c r="L305" s="1"/>
      <c r="M305" s="8">
        <v>0</v>
      </c>
      <c r="N305" s="1"/>
      <c r="O305">
        <v>0.41199999999999998</v>
      </c>
      <c r="P305" s="1"/>
      <c r="Q305" s="2">
        <v>-0.3</v>
      </c>
    </row>
    <row r="306" spans="1:17" x14ac:dyDescent="0.2">
      <c r="A306">
        <v>855</v>
      </c>
      <c r="B306">
        <v>46</v>
      </c>
      <c r="C306" t="s">
        <v>854</v>
      </c>
      <c r="D306" s="13" t="s">
        <v>912</v>
      </c>
      <c r="E306" s="1">
        <v>-7.1629110446053898E-2</v>
      </c>
      <c r="F306" s="1">
        <v>2.5629234970507202</v>
      </c>
      <c r="G306">
        <f>VLOOKUP(C306,'[1]phenotypes-895'!$A$2:$G$896,7,FALSE)</f>
        <v>70</v>
      </c>
      <c r="H306" s="1">
        <v>1.1179665187129701E-2</v>
      </c>
      <c r="I306" s="1">
        <f>VLOOKUP(C306,'[1]phenotypes-895'!$A$2:$I$896,9,FALSE)</f>
        <v>0.36675857072047141</v>
      </c>
      <c r="J306" s="1"/>
      <c r="K306" s="4">
        <v>4.4396692259197614</v>
      </c>
      <c r="L306" s="1"/>
      <c r="M306" s="8">
        <v>1</v>
      </c>
      <c r="N306" s="1"/>
      <c r="O306">
        <v>0.51200000000000001</v>
      </c>
      <c r="P306" s="1"/>
      <c r="Q306" s="2">
        <v>-0.23</v>
      </c>
    </row>
    <row r="307" spans="1:17" x14ac:dyDescent="0.2">
      <c r="A307">
        <v>257</v>
      </c>
      <c r="B307">
        <v>50</v>
      </c>
      <c r="C307" t="s">
        <v>256</v>
      </c>
      <c r="D307" s="13" t="s">
        <v>912</v>
      </c>
      <c r="E307" s="1">
        <v>0.32975867076399001</v>
      </c>
      <c r="F307" s="1">
        <v>2.5446282989502098</v>
      </c>
      <c r="G307">
        <f>VLOOKUP(C307,'[1]phenotypes-895'!$A$2:$G$896,7,FALSE)</f>
        <v>62</v>
      </c>
      <c r="H307" s="1">
        <v>9.8842375067269492E-3</v>
      </c>
      <c r="I307" s="1">
        <f>VLOOKUP(C307,'[1]phenotypes-895'!$A$2:$I$896,9,FALSE)</f>
        <v>0.71146380600912995</v>
      </c>
      <c r="J307" s="1"/>
      <c r="K307" s="4">
        <v>3.6589838625654818</v>
      </c>
      <c r="L307" s="1"/>
      <c r="M307" s="8">
        <v>1</v>
      </c>
      <c r="N307" s="1"/>
      <c r="O307">
        <v>0.4</v>
      </c>
      <c r="P307" s="1"/>
      <c r="Q307" s="2">
        <v>-0.32</v>
      </c>
    </row>
    <row r="308" spans="1:17" x14ac:dyDescent="0.2">
      <c r="A308">
        <v>177</v>
      </c>
      <c r="B308">
        <v>49</v>
      </c>
      <c r="C308" t="s">
        <v>176</v>
      </c>
      <c r="D308" s="13" t="s">
        <v>912</v>
      </c>
      <c r="E308" s="1">
        <v>0.91202893122931294</v>
      </c>
      <c r="F308" s="1">
        <v>2.5225582844330998</v>
      </c>
      <c r="G308">
        <f>VLOOKUP(C308,'[1]phenotypes-895'!$A$2:$G$896,7,FALSE)</f>
        <v>98</v>
      </c>
      <c r="H308" s="1">
        <v>-1.6260689411970598E-2</v>
      </c>
      <c r="I308" s="1">
        <f>VLOOKUP(C308,'[1]phenotypes-895'!$A$2:$I$896,9,FALSE)</f>
        <v>0</v>
      </c>
      <c r="J308" s="1"/>
      <c r="K308" s="4">
        <v>0</v>
      </c>
      <c r="L308" s="1"/>
      <c r="M308" s="8">
        <v>0</v>
      </c>
      <c r="N308" s="1"/>
      <c r="O308">
        <v>0.60199999999999998</v>
      </c>
      <c r="P308" s="1"/>
      <c r="Q308" s="2">
        <v>-0.17</v>
      </c>
    </row>
    <row r="309" spans="1:17" x14ac:dyDescent="0.2">
      <c r="A309">
        <v>2</v>
      </c>
      <c r="B309">
        <v>8</v>
      </c>
      <c r="C309" t="s">
        <v>1</v>
      </c>
      <c r="D309" s="12" t="s">
        <v>913</v>
      </c>
      <c r="E309" s="1">
        <v>4.0185399423174601</v>
      </c>
      <c r="F309" s="1">
        <v>2.5085230224527102</v>
      </c>
      <c r="G309">
        <f>VLOOKUP(C309,'[1]phenotypes-895'!$A$2:$G$896,7,FALSE)</f>
        <v>98</v>
      </c>
      <c r="H309" s="1">
        <v>2.6347616015966999E-2</v>
      </c>
      <c r="I309" s="1">
        <f>VLOOKUP(C309,'[1]phenotypes-895'!$A$2:$I$896,9,FALSE)</f>
        <v>0.66202502642783101</v>
      </c>
      <c r="J309" s="1"/>
      <c r="K309" s="4">
        <v>3.3896575057012517</v>
      </c>
      <c r="L309" s="1"/>
      <c r="M309" s="8">
        <v>1</v>
      </c>
      <c r="N309" s="1"/>
      <c r="O309" s="6">
        <v>0.89600000000000002</v>
      </c>
      <c r="P309" s="1"/>
      <c r="Q309" s="7">
        <v>-0.04</v>
      </c>
    </row>
    <row r="310" spans="1:17" x14ac:dyDescent="0.2">
      <c r="A310">
        <v>408</v>
      </c>
      <c r="B310">
        <v>49</v>
      </c>
      <c r="C310" t="s">
        <v>407</v>
      </c>
      <c r="D310" s="13" t="s">
        <v>912</v>
      </c>
      <c r="E310" s="1">
        <v>2.14680813230426</v>
      </c>
      <c r="F310" s="1">
        <v>2.4479825239569899</v>
      </c>
      <c r="G310">
        <f>VLOOKUP(C310,'[1]phenotypes-895'!$A$2:$G$896,7,FALSE)</f>
        <v>60</v>
      </c>
      <c r="H310" s="1">
        <v>2.0761782036583E-2</v>
      </c>
      <c r="I310" s="1">
        <f>VLOOKUP(C310,'[1]phenotypes-895'!$A$2:$I$896,9,FALSE)</f>
        <v>0.74572475496682089</v>
      </c>
      <c r="J310" s="1"/>
      <c r="K310" s="4">
        <v>4.6095537920692564</v>
      </c>
      <c r="L310" s="1"/>
      <c r="M310" s="8">
        <v>1</v>
      </c>
      <c r="N310" s="1"/>
      <c r="O310">
        <v>0.71299999999999997</v>
      </c>
      <c r="P310" s="1"/>
      <c r="Q310" s="2">
        <v>-0.11</v>
      </c>
    </row>
    <row r="311" spans="1:17" x14ac:dyDescent="0.2">
      <c r="A311">
        <v>806</v>
      </c>
      <c r="B311">
        <v>27</v>
      </c>
      <c r="C311" t="s">
        <v>805</v>
      </c>
      <c r="D311" s="13" t="s">
        <v>913</v>
      </c>
      <c r="E311" s="1">
        <v>4.8567013802882002</v>
      </c>
      <c r="F311" s="1">
        <v>2.4457335678431198</v>
      </c>
      <c r="G311">
        <f>VLOOKUP(C311,'[1]phenotypes-895'!$A$2:$G$896,7,FALSE)</f>
        <v>94</v>
      </c>
      <c r="H311" s="1">
        <v>-4.6245126972530998E-2</v>
      </c>
      <c r="I311" s="1">
        <f>VLOOKUP(C311,'[1]phenotypes-895'!$A$2:$I$896,9,FALSE)</f>
        <v>0.51558666080249438</v>
      </c>
      <c r="J311" s="1"/>
      <c r="K311" s="4">
        <v>4.7646063974435897</v>
      </c>
      <c r="L311" s="1"/>
      <c r="M311" s="8">
        <v>1</v>
      </c>
      <c r="N311" s="1"/>
      <c r="O311">
        <v>0.95499999999999996</v>
      </c>
      <c r="P311" s="1"/>
      <c r="Q311" s="2">
        <v>-0.01</v>
      </c>
    </row>
    <row r="312" spans="1:17" x14ac:dyDescent="0.2">
      <c r="A312">
        <v>421</v>
      </c>
      <c r="B312">
        <v>42</v>
      </c>
      <c r="C312" t="s">
        <v>420</v>
      </c>
      <c r="D312" s="13" t="s">
        <v>912</v>
      </c>
      <c r="E312" s="1">
        <v>1.01706662229444</v>
      </c>
      <c r="F312" s="1">
        <v>2.4366155254940298</v>
      </c>
      <c r="G312">
        <f>VLOOKUP(C312,'[1]phenotypes-895'!$A$2:$G$896,7,FALSE)</f>
        <v>98</v>
      </c>
      <c r="H312" s="1">
        <v>-1.9623256527518201E-2</v>
      </c>
      <c r="I312" s="1">
        <f>VLOOKUP(C312,'[1]phenotypes-895'!$A$2:$I$896,9,FALSE)</f>
        <v>0</v>
      </c>
      <c r="J312" s="1"/>
      <c r="K312" s="4">
        <v>0</v>
      </c>
      <c r="L312" s="1"/>
      <c r="M312" s="8">
        <v>0</v>
      </c>
      <c r="N312" s="1"/>
      <c r="O312">
        <v>0.747</v>
      </c>
      <c r="P312" s="1"/>
      <c r="Q312" s="2">
        <v>-0.09</v>
      </c>
    </row>
    <row r="313" spans="1:17" x14ac:dyDescent="0.2">
      <c r="A313">
        <v>860</v>
      </c>
      <c r="B313">
        <v>36</v>
      </c>
      <c r="C313" t="s">
        <v>859</v>
      </c>
      <c r="D313" s="13" t="s">
        <v>913</v>
      </c>
      <c r="E313" s="1">
        <v>1.4132954625445999</v>
      </c>
      <c r="F313" s="1">
        <v>2.4100769067224999</v>
      </c>
      <c r="G313">
        <f>VLOOKUP(C313,'[1]phenotypes-895'!$A$2:$G$896,7,FALSE)</f>
        <v>63</v>
      </c>
      <c r="H313" s="1">
        <v>7.8341812362691093E-3</v>
      </c>
      <c r="I313" s="1">
        <f>VLOOKUP(C313,'[1]phenotypes-895'!$A$2:$I$896,9,FALSE)</f>
        <v>0.74797014969829623</v>
      </c>
      <c r="J313" s="1"/>
      <c r="K313" s="4">
        <v>4.9176588504953678</v>
      </c>
      <c r="L313" s="1"/>
      <c r="M313" s="8">
        <v>1</v>
      </c>
      <c r="N313" s="1"/>
      <c r="O313">
        <v>1.248</v>
      </c>
      <c r="P313" s="1"/>
      <c r="Q313" s="2">
        <v>7.0000000000000007E-2</v>
      </c>
    </row>
    <row r="314" spans="1:17" x14ac:dyDescent="0.2">
      <c r="A314">
        <v>550</v>
      </c>
      <c r="B314">
        <v>44</v>
      </c>
      <c r="C314" t="s">
        <v>549</v>
      </c>
      <c r="D314" s="13" t="s">
        <v>912</v>
      </c>
      <c r="E314" s="1">
        <v>1.36714535002074E-2</v>
      </c>
      <c r="F314" s="1">
        <v>2.3841696554731202</v>
      </c>
      <c r="G314">
        <f>VLOOKUP(C314,'[1]phenotypes-895'!$A$2:$G$896,7,FALSE)</f>
        <v>45</v>
      </c>
      <c r="H314" s="1">
        <v>-5.0399182913261802E-3</v>
      </c>
      <c r="I314" s="1">
        <f>VLOOKUP(C314,'[1]phenotypes-895'!$A$2:$I$896,9,FALSE)</f>
        <v>0.55555181405248388</v>
      </c>
      <c r="J314" s="1"/>
      <c r="K314" s="4">
        <v>3.7069704615772046</v>
      </c>
      <c r="L314" s="1"/>
      <c r="M314" s="8">
        <v>1</v>
      </c>
      <c r="N314" s="1"/>
      <c r="O314">
        <v>0.53600000000000003</v>
      </c>
      <c r="P314" s="1"/>
      <c r="Q314" s="2">
        <v>-0.21</v>
      </c>
    </row>
    <row r="315" spans="1:17" x14ac:dyDescent="0.2">
      <c r="A315">
        <v>386</v>
      </c>
      <c r="B315">
        <v>49</v>
      </c>
      <c r="C315" t="s">
        <v>385</v>
      </c>
      <c r="D315" s="13" t="s">
        <v>912</v>
      </c>
      <c r="E315" s="1">
        <v>3.7279017889339401</v>
      </c>
      <c r="F315" s="1">
        <v>2.36936115331505</v>
      </c>
      <c r="G315">
        <f>VLOOKUP(C315,'[1]phenotypes-895'!$A$2:$G$896,7,FALSE)</f>
        <v>75</v>
      </c>
      <c r="H315" s="1">
        <v>-8.6688466130831102E-2</v>
      </c>
      <c r="I315" s="1">
        <f>VLOOKUP(C315,'[1]phenotypes-895'!$A$2:$I$896,9,FALSE)</f>
        <v>0.38408471675958578</v>
      </c>
      <c r="J315" s="1"/>
      <c r="K315" s="4">
        <v>4.0045813161704427</v>
      </c>
      <c r="L315" s="1"/>
      <c r="M315" s="8">
        <v>1</v>
      </c>
      <c r="N315" s="1"/>
      <c r="O315">
        <v>0.93899999999999995</v>
      </c>
      <c r="P315" s="1"/>
      <c r="Q315" s="2">
        <v>-0.02</v>
      </c>
    </row>
    <row r="316" spans="1:17" x14ac:dyDescent="0.2">
      <c r="A316">
        <v>613</v>
      </c>
      <c r="B316">
        <v>27</v>
      </c>
      <c r="C316" t="s">
        <v>612</v>
      </c>
      <c r="D316" s="13" t="s">
        <v>913</v>
      </c>
      <c r="E316" s="1">
        <v>-0.12040270400877</v>
      </c>
      <c r="F316" s="1">
        <v>2.3555378521047201</v>
      </c>
      <c r="G316">
        <f>VLOOKUP(C316,'[1]phenotypes-895'!$A$2:$G$896,7,FALSE)</f>
        <v>98</v>
      </c>
      <c r="H316" s="1">
        <v>1.4420393459134701E-2</v>
      </c>
      <c r="I316" s="1">
        <f>VLOOKUP(C316,'[1]phenotypes-895'!$A$2:$I$896,9,FALSE)</f>
        <v>0</v>
      </c>
      <c r="J316" s="1"/>
      <c r="K316" s="4">
        <v>0</v>
      </c>
      <c r="L316" s="1"/>
      <c r="M316" s="8">
        <v>0</v>
      </c>
      <c r="N316" s="1"/>
      <c r="O316">
        <v>0.98799999999999999</v>
      </c>
      <c r="P316" s="1"/>
      <c r="Q316" s="2">
        <v>0</v>
      </c>
    </row>
    <row r="317" spans="1:17" x14ac:dyDescent="0.2">
      <c r="A317">
        <v>783</v>
      </c>
      <c r="B317">
        <v>46</v>
      </c>
      <c r="C317" t="s">
        <v>782</v>
      </c>
      <c r="D317" s="13" t="s">
        <v>912</v>
      </c>
      <c r="E317" s="1">
        <v>-0.370338723188056</v>
      </c>
      <c r="F317" s="1">
        <v>2.3444887075207399</v>
      </c>
      <c r="G317">
        <f>VLOOKUP(C317,'[1]phenotypes-895'!$A$2:$G$896,7,FALSE)</f>
        <v>59</v>
      </c>
      <c r="H317" s="1">
        <v>4.1216729222442097E-3</v>
      </c>
      <c r="I317" s="1">
        <f>VLOOKUP(C317,'[1]phenotypes-895'!$A$2:$I$896,9,FALSE)</f>
        <v>0.4447238965563472</v>
      </c>
      <c r="J317" s="1"/>
      <c r="K317" s="4">
        <v>4.1468344939956943</v>
      </c>
      <c r="L317" s="1"/>
      <c r="M317" s="8">
        <v>1</v>
      </c>
      <c r="N317" s="1"/>
      <c r="O317">
        <v>0.55000000000000004</v>
      </c>
      <c r="P317" s="1"/>
      <c r="Q317" s="2">
        <v>-0.2</v>
      </c>
    </row>
    <row r="318" spans="1:17" x14ac:dyDescent="0.2">
      <c r="A318">
        <v>212</v>
      </c>
      <c r="B318">
        <v>50</v>
      </c>
      <c r="C318" t="s">
        <v>211</v>
      </c>
      <c r="D318" s="13" t="s">
        <v>912</v>
      </c>
      <c r="E318" s="1">
        <v>-6.4654620874288596E-2</v>
      </c>
      <c r="F318" s="1">
        <v>2.3399755720358502</v>
      </c>
      <c r="G318">
        <f>VLOOKUP(C318,'[1]phenotypes-895'!$A$2:$G$896,7,FALSE)</f>
        <v>59</v>
      </c>
      <c r="H318" s="1">
        <v>-2.3301189969187099E-2</v>
      </c>
      <c r="I318" s="1">
        <f>VLOOKUP(C318,'[1]phenotypes-895'!$A$2:$I$896,9,FALSE)</f>
        <v>0.27785569284034273</v>
      </c>
      <c r="J318" s="1"/>
      <c r="K318" s="4">
        <v>4.0329424450820373</v>
      </c>
      <c r="L318" s="1"/>
      <c r="M318" s="8">
        <v>1</v>
      </c>
      <c r="N318" s="1"/>
      <c r="O318">
        <v>0.53300000000000003</v>
      </c>
      <c r="P318" s="1"/>
      <c r="Q318" s="2">
        <v>-0.21</v>
      </c>
    </row>
    <row r="319" spans="1:17" x14ac:dyDescent="0.2">
      <c r="A319">
        <v>718</v>
      </c>
      <c r="B319">
        <v>50</v>
      </c>
      <c r="C319" t="s">
        <v>717</v>
      </c>
      <c r="D319" s="13" t="s">
        <v>912</v>
      </c>
      <c r="E319" s="1">
        <v>-6.2584238462204303E-2</v>
      </c>
      <c r="F319" s="1">
        <v>2.32875144677763</v>
      </c>
      <c r="G319">
        <f>VLOOKUP(C319,'[1]phenotypes-895'!$A$2:$G$896,7,FALSE)</f>
        <v>59</v>
      </c>
      <c r="H319" s="1">
        <v>7.02287077167365E-3</v>
      </c>
      <c r="I319" s="1">
        <f>VLOOKUP(C319,'[1]phenotypes-895'!$A$2:$I$896,9,FALSE)</f>
        <v>0.64791211992216469</v>
      </c>
      <c r="J319" s="1"/>
      <c r="K319" s="4">
        <v>4.4654698154337966</v>
      </c>
      <c r="L319" s="1"/>
      <c r="M319" s="8">
        <v>1</v>
      </c>
      <c r="N319" s="1"/>
      <c r="O319">
        <v>0.54600000000000004</v>
      </c>
      <c r="P319" s="1"/>
      <c r="Q319" s="2">
        <v>-0.2</v>
      </c>
    </row>
    <row r="320" spans="1:17" x14ac:dyDescent="0.2">
      <c r="A320">
        <v>396</v>
      </c>
      <c r="B320">
        <v>49</v>
      </c>
      <c r="C320" t="s">
        <v>395</v>
      </c>
      <c r="D320" s="13" t="s">
        <v>912</v>
      </c>
      <c r="E320" s="1">
        <v>1.5440644436782101</v>
      </c>
      <c r="F320" s="1">
        <v>2.3285802275418099</v>
      </c>
      <c r="G320">
        <f>VLOOKUP(C320,'[1]phenotypes-895'!$A$2:$G$896,7,FALSE)</f>
        <v>60</v>
      </c>
      <c r="H320" s="1">
        <v>-1.7400674131581401E-4</v>
      </c>
      <c r="I320" s="1">
        <f>VLOOKUP(C320,'[1]phenotypes-895'!$A$2:$I$896,9,FALSE)</f>
        <v>0.70397788139823203</v>
      </c>
      <c r="J320" s="1"/>
      <c r="K320" s="4">
        <v>4.4219808719405531</v>
      </c>
      <c r="L320" s="1"/>
      <c r="M320" s="8">
        <v>1</v>
      </c>
      <c r="N320" s="1"/>
      <c r="O320">
        <v>0.749</v>
      </c>
      <c r="P320" s="1"/>
      <c r="Q320" s="2">
        <v>-0.09</v>
      </c>
    </row>
    <row r="321" spans="1:17" x14ac:dyDescent="0.2">
      <c r="A321">
        <v>827</v>
      </c>
      <c r="B321">
        <v>28</v>
      </c>
      <c r="C321" t="s">
        <v>826</v>
      </c>
      <c r="D321" s="13" t="s">
        <v>913</v>
      </c>
      <c r="E321" s="1">
        <v>2.4964958855601398</v>
      </c>
      <c r="F321" s="1">
        <v>2.3270272064359698</v>
      </c>
      <c r="G321">
        <f>VLOOKUP(C321,'[1]phenotypes-895'!$A$2:$G$896,7,FALSE)</f>
        <v>98</v>
      </c>
      <c r="H321" s="1">
        <v>-2.13986727250754E-2</v>
      </c>
      <c r="I321" s="1">
        <f>VLOOKUP(C321,'[1]phenotypes-895'!$A$2:$I$896,9,FALSE)</f>
        <v>0</v>
      </c>
      <c r="J321" s="1"/>
      <c r="K321" s="4">
        <v>0</v>
      </c>
      <c r="L321" s="1"/>
      <c r="M321" s="8">
        <v>0</v>
      </c>
      <c r="N321" s="1"/>
      <c r="O321">
        <v>1.31</v>
      </c>
      <c r="P321" s="1"/>
      <c r="Q321" s="2">
        <v>0.08</v>
      </c>
    </row>
    <row r="322" spans="1:17" x14ac:dyDescent="0.2">
      <c r="A322">
        <v>307</v>
      </c>
      <c r="B322">
        <v>49</v>
      </c>
      <c r="C322" t="s">
        <v>306</v>
      </c>
      <c r="D322" s="13" t="s">
        <v>912</v>
      </c>
      <c r="E322" s="1">
        <v>-0.24268589464763499</v>
      </c>
      <c r="F322" s="1">
        <v>2.2939763712655998</v>
      </c>
      <c r="G322">
        <f>VLOOKUP(C322,'[1]phenotypes-895'!$A$2:$G$896,7,FALSE)</f>
        <v>67</v>
      </c>
      <c r="H322" s="1">
        <v>2.0420365827987699E-2</v>
      </c>
      <c r="I322" s="1">
        <f>VLOOKUP(C322,'[1]phenotypes-895'!$A$2:$I$896,9,FALSE)</f>
        <v>0.60070910991735649</v>
      </c>
      <c r="J322" s="1"/>
      <c r="K322" s="4">
        <v>4.2652387240757035</v>
      </c>
      <c r="L322" s="1"/>
      <c r="M322" s="8">
        <v>1</v>
      </c>
      <c r="N322" s="1"/>
      <c r="O322">
        <v>0.78400000000000003</v>
      </c>
      <c r="P322" s="1"/>
      <c r="Q322" s="2">
        <v>-0.08</v>
      </c>
    </row>
    <row r="323" spans="1:17" x14ac:dyDescent="0.2">
      <c r="A323">
        <v>206</v>
      </c>
      <c r="B323">
        <v>36</v>
      </c>
      <c r="C323" t="s">
        <v>205</v>
      </c>
      <c r="D323" s="13" t="s">
        <v>913</v>
      </c>
      <c r="E323" s="1">
        <v>2.4219476680703198</v>
      </c>
      <c r="F323" s="1">
        <v>2.2871438462702001</v>
      </c>
      <c r="G323">
        <f>VLOOKUP(C323,'[1]phenotypes-895'!$A$2:$G$896,7,FALSE)</f>
        <v>58</v>
      </c>
      <c r="H323" s="1">
        <v>-6.8712286659292398E-3</v>
      </c>
      <c r="I323" s="1">
        <f>VLOOKUP(C323,'[1]phenotypes-895'!$A$2:$I$896,9,FALSE)</f>
        <v>0.63493169338399846</v>
      </c>
      <c r="J323" s="1"/>
      <c r="K323" s="4">
        <v>4.9792836214320459</v>
      </c>
      <c r="L323" s="1"/>
      <c r="M323" s="8">
        <v>1</v>
      </c>
      <c r="N323" s="1"/>
      <c r="O323">
        <v>1.236</v>
      </c>
      <c r="P323" s="1"/>
      <c r="Q323" s="2">
        <v>7.0000000000000007E-2</v>
      </c>
    </row>
    <row r="324" spans="1:17" x14ac:dyDescent="0.2">
      <c r="A324">
        <v>728</v>
      </c>
      <c r="B324">
        <v>23</v>
      </c>
      <c r="C324" t="s">
        <v>727</v>
      </c>
      <c r="D324" s="13" t="s">
        <v>913</v>
      </c>
      <c r="E324" s="1">
        <v>2.7397019702881198</v>
      </c>
      <c r="F324" s="1">
        <v>2.2855045400353302</v>
      </c>
      <c r="G324">
        <f>VLOOKUP(C324,'[1]phenotypes-895'!$A$2:$G$896,7,FALSE)</f>
        <v>91</v>
      </c>
      <c r="H324" s="1">
        <v>-4.1479091748325897E-2</v>
      </c>
      <c r="I324" s="1">
        <f>VLOOKUP(C324,'[1]phenotypes-895'!$A$2:$I$896,9,FALSE)</f>
        <v>0.40273505844996338</v>
      </c>
      <c r="J324" s="1"/>
      <c r="K324" s="4">
        <v>4.4550518357237614</v>
      </c>
      <c r="L324" s="1"/>
      <c r="M324" s="8">
        <v>1</v>
      </c>
      <c r="N324" s="1"/>
      <c r="O324">
        <v>1.153</v>
      </c>
      <c r="P324" s="1"/>
      <c r="Q324" s="2">
        <v>0.04</v>
      </c>
    </row>
    <row r="325" spans="1:17" x14ac:dyDescent="0.2">
      <c r="A325">
        <v>559</v>
      </c>
      <c r="B325">
        <v>26</v>
      </c>
      <c r="C325" t="s">
        <v>558</v>
      </c>
      <c r="D325" s="13" t="s">
        <v>913</v>
      </c>
      <c r="E325" s="1">
        <v>1.2143389415350301</v>
      </c>
      <c r="F325" s="1">
        <v>2.2836169043650099</v>
      </c>
      <c r="G325">
        <f>VLOOKUP(C325,'[1]phenotypes-895'!$A$2:$G$896,7,FALSE)</f>
        <v>98</v>
      </c>
      <c r="H325" s="1">
        <v>-7.5142083745091404E-3</v>
      </c>
      <c r="I325" s="1">
        <f>VLOOKUP(C325,'[1]phenotypes-895'!$A$2:$I$896,9,FALSE)</f>
        <v>0</v>
      </c>
      <c r="J325" s="1"/>
      <c r="K325" s="4">
        <v>0</v>
      </c>
      <c r="L325" s="1"/>
      <c r="M325" s="8">
        <v>0</v>
      </c>
      <c r="N325" s="1"/>
      <c r="O325">
        <v>1.1439999999999999</v>
      </c>
      <c r="P325" s="1"/>
      <c r="Q325" s="2">
        <v>0.04</v>
      </c>
    </row>
    <row r="326" spans="1:17" x14ac:dyDescent="0.2">
      <c r="A326">
        <v>77</v>
      </c>
      <c r="B326">
        <v>9</v>
      </c>
      <c r="C326" t="s">
        <v>76</v>
      </c>
      <c r="D326" s="12" t="s">
        <v>912</v>
      </c>
      <c r="E326" s="1">
        <v>1.4010577662217401</v>
      </c>
      <c r="F326" s="1">
        <v>2.2408820271434702</v>
      </c>
      <c r="G326">
        <f>VLOOKUP(C326,'[1]phenotypes-895'!$A$2:$G$896,7,FALSE)</f>
        <v>98</v>
      </c>
      <c r="H326" s="1">
        <v>-2.4692974961624301E-2</v>
      </c>
      <c r="I326" s="1">
        <f>VLOOKUP(C326,'[1]phenotypes-895'!$A$2:$I$896,9,FALSE)</f>
        <v>0</v>
      </c>
      <c r="J326" s="1"/>
      <c r="K326" s="4">
        <v>0</v>
      </c>
      <c r="L326" s="1"/>
      <c r="M326" s="8">
        <v>0</v>
      </c>
      <c r="N326" s="1"/>
      <c r="O326" s="6">
        <v>0.80400000000000005</v>
      </c>
      <c r="P326" s="1"/>
      <c r="Q326" s="7">
        <v>-7.0000000000000007E-2</v>
      </c>
    </row>
    <row r="327" spans="1:17" x14ac:dyDescent="0.2">
      <c r="A327">
        <v>517</v>
      </c>
      <c r="B327">
        <v>49</v>
      </c>
      <c r="C327" t="s">
        <v>516</v>
      </c>
      <c r="D327" s="13" t="s">
        <v>912</v>
      </c>
      <c r="E327" s="1">
        <v>3.35562449948547</v>
      </c>
      <c r="F327" s="1">
        <v>2.2363585552521101</v>
      </c>
      <c r="G327">
        <f>VLOOKUP(C327,'[1]phenotypes-895'!$A$2:$G$896,7,FALSE)</f>
        <v>98</v>
      </c>
      <c r="H327" s="1">
        <v>-4.6453754054725897E-2</v>
      </c>
      <c r="I327" s="1">
        <f>VLOOKUP(C327,'[1]phenotypes-895'!$A$2:$I$896,9,FALSE)</f>
        <v>0</v>
      </c>
      <c r="J327" s="1"/>
      <c r="K327" s="4">
        <v>0</v>
      </c>
      <c r="L327" s="1"/>
      <c r="M327" s="8">
        <v>0</v>
      </c>
      <c r="N327" s="1"/>
      <c r="O327">
        <v>0.68600000000000005</v>
      </c>
      <c r="P327" s="1"/>
      <c r="Q327" s="2">
        <v>-0.13</v>
      </c>
    </row>
    <row r="328" spans="1:17" x14ac:dyDescent="0.2">
      <c r="A328">
        <v>581</v>
      </c>
      <c r="B328">
        <v>53</v>
      </c>
      <c r="C328" t="s">
        <v>580</v>
      </c>
      <c r="D328" s="13" t="s">
        <v>912</v>
      </c>
      <c r="E328" s="1">
        <v>-8.6757456295188898E-2</v>
      </c>
      <c r="F328" s="1">
        <v>2.2302186739013101</v>
      </c>
      <c r="G328">
        <f>VLOOKUP(C328,'[1]phenotypes-895'!$A$2:$G$896,7,FALSE)</f>
        <v>63</v>
      </c>
      <c r="H328" s="1">
        <v>-2.4216181833981699E-2</v>
      </c>
      <c r="I328" s="1">
        <f>VLOOKUP(C328,'[1]phenotypes-895'!$A$2:$I$896,9,FALSE)</f>
        <v>0.47076116382123773</v>
      </c>
      <c r="J328" s="1"/>
      <c r="K328" s="4">
        <v>4.8586346560607403</v>
      </c>
      <c r="L328" s="1"/>
      <c r="M328" s="8">
        <v>1</v>
      </c>
      <c r="N328" s="1"/>
      <c r="O328">
        <v>0.46</v>
      </c>
      <c r="P328" s="1"/>
      <c r="Q328" s="2">
        <v>-0.27</v>
      </c>
    </row>
    <row r="329" spans="1:17" x14ac:dyDescent="0.2">
      <c r="A329">
        <v>417</v>
      </c>
      <c r="B329">
        <v>42</v>
      </c>
      <c r="C329" t="s">
        <v>416</v>
      </c>
      <c r="D329" s="13" t="s">
        <v>912</v>
      </c>
      <c r="E329" s="1">
        <v>-0.13218201977156099</v>
      </c>
      <c r="F329" s="1">
        <v>2.22706098033462</v>
      </c>
      <c r="G329">
        <f>VLOOKUP(C329,'[1]phenotypes-895'!$A$2:$G$896,7,FALSE)</f>
        <v>88</v>
      </c>
      <c r="H329" s="1">
        <v>3.5208839017606103E-2</v>
      </c>
      <c r="I329" s="1">
        <f>VLOOKUP(C329,'[1]phenotypes-895'!$A$2:$I$896,9,FALSE)</f>
        <v>0.79607722163630112</v>
      </c>
      <c r="J329" s="1"/>
      <c r="K329" s="4">
        <v>4.1080867962924668</v>
      </c>
      <c r="L329" s="1"/>
      <c r="M329" s="8">
        <v>1</v>
      </c>
      <c r="N329" s="1"/>
      <c r="O329">
        <v>0.76700000000000002</v>
      </c>
      <c r="P329" s="1"/>
      <c r="Q329" s="2">
        <v>-0.09</v>
      </c>
    </row>
    <row r="330" spans="1:17" x14ac:dyDescent="0.2">
      <c r="A330">
        <v>240</v>
      </c>
      <c r="B330">
        <v>6</v>
      </c>
      <c r="C330" t="s">
        <v>239</v>
      </c>
      <c r="D330" s="12" t="s">
        <v>913</v>
      </c>
      <c r="E330" s="1">
        <v>3.8998861924724602</v>
      </c>
      <c r="F330" s="1">
        <v>2.2022509295149302</v>
      </c>
      <c r="G330">
        <f>VLOOKUP(C330,'[1]phenotypes-895'!$A$2:$G$896,7,FALSE)</f>
        <v>98</v>
      </c>
      <c r="H330" s="1">
        <v>-7.6210275167449798E-2</v>
      </c>
      <c r="I330" s="1">
        <f>VLOOKUP(C330,'[1]phenotypes-895'!$A$2:$I$896,9,FALSE)</f>
        <v>0</v>
      </c>
      <c r="J330" s="1"/>
      <c r="K330" s="4">
        <v>0</v>
      </c>
      <c r="L330" s="1"/>
      <c r="M330" s="8">
        <v>0</v>
      </c>
      <c r="N330" s="1"/>
      <c r="O330" s="6">
        <v>0.96099999999999997</v>
      </c>
      <c r="P330" s="1"/>
      <c r="Q330" s="7">
        <v>-0.01</v>
      </c>
    </row>
    <row r="331" spans="1:17" x14ac:dyDescent="0.2">
      <c r="A331">
        <v>402</v>
      </c>
      <c r="B331">
        <v>50</v>
      </c>
      <c r="C331" t="s">
        <v>401</v>
      </c>
      <c r="D331" s="13" t="s">
        <v>912</v>
      </c>
      <c r="E331" s="1">
        <v>-9.7003241306297797E-2</v>
      </c>
      <c r="F331" s="1">
        <v>2.1723615950519601</v>
      </c>
      <c r="G331">
        <f>VLOOKUP(C331,'[1]phenotypes-895'!$A$2:$G$896,7,FALSE)</f>
        <v>75</v>
      </c>
      <c r="H331" s="1">
        <v>1.46595822426337E-2</v>
      </c>
      <c r="I331" s="1">
        <f>VLOOKUP(C331,'[1]phenotypes-895'!$A$2:$I$896,9,FALSE)</f>
        <v>0.42170859123947341</v>
      </c>
      <c r="J331" s="1"/>
      <c r="K331" s="4">
        <v>3.8757333393412643</v>
      </c>
      <c r="L331" s="1"/>
      <c r="M331" s="8">
        <v>1</v>
      </c>
      <c r="N331" s="1"/>
      <c r="O331">
        <v>0.78600000000000003</v>
      </c>
      <c r="P331" s="1"/>
      <c r="Q331" s="2">
        <v>-0.08</v>
      </c>
    </row>
    <row r="332" spans="1:17" x14ac:dyDescent="0.2">
      <c r="A332">
        <v>668</v>
      </c>
      <c r="B332">
        <v>32</v>
      </c>
      <c r="C332" t="s">
        <v>667</v>
      </c>
      <c r="D332" s="13" t="s">
        <v>913</v>
      </c>
      <c r="E332" s="1">
        <v>2.7851648853159201</v>
      </c>
      <c r="F332" s="1">
        <v>2.1340441872670199</v>
      </c>
      <c r="G332">
        <f>VLOOKUP(C332,'[1]phenotypes-895'!$A$2:$G$896,7,FALSE)</f>
        <v>65</v>
      </c>
      <c r="H332" s="1">
        <v>8.4898392538134502E-3</v>
      </c>
      <c r="I332" s="1">
        <f>VLOOKUP(C332,'[1]phenotypes-895'!$A$2:$I$896,9,FALSE)</f>
        <v>0.67633275779808499</v>
      </c>
      <c r="J332" s="1"/>
      <c r="K332" s="4">
        <v>3.7734089861792004</v>
      </c>
      <c r="L332" s="1"/>
      <c r="M332" s="8">
        <v>1</v>
      </c>
      <c r="N332" s="1"/>
      <c r="O332">
        <v>1.232</v>
      </c>
      <c r="P332" s="1"/>
      <c r="Q332" s="2">
        <v>0.06</v>
      </c>
    </row>
    <row r="333" spans="1:17" x14ac:dyDescent="0.2">
      <c r="A333">
        <v>655</v>
      </c>
      <c r="B333">
        <v>27</v>
      </c>
      <c r="C333" t="s">
        <v>654</v>
      </c>
      <c r="D333" s="13" t="s">
        <v>913</v>
      </c>
      <c r="E333" s="1">
        <v>1.3625531473921999</v>
      </c>
      <c r="F333" s="1">
        <v>2.1327545218156598</v>
      </c>
      <c r="G333">
        <f>VLOOKUP(C333,'[1]phenotypes-895'!$A$2:$G$896,7,FALSE)</f>
        <v>73</v>
      </c>
      <c r="H333" s="1">
        <v>1.5124217375336899E-2</v>
      </c>
      <c r="I333" s="1">
        <f>VLOOKUP(C333,'[1]phenotypes-895'!$A$2:$I$896,9,FALSE)</f>
        <v>0.55140179285731028</v>
      </c>
      <c r="J333" s="1"/>
      <c r="K333" s="4">
        <v>4.3719894468738358</v>
      </c>
      <c r="L333" s="1"/>
      <c r="M333" s="8">
        <v>1</v>
      </c>
      <c r="N333" s="1"/>
      <c r="O333">
        <v>0.997</v>
      </c>
      <c r="P333" s="1"/>
      <c r="Q333" s="2">
        <v>0</v>
      </c>
    </row>
    <row r="334" spans="1:17" x14ac:dyDescent="0.2">
      <c r="A334">
        <v>732</v>
      </c>
      <c r="B334">
        <v>30</v>
      </c>
      <c r="C334" t="s">
        <v>731</v>
      </c>
      <c r="D334" s="13" t="s">
        <v>913</v>
      </c>
      <c r="E334" s="1">
        <v>1.2644045147020599</v>
      </c>
      <c r="F334" s="1">
        <v>2.1263926066963701</v>
      </c>
      <c r="G334">
        <f>VLOOKUP(C334,'[1]phenotypes-895'!$A$2:$G$896,7,FALSE)</f>
        <v>85</v>
      </c>
      <c r="H334" s="1">
        <v>-2.56347612030099E-2</v>
      </c>
      <c r="I334" s="1">
        <f>VLOOKUP(C334,'[1]phenotypes-895'!$A$2:$I$896,9,FALSE)</f>
        <v>0.3543983025863674</v>
      </c>
      <c r="J334" s="1"/>
      <c r="K334" s="4">
        <v>3.8615194775183075</v>
      </c>
      <c r="L334" s="1"/>
      <c r="M334" s="8">
        <v>1</v>
      </c>
      <c r="N334" s="1"/>
      <c r="O334">
        <v>1.1779999999999999</v>
      </c>
      <c r="P334" s="1"/>
      <c r="Q334" s="2">
        <v>0.05</v>
      </c>
    </row>
    <row r="335" spans="1:17" x14ac:dyDescent="0.2">
      <c r="A335">
        <v>876</v>
      </c>
      <c r="B335">
        <v>38</v>
      </c>
      <c r="C335" t="s">
        <v>875</v>
      </c>
      <c r="D335" s="13" t="s">
        <v>913</v>
      </c>
      <c r="E335" s="1">
        <v>1.8415856930138399</v>
      </c>
      <c r="F335" s="1">
        <v>2.1226508982607202</v>
      </c>
      <c r="G335">
        <f>VLOOKUP(C335,'[1]phenotypes-895'!$A$2:$G$896,7,FALSE)</f>
        <v>65</v>
      </c>
      <c r="H335" s="1">
        <v>-8.0667164601293008E-3</v>
      </c>
      <c r="I335" s="1">
        <f>VLOOKUP(C335,'[1]phenotypes-895'!$A$2:$I$896,9,FALSE)</f>
        <v>0.47092887149533391</v>
      </c>
      <c r="J335" s="1"/>
      <c r="K335" s="4">
        <v>4.0555763477317477</v>
      </c>
      <c r="L335" s="1"/>
      <c r="M335" s="8">
        <v>1</v>
      </c>
      <c r="N335" s="1"/>
      <c r="O335">
        <v>1.1850000000000001</v>
      </c>
      <c r="P335" s="1"/>
      <c r="Q335" s="2">
        <v>0.05</v>
      </c>
    </row>
    <row r="336" spans="1:17" x14ac:dyDescent="0.2">
      <c r="A336">
        <v>497</v>
      </c>
      <c r="B336">
        <v>54</v>
      </c>
      <c r="C336" t="s">
        <v>496</v>
      </c>
      <c r="D336" s="13" t="s">
        <v>912</v>
      </c>
      <c r="E336" s="1">
        <v>4.3204311391964101</v>
      </c>
      <c r="F336" s="1">
        <v>2.1195281546848501</v>
      </c>
      <c r="G336">
        <f>VLOOKUP(C336,'[1]phenotypes-895'!$A$2:$G$896,7,FALSE)</f>
        <v>98</v>
      </c>
      <c r="H336" s="1">
        <v>-7.5371436660180896E-2</v>
      </c>
      <c r="I336" s="1">
        <f>VLOOKUP(C336,'[1]phenotypes-895'!$A$2:$I$896,9,FALSE)</f>
        <v>0</v>
      </c>
      <c r="J336" s="1"/>
      <c r="K336" s="4">
        <v>0</v>
      </c>
      <c r="L336" s="1"/>
      <c r="M336" s="8">
        <v>0</v>
      </c>
      <c r="N336" s="1"/>
      <c r="O336">
        <v>0.63900000000000001</v>
      </c>
      <c r="P336" s="1"/>
      <c r="Q336" s="2">
        <v>-0.15</v>
      </c>
    </row>
    <row r="337" spans="1:17" x14ac:dyDescent="0.2">
      <c r="A337">
        <v>890</v>
      </c>
      <c r="B337">
        <v>38</v>
      </c>
      <c r="C337" t="s">
        <v>889</v>
      </c>
      <c r="D337" s="13" t="s">
        <v>913</v>
      </c>
      <c r="E337" s="1">
        <v>0.75920288038764705</v>
      </c>
      <c r="F337" s="1">
        <v>2.1152079304425699</v>
      </c>
      <c r="G337">
        <f>VLOOKUP(C337,'[1]phenotypes-895'!$A$2:$G$896,7,FALSE)</f>
        <v>98</v>
      </c>
      <c r="H337" s="1">
        <v>-1.52175674356819E-2</v>
      </c>
      <c r="I337" s="1">
        <f>VLOOKUP(C337,'[1]phenotypes-895'!$A$2:$I$896,9,FALSE)</f>
        <v>-1.8933001990391139E-2</v>
      </c>
      <c r="J337" s="1"/>
      <c r="K337" s="4">
        <v>2.1680353501812917</v>
      </c>
      <c r="L337" s="1"/>
      <c r="M337" s="8">
        <v>1</v>
      </c>
      <c r="N337" s="1"/>
      <c r="O337">
        <v>1.194</v>
      </c>
      <c r="P337" s="1"/>
      <c r="Q337" s="2">
        <v>0.05</v>
      </c>
    </row>
    <row r="338" spans="1:17" x14ac:dyDescent="0.2">
      <c r="A338">
        <v>794</v>
      </c>
      <c r="B338">
        <v>35</v>
      </c>
      <c r="C338" t="s">
        <v>793</v>
      </c>
      <c r="D338" s="13" t="s">
        <v>913</v>
      </c>
      <c r="E338" s="1">
        <v>3.14795566057765</v>
      </c>
      <c r="F338" s="1">
        <v>2.1112299031080202</v>
      </c>
      <c r="G338">
        <f>VLOOKUP(C338,'[1]phenotypes-895'!$A$2:$G$896,7,FALSE)</f>
        <v>98</v>
      </c>
      <c r="H338" s="1">
        <v>-4.7501204803538297E-2</v>
      </c>
      <c r="I338" s="1">
        <f>VLOOKUP(C338,'[1]phenotypes-895'!$A$2:$I$896,9,FALSE)</f>
        <v>0</v>
      </c>
      <c r="J338" s="1"/>
      <c r="K338" s="4">
        <v>0</v>
      </c>
      <c r="L338" s="1"/>
      <c r="M338" s="8">
        <v>0</v>
      </c>
      <c r="N338" s="1"/>
      <c r="O338">
        <v>0.89400000000000002</v>
      </c>
      <c r="P338" s="1"/>
      <c r="Q338" s="2">
        <v>-0.03</v>
      </c>
    </row>
    <row r="339" spans="1:17" x14ac:dyDescent="0.2">
      <c r="A339">
        <v>630</v>
      </c>
      <c r="B339">
        <v>36</v>
      </c>
      <c r="C339" t="s">
        <v>629</v>
      </c>
      <c r="D339" s="13" t="s">
        <v>913</v>
      </c>
      <c r="E339" s="1">
        <v>1.7466657714648399</v>
      </c>
      <c r="F339" s="1">
        <v>2.10741230187628</v>
      </c>
      <c r="G339">
        <f>VLOOKUP(C339,'[1]phenotypes-895'!$A$2:$G$896,7,FALSE)</f>
        <v>65</v>
      </c>
      <c r="H339" s="1">
        <v>1.13781827469263E-3</v>
      </c>
      <c r="I339" s="1">
        <f>VLOOKUP(C339,'[1]phenotypes-895'!$A$2:$I$896,9,FALSE)</f>
        <v>0.52480798474733403</v>
      </c>
      <c r="J339" s="1"/>
      <c r="K339" s="4">
        <v>4.0786927891162783</v>
      </c>
      <c r="L339" s="1"/>
      <c r="M339" s="8">
        <v>1</v>
      </c>
      <c r="N339" s="1"/>
      <c r="O339">
        <v>1.2250000000000001</v>
      </c>
      <c r="P339" s="1"/>
      <c r="Q339" s="2">
        <v>0.06</v>
      </c>
    </row>
    <row r="340" spans="1:17" x14ac:dyDescent="0.2">
      <c r="A340">
        <v>734</v>
      </c>
      <c r="B340">
        <v>24</v>
      </c>
      <c r="C340" t="s">
        <v>733</v>
      </c>
      <c r="D340" s="13" t="s">
        <v>913</v>
      </c>
      <c r="E340" s="1">
        <v>3.1570612945841101</v>
      </c>
      <c r="F340" s="1">
        <v>2.06719566212981</v>
      </c>
      <c r="G340">
        <f>VLOOKUP(C340,'[1]phenotypes-895'!$A$2:$G$896,7,FALSE)</f>
        <v>98</v>
      </c>
      <c r="H340" s="1">
        <v>-8.2026639346615596E-2</v>
      </c>
      <c r="I340" s="1">
        <f>VLOOKUP(C340,'[1]phenotypes-895'!$A$2:$I$896,9,FALSE)</f>
        <v>4.8237542624533308E-2</v>
      </c>
      <c r="J340" s="1"/>
      <c r="K340" s="4">
        <v>2.0753574923076061</v>
      </c>
      <c r="L340" s="1"/>
      <c r="M340" s="8">
        <v>1</v>
      </c>
      <c r="N340" s="1"/>
      <c r="O340">
        <v>0.93700000000000006</v>
      </c>
      <c r="P340" s="1"/>
      <c r="Q340" s="2">
        <v>-0.02</v>
      </c>
    </row>
    <row r="341" spans="1:17" x14ac:dyDescent="0.2">
      <c r="A341">
        <v>444</v>
      </c>
      <c r="B341">
        <v>46</v>
      </c>
      <c r="C341" t="s">
        <v>443</v>
      </c>
      <c r="D341" s="13" t="s">
        <v>912</v>
      </c>
      <c r="E341" s="1">
        <v>3.19566242732343</v>
      </c>
      <c r="F341" s="1">
        <v>2.0208042235034398</v>
      </c>
      <c r="G341">
        <f>VLOOKUP(C341,'[1]phenotypes-895'!$A$2:$G$896,7,FALSE)</f>
        <v>60</v>
      </c>
      <c r="H341" s="1">
        <v>-2.2873411076096702E-2</v>
      </c>
      <c r="I341" s="1">
        <f>VLOOKUP(C341,'[1]phenotypes-895'!$A$2:$I$896,9,FALSE)</f>
        <v>0.6553511908771541</v>
      </c>
      <c r="J341" s="1"/>
      <c r="K341" s="4">
        <v>4.1898577106680559</v>
      </c>
      <c r="L341" s="1"/>
      <c r="M341" s="8">
        <v>1</v>
      </c>
      <c r="N341" s="1"/>
      <c r="O341">
        <v>0.72099999999999997</v>
      </c>
      <c r="P341" s="1"/>
      <c r="Q341" s="2">
        <v>-0.11</v>
      </c>
    </row>
    <row r="342" spans="1:17" x14ac:dyDescent="0.2">
      <c r="A342">
        <v>690</v>
      </c>
      <c r="B342">
        <v>37</v>
      </c>
      <c r="C342" t="s">
        <v>689</v>
      </c>
      <c r="D342" s="13" t="s">
        <v>913</v>
      </c>
      <c r="E342" s="1">
        <v>0.84227349968298004</v>
      </c>
      <c r="F342" s="1">
        <v>2.0166992184243102</v>
      </c>
      <c r="G342">
        <f>VLOOKUP(C342,'[1]phenotypes-895'!$A$2:$G$896,7,FALSE)</f>
        <v>98</v>
      </c>
      <c r="H342" s="1">
        <v>-4.7094596519553701E-2</v>
      </c>
      <c r="I342" s="1">
        <f>VLOOKUP(C342,'[1]phenotypes-895'!$A$2:$I$896,9,FALSE)</f>
        <v>4.3550272764237903E-2</v>
      </c>
      <c r="J342" s="1"/>
      <c r="K342" s="4">
        <v>2.0622115019942879</v>
      </c>
      <c r="L342" s="1"/>
      <c r="M342" s="8">
        <v>1</v>
      </c>
      <c r="N342" s="1"/>
      <c r="O342">
        <v>1.202</v>
      </c>
      <c r="P342" s="1"/>
      <c r="Q342" s="2">
        <v>0.06</v>
      </c>
    </row>
    <row r="343" spans="1:17" x14ac:dyDescent="0.2">
      <c r="A343">
        <v>568</v>
      </c>
      <c r="B343">
        <v>40</v>
      </c>
      <c r="C343" t="s">
        <v>567</v>
      </c>
      <c r="D343" s="13" t="s">
        <v>913</v>
      </c>
      <c r="E343" s="1">
        <v>2.3813256799374098</v>
      </c>
      <c r="F343" s="1">
        <v>2.01084074835576</v>
      </c>
      <c r="G343">
        <f>VLOOKUP(C343,'[1]phenotypes-895'!$A$2:$G$896,7,FALSE)</f>
        <v>98</v>
      </c>
      <c r="H343" s="1">
        <v>-6.1521225682886801E-2</v>
      </c>
      <c r="I343" s="1">
        <f>VLOOKUP(C343,'[1]phenotypes-895'!$A$2:$I$896,9,FALSE)</f>
        <v>0</v>
      </c>
      <c r="J343" s="1"/>
      <c r="K343" s="4">
        <v>0</v>
      </c>
      <c r="L343" s="1"/>
      <c r="M343" s="8">
        <v>0</v>
      </c>
      <c r="N343" s="1"/>
      <c r="O343">
        <v>1.0469999999999999</v>
      </c>
      <c r="P343" s="1"/>
      <c r="Q343" s="2">
        <v>0.01</v>
      </c>
    </row>
    <row r="344" spans="1:17" x14ac:dyDescent="0.2">
      <c r="A344">
        <v>312</v>
      </c>
      <c r="B344">
        <v>22</v>
      </c>
      <c r="C344" t="s">
        <v>311</v>
      </c>
      <c r="D344" s="13" t="s">
        <v>913</v>
      </c>
      <c r="E344" s="1">
        <v>1.9299330726741599</v>
      </c>
      <c r="F344" s="1">
        <v>1.9996668153239301</v>
      </c>
      <c r="G344">
        <f>VLOOKUP(C344,'[1]phenotypes-895'!$A$2:$G$896,7,FALSE)</f>
        <v>61</v>
      </c>
      <c r="H344" s="1">
        <v>-9.48749761935626E-3</v>
      </c>
      <c r="I344" s="1">
        <f>VLOOKUP(C344,'[1]phenotypes-895'!$A$2:$I$896,9,FALSE)</f>
        <v>0.61586817346381106</v>
      </c>
      <c r="J344" s="1"/>
      <c r="K344" s="4">
        <v>4.5114882783653814</v>
      </c>
      <c r="L344" s="1"/>
      <c r="M344" s="8">
        <v>1</v>
      </c>
      <c r="N344" s="1"/>
      <c r="O344">
        <v>1.242</v>
      </c>
      <c r="P344" s="1"/>
      <c r="Q344" s="2">
        <v>7.0000000000000007E-2</v>
      </c>
    </row>
    <row r="345" spans="1:17" x14ac:dyDescent="0.2">
      <c r="A345">
        <v>848</v>
      </c>
      <c r="B345">
        <v>22</v>
      </c>
      <c r="C345" t="s">
        <v>847</v>
      </c>
      <c r="D345" s="13" t="s">
        <v>913</v>
      </c>
      <c r="E345" s="1">
        <v>0.55719142761754703</v>
      </c>
      <c r="F345" s="1">
        <v>1.9983038471224699</v>
      </c>
      <c r="G345">
        <f>VLOOKUP(C345,'[1]phenotypes-895'!$A$2:$G$896,7,FALSE)</f>
        <v>98</v>
      </c>
      <c r="H345" s="1">
        <v>-1.2083309560832201E-2</v>
      </c>
      <c r="I345" s="1">
        <f>VLOOKUP(C345,'[1]phenotypes-895'!$A$2:$I$896,9,FALSE)</f>
        <v>0</v>
      </c>
      <c r="J345" s="1"/>
      <c r="K345" s="4">
        <v>0</v>
      </c>
      <c r="L345" s="1"/>
      <c r="M345" s="8">
        <v>0</v>
      </c>
      <c r="N345" s="1"/>
      <c r="O345">
        <v>1.08</v>
      </c>
      <c r="P345" s="1"/>
      <c r="Q345" s="2">
        <v>0.02</v>
      </c>
    </row>
    <row r="346" spans="1:17" x14ac:dyDescent="0.2">
      <c r="A346">
        <v>554</v>
      </c>
      <c r="B346">
        <v>33</v>
      </c>
      <c r="C346" t="s">
        <v>553</v>
      </c>
      <c r="D346" s="13" t="s">
        <v>913</v>
      </c>
      <c r="E346" s="1">
        <v>2.0372515924252701</v>
      </c>
      <c r="F346" s="1">
        <v>1.99663257935795</v>
      </c>
      <c r="G346">
        <f>VLOOKUP(C346,'[1]phenotypes-895'!$A$2:$G$896,7,FALSE)</f>
        <v>83</v>
      </c>
      <c r="H346" s="1">
        <v>-2.0588605825629599E-2</v>
      </c>
      <c r="I346" s="1">
        <f>VLOOKUP(C346,'[1]phenotypes-895'!$A$2:$I$896,9,FALSE)</f>
        <v>0.3244976241025363</v>
      </c>
      <c r="J346" s="1"/>
      <c r="K346" s="4">
        <v>4.2678630286762615</v>
      </c>
      <c r="L346" s="1"/>
      <c r="M346" s="8">
        <v>1</v>
      </c>
      <c r="N346" s="1"/>
      <c r="O346">
        <v>0.96399999999999997</v>
      </c>
      <c r="P346" s="1"/>
      <c r="Q346" s="2">
        <v>-0.01</v>
      </c>
    </row>
    <row r="347" spans="1:17" x14ac:dyDescent="0.2">
      <c r="A347">
        <v>101</v>
      </c>
      <c r="B347">
        <v>12</v>
      </c>
      <c r="C347" t="s">
        <v>100</v>
      </c>
      <c r="D347" s="12" t="s">
        <v>912</v>
      </c>
      <c r="E347" s="1">
        <v>1.17886887552064</v>
      </c>
      <c r="F347" s="1">
        <v>1.9810489073590201</v>
      </c>
      <c r="G347">
        <f>VLOOKUP(C347,'[1]phenotypes-895'!$A$2:$G$896,7,FALSE)</f>
        <v>98</v>
      </c>
      <c r="H347" s="1">
        <v>-9.0185536366865805E-3</v>
      </c>
      <c r="I347" s="1">
        <f>VLOOKUP(C347,'[1]phenotypes-895'!$A$2:$I$896,9,FALSE)</f>
        <v>0</v>
      </c>
      <c r="J347" s="1"/>
      <c r="K347" s="4">
        <v>0</v>
      </c>
      <c r="L347" s="1"/>
      <c r="M347" s="8">
        <v>0</v>
      </c>
      <c r="N347" s="1"/>
      <c r="O347" s="6">
        <v>0.72299999999999998</v>
      </c>
      <c r="P347" s="1"/>
      <c r="Q347" s="7">
        <v>-0.11</v>
      </c>
    </row>
    <row r="348" spans="1:17" x14ac:dyDescent="0.2">
      <c r="A348">
        <v>76</v>
      </c>
      <c r="B348">
        <v>25</v>
      </c>
      <c r="C348" t="s">
        <v>75</v>
      </c>
      <c r="D348" s="13" t="s">
        <v>913</v>
      </c>
      <c r="E348" s="1">
        <v>2.9042457635343202</v>
      </c>
      <c r="F348" s="1">
        <v>1.9712078141659399</v>
      </c>
      <c r="G348">
        <f>VLOOKUP(C348,'[1]phenotypes-895'!$A$2:$G$896,7,FALSE)</f>
        <v>80</v>
      </c>
      <c r="H348" s="1">
        <v>-2.5677150767963799E-2</v>
      </c>
      <c r="I348" s="1">
        <f>VLOOKUP(C348,'[1]phenotypes-895'!$A$2:$I$896,9,FALSE)</f>
        <v>0.37192802041278089</v>
      </c>
      <c r="J348" s="1"/>
      <c r="K348" s="4">
        <v>4.4619599697544974</v>
      </c>
      <c r="L348" s="1"/>
      <c r="M348" s="8">
        <v>1</v>
      </c>
      <c r="N348" s="1"/>
      <c r="O348">
        <v>1.1599999999999999</v>
      </c>
      <c r="P348" s="1"/>
      <c r="Q348" s="2">
        <v>0.05</v>
      </c>
    </row>
    <row r="349" spans="1:17" x14ac:dyDescent="0.2">
      <c r="A349">
        <v>572</v>
      </c>
      <c r="B349">
        <v>23</v>
      </c>
      <c r="C349" t="s">
        <v>571</v>
      </c>
      <c r="D349" s="13" t="s">
        <v>913</v>
      </c>
      <c r="E349" s="1">
        <v>2.0582427989144199</v>
      </c>
      <c r="F349" s="1">
        <v>1.9620952948264001</v>
      </c>
      <c r="G349">
        <f>VLOOKUP(C349,'[1]phenotypes-895'!$A$2:$G$896,7,FALSE)</f>
        <v>98</v>
      </c>
      <c r="H349" s="1">
        <v>-5.1941501173224498E-2</v>
      </c>
      <c r="I349" s="1">
        <f>VLOOKUP(C349,'[1]phenotypes-895'!$A$2:$I$896,9,FALSE)</f>
        <v>0</v>
      </c>
      <c r="J349" s="1"/>
      <c r="K349" s="4">
        <v>0</v>
      </c>
      <c r="L349" s="1"/>
      <c r="M349" s="8">
        <v>0</v>
      </c>
      <c r="N349" s="1"/>
      <c r="O349">
        <v>1.2629999999999999</v>
      </c>
      <c r="P349" s="1"/>
      <c r="Q349" s="2">
        <v>7.0000000000000007E-2</v>
      </c>
    </row>
    <row r="350" spans="1:17" x14ac:dyDescent="0.2">
      <c r="A350">
        <v>566</v>
      </c>
      <c r="B350">
        <v>21</v>
      </c>
      <c r="C350" t="s">
        <v>565</v>
      </c>
      <c r="D350" s="13" t="s">
        <v>913</v>
      </c>
      <c r="E350" s="1">
        <v>2.9904453393413801</v>
      </c>
      <c r="F350" s="1">
        <v>1.96060719234855</v>
      </c>
      <c r="G350">
        <f>VLOOKUP(C350,'[1]phenotypes-895'!$A$2:$G$896,7,FALSE)</f>
        <v>85</v>
      </c>
      <c r="H350" s="1">
        <v>-9.5733459596188402E-4</v>
      </c>
      <c r="I350" s="1">
        <f>VLOOKUP(C350,'[1]phenotypes-895'!$A$2:$I$896,9,FALSE)</f>
        <v>0.34114483675986779</v>
      </c>
      <c r="J350" s="1"/>
      <c r="K350" s="4">
        <v>3.7519701274253445</v>
      </c>
      <c r="L350" s="1"/>
      <c r="M350" s="8">
        <v>1</v>
      </c>
      <c r="N350" s="1"/>
      <c r="O350">
        <v>1.165</v>
      </c>
      <c r="P350" s="1"/>
      <c r="Q350" s="2">
        <v>0.05</v>
      </c>
    </row>
    <row r="351" spans="1:17" x14ac:dyDescent="0.2">
      <c r="A351">
        <v>338</v>
      </c>
      <c r="B351">
        <v>8</v>
      </c>
      <c r="C351" t="s">
        <v>337</v>
      </c>
      <c r="D351" s="12" t="s">
        <v>913</v>
      </c>
      <c r="E351" s="1">
        <v>3.9724198822505201</v>
      </c>
      <c r="F351" s="1">
        <v>1.9364441457505099</v>
      </c>
      <c r="G351">
        <f>VLOOKUP(C351,'[1]phenotypes-895'!$A$2:$G$896,7,FALSE)</f>
        <v>76</v>
      </c>
      <c r="H351" s="1">
        <v>-2.6202351438775699E-3</v>
      </c>
      <c r="I351" s="1">
        <f>VLOOKUP(C351,'[1]phenotypes-895'!$A$2:$I$896,9,FALSE)</f>
        <v>0.54720250965131378</v>
      </c>
      <c r="J351" s="1"/>
      <c r="K351" s="4">
        <v>3.9935744342210824</v>
      </c>
      <c r="L351" s="1"/>
      <c r="M351" s="8">
        <v>1</v>
      </c>
      <c r="N351" s="1"/>
      <c r="O351" s="6">
        <v>0.90100000000000002</v>
      </c>
      <c r="P351" s="1"/>
      <c r="Q351" s="7">
        <v>-0.03</v>
      </c>
    </row>
    <row r="352" spans="1:17" x14ac:dyDescent="0.2">
      <c r="A352">
        <v>607</v>
      </c>
      <c r="B352">
        <v>34</v>
      </c>
      <c r="C352" t="s">
        <v>606</v>
      </c>
      <c r="D352" s="13" t="s">
        <v>913</v>
      </c>
      <c r="E352" s="1">
        <v>4.1854909482621503</v>
      </c>
      <c r="F352" s="1">
        <v>1.9324070449978099</v>
      </c>
      <c r="G352">
        <f>VLOOKUP(C352,'[1]phenotypes-895'!$A$2:$G$896,7,FALSE)</f>
        <v>98</v>
      </c>
      <c r="H352" s="1">
        <v>-7.0872381701367101E-2</v>
      </c>
      <c r="I352" s="1">
        <f>VLOOKUP(C352,'[1]phenotypes-895'!$A$2:$I$896,9,FALSE)</f>
        <v>0</v>
      </c>
      <c r="J352" s="1"/>
      <c r="K352" s="4">
        <v>0</v>
      </c>
      <c r="L352" s="1"/>
      <c r="M352" s="8">
        <v>0</v>
      </c>
      <c r="N352" s="1"/>
      <c r="O352">
        <v>0.95499999999999996</v>
      </c>
      <c r="P352" s="1"/>
      <c r="Q352" s="2">
        <v>-0.01</v>
      </c>
    </row>
    <row r="353" spans="1:17" x14ac:dyDescent="0.2">
      <c r="A353">
        <v>753</v>
      </c>
      <c r="B353">
        <v>30</v>
      </c>
      <c r="C353" t="s">
        <v>752</v>
      </c>
      <c r="D353" s="13" t="s">
        <v>913</v>
      </c>
      <c r="E353" s="1">
        <v>3.1790922321976698</v>
      </c>
      <c r="F353" s="1">
        <v>1.89121480791519</v>
      </c>
      <c r="G353">
        <f>VLOOKUP(C353,'[1]phenotypes-895'!$A$2:$G$896,7,FALSE)</f>
        <v>70</v>
      </c>
      <c r="H353" s="1">
        <v>-4.6689143088131997E-2</v>
      </c>
      <c r="I353" s="1">
        <f>VLOOKUP(C353,'[1]phenotypes-895'!$A$2:$I$896,9,FALSE)</f>
        <v>0.47798802701811127</v>
      </c>
      <c r="J353" s="1"/>
      <c r="K353" s="4">
        <v>4.1172276793285718</v>
      </c>
      <c r="L353" s="1"/>
      <c r="M353" s="8">
        <v>1</v>
      </c>
      <c r="N353" s="1"/>
      <c r="O353">
        <v>1.1140000000000001</v>
      </c>
      <c r="P353" s="1"/>
      <c r="Q353" s="2">
        <v>0.03</v>
      </c>
    </row>
    <row r="354" spans="1:17" x14ac:dyDescent="0.2">
      <c r="A354">
        <v>446</v>
      </c>
      <c r="B354">
        <v>46</v>
      </c>
      <c r="C354" t="s">
        <v>445</v>
      </c>
      <c r="D354" s="13" t="s">
        <v>912</v>
      </c>
      <c r="E354" s="1">
        <v>0.241877822867436</v>
      </c>
      <c r="F354" s="1">
        <v>1.8832980741743699</v>
      </c>
      <c r="G354">
        <f>VLOOKUP(C354,'[1]phenotypes-895'!$A$2:$G$896,7,FALSE)</f>
        <v>98</v>
      </c>
      <c r="H354" s="1">
        <v>2.63265192102823E-3</v>
      </c>
      <c r="I354" s="1">
        <f>VLOOKUP(C354,'[1]phenotypes-895'!$A$2:$I$896,9,FALSE)</f>
        <v>0.29567061265411188</v>
      </c>
      <c r="J354" s="1"/>
      <c r="K354" s="4">
        <v>3.4820164918962564</v>
      </c>
      <c r="L354" s="1"/>
      <c r="M354" s="8">
        <v>1</v>
      </c>
      <c r="N354" s="1"/>
      <c r="O354">
        <v>0.85099999999999998</v>
      </c>
      <c r="P354" s="1"/>
      <c r="Q354" s="2">
        <v>-0.05</v>
      </c>
    </row>
    <row r="355" spans="1:17" x14ac:dyDescent="0.2">
      <c r="A355">
        <v>375</v>
      </c>
      <c r="B355">
        <v>44</v>
      </c>
      <c r="C355" t="s">
        <v>374</v>
      </c>
      <c r="D355" s="13" t="s">
        <v>912</v>
      </c>
      <c r="E355" s="1">
        <v>-0.63844689972151203</v>
      </c>
      <c r="F355" s="1">
        <v>1.8714608645233699</v>
      </c>
      <c r="G355">
        <f>VLOOKUP(C355,'[1]phenotypes-895'!$A$2:$G$896,7,FALSE)</f>
        <v>62</v>
      </c>
      <c r="H355" s="1">
        <v>3.0984940044613201E-2</v>
      </c>
      <c r="I355" s="1">
        <f>VLOOKUP(C355,'[1]phenotypes-895'!$A$2:$I$896,9,FALSE)</f>
        <v>0.50464716534979481</v>
      </c>
      <c r="J355" s="1"/>
      <c r="K355" s="4">
        <v>4.1856516294619661</v>
      </c>
      <c r="L355" s="1"/>
      <c r="M355" s="8">
        <v>1</v>
      </c>
      <c r="N355" s="1"/>
      <c r="O355">
        <v>0.82499999999999996</v>
      </c>
      <c r="P355" s="1"/>
      <c r="Q355" s="2">
        <v>-0.06</v>
      </c>
    </row>
    <row r="356" spans="1:17" x14ac:dyDescent="0.2">
      <c r="A356">
        <v>576</v>
      </c>
      <c r="B356">
        <v>49</v>
      </c>
      <c r="C356" t="s">
        <v>575</v>
      </c>
      <c r="D356" s="13" t="s">
        <v>912</v>
      </c>
      <c r="E356" s="1">
        <v>-0.47066868094781</v>
      </c>
      <c r="F356" s="1">
        <v>1.8713588877312599</v>
      </c>
      <c r="G356">
        <f>VLOOKUP(C356,'[1]phenotypes-895'!$A$2:$G$896,7,FALSE)</f>
        <v>60</v>
      </c>
      <c r="H356" s="1">
        <v>2.70811411885978E-2</v>
      </c>
      <c r="I356" s="1">
        <f>VLOOKUP(C356,'[1]phenotypes-895'!$A$2:$I$896,9,FALSE)</f>
        <v>0.6760864745956886</v>
      </c>
      <c r="J356" s="1"/>
      <c r="K356" s="4">
        <v>4.8084056993189392</v>
      </c>
      <c r="L356" s="1"/>
      <c r="M356" s="8">
        <v>1</v>
      </c>
      <c r="N356" s="1"/>
      <c r="O356">
        <v>0.85799999999999998</v>
      </c>
      <c r="P356" s="1"/>
      <c r="Q356" s="2">
        <v>-0.05</v>
      </c>
    </row>
    <row r="357" spans="1:17" x14ac:dyDescent="0.2">
      <c r="A357">
        <v>676</v>
      </c>
      <c r="B357">
        <v>31</v>
      </c>
      <c r="C357" t="s">
        <v>675</v>
      </c>
      <c r="D357" s="13" t="s">
        <v>913</v>
      </c>
      <c r="E357" s="1">
        <v>2.92397762901932</v>
      </c>
      <c r="F357" s="1">
        <v>1.8701488841792799</v>
      </c>
      <c r="G357">
        <f>VLOOKUP(C357,'[1]phenotypes-895'!$A$2:$G$896,7,FALSE)</f>
        <v>98</v>
      </c>
      <c r="H357" s="1">
        <v>-5.1001041944281497E-2</v>
      </c>
      <c r="I357" s="1">
        <f>VLOOKUP(C357,'[1]phenotypes-895'!$A$2:$I$896,9,FALSE)</f>
        <v>0</v>
      </c>
      <c r="J357" s="1"/>
      <c r="K357" s="4">
        <v>0</v>
      </c>
      <c r="L357" s="1"/>
      <c r="M357" s="8">
        <v>0</v>
      </c>
      <c r="N357" s="1"/>
      <c r="O357">
        <v>1.1220000000000001</v>
      </c>
      <c r="P357" s="1"/>
      <c r="Q357" s="2">
        <v>0.04</v>
      </c>
    </row>
    <row r="358" spans="1:17" x14ac:dyDescent="0.2">
      <c r="A358">
        <v>298</v>
      </c>
      <c r="B358">
        <v>50</v>
      </c>
      <c r="C358" t="s">
        <v>297</v>
      </c>
      <c r="D358" s="13" t="s">
        <v>912</v>
      </c>
      <c r="E358" s="1">
        <v>-0.32348499505968897</v>
      </c>
      <c r="F358" s="1">
        <v>1.8629820946214799</v>
      </c>
      <c r="G358">
        <f>VLOOKUP(C358,'[1]phenotypes-895'!$A$2:$G$896,7,FALSE)</f>
        <v>62</v>
      </c>
      <c r="H358" s="1">
        <v>3.8942310520938099E-3</v>
      </c>
      <c r="I358" s="1">
        <f>VLOOKUP(C358,'[1]phenotypes-895'!$A$2:$I$896,9,FALSE)</f>
        <v>0.87229554056219671</v>
      </c>
      <c r="J358" s="1"/>
      <c r="K358" s="4">
        <v>4.864436006997793</v>
      </c>
      <c r="L358" s="1"/>
      <c r="M358" s="8">
        <v>1</v>
      </c>
      <c r="N358" s="1"/>
      <c r="O358">
        <v>0.625</v>
      </c>
      <c r="P358" s="1"/>
      <c r="Q358" s="2">
        <v>-0.15</v>
      </c>
    </row>
    <row r="359" spans="1:17" x14ac:dyDescent="0.2">
      <c r="A359">
        <v>611</v>
      </c>
      <c r="B359">
        <v>21</v>
      </c>
      <c r="C359" t="s">
        <v>610</v>
      </c>
      <c r="D359" s="13" t="s">
        <v>913</v>
      </c>
      <c r="E359" s="1">
        <v>1.77873547622087</v>
      </c>
      <c r="F359" s="1">
        <v>1.8598357742207099</v>
      </c>
      <c r="G359">
        <f>VLOOKUP(C359,'[1]phenotypes-895'!$A$2:$G$896,7,FALSE)</f>
        <v>98</v>
      </c>
      <c r="H359" s="1">
        <v>-4.6383766401844398E-2</v>
      </c>
      <c r="I359" s="1">
        <f>VLOOKUP(C359,'[1]phenotypes-895'!$A$2:$I$896,9,FALSE)</f>
        <v>0</v>
      </c>
      <c r="J359" s="1"/>
      <c r="K359" s="4">
        <v>0</v>
      </c>
      <c r="L359" s="1"/>
      <c r="M359" s="8">
        <v>0</v>
      </c>
      <c r="N359" s="1"/>
      <c r="O359">
        <v>1.1879999999999999</v>
      </c>
      <c r="P359" s="1"/>
      <c r="Q359" s="2">
        <v>0.05</v>
      </c>
    </row>
    <row r="360" spans="1:17" x14ac:dyDescent="0.2">
      <c r="A360">
        <v>886</v>
      </c>
      <c r="B360">
        <v>36</v>
      </c>
      <c r="C360" t="s">
        <v>885</v>
      </c>
      <c r="D360" s="13" t="s">
        <v>913</v>
      </c>
      <c r="E360" s="1">
        <v>4.6226552165190897</v>
      </c>
      <c r="F360" s="1">
        <v>1.8528988156100299</v>
      </c>
      <c r="G360">
        <f>VLOOKUP(C360,'[1]phenotypes-895'!$A$2:$G$896,7,FALSE)</f>
        <v>63</v>
      </c>
      <c r="H360" s="1">
        <v>-9.6776439616229504E-2</v>
      </c>
      <c r="I360" s="1">
        <f>VLOOKUP(C360,'[1]phenotypes-895'!$A$2:$I$896,9,FALSE)</f>
        <v>0.57101651646537455</v>
      </c>
      <c r="J360" s="1"/>
      <c r="K360" s="4">
        <v>4.3168359421114326</v>
      </c>
      <c r="L360" s="1"/>
      <c r="M360" s="8">
        <v>1</v>
      </c>
      <c r="N360" s="1"/>
      <c r="O360">
        <v>1.5189999999999999</v>
      </c>
      <c r="P360" s="1"/>
      <c r="Q360" s="2">
        <v>0.13</v>
      </c>
    </row>
    <row r="361" spans="1:17" x14ac:dyDescent="0.2">
      <c r="A361">
        <v>220</v>
      </c>
      <c r="B361">
        <v>50</v>
      </c>
      <c r="C361" t="s">
        <v>219</v>
      </c>
      <c r="D361" s="13" t="s">
        <v>912</v>
      </c>
      <c r="E361" s="1">
        <v>-0.61157883581012795</v>
      </c>
      <c r="F361" s="1">
        <v>1.8391569843487601</v>
      </c>
      <c r="G361">
        <f>VLOOKUP(C361,'[1]phenotypes-895'!$A$2:$G$896,7,FALSE)</f>
        <v>98</v>
      </c>
      <c r="H361" s="1">
        <v>4.1521201967761696E-3</v>
      </c>
      <c r="I361" s="1">
        <f>VLOOKUP(C361,'[1]phenotypes-895'!$A$2:$I$896,9,FALSE)</f>
        <v>-5.6640886440455099E-3</v>
      </c>
      <c r="J361" s="1"/>
      <c r="K361" s="4">
        <v>2.3272328934642399</v>
      </c>
      <c r="L361" s="1"/>
      <c r="M361" s="8">
        <v>1</v>
      </c>
      <c r="N361" s="1"/>
      <c r="O361">
        <v>0.55000000000000004</v>
      </c>
      <c r="P361" s="1"/>
      <c r="Q361" s="2">
        <v>-0.2</v>
      </c>
    </row>
    <row r="362" spans="1:17" x14ac:dyDescent="0.2">
      <c r="A362">
        <v>79</v>
      </c>
      <c r="B362">
        <v>18</v>
      </c>
      <c r="C362" t="s">
        <v>78</v>
      </c>
      <c r="D362" s="12" t="s">
        <v>912</v>
      </c>
      <c r="E362" s="1">
        <v>0.45968942662487999</v>
      </c>
      <c r="F362" s="1">
        <v>1.79418186198013</v>
      </c>
      <c r="G362">
        <f>VLOOKUP(C362,'[1]phenotypes-895'!$A$2:$G$896,7,FALSE)</f>
        <v>81</v>
      </c>
      <c r="H362" s="1">
        <v>2.3260110638438001E-2</v>
      </c>
      <c r="I362" s="1">
        <f>VLOOKUP(C362,'[1]phenotypes-895'!$A$2:$I$896,9,FALSE)</f>
        <v>0.44819026776004089</v>
      </c>
      <c r="J362" s="1"/>
      <c r="K362" s="4">
        <v>3.9877352123783587</v>
      </c>
      <c r="L362" s="1"/>
      <c r="M362" s="8">
        <v>1</v>
      </c>
      <c r="N362" s="1"/>
      <c r="O362" s="6">
        <v>1.0780000000000001</v>
      </c>
      <c r="P362" s="1"/>
      <c r="Q362" s="7">
        <v>0.02</v>
      </c>
    </row>
    <row r="363" spans="1:17" x14ac:dyDescent="0.2">
      <c r="A363">
        <v>821</v>
      </c>
      <c r="B363">
        <v>46</v>
      </c>
      <c r="C363" t="s">
        <v>820</v>
      </c>
      <c r="D363" s="13" t="s">
        <v>912</v>
      </c>
      <c r="E363" s="1">
        <v>-0.75958088431189197</v>
      </c>
      <c r="F363" s="1">
        <v>1.7922319421661099</v>
      </c>
      <c r="G363">
        <f>VLOOKUP(C363,'[1]phenotypes-895'!$A$2:$G$896,7,FALSE)</f>
        <v>62</v>
      </c>
      <c r="H363" s="1">
        <v>1.36533102164209E-2</v>
      </c>
      <c r="I363" s="1">
        <f>VLOOKUP(C363,'[1]phenotypes-895'!$A$2:$I$896,9,FALSE)</f>
        <v>0.56677182902867895</v>
      </c>
      <c r="J363" s="1"/>
      <c r="K363" s="4">
        <v>4.1286881649558689</v>
      </c>
      <c r="L363" s="1"/>
      <c r="M363" s="8">
        <v>1</v>
      </c>
      <c r="N363" s="1"/>
      <c r="O363">
        <v>0.46300000000000002</v>
      </c>
      <c r="P363" s="1"/>
      <c r="Q363" s="2">
        <v>-0.26</v>
      </c>
    </row>
    <row r="364" spans="1:17" x14ac:dyDescent="0.2">
      <c r="A364">
        <v>863</v>
      </c>
      <c r="B364">
        <v>31</v>
      </c>
      <c r="C364" t="s">
        <v>862</v>
      </c>
      <c r="D364" s="13" t="s">
        <v>913</v>
      </c>
      <c r="E364" s="1">
        <v>2.2755062750358799</v>
      </c>
      <c r="F364" s="1">
        <v>1.78622838353715</v>
      </c>
      <c r="G364">
        <f>VLOOKUP(C364,'[1]phenotypes-895'!$A$2:$G$896,7,FALSE)</f>
        <v>68</v>
      </c>
      <c r="H364" s="1">
        <v>9.3945076931472304E-3</v>
      </c>
      <c r="I364" s="1">
        <f>VLOOKUP(C364,'[1]phenotypes-895'!$A$2:$I$896,9,FALSE)</f>
        <v>0.57420266806703912</v>
      </c>
      <c r="J364" s="1"/>
      <c r="K364" s="4">
        <v>4.9021667599590595</v>
      </c>
      <c r="L364" s="1"/>
      <c r="M364" s="8">
        <v>1</v>
      </c>
      <c r="N364" s="1"/>
      <c r="O364">
        <v>1.079</v>
      </c>
      <c r="P364" s="1"/>
      <c r="Q364" s="2">
        <v>0.02</v>
      </c>
    </row>
    <row r="365" spans="1:17" x14ac:dyDescent="0.2">
      <c r="A365">
        <v>292</v>
      </c>
      <c r="B365">
        <v>7</v>
      </c>
      <c r="C365" t="s">
        <v>291</v>
      </c>
      <c r="D365" s="12" t="s">
        <v>913</v>
      </c>
      <c r="E365" s="1">
        <v>3.3031035742189001</v>
      </c>
      <c r="F365" s="1">
        <v>1.76838120790366</v>
      </c>
      <c r="G365">
        <f>VLOOKUP(C365,'[1]phenotypes-895'!$A$2:$G$896,7,FALSE)</f>
        <v>79</v>
      </c>
      <c r="H365" s="1">
        <v>-6.1623442477104197E-2</v>
      </c>
      <c r="I365" s="1">
        <f>VLOOKUP(C365,'[1]phenotypes-895'!$A$2:$I$896,9,FALSE)</f>
        <v>0.32221652757726299</v>
      </c>
      <c r="J365" s="1"/>
      <c r="K365" s="4">
        <v>4.4426378000189537</v>
      </c>
      <c r="L365" s="1"/>
      <c r="M365" s="8">
        <v>1</v>
      </c>
      <c r="N365" s="1"/>
      <c r="O365" s="6">
        <v>1.1080000000000001</v>
      </c>
      <c r="P365" s="1"/>
      <c r="Q365" s="7">
        <v>0.03</v>
      </c>
    </row>
    <row r="366" spans="1:17" x14ac:dyDescent="0.2">
      <c r="A366">
        <v>792</v>
      </c>
      <c r="B366">
        <v>34</v>
      </c>
      <c r="C366" t="s">
        <v>791</v>
      </c>
      <c r="D366" s="13" t="s">
        <v>913</v>
      </c>
      <c r="E366" s="1">
        <v>0.99005271977001097</v>
      </c>
      <c r="F366" s="1">
        <v>1.7477612805540299</v>
      </c>
      <c r="G366">
        <f>VLOOKUP(C366,'[1]phenotypes-895'!$A$2:$G$896,7,FALSE)</f>
        <v>98</v>
      </c>
      <c r="H366" s="1">
        <v>-9.8246184114515397E-3</v>
      </c>
      <c r="I366" s="1">
        <f>VLOOKUP(C366,'[1]phenotypes-895'!$A$2:$I$896,9,FALSE)</f>
        <v>0</v>
      </c>
      <c r="J366" s="1"/>
      <c r="K366" s="4">
        <v>0</v>
      </c>
      <c r="L366" s="1"/>
      <c r="M366" s="8">
        <v>0</v>
      </c>
      <c r="N366" s="1"/>
      <c r="O366">
        <v>0.97099999999999997</v>
      </c>
      <c r="P366" s="1"/>
      <c r="Q366" s="2">
        <v>-0.01</v>
      </c>
    </row>
    <row r="367" spans="1:17" x14ac:dyDescent="0.2">
      <c r="A367">
        <v>638</v>
      </c>
      <c r="B367">
        <v>22</v>
      </c>
      <c r="C367" t="s">
        <v>637</v>
      </c>
      <c r="D367" s="13" t="s">
        <v>913</v>
      </c>
      <c r="E367" s="1">
        <v>1.41014025872058</v>
      </c>
      <c r="F367" s="1">
        <v>1.7304312731867</v>
      </c>
      <c r="G367">
        <f>VLOOKUP(C367,'[1]phenotypes-895'!$A$2:$G$896,7,FALSE)</f>
        <v>60</v>
      </c>
      <c r="H367" s="1">
        <v>-1.10932005697876E-2</v>
      </c>
      <c r="I367" s="1">
        <f>VLOOKUP(C367,'[1]phenotypes-895'!$A$2:$I$896,9,FALSE)</f>
        <v>0.59028255603058077</v>
      </c>
      <c r="J367" s="1"/>
      <c r="K367" s="4">
        <v>4.4157781572675292</v>
      </c>
      <c r="L367" s="1"/>
      <c r="M367" s="8">
        <v>1</v>
      </c>
      <c r="N367" s="1"/>
      <c r="O367">
        <v>1.2869999999999999</v>
      </c>
      <c r="P367" s="1"/>
      <c r="Q367" s="2">
        <v>0.08</v>
      </c>
    </row>
    <row r="368" spans="1:17" x14ac:dyDescent="0.2">
      <c r="A368">
        <v>721</v>
      </c>
      <c r="B368">
        <v>46</v>
      </c>
      <c r="C368" t="s">
        <v>720</v>
      </c>
      <c r="D368" s="13" t="s">
        <v>912</v>
      </c>
      <c r="E368" s="1">
        <v>-1.1799816007983699</v>
      </c>
      <c r="F368" s="1">
        <v>1.6957803468536901</v>
      </c>
      <c r="G368">
        <f>VLOOKUP(C368,'[1]phenotypes-895'!$A$2:$G$896,7,FALSE)</f>
        <v>74</v>
      </c>
      <c r="H368" s="1">
        <v>2.77396370747259E-2</v>
      </c>
      <c r="I368" s="1">
        <f>VLOOKUP(C368,'[1]phenotypes-895'!$A$2:$I$896,9,FALSE)</f>
        <v>0.49903874024727202</v>
      </c>
      <c r="J368" s="1"/>
      <c r="K368" s="4">
        <v>4.3976831883577416</v>
      </c>
      <c r="L368" s="1"/>
      <c r="M368" s="8">
        <v>1</v>
      </c>
      <c r="N368" s="1"/>
      <c r="O368">
        <v>0.51900000000000002</v>
      </c>
      <c r="P368" s="1"/>
      <c r="Q368" s="2">
        <v>-0.22</v>
      </c>
    </row>
    <row r="369" spans="1:17" x14ac:dyDescent="0.2">
      <c r="A369">
        <v>271</v>
      </c>
      <c r="B369">
        <v>32</v>
      </c>
      <c r="C369" t="s">
        <v>270</v>
      </c>
      <c r="D369" s="13" t="s">
        <v>913</v>
      </c>
      <c r="E369" s="1">
        <v>2.3001595614584498</v>
      </c>
      <c r="F369" s="1">
        <v>1.67350429070381</v>
      </c>
      <c r="G369">
        <f>VLOOKUP(C369,'[1]phenotypes-895'!$A$2:$G$896,7,FALSE)</f>
        <v>98</v>
      </c>
      <c r="H369" s="1">
        <v>-1.41606661163037E-2</v>
      </c>
      <c r="I369" s="1">
        <f>VLOOKUP(C369,'[1]phenotypes-895'!$A$2:$I$896,9,FALSE)</f>
        <v>0</v>
      </c>
      <c r="J369" s="1"/>
      <c r="K369" s="4">
        <v>0</v>
      </c>
      <c r="L369" s="1"/>
      <c r="M369" s="8">
        <v>0</v>
      </c>
      <c r="N369" s="1"/>
      <c r="O369">
        <v>0.91500000000000004</v>
      </c>
      <c r="P369" s="1"/>
      <c r="Q369" s="2">
        <v>-0.03</v>
      </c>
    </row>
    <row r="370" spans="1:17" x14ac:dyDescent="0.2">
      <c r="A370">
        <v>770</v>
      </c>
      <c r="B370">
        <v>50</v>
      </c>
      <c r="C370" t="s">
        <v>769</v>
      </c>
      <c r="D370" s="13" t="s">
        <v>912</v>
      </c>
      <c r="E370" s="1">
        <v>4.9258807977246702E-2</v>
      </c>
      <c r="F370" s="1">
        <v>1.65506961471992</v>
      </c>
      <c r="G370">
        <f>VLOOKUP(C370,'[1]phenotypes-895'!$A$2:$G$896,7,FALSE)</f>
        <v>45</v>
      </c>
      <c r="H370" s="1">
        <v>-8.6806268400071007E-3</v>
      </c>
      <c r="I370" s="1">
        <f>VLOOKUP(C370,'[1]phenotypes-895'!$A$2:$I$896,9,FALSE)</f>
        <v>0.82802335927858273</v>
      </c>
      <c r="J370" s="1"/>
      <c r="K370" s="4">
        <v>5.0533500931418498</v>
      </c>
      <c r="L370" s="1"/>
      <c r="M370" s="8">
        <v>1</v>
      </c>
      <c r="N370" s="1"/>
      <c r="O370">
        <v>0.56499999999999995</v>
      </c>
      <c r="P370" s="1"/>
      <c r="Q370" s="2">
        <v>-0.19</v>
      </c>
    </row>
    <row r="371" spans="1:17" x14ac:dyDescent="0.2">
      <c r="A371">
        <v>472</v>
      </c>
      <c r="B371">
        <v>46</v>
      </c>
      <c r="C371" t="s">
        <v>471</v>
      </c>
      <c r="D371" s="13" t="s">
        <v>912</v>
      </c>
      <c r="E371" s="1">
        <v>9.6234316238574896E-2</v>
      </c>
      <c r="F371" s="1">
        <v>1.6493871153175701</v>
      </c>
      <c r="G371">
        <f>VLOOKUP(C371,'[1]phenotypes-895'!$A$2:$G$896,7,FALSE)</f>
        <v>98</v>
      </c>
      <c r="H371" s="1">
        <v>6.2254900143821398E-3</v>
      </c>
      <c r="I371" s="1">
        <f>VLOOKUP(C371,'[1]phenotypes-895'!$A$2:$I$896,9,FALSE)</f>
        <v>0</v>
      </c>
      <c r="J371" s="1"/>
      <c r="K371" s="4">
        <v>0</v>
      </c>
      <c r="L371" s="1"/>
      <c r="M371" s="8">
        <v>0</v>
      </c>
      <c r="N371" s="1"/>
      <c r="O371">
        <v>0.76300000000000001</v>
      </c>
      <c r="P371" s="1"/>
      <c r="Q371" s="2">
        <v>-0.09</v>
      </c>
    </row>
    <row r="372" spans="1:17" x14ac:dyDescent="0.2">
      <c r="A372">
        <v>350</v>
      </c>
      <c r="B372">
        <v>39</v>
      </c>
      <c r="C372" t="s">
        <v>349</v>
      </c>
      <c r="D372" s="13" t="s">
        <v>913</v>
      </c>
      <c r="E372" s="1">
        <v>2.1794292722834299</v>
      </c>
      <c r="F372" s="1">
        <v>1.6446982557666501</v>
      </c>
      <c r="G372">
        <f>VLOOKUP(C372,'[1]phenotypes-895'!$A$2:$G$896,7,FALSE)</f>
        <v>67</v>
      </c>
      <c r="H372" s="1">
        <v>-2.7175810653437101E-2</v>
      </c>
      <c r="I372" s="1">
        <f>VLOOKUP(C372,'[1]phenotypes-895'!$A$2:$I$896,9,FALSE)</f>
        <v>0.44689365797959357</v>
      </c>
      <c r="J372" s="1"/>
      <c r="K372" s="4">
        <v>4.3689120825829102</v>
      </c>
      <c r="L372" s="1"/>
      <c r="M372" s="8">
        <v>1</v>
      </c>
      <c r="N372" s="1"/>
      <c r="O372">
        <v>1.1579999999999999</v>
      </c>
      <c r="P372" s="1"/>
      <c r="Q372" s="2">
        <v>0.05</v>
      </c>
    </row>
    <row r="373" spans="1:17" x14ac:dyDescent="0.2">
      <c r="A373">
        <v>372</v>
      </c>
      <c r="B373">
        <v>48</v>
      </c>
      <c r="C373" t="s">
        <v>371</v>
      </c>
      <c r="D373" s="13" t="s">
        <v>912</v>
      </c>
      <c r="E373" s="1">
        <v>0.25546280204059901</v>
      </c>
      <c r="F373" s="1">
        <v>1.6325813185106299</v>
      </c>
      <c r="G373">
        <f>VLOOKUP(C373,'[1]phenotypes-895'!$A$2:$G$896,7,FALSE)</f>
        <v>74</v>
      </c>
      <c r="H373" s="1">
        <v>-1.6816540027356199E-2</v>
      </c>
      <c r="I373" s="1">
        <f>VLOOKUP(C373,'[1]phenotypes-895'!$A$2:$I$896,9,FALSE)</f>
        <v>0.27668230419449352</v>
      </c>
      <c r="J373" s="1"/>
      <c r="K373" s="4">
        <v>3.8536451233796924</v>
      </c>
      <c r="L373" s="1"/>
      <c r="M373" s="8">
        <v>1</v>
      </c>
      <c r="N373" s="1"/>
      <c r="O373">
        <v>0.77500000000000002</v>
      </c>
      <c r="P373" s="1"/>
      <c r="Q373" s="2">
        <v>-0.08</v>
      </c>
    </row>
    <row r="374" spans="1:17" x14ac:dyDescent="0.2">
      <c r="A374">
        <v>546</v>
      </c>
      <c r="B374">
        <v>54</v>
      </c>
      <c r="C374" t="s">
        <v>545</v>
      </c>
      <c r="D374" s="13" t="s">
        <v>912</v>
      </c>
      <c r="E374" s="1">
        <v>-0.36465949357743699</v>
      </c>
      <c r="F374" s="1">
        <v>1.6259243303495701</v>
      </c>
      <c r="G374">
        <f>VLOOKUP(C374,'[1]phenotypes-895'!$A$2:$G$896,7,FALSE)</f>
        <v>98</v>
      </c>
      <c r="H374" s="1">
        <v>-2.4136797378024301E-2</v>
      </c>
      <c r="I374" s="1">
        <f>VLOOKUP(C374,'[1]phenotypes-895'!$A$2:$I$896,9,FALSE)</f>
        <v>0</v>
      </c>
      <c r="J374" s="1"/>
      <c r="K374" s="4">
        <v>0</v>
      </c>
      <c r="L374" s="1"/>
      <c r="M374" s="8">
        <v>0</v>
      </c>
      <c r="N374" s="1"/>
      <c r="O374">
        <v>0.59799999999999998</v>
      </c>
      <c r="P374" s="1"/>
      <c r="Q374" s="2">
        <v>-0.17</v>
      </c>
    </row>
    <row r="375" spans="1:17" x14ac:dyDescent="0.2">
      <c r="A375">
        <v>715</v>
      </c>
      <c r="B375">
        <v>31</v>
      </c>
      <c r="C375" t="s">
        <v>714</v>
      </c>
      <c r="D375" s="13" t="s">
        <v>913</v>
      </c>
      <c r="E375" s="1">
        <v>2.0944137407697898</v>
      </c>
      <c r="F375" s="1">
        <v>1.61555220230829</v>
      </c>
      <c r="G375">
        <f>VLOOKUP(C375,'[1]phenotypes-895'!$A$2:$G$896,7,FALSE)</f>
        <v>98</v>
      </c>
      <c r="H375" s="1">
        <v>-4.0884391572696903E-2</v>
      </c>
      <c r="I375" s="1">
        <f>VLOOKUP(C375,'[1]phenotypes-895'!$A$2:$I$896,9,FALSE)</f>
        <v>0</v>
      </c>
      <c r="J375" s="1"/>
      <c r="K375" s="4">
        <v>0</v>
      </c>
      <c r="L375" s="1"/>
      <c r="M375" s="8">
        <v>0</v>
      </c>
      <c r="N375" s="1"/>
      <c r="O375">
        <v>1.2190000000000001</v>
      </c>
      <c r="P375" s="1"/>
      <c r="Q375" s="2">
        <v>0.06</v>
      </c>
    </row>
    <row r="376" spans="1:17" x14ac:dyDescent="0.2">
      <c r="A376">
        <v>495</v>
      </c>
      <c r="B376">
        <v>50</v>
      </c>
      <c r="C376" t="s">
        <v>494</v>
      </c>
      <c r="D376" s="13" t="s">
        <v>912</v>
      </c>
      <c r="E376" s="1">
        <v>2.8340845972953601</v>
      </c>
      <c r="F376" s="1">
        <v>1.6051601945359699</v>
      </c>
      <c r="G376">
        <f>VLOOKUP(C376,'[1]phenotypes-895'!$A$2:$G$896,7,FALSE)</f>
        <v>57</v>
      </c>
      <c r="H376" s="1">
        <v>-3.1467871102329403E-2</v>
      </c>
      <c r="I376" s="1">
        <f>VLOOKUP(C376,'[1]phenotypes-895'!$A$2:$I$896,9,FALSE)</f>
        <v>0.54346705526806416</v>
      </c>
      <c r="J376" s="1"/>
      <c r="K376" s="4">
        <v>4.7415524626395733</v>
      </c>
      <c r="L376" s="1"/>
      <c r="M376" s="8">
        <v>1</v>
      </c>
      <c r="N376" s="1"/>
      <c r="O376">
        <v>0.6</v>
      </c>
      <c r="P376" s="1"/>
      <c r="Q376" s="2">
        <v>-0.17</v>
      </c>
    </row>
    <row r="377" spans="1:17" x14ac:dyDescent="0.2">
      <c r="A377">
        <v>857</v>
      </c>
      <c r="B377">
        <v>35</v>
      </c>
      <c r="C377" t="s">
        <v>856</v>
      </c>
      <c r="D377" s="13" t="s">
        <v>913</v>
      </c>
      <c r="E377" s="1">
        <v>1.3880729000930301</v>
      </c>
      <c r="F377" s="1">
        <v>1.5542678858160699</v>
      </c>
      <c r="G377">
        <f>VLOOKUP(C377,'[1]phenotypes-895'!$A$2:$G$896,7,FALSE)</f>
        <v>71</v>
      </c>
      <c r="H377" s="1">
        <v>1.54842317949249E-2</v>
      </c>
      <c r="I377" s="1">
        <f>VLOOKUP(C377,'[1]phenotypes-895'!$A$2:$I$896,9,FALSE)</f>
        <v>0.67749181114840129</v>
      </c>
      <c r="J377" s="1"/>
      <c r="K377" s="4">
        <v>4.7433272277992531</v>
      </c>
      <c r="L377" s="1"/>
      <c r="M377" s="8">
        <v>1</v>
      </c>
      <c r="N377" s="1"/>
      <c r="O377">
        <v>1.1020000000000001</v>
      </c>
      <c r="P377" s="1"/>
      <c r="Q377" s="2">
        <v>0.03</v>
      </c>
    </row>
    <row r="378" spans="1:17" x14ac:dyDescent="0.2">
      <c r="A378">
        <v>72</v>
      </c>
      <c r="B378">
        <v>33</v>
      </c>
      <c r="C378" t="s">
        <v>71</v>
      </c>
      <c r="D378" s="13" t="s">
        <v>913</v>
      </c>
      <c r="E378" s="1">
        <v>1.16798754634839</v>
      </c>
      <c r="F378" s="1">
        <v>1.5379828438913601</v>
      </c>
      <c r="G378">
        <f>VLOOKUP(C378,'[1]phenotypes-895'!$A$2:$G$896,7,FALSE)</f>
        <v>86</v>
      </c>
      <c r="H378" s="1">
        <v>-6.6987037893919002E-3</v>
      </c>
      <c r="I378" s="1">
        <f>VLOOKUP(C378,'[1]phenotypes-895'!$A$2:$I$896,9,FALSE)</f>
        <v>0.32520772064081138</v>
      </c>
      <c r="J378" s="1"/>
      <c r="K378" s="4">
        <v>3.9879602571376656</v>
      </c>
      <c r="L378" s="1"/>
      <c r="M378" s="8">
        <v>1</v>
      </c>
      <c r="N378" s="1"/>
      <c r="O378">
        <v>0.93799999999999994</v>
      </c>
      <c r="P378" s="1"/>
      <c r="Q378" s="2">
        <v>-0.02</v>
      </c>
    </row>
    <row r="379" spans="1:17" x14ac:dyDescent="0.2">
      <c r="A379">
        <v>624</v>
      </c>
      <c r="B379">
        <v>27</v>
      </c>
      <c r="C379" t="s">
        <v>623</v>
      </c>
      <c r="D379" s="13" t="s">
        <v>913</v>
      </c>
      <c r="E379" s="1">
        <v>3.3770014391737</v>
      </c>
      <c r="F379" s="1">
        <v>1.53179503584347</v>
      </c>
      <c r="G379">
        <f>VLOOKUP(C379,'[1]phenotypes-895'!$A$2:$G$896,7,FALSE)</f>
        <v>58</v>
      </c>
      <c r="H379" s="1">
        <v>-4.5837664014607697E-2</v>
      </c>
      <c r="I379" s="1">
        <f>VLOOKUP(C379,'[1]phenotypes-895'!$A$2:$I$896,9,FALSE)</f>
        <v>0.5258891097208287</v>
      </c>
      <c r="J379" s="1"/>
      <c r="K379" s="4">
        <v>3.931464190158751</v>
      </c>
      <c r="L379" s="1"/>
      <c r="M379" s="8">
        <v>1</v>
      </c>
      <c r="N379" s="1"/>
      <c r="O379">
        <v>1.153</v>
      </c>
      <c r="P379" s="1"/>
      <c r="Q379" s="2">
        <v>0.04</v>
      </c>
    </row>
    <row r="380" spans="1:17" x14ac:dyDescent="0.2">
      <c r="A380">
        <v>871</v>
      </c>
      <c r="B380">
        <v>21</v>
      </c>
      <c r="C380" t="s">
        <v>870</v>
      </c>
      <c r="D380" s="13" t="s">
        <v>913</v>
      </c>
      <c r="E380" s="1">
        <v>2.4943151837788</v>
      </c>
      <c r="F380" s="1">
        <v>1.5266405928268401</v>
      </c>
      <c r="G380">
        <f>VLOOKUP(C380,'[1]phenotypes-895'!$A$2:$G$896,7,FALSE)</f>
        <v>98</v>
      </c>
      <c r="H380" s="1">
        <v>-3.6709848916729397E-2</v>
      </c>
      <c r="I380" s="1">
        <f>VLOOKUP(C380,'[1]phenotypes-895'!$A$2:$I$896,9,FALSE)</f>
        <v>0</v>
      </c>
      <c r="J380" s="1"/>
      <c r="K380" s="4">
        <v>0</v>
      </c>
      <c r="L380" s="1"/>
      <c r="M380" s="8">
        <v>0</v>
      </c>
      <c r="N380" s="1"/>
      <c r="O380">
        <v>1.1599999999999999</v>
      </c>
      <c r="P380" s="1"/>
      <c r="Q380" s="2">
        <v>0.05</v>
      </c>
    </row>
    <row r="381" spans="1:17" x14ac:dyDescent="0.2">
      <c r="A381">
        <v>442</v>
      </c>
      <c r="B381">
        <v>50</v>
      </c>
      <c r="C381" t="s">
        <v>441</v>
      </c>
      <c r="D381" s="13" t="s">
        <v>912</v>
      </c>
      <c r="E381" s="1">
        <v>2.8938812366159001</v>
      </c>
      <c r="F381" s="1">
        <v>1.52598856745833</v>
      </c>
      <c r="G381">
        <f>VLOOKUP(C381,'[1]phenotypes-895'!$A$2:$G$896,7,FALSE)</f>
        <v>98</v>
      </c>
      <c r="H381" s="1">
        <v>-5.1445075964258201E-2</v>
      </c>
      <c r="I381" s="1">
        <f>VLOOKUP(C381,'[1]phenotypes-895'!$A$2:$I$896,9,FALSE)</f>
        <v>0</v>
      </c>
      <c r="J381" s="1"/>
      <c r="K381" s="4">
        <v>0</v>
      </c>
      <c r="L381" s="1"/>
      <c r="M381" s="8">
        <v>0</v>
      </c>
      <c r="N381" s="1"/>
      <c r="O381">
        <v>0.73499999999999999</v>
      </c>
      <c r="P381" s="1"/>
      <c r="Q381" s="2">
        <v>-0.1</v>
      </c>
    </row>
    <row r="382" spans="1:17" x14ac:dyDescent="0.2">
      <c r="A382">
        <v>3</v>
      </c>
      <c r="B382">
        <v>8</v>
      </c>
      <c r="C382" t="s">
        <v>2</v>
      </c>
      <c r="D382" s="12" t="s">
        <v>913</v>
      </c>
      <c r="E382" s="1">
        <v>3.55930469516194</v>
      </c>
      <c r="F382" s="1">
        <v>1.5252055550029799</v>
      </c>
      <c r="G382">
        <f>VLOOKUP(C382,'[1]phenotypes-895'!$A$2:$G$896,7,FALSE)</f>
        <v>76</v>
      </c>
      <c r="H382" s="1">
        <v>-2.21877443697698E-2</v>
      </c>
      <c r="I382" s="1">
        <f>VLOOKUP(C382,'[1]phenotypes-895'!$A$2:$I$896,9,FALSE)</f>
        <v>0.47861021552976762</v>
      </c>
      <c r="J382" s="1"/>
      <c r="K382" s="4">
        <v>4.4880074935552248</v>
      </c>
      <c r="L382" s="1"/>
      <c r="M382" s="8">
        <v>1</v>
      </c>
      <c r="N382" s="1"/>
      <c r="O382" s="6">
        <v>0.89900000000000002</v>
      </c>
      <c r="P382" s="1"/>
      <c r="Q382" s="7">
        <v>-0.03</v>
      </c>
    </row>
    <row r="383" spans="1:17" x14ac:dyDescent="0.2">
      <c r="A383">
        <v>89</v>
      </c>
      <c r="B383">
        <v>9</v>
      </c>
      <c r="C383" t="s">
        <v>88</v>
      </c>
      <c r="D383" s="12" t="s">
        <v>912</v>
      </c>
      <c r="E383" s="1">
        <v>0.65531281597472701</v>
      </c>
      <c r="F383" s="1">
        <v>1.5179874474486299</v>
      </c>
      <c r="G383">
        <f>VLOOKUP(C383,'[1]phenotypes-895'!$A$2:$G$896,7,FALSE)</f>
        <v>98</v>
      </c>
      <c r="H383" s="1">
        <v>-3.0991873112914101E-2</v>
      </c>
      <c r="I383" s="1">
        <f>VLOOKUP(C383,'[1]phenotypes-895'!$A$2:$I$896,9,FALSE)</f>
        <v>0</v>
      </c>
      <c r="J383" s="1"/>
      <c r="K383" s="4">
        <v>0</v>
      </c>
      <c r="L383" s="1"/>
      <c r="M383" s="8">
        <v>0</v>
      </c>
      <c r="N383" s="1"/>
      <c r="O383" s="6">
        <v>0.79200000000000004</v>
      </c>
      <c r="P383" s="1"/>
      <c r="Q383" s="7">
        <v>-0.08</v>
      </c>
    </row>
    <row r="384" spans="1:17" x14ac:dyDescent="0.2">
      <c r="A384">
        <v>542</v>
      </c>
      <c r="B384">
        <v>53</v>
      </c>
      <c r="C384" t="s">
        <v>541</v>
      </c>
      <c r="D384" s="13" t="s">
        <v>912</v>
      </c>
      <c r="E384" s="1">
        <v>0.19284501086317701</v>
      </c>
      <c r="F384" s="1">
        <v>1.5162455803757799</v>
      </c>
      <c r="G384">
        <f>VLOOKUP(C384,'[1]phenotypes-895'!$A$2:$G$896,7,FALSE)</f>
        <v>70</v>
      </c>
      <c r="H384" s="1">
        <v>5.4974633203854597E-3</v>
      </c>
      <c r="I384" s="1">
        <f>VLOOKUP(C384,'[1]phenotypes-895'!$A$2:$I$896,9,FALSE)</f>
        <v>0.42606773001157328</v>
      </c>
      <c r="J384" s="1"/>
      <c r="K384" s="4">
        <v>4.7296743485578991</v>
      </c>
      <c r="L384" s="1"/>
      <c r="M384" s="8">
        <v>1</v>
      </c>
      <c r="N384" s="1"/>
      <c r="O384">
        <v>0.50600000000000001</v>
      </c>
      <c r="P384" s="1"/>
      <c r="Q384" s="2">
        <v>-0.23</v>
      </c>
    </row>
    <row r="385" spans="1:17" x14ac:dyDescent="0.2">
      <c r="A385">
        <v>539</v>
      </c>
      <c r="B385">
        <v>49</v>
      </c>
      <c r="C385" t="s">
        <v>538</v>
      </c>
      <c r="D385" s="13" t="s">
        <v>912</v>
      </c>
      <c r="E385" s="1">
        <v>-0.66127970457393703</v>
      </c>
      <c r="F385" s="1">
        <v>1.51340943431523</v>
      </c>
      <c r="G385">
        <f>VLOOKUP(C385,'[1]phenotypes-895'!$A$2:$G$896,7,FALSE)</f>
        <v>56</v>
      </c>
      <c r="H385" s="1">
        <v>1.99039089326449E-3</v>
      </c>
      <c r="I385" s="1">
        <f>VLOOKUP(C385,'[1]phenotypes-895'!$A$2:$I$896,9,FALSE)</f>
        <v>0.53939802144809701</v>
      </c>
      <c r="J385" s="1"/>
      <c r="K385" s="4">
        <v>4.0815971169029606</v>
      </c>
      <c r="L385" s="1"/>
      <c r="M385" s="8">
        <v>1</v>
      </c>
      <c r="N385" s="1"/>
      <c r="O385">
        <v>0.73399999999999999</v>
      </c>
      <c r="P385" s="1"/>
      <c r="Q385" s="2">
        <v>-0.1</v>
      </c>
    </row>
    <row r="386" spans="1:17" x14ac:dyDescent="0.2">
      <c r="A386">
        <v>410</v>
      </c>
      <c r="B386">
        <v>50</v>
      </c>
      <c r="C386" t="s">
        <v>409</v>
      </c>
      <c r="D386" s="13" t="s">
        <v>912</v>
      </c>
      <c r="E386" s="1">
        <v>1.63908336795512</v>
      </c>
      <c r="F386" s="1">
        <v>1.5111961110934899</v>
      </c>
      <c r="G386">
        <f>VLOOKUP(C386,'[1]phenotypes-895'!$A$2:$G$896,7,FALSE)</f>
        <v>54</v>
      </c>
      <c r="H386" s="1">
        <v>1.9989252917887198E-3</v>
      </c>
      <c r="I386" s="1">
        <f>VLOOKUP(C386,'[1]phenotypes-895'!$A$2:$I$896,9,FALSE)</f>
        <v>0.63237694319242466</v>
      </c>
      <c r="J386" s="1"/>
      <c r="K386" s="4">
        <v>4.0481406667597479</v>
      </c>
      <c r="L386" s="1"/>
      <c r="M386" s="8">
        <v>1</v>
      </c>
      <c r="N386" s="1"/>
      <c r="O386">
        <v>0.57499999999999996</v>
      </c>
      <c r="P386" s="1"/>
      <c r="Q386" s="2">
        <v>-0.18</v>
      </c>
    </row>
    <row r="387" spans="1:17" x14ac:dyDescent="0.2">
      <c r="A387">
        <v>686</v>
      </c>
      <c r="B387">
        <v>35</v>
      </c>
      <c r="C387" t="s">
        <v>685</v>
      </c>
      <c r="D387" s="13" t="s">
        <v>913</v>
      </c>
      <c r="E387" s="1">
        <v>0.85474298791719705</v>
      </c>
      <c r="F387" s="1">
        <v>1.49412581218142</v>
      </c>
      <c r="G387">
        <f>VLOOKUP(C387,'[1]phenotypes-895'!$A$2:$G$896,7,FALSE)</f>
        <v>92</v>
      </c>
      <c r="H387" s="1">
        <v>3.8392845304180698E-3</v>
      </c>
      <c r="I387" s="1">
        <f>VLOOKUP(C387,'[1]phenotypes-895'!$A$2:$I$896,9,FALSE)</f>
        <v>0.46320366272649099</v>
      </c>
      <c r="J387" s="1"/>
      <c r="K387" s="4">
        <v>4.1270604685193915</v>
      </c>
      <c r="L387" s="1"/>
      <c r="M387" s="8">
        <v>1</v>
      </c>
      <c r="N387" s="1"/>
      <c r="O387">
        <v>0.93</v>
      </c>
      <c r="P387" s="1"/>
      <c r="Q387" s="2">
        <v>-0.02</v>
      </c>
    </row>
    <row r="388" spans="1:17" x14ac:dyDescent="0.2">
      <c r="A388">
        <v>819</v>
      </c>
      <c r="B388">
        <v>42</v>
      </c>
      <c r="C388" t="s">
        <v>818</v>
      </c>
      <c r="D388" s="13" t="s">
        <v>912</v>
      </c>
      <c r="E388" s="1">
        <v>-0.64407193844196398</v>
      </c>
      <c r="F388" s="1">
        <v>1.48844544047342</v>
      </c>
      <c r="G388">
        <f>VLOOKUP(C388,'[1]phenotypes-895'!$A$2:$G$896,7,FALSE)</f>
        <v>76</v>
      </c>
      <c r="H388" s="1">
        <v>5.9162331951249002E-2</v>
      </c>
      <c r="I388" s="1">
        <f>VLOOKUP(C388,'[1]phenotypes-895'!$A$2:$I$896,9,FALSE)</f>
        <v>0.57225719929639229</v>
      </c>
      <c r="J388" s="1"/>
      <c r="K388" s="4">
        <v>4.1772216003078197</v>
      </c>
      <c r="L388" s="1"/>
      <c r="M388" s="8">
        <v>1</v>
      </c>
      <c r="N388" s="1"/>
      <c r="O388">
        <v>0.67400000000000004</v>
      </c>
      <c r="P388" s="1"/>
      <c r="Q388" s="2">
        <v>-0.13</v>
      </c>
    </row>
    <row r="389" spans="1:17" x14ac:dyDescent="0.2">
      <c r="A389">
        <v>884</v>
      </c>
      <c r="B389">
        <v>31</v>
      </c>
      <c r="C389" t="s">
        <v>883</v>
      </c>
      <c r="D389" s="13" t="s">
        <v>913</v>
      </c>
      <c r="E389" s="1">
        <v>7.3086512144341406E-2</v>
      </c>
      <c r="F389" s="1">
        <v>1.4862981020582799</v>
      </c>
      <c r="G389">
        <f>VLOOKUP(C389,'[1]phenotypes-895'!$A$2:$G$896,7,FALSE)</f>
        <v>63</v>
      </c>
      <c r="H389" s="1">
        <v>4.1548052594475799E-3</v>
      </c>
      <c r="I389" s="1">
        <f>VLOOKUP(C389,'[1]phenotypes-895'!$A$2:$I$896,9,FALSE)</f>
        <v>0.3882451792409628</v>
      </c>
      <c r="J389" s="1"/>
      <c r="K389" s="4">
        <v>3.965752245592927</v>
      </c>
      <c r="L389" s="1"/>
      <c r="M389" s="8">
        <v>1</v>
      </c>
      <c r="N389" s="1"/>
      <c r="O389">
        <v>0.98699999999999999</v>
      </c>
      <c r="P389" s="1"/>
      <c r="Q389" s="2">
        <v>0</v>
      </c>
    </row>
    <row r="390" spans="1:17" x14ac:dyDescent="0.2">
      <c r="A390">
        <v>706</v>
      </c>
      <c r="B390">
        <v>31</v>
      </c>
      <c r="C390" t="s">
        <v>705</v>
      </c>
      <c r="D390" s="13" t="s">
        <v>913</v>
      </c>
      <c r="E390" s="1">
        <v>2.49329431370845</v>
      </c>
      <c r="F390" s="1">
        <v>1.4683584020390199</v>
      </c>
      <c r="G390">
        <f>VLOOKUP(C390,'[1]phenotypes-895'!$A$2:$G$896,7,FALSE)</f>
        <v>74</v>
      </c>
      <c r="H390" s="1">
        <v>-1.8026919539651499E-2</v>
      </c>
      <c r="I390" s="1">
        <f>VLOOKUP(C390,'[1]phenotypes-895'!$A$2:$I$896,9,FALSE)</f>
        <v>0.35613659966840411</v>
      </c>
      <c r="J390" s="1"/>
      <c r="K390" s="4">
        <v>4.1932582191690555</v>
      </c>
      <c r="L390" s="1"/>
      <c r="M390" s="8">
        <v>1</v>
      </c>
      <c r="N390" s="1"/>
      <c r="O390">
        <v>0.94499999999999995</v>
      </c>
      <c r="P390" s="1"/>
      <c r="Q390" s="2">
        <v>-0.02</v>
      </c>
    </row>
    <row r="391" spans="1:17" x14ac:dyDescent="0.2">
      <c r="A391">
        <v>478</v>
      </c>
      <c r="B391">
        <v>42</v>
      </c>
      <c r="C391" t="s">
        <v>477</v>
      </c>
      <c r="D391" s="13" t="s">
        <v>912</v>
      </c>
      <c r="E391" s="1">
        <v>1.61334542322887</v>
      </c>
      <c r="F391" s="1">
        <v>1.45580894534311</v>
      </c>
      <c r="G391">
        <f>VLOOKUP(C391,'[1]phenotypes-895'!$A$2:$G$896,7,FALSE)</f>
        <v>66</v>
      </c>
      <c r="H391" s="1">
        <v>-1.9756191236659899E-2</v>
      </c>
      <c r="I391" s="1">
        <f>VLOOKUP(C391,'[1]phenotypes-895'!$A$2:$I$896,9,FALSE)</f>
        <v>0.49838214966526018</v>
      </c>
      <c r="J391" s="1"/>
      <c r="K391" s="4">
        <v>4.3619310101986546</v>
      </c>
      <c r="L391" s="1"/>
      <c r="M391" s="8">
        <v>1</v>
      </c>
      <c r="N391" s="1"/>
      <c r="O391">
        <v>0.69099999999999995</v>
      </c>
      <c r="P391" s="1"/>
      <c r="Q391" s="2">
        <v>-0.12</v>
      </c>
    </row>
    <row r="392" spans="1:17" x14ac:dyDescent="0.2">
      <c r="A392">
        <v>617</v>
      </c>
      <c r="B392">
        <v>21</v>
      </c>
      <c r="C392" t="s">
        <v>616</v>
      </c>
      <c r="D392" s="13" t="s">
        <v>913</v>
      </c>
      <c r="E392" s="1">
        <v>2.5933679751580998</v>
      </c>
      <c r="F392" s="1">
        <v>1.4547823522238501</v>
      </c>
      <c r="G392">
        <f>VLOOKUP(C392,'[1]phenotypes-895'!$A$2:$G$896,7,FALSE)</f>
        <v>98</v>
      </c>
      <c r="H392" s="1">
        <v>-5.0331536206491202E-2</v>
      </c>
      <c r="I392" s="1">
        <f>VLOOKUP(C392,'[1]phenotypes-895'!$A$2:$I$896,9,FALSE)</f>
        <v>0</v>
      </c>
      <c r="J392" s="1"/>
      <c r="K392" s="4">
        <v>0</v>
      </c>
      <c r="L392" s="1"/>
      <c r="M392" s="8">
        <v>0</v>
      </c>
      <c r="N392" s="1"/>
      <c r="O392">
        <v>1.2490000000000001</v>
      </c>
      <c r="P392" s="1"/>
      <c r="Q392" s="2">
        <v>7.0000000000000007E-2</v>
      </c>
    </row>
    <row r="393" spans="1:17" x14ac:dyDescent="0.2">
      <c r="A393">
        <v>178</v>
      </c>
      <c r="B393">
        <v>18</v>
      </c>
      <c r="C393" t="s">
        <v>177</v>
      </c>
      <c r="D393" s="12" t="s">
        <v>912</v>
      </c>
      <c r="E393" s="1">
        <v>0.662974687279553</v>
      </c>
      <c r="F393" s="1">
        <v>1.44990664276059</v>
      </c>
      <c r="G393">
        <f>VLOOKUP(C393,'[1]phenotypes-895'!$A$2:$G$896,7,FALSE)</f>
        <v>63</v>
      </c>
      <c r="H393" s="1">
        <v>2.1624607289900299E-2</v>
      </c>
      <c r="I393" s="1">
        <f>VLOOKUP(C393,'[1]phenotypes-895'!$A$2:$I$896,9,FALSE)</f>
        <v>0.82242629895435904</v>
      </c>
      <c r="J393" s="1"/>
      <c r="K393" s="4">
        <v>4.6607788880018175</v>
      </c>
      <c r="L393" s="1"/>
      <c r="M393" s="8">
        <v>1</v>
      </c>
      <c r="N393" s="1"/>
      <c r="O393" s="6">
        <v>1.137</v>
      </c>
      <c r="P393" s="1"/>
      <c r="Q393" s="7">
        <v>0.04</v>
      </c>
    </row>
    <row r="394" spans="1:17" x14ac:dyDescent="0.2">
      <c r="A394">
        <v>553</v>
      </c>
      <c r="B394">
        <v>25</v>
      </c>
      <c r="C394" t="s">
        <v>552</v>
      </c>
      <c r="D394" s="13" t="s">
        <v>913</v>
      </c>
      <c r="E394" s="1">
        <v>0.31762818209747601</v>
      </c>
      <c r="F394" s="1">
        <v>1.44648920431384</v>
      </c>
      <c r="G394">
        <f>VLOOKUP(C394,'[1]phenotypes-895'!$A$2:$G$896,7,FALSE)</f>
        <v>98</v>
      </c>
      <c r="H394" s="1">
        <v>-2.7356102942108902E-2</v>
      </c>
      <c r="I394" s="1">
        <f>VLOOKUP(C394,'[1]phenotypes-895'!$A$2:$I$896,9,FALSE)</f>
        <v>0</v>
      </c>
      <c r="J394" s="1"/>
      <c r="K394" s="4">
        <v>0</v>
      </c>
      <c r="L394" s="1"/>
      <c r="M394" s="8">
        <v>0</v>
      </c>
      <c r="N394" s="1"/>
      <c r="O394">
        <v>1.202</v>
      </c>
      <c r="P394" s="1"/>
      <c r="Q394" s="2">
        <v>0.06</v>
      </c>
    </row>
    <row r="395" spans="1:17" x14ac:dyDescent="0.2">
      <c r="A395">
        <v>300</v>
      </c>
      <c r="B395">
        <v>50</v>
      </c>
      <c r="C395" t="s">
        <v>299</v>
      </c>
      <c r="D395" s="13" t="s">
        <v>912</v>
      </c>
      <c r="E395" s="1">
        <v>-1.3873925468280199</v>
      </c>
      <c r="F395" s="1">
        <v>1.4462524361912601</v>
      </c>
      <c r="G395">
        <f>VLOOKUP(C395,'[1]phenotypes-895'!$A$2:$G$896,7,FALSE)</f>
        <v>59</v>
      </c>
      <c r="H395" s="1">
        <v>5.7871105211251203E-3</v>
      </c>
      <c r="I395" s="1">
        <f>VLOOKUP(C395,'[1]phenotypes-895'!$A$2:$I$896,9,FALSE)</f>
        <v>0.71260350728704991</v>
      </c>
      <c r="J395" s="1"/>
      <c r="K395" s="4">
        <v>4.5391873277746297</v>
      </c>
      <c r="L395" s="1"/>
      <c r="M395" s="8">
        <v>1</v>
      </c>
      <c r="N395" s="1"/>
      <c r="O395">
        <v>0.59</v>
      </c>
      <c r="P395" s="1"/>
      <c r="Q395" s="2">
        <v>-0.18</v>
      </c>
    </row>
    <row r="396" spans="1:17" x14ac:dyDescent="0.2">
      <c r="A396">
        <v>367</v>
      </c>
      <c r="B396">
        <v>44</v>
      </c>
      <c r="C396" t="s">
        <v>366</v>
      </c>
      <c r="D396" s="13" t="s">
        <v>912</v>
      </c>
      <c r="E396" s="1">
        <v>1.5225822673067899</v>
      </c>
      <c r="F396" s="1">
        <v>1.4336802091630201</v>
      </c>
      <c r="G396">
        <f>VLOOKUP(C396,'[1]phenotypes-895'!$A$2:$G$896,7,FALSE)</f>
        <v>69</v>
      </c>
      <c r="H396" s="1">
        <v>-1.67220787112458E-2</v>
      </c>
      <c r="I396" s="1">
        <f>VLOOKUP(C396,'[1]phenotypes-895'!$A$2:$I$896,9,FALSE)</f>
        <v>0.39518613381022388</v>
      </c>
      <c r="J396" s="1"/>
      <c r="K396" s="4">
        <v>4.0489648136216303</v>
      </c>
      <c r="L396" s="1"/>
      <c r="M396" s="8">
        <v>1</v>
      </c>
      <c r="N396" s="1"/>
      <c r="O396">
        <v>0.67</v>
      </c>
      <c r="P396" s="1"/>
      <c r="Q396" s="2">
        <v>-0.13</v>
      </c>
    </row>
    <row r="397" spans="1:17" x14ac:dyDescent="0.2">
      <c r="A397">
        <v>616</v>
      </c>
      <c r="B397">
        <v>40</v>
      </c>
      <c r="C397" t="s">
        <v>615</v>
      </c>
      <c r="D397" s="13" t="s">
        <v>913</v>
      </c>
      <c r="E397" s="1">
        <v>1.6025360710607699</v>
      </c>
      <c r="F397" s="1">
        <v>1.4317793965690699</v>
      </c>
      <c r="G397">
        <f>VLOOKUP(C397,'[1]phenotypes-895'!$A$2:$G$896,7,FALSE)</f>
        <v>77</v>
      </c>
      <c r="H397" s="1">
        <v>-6.4608157445362902E-3</v>
      </c>
      <c r="I397" s="1">
        <f>VLOOKUP(C397,'[1]phenotypes-895'!$A$2:$I$896,9,FALSE)</f>
        <v>0.37720574811552943</v>
      </c>
      <c r="J397" s="1"/>
      <c r="K397" s="4">
        <v>3.8336814822438079</v>
      </c>
      <c r="L397" s="1"/>
      <c r="M397" s="8">
        <v>1</v>
      </c>
      <c r="N397" s="1"/>
      <c r="O397">
        <v>1.1819999999999999</v>
      </c>
      <c r="P397" s="1"/>
      <c r="Q397" s="2">
        <v>0.05</v>
      </c>
    </row>
    <row r="398" spans="1:17" x14ac:dyDescent="0.2">
      <c r="A398">
        <v>831</v>
      </c>
      <c r="B398">
        <v>40</v>
      </c>
      <c r="C398" t="s">
        <v>830</v>
      </c>
      <c r="D398" s="13" t="s">
        <v>913</v>
      </c>
      <c r="E398" s="1">
        <v>-0.28603049521908602</v>
      </c>
      <c r="F398" s="1">
        <v>1.43123602509583</v>
      </c>
      <c r="G398">
        <f>VLOOKUP(C398,'[1]phenotypes-895'!$A$2:$G$896,7,FALSE)</f>
        <v>98</v>
      </c>
      <c r="H398" s="1">
        <v>2.3953670940418299E-2</v>
      </c>
      <c r="I398" s="1">
        <f>VLOOKUP(C398,'[1]phenotypes-895'!$A$2:$I$896,9,FALSE)</f>
        <v>0</v>
      </c>
      <c r="J398" s="1"/>
      <c r="K398" s="4">
        <v>0</v>
      </c>
      <c r="L398" s="1"/>
      <c r="M398" s="8">
        <v>0</v>
      </c>
      <c r="N398" s="1"/>
      <c r="O398">
        <v>1.1240000000000001</v>
      </c>
      <c r="P398" s="1"/>
      <c r="Q398" s="2">
        <v>0.04</v>
      </c>
    </row>
    <row r="399" spans="1:17" x14ac:dyDescent="0.2">
      <c r="A399">
        <v>665</v>
      </c>
      <c r="B399">
        <v>46</v>
      </c>
      <c r="C399" t="s">
        <v>664</v>
      </c>
      <c r="D399" s="13" t="s">
        <v>912</v>
      </c>
      <c r="E399" s="1">
        <v>-0.88478055264690902</v>
      </c>
      <c r="F399" s="1">
        <v>1.3853698194798001</v>
      </c>
      <c r="G399">
        <f>VLOOKUP(C399,'[1]phenotypes-895'!$A$2:$G$896,7,FALSE)</f>
        <v>74</v>
      </c>
      <c r="H399" s="1">
        <v>1.1776320608799899E-2</v>
      </c>
      <c r="I399" s="1">
        <f>VLOOKUP(C399,'[1]phenotypes-895'!$A$2:$I$896,9,FALSE)</f>
        <v>0.29603156368985062</v>
      </c>
      <c r="J399" s="1"/>
      <c r="K399" s="4">
        <v>4.295495490315667</v>
      </c>
      <c r="L399" s="1"/>
      <c r="M399" s="8">
        <v>1</v>
      </c>
      <c r="N399" s="1"/>
      <c r="O399">
        <v>0.58099999999999996</v>
      </c>
      <c r="P399" s="1"/>
      <c r="Q399" s="2">
        <v>-0.18</v>
      </c>
    </row>
    <row r="400" spans="1:17" x14ac:dyDescent="0.2">
      <c r="A400">
        <v>306</v>
      </c>
      <c r="B400">
        <v>8</v>
      </c>
      <c r="C400" t="s">
        <v>305</v>
      </c>
      <c r="D400" s="12" t="s">
        <v>913</v>
      </c>
      <c r="E400" s="1">
        <v>3.3820811357131699</v>
      </c>
      <c r="F400" s="1">
        <v>1.3811088886988601</v>
      </c>
      <c r="G400">
        <f>VLOOKUP(C400,'[1]phenotypes-895'!$A$2:$G$896,7,FALSE)</f>
        <v>76</v>
      </c>
      <c r="H400" s="1">
        <v>5.8577487165064404E-3</v>
      </c>
      <c r="I400" s="1">
        <f>VLOOKUP(C400,'[1]phenotypes-895'!$A$2:$I$896,9,FALSE)</f>
        <v>0.52263500706659838</v>
      </c>
      <c r="J400" s="1"/>
      <c r="K400" s="4">
        <v>5.1369068612751461</v>
      </c>
      <c r="L400" s="1"/>
      <c r="M400" s="8">
        <v>1</v>
      </c>
      <c r="N400" s="1"/>
      <c r="O400" s="6">
        <v>0.93300000000000005</v>
      </c>
      <c r="P400" s="1"/>
      <c r="Q400" s="7">
        <v>-0.02</v>
      </c>
    </row>
    <row r="401" spans="1:17" x14ac:dyDescent="0.2">
      <c r="A401">
        <v>610</v>
      </c>
      <c r="B401">
        <v>32</v>
      </c>
      <c r="C401" t="s">
        <v>609</v>
      </c>
      <c r="D401" s="13" t="s">
        <v>913</v>
      </c>
      <c r="E401" s="1">
        <v>0.29000267050948297</v>
      </c>
      <c r="F401" s="1">
        <v>1.37449527026604</v>
      </c>
      <c r="G401">
        <f>VLOOKUP(C401,'[1]phenotypes-895'!$A$2:$G$896,7,FALSE)</f>
        <v>48</v>
      </c>
      <c r="H401" s="1">
        <v>-1.6054216525647001E-2</v>
      </c>
      <c r="I401" s="1">
        <f>VLOOKUP(C401,'[1]phenotypes-895'!$A$2:$I$896,9,FALSE)</f>
        <v>0.5771586178536966</v>
      </c>
      <c r="J401" s="1"/>
      <c r="K401" s="4">
        <v>4.1268694603637286</v>
      </c>
      <c r="L401" s="1"/>
      <c r="M401" s="8">
        <v>1</v>
      </c>
      <c r="N401" s="1"/>
      <c r="O401">
        <v>1.1719999999999999</v>
      </c>
      <c r="P401" s="1"/>
      <c r="Q401" s="2">
        <v>0.05</v>
      </c>
    </row>
    <row r="402" spans="1:17" x14ac:dyDescent="0.2">
      <c r="A402">
        <v>400</v>
      </c>
      <c r="B402">
        <v>50</v>
      </c>
      <c r="C402" t="s">
        <v>399</v>
      </c>
      <c r="D402" s="13" t="s">
        <v>912</v>
      </c>
      <c r="E402" s="1">
        <v>1.6508017294983901</v>
      </c>
      <c r="F402" s="1">
        <v>1.35363733387015</v>
      </c>
      <c r="G402">
        <f>VLOOKUP(C402,'[1]phenotypes-895'!$A$2:$G$896,7,FALSE)</f>
        <v>98</v>
      </c>
      <c r="H402" s="1">
        <v>-4.5821187900848499E-2</v>
      </c>
      <c r="I402" s="1">
        <f>VLOOKUP(C402,'[1]phenotypes-895'!$A$2:$I$896,9,FALSE)</f>
        <v>0</v>
      </c>
      <c r="J402" s="1"/>
      <c r="K402" s="4">
        <v>0</v>
      </c>
      <c r="L402" s="1"/>
      <c r="M402" s="8">
        <v>0</v>
      </c>
      <c r="N402" s="1"/>
      <c r="O402">
        <v>0.75700000000000001</v>
      </c>
      <c r="P402" s="1"/>
      <c r="Q402" s="2">
        <v>-0.09</v>
      </c>
    </row>
    <row r="403" spans="1:17" x14ac:dyDescent="0.2">
      <c r="A403">
        <v>583</v>
      </c>
      <c r="B403">
        <v>44</v>
      </c>
      <c r="C403" t="s">
        <v>582</v>
      </c>
      <c r="D403" s="13" t="s">
        <v>912</v>
      </c>
      <c r="E403" s="1">
        <v>5.8789361101911901E-2</v>
      </c>
      <c r="F403" s="1">
        <v>1.3462037712214501</v>
      </c>
      <c r="G403">
        <f>VLOOKUP(C403,'[1]phenotypes-895'!$A$2:$G$896,7,FALSE)</f>
        <v>81</v>
      </c>
      <c r="H403" s="1">
        <v>-1.1558041262553799E-3</v>
      </c>
      <c r="I403" s="1">
        <f>VLOOKUP(C403,'[1]phenotypes-895'!$A$2:$I$896,9,FALSE)</f>
        <v>0.50237115639454277</v>
      </c>
      <c r="J403" s="1"/>
      <c r="K403" s="4">
        <v>4.1454096432366354</v>
      </c>
      <c r="L403" s="1"/>
      <c r="M403" s="8">
        <v>1</v>
      </c>
      <c r="N403" s="1"/>
      <c r="O403">
        <v>0.71899999999999997</v>
      </c>
      <c r="P403" s="1"/>
      <c r="Q403" s="2">
        <v>-0.11</v>
      </c>
    </row>
    <row r="404" spans="1:17" x14ac:dyDescent="0.2">
      <c r="A404">
        <v>639</v>
      </c>
      <c r="B404">
        <v>34</v>
      </c>
      <c r="C404" t="s">
        <v>638</v>
      </c>
      <c r="D404" s="13" t="s">
        <v>913</v>
      </c>
      <c r="E404" s="1">
        <v>1.54218993071834</v>
      </c>
      <c r="F404" s="1">
        <v>1.34110684709838</v>
      </c>
      <c r="G404">
        <f>VLOOKUP(C404,'[1]phenotypes-895'!$A$2:$G$896,7,FALSE)</f>
        <v>75</v>
      </c>
      <c r="H404" s="1">
        <v>7.8440934318160999E-4</v>
      </c>
      <c r="I404" s="1">
        <f>VLOOKUP(C404,'[1]phenotypes-895'!$A$2:$I$896,9,FALSE)</f>
        <v>0.38724410820251343</v>
      </c>
      <c r="J404" s="1"/>
      <c r="K404" s="4">
        <v>4.2334975000864201</v>
      </c>
      <c r="L404" s="1"/>
      <c r="M404" s="8">
        <v>1</v>
      </c>
      <c r="N404" s="1"/>
      <c r="O404">
        <v>0.99199999999999999</v>
      </c>
      <c r="P404" s="1"/>
      <c r="Q404" s="2">
        <v>0</v>
      </c>
    </row>
    <row r="405" spans="1:17" x14ac:dyDescent="0.2">
      <c r="A405">
        <v>664</v>
      </c>
      <c r="B405">
        <v>42</v>
      </c>
      <c r="C405" t="s">
        <v>663</v>
      </c>
      <c r="D405" s="13" t="s">
        <v>912</v>
      </c>
      <c r="E405" s="1">
        <v>-0.726487570544471</v>
      </c>
      <c r="F405" s="1">
        <v>1.32664311201606</v>
      </c>
      <c r="G405">
        <f>VLOOKUP(C405,'[1]phenotypes-895'!$A$2:$G$896,7,FALSE)</f>
        <v>98</v>
      </c>
      <c r="H405" s="1">
        <v>6.9126474589344095E-2</v>
      </c>
      <c r="I405" s="1">
        <f>VLOOKUP(C405,'[1]phenotypes-895'!$A$2:$I$896,9,FALSE)</f>
        <v>0.39945898489883702</v>
      </c>
      <c r="J405" s="1"/>
      <c r="K405" s="4">
        <v>3.6468180393514578</v>
      </c>
      <c r="L405" s="1"/>
      <c r="M405" s="8">
        <v>1</v>
      </c>
      <c r="N405" s="1"/>
      <c r="O405">
        <v>0.502</v>
      </c>
      <c r="P405" s="1"/>
      <c r="Q405" s="2">
        <v>-0.24</v>
      </c>
    </row>
    <row r="406" spans="1:17" x14ac:dyDescent="0.2">
      <c r="A406">
        <v>722</v>
      </c>
      <c r="B406">
        <v>35</v>
      </c>
      <c r="C406" t="s">
        <v>721</v>
      </c>
      <c r="D406" s="13" t="s">
        <v>913</v>
      </c>
      <c r="E406" s="1">
        <v>0.94905228733062597</v>
      </c>
      <c r="F406" s="1">
        <v>1.32038516251083</v>
      </c>
      <c r="G406">
        <f>VLOOKUP(C406,'[1]phenotypes-895'!$A$2:$G$896,7,FALSE)</f>
        <v>77</v>
      </c>
      <c r="H406" s="1">
        <v>-7.3612318312729894E-2</v>
      </c>
      <c r="I406" s="1">
        <f>VLOOKUP(C406,'[1]phenotypes-895'!$A$2:$I$896,9,FALSE)</f>
        <v>0.41833452861456721</v>
      </c>
      <c r="J406" s="1"/>
      <c r="K406" s="4">
        <v>4.6394896924913027</v>
      </c>
      <c r="L406" s="1"/>
      <c r="M406" s="8">
        <v>1</v>
      </c>
      <c r="N406" s="1"/>
      <c r="O406">
        <v>1.073</v>
      </c>
      <c r="P406" s="1"/>
      <c r="Q406" s="2">
        <v>0.02</v>
      </c>
    </row>
    <row r="407" spans="1:17" x14ac:dyDescent="0.2">
      <c r="A407">
        <v>679</v>
      </c>
      <c r="B407">
        <v>51</v>
      </c>
      <c r="C407" t="s">
        <v>678</v>
      </c>
      <c r="D407" s="13" t="s">
        <v>912</v>
      </c>
      <c r="E407" s="1">
        <v>-1.5344206783437</v>
      </c>
      <c r="F407" s="1">
        <v>1.29835345267749</v>
      </c>
      <c r="G407">
        <f>VLOOKUP(C407,'[1]phenotypes-895'!$A$2:$G$896,7,FALSE)</f>
        <v>54</v>
      </c>
      <c r="H407" s="1">
        <v>2.3084664717415398E-3</v>
      </c>
      <c r="I407" s="1">
        <f>VLOOKUP(C407,'[1]phenotypes-895'!$A$2:$I$896,9,FALSE)</f>
        <v>0.62482693971099579</v>
      </c>
      <c r="J407" s="1"/>
      <c r="K407" s="4">
        <v>4.1261839041586459</v>
      </c>
      <c r="L407" s="1"/>
      <c r="M407" s="8">
        <v>1</v>
      </c>
      <c r="N407" s="1"/>
      <c r="O407">
        <v>0.65600000000000003</v>
      </c>
      <c r="P407" s="1"/>
      <c r="Q407" s="2">
        <v>-0.14000000000000001</v>
      </c>
    </row>
    <row r="408" spans="1:17" x14ac:dyDescent="0.2">
      <c r="A408">
        <v>363</v>
      </c>
      <c r="B408">
        <v>42</v>
      </c>
      <c r="C408" t="s">
        <v>362</v>
      </c>
      <c r="D408" s="13" t="s">
        <v>912</v>
      </c>
      <c r="E408" s="1">
        <v>2.3889571857991898</v>
      </c>
      <c r="F408" s="1">
        <v>1.2975216561949601</v>
      </c>
      <c r="G408">
        <f>VLOOKUP(C408,'[1]phenotypes-895'!$A$2:$G$896,7,FALSE)</f>
        <v>76</v>
      </c>
      <c r="H408" s="1">
        <v>-8.0149689666450197E-2</v>
      </c>
      <c r="I408" s="1">
        <f>VLOOKUP(C408,'[1]phenotypes-895'!$A$2:$I$896,9,FALSE)</f>
        <v>0</v>
      </c>
      <c r="J408" s="1"/>
      <c r="K408" s="4">
        <v>0</v>
      </c>
      <c r="L408" s="1"/>
      <c r="M408" s="8">
        <v>0</v>
      </c>
      <c r="N408" s="1"/>
      <c r="O408">
        <v>0.70699999999999996</v>
      </c>
      <c r="P408" s="1"/>
      <c r="Q408" s="2">
        <v>-0.11</v>
      </c>
    </row>
    <row r="409" spans="1:17" x14ac:dyDescent="0.2">
      <c r="A409">
        <v>108</v>
      </c>
      <c r="B409">
        <v>1</v>
      </c>
      <c r="C409" t="s">
        <v>107</v>
      </c>
      <c r="D409" s="12" t="s">
        <v>913</v>
      </c>
      <c r="E409" s="1">
        <v>2.48098275621743</v>
      </c>
      <c r="F409" s="1">
        <v>1.29614992957348</v>
      </c>
      <c r="G409">
        <f>VLOOKUP(C409,'[1]phenotypes-895'!$A$2:$G$896,7,FALSE)</f>
        <v>98</v>
      </c>
      <c r="H409" s="1">
        <v>-5.0321223202671801E-2</v>
      </c>
      <c r="I409" s="1">
        <f>VLOOKUP(C409,'[1]phenotypes-895'!$A$2:$I$896,9,FALSE)</f>
        <v>0</v>
      </c>
      <c r="J409" s="1"/>
      <c r="K409" s="4">
        <v>0</v>
      </c>
      <c r="L409" s="1"/>
      <c r="M409" s="8">
        <v>0</v>
      </c>
      <c r="N409" s="1"/>
      <c r="O409" s="6">
        <v>1.03</v>
      </c>
      <c r="P409" s="1"/>
      <c r="Q409" s="7">
        <v>0.01</v>
      </c>
    </row>
    <row r="410" spans="1:17" x14ac:dyDescent="0.2">
      <c r="A410">
        <v>892</v>
      </c>
      <c r="B410">
        <v>28</v>
      </c>
      <c r="C410" t="s">
        <v>891</v>
      </c>
      <c r="D410" s="13" t="s">
        <v>913</v>
      </c>
      <c r="E410" s="1">
        <v>-0.58519449862420803</v>
      </c>
      <c r="F410" s="1">
        <v>1.2923100430641099</v>
      </c>
      <c r="G410">
        <f>VLOOKUP(C410,'[1]phenotypes-895'!$A$2:$G$896,7,FALSE)</f>
        <v>57</v>
      </c>
      <c r="H410" s="1">
        <v>2.26082557602286E-2</v>
      </c>
      <c r="I410" s="1">
        <f>VLOOKUP(C410,'[1]phenotypes-895'!$A$2:$I$896,9,FALSE)</f>
        <v>0.63593893295153203</v>
      </c>
      <c r="J410" s="1"/>
      <c r="K410" s="4">
        <v>4.4633522550438274</v>
      </c>
      <c r="L410" s="1"/>
      <c r="M410" s="8">
        <v>1</v>
      </c>
      <c r="N410" s="1"/>
      <c r="O410">
        <v>1.296</v>
      </c>
      <c r="P410" s="1"/>
      <c r="Q410" s="2">
        <v>0.08</v>
      </c>
    </row>
    <row r="411" spans="1:17" x14ac:dyDescent="0.2">
      <c r="A411">
        <v>173</v>
      </c>
      <c r="B411">
        <v>29</v>
      </c>
      <c r="C411" t="s">
        <v>172</v>
      </c>
      <c r="D411" s="13" t="s">
        <v>913</v>
      </c>
      <c r="E411" s="1">
        <v>2.6669546472469201</v>
      </c>
      <c r="F411" s="1">
        <v>1.2921786896551199</v>
      </c>
      <c r="G411">
        <f>VLOOKUP(C411,'[1]phenotypes-895'!$A$2:$G$896,7,FALSE)</f>
        <v>98</v>
      </c>
      <c r="H411" s="1">
        <v>-5.1442450537513097E-2</v>
      </c>
      <c r="I411" s="1">
        <f>VLOOKUP(C411,'[1]phenotypes-895'!$A$2:$I$896,9,FALSE)</f>
        <v>0</v>
      </c>
      <c r="J411" s="1"/>
      <c r="K411" s="4">
        <v>0</v>
      </c>
      <c r="L411" s="1"/>
      <c r="M411" s="8">
        <v>0</v>
      </c>
      <c r="N411" s="1"/>
      <c r="O411">
        <v>0.88200000000000001</v>
      </c>
      <c r="P411" s="1"/>
      <c r="Q411" s="2">
        <v>-0.04</v>
      </c>
    </row>
    <row r="412" spans="1:17" x14ac:dyDescent="0.2">
      <c r="A412">
        <v>451</v>
      </c>
      <c r="B412">
        <v>44</v>
      </c>
      <c r="C412" t="s">
        <v>450</v>
      </c>
      <c r="D412" s="13" t="s">
        <v>912</v>
      </c>
      <c r="E412" s="1">
        <v>-0.247801055903382</v>
      </c>
      <c r="F412" s="1">
        <v>1.2755250837712999</v>
      </c>
      <c r="G412">
        <f>VLOOKUP(C412,'[1]phenotypes-895'!$A$2:$G$896,7,FALSE)</f>
        <v>67</v>
      </c>
      <c r="H412" s="1">
        <v>-1.4101546108081999E-2</v>
      </c>
      <c r="I412" s="1">
        <f>VLOOKUP(C412,'[1]phenotypes-895'!$A$2:$I$896,9,FALSE)</f>
        <v>0.43011052081406997</v>
      </c>
      <c r="J412" s="1"/>
      <c r="K412" s="4">
        <v>3.7865889911183213</v>
      </c>
      <c r="L412" s="1"/>
      <c r="M412" s="8">
        <v>1</v>
      </c>
      <c r="N412" s="1"/>
      <c r="O412">
        <v>0.84599999999999997</v>
      </c>
      <c r="P412" s="1"/>
      <c r="Q412" s="2">
        <v>-0.05</v>
      </c>
    </row>
    <row r="413" spans="1:17" x14ac:dyDescent="0.2">
      <c r="A413">
        <v>222</v>
      </c>
      <c r="B413">
        <v>46</v>
      </c>
      <c r="C413" t="s">
        <v>221</v>
      </c>
      <c r="D413" s="13" t="s">
        <v>912</v>
      </c>
      <c r="E413" s="1">
        <v>-0.87485163797086996</v>
      </c>
      <c r="F413" s="1">
        <v>1.2658189926137799</v>
      </c>
      <c r="G413">
        <f>VLOOKUP(C413,'[1]phenotypes-895'!$A$2:$G$896,7,FALSE)</f>
        <v>70</v>
      </c>
      <c r="H413" s="1">
        <v>2.3882527477911301E-2</v>
      </c>
      <c r="I413" s="1">
        <f>VLOOKUP(C413,'[1]phenotypes-895'!$A$2:$I$896,9,FALSE)</f>
        <v>0.39052613315988732</v>
      </c>
      <c r="J413" s="1"/>
      <c r="K413" s="4">
        <v>3.9523031676709852</v>
      </c>
      <c r="L413" s="1"/>
      <c r="M413" s="8">
        <v>1</v>
      </c>
      <c r="N413" s="1"/>
      <c r="O413">
        <v>0.56299999999999994</v>
      </c>
      <c r="P413" s="1"/>
      <c r="Q413" s="2">
        <v>-0.19</v>
      </c>
    </row>
    <row r="414" spans="1:17" x14ac:dyDescent="0.2">
      <c r="A414">
        <v>838</v>
      </c>
      <c r="B414">
        <v>33</v>
      </c>
      <c r="C414" t="s">
        <v>837</v>
      </c>
      <c r="D414" s="13" t="s">
        <v>913</v>
      </c>
      <c r="E414" s="1">
        <v>-0.63075246720756295</v>
      </c>
      <c r="F414" s="1">
        <v>1.25594300322648</v>
      </c>
      <c r="G414">
        <f>VLOOKUP(C414,'[1]phenotypes-895'!$A$2:$G$896,7,FALSE)</f>
        <v>95</v>
      </c>
      <c r="H414" s="1">
        <v>-2.6606846709573001E-2</v>
      </c>
      <c r="I414" s="1">
        <f>VLOOKUP(C414,'[1]phenotypes-895'!$A$2:$I$896,9,FALSE)</f>
        <v>0.17555804805801009</v>
      </c>
      <c r="J414" s="1"/>
      <c r="K414" s="4">
        <v>3.7666053885706421</v>
      </c>
      <c r="L414" s="1"/>
      <c r="M414" s="8">
        <v>1</v>
      </c>
      <c r="N414" s="1"/>
      <c r="O414">
        <v>0.75900000000000001</v>
      </c>
      <c r="P414" s="1"/>
      <c r="Q414" s="2">
        <v>-0.09</v>
      </c>
    </row>
    <row r="415" spans="1:17" x14ac:dyDescent="0.2">
      <c r="A415">
        <v>17</v>
      </c>
      <c r="B415">
        <v>6</v>
      </c>
      <c r="C415" t="s">
        <v>16</v>
      </c>
      <c r="D415" s="12" t="s">
        <v>913</v>
      </c>
      <c r="E415" s="1">
        <v>2.4097563447867798</v>
      </c>
      <c r="F415" s="1">
        <v>1.2354146154802901</v>
      </c>
      <c r="G415">
        <f>VLOOKUP(C415,'[1]phenotypes-895'!$A$2:$G$896,7,FALSE)</f>
        <v>91</v>
      </c>
      <c r="H415" s="1">
        <v>-1.5227805574231999E-2</v>
      </c>
      <c r="I415" s="1">
        <f>VLOOKUP(C415,'[1]phenotypes-895'!$A$2:$I$896,9,FALSE)</f>
        <v>0.31495093555541009</v>
      </c>
      <c r="J415" s="1"/>
      <c r="K415" s="4">
        <v>4.1980909351080511</v>
      </c>
      <c r="L415" s="1"/>
      <c r="M415" s="8">
        <v>1</v>
      </c>
      <c r="N415" s="1"/>
      <c r="O415" s="6">
        <v>1.0860000000000001</v>
      </c>
      <c r="P415" s="1"/>
      <c r="Q415" s="7">
        <v>0.03</v>
      </c>
    </row>
    <row r="416" spans="1:17" x14ac:dyDescent="0.2">
      <c r="A416">
        <v>383</v>
      </c>
      <c r="B416">
        <v>49</v>
      </c>
      <c r="C416" t="s">
        <v>382</v>
      </c>
      <c r="D416" s="13" t="s">
        <v>912</v>
      </c>
      <c r="E416" s="1">
        <v>1.99871117116812</v>
      </c>
      <c r="F416" s="1">
        <v>1.2108575575060401</v>
      </c>
      <c r="G416">
        <f>VLOOKUP(C416,'[1]phenotypes-895'!$A$2:$G$896,7,FALSE)</f>
        <v>57</v>
      </c>
      <c r="H416" s="1">
        <v>-2.0888632333167401E-2</v>
      </c>
      <c r="I416" s="1">
        <f>VLOOKUP(C416,'[1]phenotypes-895'!$A$2:$I$896,9,FALSE)</f>
        <v>0.79910497564815675</v>
      </c>
      <c r="J416" s="1"/>
      <c r="K416" s="4">
        <v>4.258807216839493</v>
      </c>
      <c r="L416" s="1"/>
      <c r="M416" s="8">
        <v>1</v>
      </c>
      <c r="N416" s="1"/>
      <c r="O416">
        <v>0.83599999999999997</v>
      </c>
      <c r="P416" s="1"/>
      <c r="Q416" s="2">
        <v>-0.05</v>
      </c>
    </row>
    <row r="417" spans="1:17" x14ac:dyDescent="0.2">
      <c r="A417">
        <v>731</v>
      </c>
      <c r="B417">
        <v>46</v>
      </c>
      <c r="C417" t="s">
        <v>730</v>
      </c>
      <c r="D417" s="13" t="s">
        <v>912</v>
      </c>
      <c r="E417" s="1">
        <v>-1.56712486140328</v>
      </c>
      <c r="F417" s="1">
        <v>1.2066237357657901</v>
      </c>
      <c r="G417">
        <f>VLOOKUP(C417,'[1]phenotypes-895'!$A$2:$G$896,7,FALSE)</f>
        <v>51</v>
      </c>
      <c r="H417" s="1">
        <v>2.87224518685575E-2</v>
      </c>
      <c r="I417" s="1">
        <f>VLOOKUP(C417,'[1]phenotypes-895'!$A$2:$I$896,9,FALSE)</f>
        <v>0.49425041199159109</v>
      </c>
      <c r="J417" s="1"/>
      <c r="K417" s="4">
        <v>4.3639854482778437</v>
      </c>
      <c r="L417" s="1"/>
      <c r="M417" s="8">
        <v>1</v>
      </c>
      <c r="N417" s="1"/>
      <c r="O417">
        <v>0.46400000000000002</v>
      </c>
      <c r="P417" s="1"/>
      <c r="Q417" s="2">
        <v>-0.26</v>
      </c>
    </row>
    <row r="418" spans="1:17" x14ac:dyDescent="0.2">
      <c r="A418">
        <v>688</v>
      </c>
      <c r="B418">
        <v>33</v>
      </c>
      <c r="C418" t="s">
        <v>687</v>
      </c>
      <c r="D418" s="13" t="s">
        <v>913</v>
      </c>
      <c r="E418" s="1">
        <v>2.3224286158898102</v>
      </c>
      <c r="F418" s="1">
        <v>1.1733475900316801</v>
      </c>
      <c r="G418">
        <f>VLOOKUP(C418,'[1]phenotypes-895'!$A$2:$G$896,7,FALSE)</f>
        <v>74</v>
      </c>
      <c r="H418" s="1">
        <v>-2.6474150756086601E-2</v>
      </c>
      <c r="I418" s="1">
        <f>VLOOKUP(C418,'[1]phenotypes-895'!$A$2:$I$896,9,FALSE)</f>
        <v>0.62877325189655231</v>
      </c>
      <c r="J418" s="1"/>
      <c r="K418" s="4">
        <v>5.2542453556260078</v>
      </c>
      <c r="L418" s="1"/>
      <c r="M418" s="8">
        <v>1</v>
      </c>
      <c r="N418" s="1"/>
      <c r="O418">
        <v>1.2210000000000001</v>
      </c>
      <c r="P418" s="1"/>
      <c r="Q418" s="2">
        <v>0.06</v>
      </c>
    </row>
    <row r="419" spans="1:17" x14ac:dyDescent="0.2">
      <c r="A419">
        <v>524</v>
      </c>
      <c r="B419">
        <v>30</v>
      </c>
      <c r="C419" t="s">
        <v>523</v>
      </c>
      <c r="D419" s="13" t="s">
        <v>913</v>
      </c>
      <c r="E419" s="1">
        <v>2.6728353831270399</v>
      </c>
      <c r="F419" s="1">
        <v>1.1725958548248101</v>
      </c>
      <c r="G419">
        <f>VLOOKUP(C419,'[1]phenotypes-895'!$A$2:$G$896,7,FALSE)</f>
        <v>98</v>
      </c>
      <c r="H419" s="1">
        <v>-4.6487486325607397E-2</v>
      </c>
      <c r="I419" s="1">
        <f>VLOOKUP(C419,'[1]phenotypes-895'!$A$2:$I$896,9,FALSE)</f>
        <v>0</v>
      </c>
      <c r="J419" s="1"/>
      <c r="K419" s="4">
        <v>0</v>
      </c>
      <c r="L419" s="1"/>
      <c r="M419" s="8">
        <v>0</v>
      </c>
      <c r="N419" s="1"/>
      <c r="O419">
        <v>1.0429999999999999</v>
      </c>
      <c r="P419" s="1"/>
      <c r="Q419" s="2">
        <v>0.01</v>
      </c>
    </row>
    <row r="420" spans="1:17" x14ac:dyDescent="0.2">
      <c r="A420">
        <v>513</v>
      </c>
      <c r="B420">
        <v>42</v>
      </c>
      <c r="C420" t="s">
        <v>512</v>
      </c>
      <c r="D420" s="13" t="s">
        <v>912</v>
      </c>
      <c r="E420" s="1">
        <v>-0.48500627263835</v>
      </c>
      <c r="F420" s="1">
        <v>1.16755117291009</v>
      </c>
      <c r="G420">
        <f>VLOOKUP(C420,'[1]phenotypes-895'!$A$2:$G$896,7,FALSE)</f>
        <v>98</v>
      </c>
      <c r="H420" s="1">
        <v>9.2200991431178395E-3</v>
      </c>
      <c r="I420" s="1">
        <f>VLOOKUP(C420,'[1]phenotypes-895'!$A$2:$I$896,9,FALSE)</f>
        <v>1.824894109261746E-2</v>
      </c>
      <c r="J420" s="1"/>
      <c r="K420" s="4">
        <v>2.1275654171832121</v>
      </c>
      <c r="L420" s="1"/>
      <c r="M420" s="8">
        <v>1</v>
      </c>
      <c r="N420" s="1"/>
      <c r="O420">
        <v>0.71599999999999997</v>
      </c>
      <c r="P420" s="1"/>
      <c r="Q420" s="2">
        <v>-0.11</v>
      </c>
    </row>
    <row r="421" spans="1:17" x14ac:dyDescent="0.2">
      <c r="A421">
        <v>21</v>
      </c>
      <c r="B421">
        <v>9</v>
      </c>
      <c r="C421" t="s">
        <v>20</v>
      </c>
      <c r="D421" s="12" t="s">
        <v>912</v>
      </c>
      <c r="E421" s="1">
        <v>0.11557621119323599</v>
      </c>
      <c r="F421" s="1">
        <v>1.1629788597152699</v>
      </c>
      <c r="G421">
        <f>VLOOKUP(C421,'[1]phenotypes-895'!$A$2:$G$896,7,FALSE)</f>
        <v>98</v>
      </c>
      <c r="H421" s="1">
        <v>-4.16226030072059E-3</v>
      </c>
      <c r="I421" s="1">
        <f>VLOOKUP(C421,'[1]phenotypes-895'!$A$2:$I$896,9,FALSE)</f>
        <v>0</v>
      </c>
      <c r="J421" s="1"/>
      <c r="K421" s="4">
        <v>0</v>
      </c>
      <c r="L421" s="1"/>
      <c r="M421" s="8">
        <v>0</v>
      </c>
      <c r="N421" s="1"/>
      <c r="O421" s="6">
        <v>0.80800000000000005</v>
      </c>
      <c r="P421" s="1"/>
      <c r="Q421" s="7">
        <v>-7.0000000000000007E-2</v>
      </c>
    </row>
    <row r="422" spans="1:17" x14ac:dyDescent="0.2">
      <c r="A422">
        <v>381</v>
      </c>
      <c r="B422">
        <v>50</v>
      </c>
      <c r="C422" t="s">
        <v>380</v>
      </c>
      <c r="D422" s="13" t="s">
        <v>912</v>
      </c>
      <c r="E422" s="1">
        <v>1.7702187982737501</v>
      </c>
      <c r="F422" s="1">
        <v>1.16291348748391</v>
      </c>
      <c r="G422">
        <f>VLOOKUP(C422,'[1]phenotypes-895'!$A$2:$G$896,7,FALSE)</f>
        <v>98</v>
      </c>
      <c r="H422" s="1">
        <v>-2.453999626009E-2</v>
      </c>
      <c r="I422" s="1">
        <f>VLOOKUP(C422,'[1]phenotypes-895'!$A$2:$I$896,9,FALSE)</f>
        <v>1.831630831520601E-2</v>
      </c>
      <c r="J422" s="1"/>
      <c r="K422" s="4">
        <v>2.0295811239775157</v>
      </c>
      <c r="L422" s="1"/>
      <c r="M422" s="8">
        <v>1</v>
      </c>
      <c r="N422" s="1"/>
      <c r="O422">
        <v>0.80400000000000005</v>
      </c>
      <c r="P422" s="1"/>
      <c r="Q422" s="2">
        <v>-7.0000000000000007E-2</v>
      </c>
    </row>
    <row r="423" spans="1:17" x14ac:dyDescent="0.2">
      <c r="A423">
        <v>740</v>
      </c>
      <c r="B423">
        <v>38</v>
      </c>
      <c r="C423" t="s">
        <v>739</v>
      </c>
      <c r="D423" s="13" t="s">
        <v>913</v>
      </c>
      <c r="E423" s="1">
        <v>1.0565002876088201</v>
      </c>
      <c r="F423" s="1">
        <v>1.15971560580254</v>
      </c>
      <c r="G423">
        <f>VLOOKUP(C423,'[1]phenotypes-895'!$A$2:$G$896,7,FALSE)</f>
        <v>98</v>
      </c>
      <c r="H423" s="1">
        <v>-4.4733448490218999E-2</v>
      </c>
      <c r="I423" s="1">
        <f>VLOOKUP(C423,'[1]phenotypes-895'!$A$2:$I$896,9,FALSE)</f>
        <v>0</v>
      </c>
      <c r="J423" s="1"/>
      <c r="K423" s="4">
        <v>0</v>
      </c>
      <c r="L423" s="1"/>
      <c r="M423" s="8">
        <v>0</v>
      </c>
      <c r="N423" s="1"/>
      <c r="O423">
        <v>1.216</v>
      </c>
      <c r="P423" s="1"/>
      <c r="Q423" s="2">
        <v>0.06</v>
      </c>
    </row>
    <row r="424" spans="1:17" x14ac:dyDescent="0.2">
      <c r="A424">
        <v>389</v>
      </c>
      <c r="B424">
        <v>50</v>
      </c>
      <c r="C424" t="s">
        <v>388</v>
      </c>
      <c r="D424" s="13" t="s">
        <v>912</v>
      </c>
      <c r="E424" s="1">
        <v>-0.19321171230641601</v>
      </c>
      <c r="F424" s="1">
        <v>1.15213192484718</v>
      </c>
      <c r="G424">
        <f>VLOOKUP(C424,'[1]phenotypes-895'!$A$2:$G$896,7,FALSE)</f>
        <v>98</v>
      </c>
      <c r="H424" s="1">
        <v>-6.38783199555467E-2</v>
      </c>
      <c r="I424" s="1">
        <f>VLOOKUP(C424,'[1]phenotypes-895'!$A$2:$I$896,9,FALSE)</f>
        <v>0</v>
      </c>
      <c r="J424" s="1"/>
      <c r="K424" s="4">
        <v>0</v>
      </c>
      <c r="L424" s="1"/>
      <c r="M424" s="8">
        <v>0</v>
      </c>
      <c r="N424" s="1"/>
      <c r="O424">
        <v>0.73699999999999999</v>
      </c>
      <c r="P424" s="1"/>
      <c r="Q424" s="2">
        <v>-0.1</v>
      </c>
    </row>
    <row r="425" spans="1:17" x14ac:dyDescent="0.2">
      <c r="A425">
        <v>645</v>
      </c>
      <c r="B425">
        <v>52</v>
      </c>
      <c r="C425" t="s">
        <v>644</v>
      </c>
      <c r="D425" s="13" t="s">
        <v>912</v>
      </c>
      <c r="E425" s="1">
        <v>-0.96476212791795002</v>
      </c>
      <c r="F425" s="1">
        <v>1.1505907368475501</v>
      </c>
      <c r="G425">
        <f>VLOOKUP(C425,'[1]phenotypes-895'!$A$2:$G$896,7,FALSE)</f>
        <v>79</v>
      </c>
      <c r="H425" s="1">
        <v>-1.69455667033175E-3</v>
      </c>
      <c r="I425" s="1">
        <f>VLOOKUP(C425,'[1]phenotypes-895'!$A$2:$I$896,9,FALSE)</f>
        <v>0.47120246137780192</v>
      </c>
      <c r="J425" s="1"/>
      <c r="K425" s="4">
        <v>4.2298143033281317</v>
      </c>
      <c r="L425" s="1"/>
      <c r="M425" s="8">
        <v>1</v>
      </c>
      <c r="N425" s="1"/>
      <c r="O425">
        <v>0.64400000000000002</v>
      </c>
      <c r="P425" s="1"/>
      <c r="Q425" s="2">
        <v>-0.15</v>
      </c>
    </row>
    <row r="426" spans="1:17" x14ac:dyDescent="0.2">
      <c r="A426">
        <v>492</v>
      </c>
      <c r="B426">
        <v>48</v>
      </c>
      <c r="C426" t="s">
        <v>491</v>
      </c>
      <c r="D426" s="13" t="s">
        <v>912</v>
      </c>
      <c r="E426" s="1">
        <v>-0.703181514720985</v>
      </c>
      <c r="F426" s="1">
        <v>1.13972432371183</v>
      </c>
      <c r="G426">
        <f>VLOOKUP(C426,'[1]phenotypes-895'!$A$2:$G$896,7,FALSE)</f>
        <v>98</v>
      </c>
      <c r="H426" s="1">
        <v>-2.6043901792436999E-2</v>
      </c>
      <c r="I426" s="1">
        <f>VLOOKUP(C426,'[1]phenotypes-895'!$A$2:$I$896,9,FALSE)</f>
        <v>0</v>
      </c>
      <c r="J426" s="1"/>
      <c r="K426" s="4">
        <v>0</v>
      </c>
      <c r="L426" s="1"/>
      <c r="M426" s="8">
        <v>0</v>
      </c>
      <c r="N426" s="1"/>
      <c r="O426">
        <v>0.93100000000000005</v>
      </c>
      <c r="P426" s="1"/>
      <c r="Q426" s="2">
        <v>-0.02</v>
      </c>
    </row>
    <row r="427" spans="1:17" x14ac:dyDescent="0.2">
      <c r="A427">
        <v>167</v>
      </c>
      <c r="B427">
        <v>38</v>
      </c>
      <c r="C427" t="s">
        <v>166</v>
      </c>
      <c r="D427" s="13" t="s">
        <v>913</v>
      </c>
      <c r="E427" s="1">
        <v>1.00324633586797</v>
      </c>
      <c r="F427" s="1">
        <v>1.1340533770133301</v>
      </c>
      <c r="G427">
        <f>VLOOKUP(C427,'[1]phenotypes-895'!$A$2:$G$896,7,FALSE)</f>
        <v>86</v>
      </c>
      <c r="H427" s="1">
        <v>4.3273112511566098E-2</v>
      </c>
      <c r="I427" s="1">
        <f>VLOOKUP(C427,'[1]phenotypes-895'!$A$2:$I$896,9,FALSE)</f>
        <v>0.41542962180520049</v>
      </c>
      <c r="J427" s="1"/>
      <c r="K427" s="4">
        <v>4.501718376460496</v>
      </c>
      <c r="L427" s="1"/>
      <c r="M427" s="8">
        <v>1</v>
      </c>
      <c r="N427" s="1"/>
      <c r="O427">
        <v>1.212</v>
      </c>
      <c r="P427" s="1"/>
      <c r="Q427" s="2">
        <v>0.06</v>
      </c>
    </row>
    <row r="428" spans="1:17" x14ac:dyDescent="0.2">
      <c r="A428">
        <v>729</v>
      </c>
      <c r="B428">
        <v>21</v>
      </c>
      <c r="C428" t="s">
        <v>728</v>
      </c>
      <c r="D428" s="13" t="s">
        <v>913</v>
      </c>
      <c r="E428" s="1">
        <v>2.2934897732567698</v>
      </c>
      <c r="F428" s="1">
        <v>1.1123676111054199</v>
      </c>
      <c r="G428">
        <f>VLOOKUP(C428,'[1]phenotypes-895'!$A$2:$G$896,7,FALSE)</f>
        <v>95</v>
      </c>
      <c r="H428" s="1">
        <v>-4.6085818007012398E-2</v>
      </c>
      <c r="I428" s="1">
        <f>VLOOKUP(C428,'[1]phenotypes-895'!$A$2:$I$896,9,FALSE)</f>
        <v>0.27143007065951053</v>
      </c>
      <c r="J428" s="1"/>
      <c r="K428" s="4">
        <v>4.6591048510494044</v>
      </c>
      <c r="L428" s="1"/>
      <c r="M428" s="8">
        <v>1</v>
      </c>
      <c r="N428" s="1"/>
      <c r="O428">
        <v>1.042</v>
      </c>
      <c r="P428" s="1"/>
      <c r="Q428" s="2">
        <v>0.01</v>
      </c>
    </row>
    <row r="429" spans="1:17" x14ac:dyDescent="0.2">
      <c r="A429">
        <v>782</v>
      </c>
      <c r="B429">
        <v>24</v>
      </c>
      <c r="C429" t="s">
        <v>781</v>
      </c>
      <c r="D429" s="13" t="s">
        <v>913</v>
      </c>
      <c r="E429" s="1">
        <v>2.2806103566889799</v>
      </c>
      <c r="F429" s="1">
        <v>1.11028074111247</v>
      </c>
      <c r="G429">
        <f>VLOOKUP(C429,'[1]phenotypes-895'!$A$2:$G$896,7,FALSE)</f>
        <v>72</v>
      </c>
      <c r="H429" s="1">
        <v>3.5911159596077297E-2</v>
      </c>
      <c r="I429" s="1">
        <f>VLOOKUP(C429,'[1]phenotypes-895'!$A$2:$I$896,9,FALSE)</f>
        <v>0.73415592926575191</v>
      </c>
      <c r="J429" s="1"/>
      <c r="K429" s="4">
        <v>4.6888752522850545</v>
      </c>
      <c r="L429" s="1"/>
      <c r="M429" s="8">
        <v>1</v>
      </c>
      <c r="N429" s="1"/>
      <c r="O429">
        <v>1.18</v>
      </c>
      <c r="P429" s="1"/>
      <c r="Q429" s="2">
        <v>0.05</v>
      </c>
    </row>
    <row r="430" spans="1:17" x14ac:dyDescent="0.2">
      <c r="A430">
        <v>310</v>
      </c>
      <c r="B430">
        <v>48</v>
      </c>
      <c r="C430" t="s">
        <v>309</v>
      </c>
      <c r="D430" s="13" t="s">
        <v>912</v>
      </c>
      <c r="E430" s="1">
        <v>-0.79383993375065098</v>
      </c>
      <c r="F430" s="1">
        <v>1.1065747329205</v>
      </c>
      <c r="G430">
        <f>VLOOKUP(C430,'[1]phenotypes-895'!$A$2:$G$896,7,FALSE)</f>
        <v>79</v>
      </c>
      <c r="H430" s="1">
        <v>4.3583007801869703E-2</v>
      </c>
      <c r="I430" s="1">
        <f>VLOOKUP(C430,'[1]phenotypes-895'!$A$2:$I$896,9,FALSE)</f>
        <v>0.41153212886919738</v>
      </c>
      <c r="J430" s="1"/>
      <c r="K430" s="4">
        <v>4.5256514353501389</v>
      </c>
      <c r="L430" s="1"/>
      <c r="M430" s="8">
        <v>1</v>
      </c>
      <c r="N430" s="1"/>
      <c r="O430">
        <v>0.57599999999999996</v>
      </c>
      <c r="P430" s="1"/>
      <c r="Q430" s="2">
        <v>-0.18</v>
      </c>
    </row>
    <row r="431" spans="1:17" x14ac:dyDescent="0.2">
      <c r="A431">
        <v>441</v>
      </c>
      <c r="B431">
        <v>40</v>
      </c>
      <c r="C431" t="s">
        <v>440</v>
      </c>
      <c r="D431" s="13" t="s">
        <v>913</v>
      </c>
      <c r="E431" s="1">
        <v>0.67220981406346303</v>
      </c>
      <c r="F431" s="1">
        <v>1.0931138034105901</v>
      </c>
      <c r="G431">
        <f>VLOOKUP(C431,'[1]phenotypes-895'!$A$2:$G$896,7,FALSE)</f>
        <v>98</v>
      </c>
      <c r="H431" s="1">
        <v>-2.22461062612609E-2</v>
      </c>
      <c r="I431" s="1">
        <f>VLOOKUP(C431,'[1]phenotypes-895'!$A$2:$I$896,9,FALSE)</f>
        <v>0</v>
      </c>
      <c r="J431" s="1"/>
      <c r="K431" s="4">
        <v>0</v>
      </c>
      <c r="L431" s="1"/>
      <c r="M431" s="8">
        <v>0</v>
      </c>
      <c r="N431" s="1"/>
      <c r="O431">
        <v>1</v>
      </c>
      <c r="P431" s="1"/>
      <c r="Q431" s="2">
        <v>0</v>
      </c>
    </row>
    <row r="432" spans="1:17" x14ac:dyDescent="0.2">
      <c r="A432">
        <v>837</v>
      </c>
      <c r="B432">
        <v>28</v>
      </c>
      <c r="C432" t="s">
        <v>836</v>
      </c>
      <c r="D432" s="13" t="s">
        <v>913</v>
      </c>
      <c r="E432" s="1">
        <v>0.56388042672374405</v>
      </c>
      <c r="F432" s="1">
        <v>1.0909658610669299</v>
      </c>
      <c r="G432">
        <f>VLOOKUP(C432,'[1]phenotypes-895'!$A$2:$G$896,7,FALSE)</f>
        <v>65</v>
      </c>
      <c r="H432" s="1">
        <v>2.3323209371113002E-3</v>
      </c>
      <c r="I432" s="1">
        <f>VLOOKUP(C432,'[1]phenotypes-895'!$A$2:$I$896,9,FALSE)</f>
        <v>0.53718596819986753</v>
      </c>
      <c r="J432" s="1"/>
      <c r="K432" s="4">
        <v>4.3688969648014782</v>
      </c>
      <c r="L432" s="1"/>
      <c r="M432" s="8">
        <v>1</v>
      </c>
      <c r="N432" s="1"/>
      <c r="O432">
        <v>1.39</v>
      </c>
      <c r="P432" s="1"/>
      <c r="Q432" s="2">
        <v>0.1</v>
      </c>
    </row>
    <row r="433" spans="1:17" x14ac:dyDescent="0.2">
      <c r="A433">
        <v>652</v>
      </c>
      <c r="B433">
        <v>23</v>
      </c>
      <c r="C433" t="s">
        <v>651</v>
      </c>
      <c r="D433" s="13" t="s">
        <v>913</v>
      </c>
      <c r="E433" s="1">
        <v>-8.1424846880177204E-2</v>
      </c>
      <c r="F433" s="1">
        <v>1.07997586484136</v>
      </c>
      <c r="G433">
        <f>VLOOKUP(C433,'[1]phenotypes-895'!$A$2:$G$896,7,FALSE)</f>
        <v>98</v>
      </c>
      <c r="H433" s="1">
        <v>-4.1298675243905E-2</v>
      </c>
      <c r="I433" s="1">
        <f>VLOOKUP(C433,'[1]phenotypes-895'!$A$2:$I$896,9,FALSE)</f>
        <v>0</v>
      </c>
      <c r="J433" s="1"/>
      <c r="K433" s="4">
        <v>0</v>
      </c>
      <c r="L433" s="1"/>
      <c r="M433" s="8">
        <v>0</v>
      </c>
      <c r="N433" s="1"/>
      <c r="O433">
        <v>1.2050000000000001</v>
      </c>
      <c r="P433" s="1"/>
      <c r="Q433" s="2">
        <v>0.06</v>
      </c>
    </row>
    <row r="434" spans="1:17" x14ac:dyDescent="0.2">
      <c r="A434">
        <v>436</v>
      </c>
      <c r="B434">
        <v>41</v>
      </c>
      <c r="C434" t="s">
        <v>435</v>
      </c>
      <c r="D434" s="13" t="s">
        <v>912</v>
      </c>
      <c r="E434" s="1">
        <v>1.11952179074268</v>
      </c>
      <c r="F434" s="1">
        <v>1.0749524787390099</v>
      </c>
      <c r="G434">
        <f>VLOOKUP(C434,'[1]phenotypes-895'!$A$2:$G$896,7,FALSE)</f>
        <v>98</v>
      </c>
      <c r="H434" s="1">
        <v>3.7313583193709999E-3</v>
      </c>
      <c r="I434" s="1">
        <f>VLOOKUP(C434,'[1]phenotypes-895'!$A$2:$I$896,9,FALSE)</f>
        <v>0</v>
      </c>
      <c r="J434" s="1"/>
      <c r="K434" s="4">
        <v>0</v>
      </c>
      <c r="L434" s="1"/>
      <c r="M434" s="8">
        <v>0</v>
      </c>
      <c r="N434" s="1"/>
      <c r="O434">
        <v>1.294</v>
      </c>
      <c r="P434" s="1"/>
      <c r="Q434" s="2">
        <v>0.08</v>
      </c>
    </row>
    <row r="435" spans="1:17" x14ac:dyDescent="0.2">
      <c r="A435">
        <v>625</v>
      </c>
      <c r="B435">
        <v>30</v>
      </c>
      <c r="C435" t="s">
        <v>624</v>
      </c>
      <c r="D435" s="13" t="s">
        <v>913</v>
      </c>
      <c r="E435" s="1">
        <v>2.39405775893918</v>
      </c>
      <c r="F435" s="1">
        <v>1.0370870191408299</v>
      </c>
      <c r="G435">
        <f>VLOOKUP(C435,'[1]phenotypes-895'!$A$2:$G$896,7,FALSE)</f>
        <v>98</v>
      </c>
      <c r="H435" s="1">
        <v>-3.4907839533519801E-2</v>
      </c>
      <c r="I435" s="1">
        <f>VLOOKUP(C435,'[1]phenotypes-895'!$A$2:$I$896,9,FALSE)</f>
        <v>0</v>
      </c>
      <c r="J435" s="1"/>
      <c r="K435" s="4">
        <v>0</v>
      </c>
      <c r="L435" s="1"/>
      <c r="M435" s="8">
        <v>0</v>
      </c>
      <c r="N435" s="1"/>
      <c r="O435">
        <v>1.0609999999999999</v>
      </c>
      <c r="P435" s="1"/>
      <c r="Q435" s="2">
        <v>0.02</v>
      </c>
    </row>
    <row r="436" spans="1:17" x14ac:dyDescent="0.2">
      <c r="A436">
        <v>858</v>
      </c>
      <c r="B436">
        <v>32</v>
      </c>
      <c r="C436" t="s">
        <v>857</v>
      </c>
      <c r="D436" s="13" t="s">
        <v>913</v>
      </c>
      <c r="E436" s="1">
        <v>1.25092646304569</v>
      </c>
      <c r="F436" s="1">
        <v>0.98233546718481901</v>
      </c>
      <c r="G436">
        <f>VLOOKUP(C436,'[1]phenotypes-895'!$A$2:$G$896,7,FALSE)</f>
        <v>49</v>
      </c>
      <c r="H436" s="1">
        <v>1.39318403111601E-2</v>
      </c>
      <c r="I436" s="1">
        <f>VLOOKUP(C436,'[1]phenotypes-895'!$A$2:$I$896,9,FALSE)</f>
        <v>0.5399577401947</v>
      </c>
      <c r="J436" s="1"/>
      <c r="K436" s="4">
        <v>3.5242779722584245</v>
      </c>
      <c r="L436" s="1"/>
      <c r="M436" s="8">
        <v>1</v>
      </c>
      <c r="N436" s="1"/>
      <c r="O436">
        <v>1.042</v>
      </c>
      <c r="P436" s="1"/>
      <c r="Q436" s="2">
        <v>0.01</v>
      </c>
    </row>
    <row r="437" spans="1:17" x14ac:dyDescent="0.2">
      <c r="A437">
        <v>598</v>
      </c>
      <c r="B437">
        <v>25</v>
      </c>
      <c r="C437" t="s">
        <v>597</v>
      </c>
      <c r="D437" s="13" t="s">
        <v>913</v>
      </c>
      <c r="E437" s="1">
        <v>2.52414812960065</v>
      </c>
      <c r="F437" s="1">
        <v>0.953866007143789</v>
      </c>
      <c r="G437">
        <f>VLOOKUP(C437,'[1]phenotypes-895'!$A$2:$G$896,7,FALSE)</f>
        <v>56</v>
      </c>
      <c r="H437" s="1">
        <v>-4.2475268318588902E-2</v>
      </c>
      <c r="I437" s="1">
        <f>VLOOKUP(C437,'[1]phenotypes-895'!$A$2:$I$896,9,FALSE)</f>
        <v>0.50598178206916145</v>
      </c>
      <c r="J437" s="1"/>
      <c r="K437" s="4">
        <v>3.783834181962078</v>
      </c>
      <c r="L437" s="1"/>
      <c r="M437" s="8">
        <v>1</v>
      </c>
      <c r="N437" s="1"/>
      <c r="O437">
        <v>1.0529999999999999</v>
      </c>
      <c r="P437" s="1"/>
      <c r="Q437" s="2">
        <v>0.02</v>
      </c>
    </row>
    <row r="438" spans="1:17" x14ac:dyDescent="0.2">
      <c r="A438">
        <v>877</v>
      </c>
      <c r="B438">
        <v>37</v>
      </c>
      <c r="C438" t="s">
        <v>876</v>
      </c>
      <c r="D438" s="13" t="s">
        <v>913</v>
      </c>
      <c r="E438" s="1">
        <v>5.8264487502995399E-2</v>
      </c>
      <c r="F438" s="1">
        <v>0.95320154298723203</v>
      </c>
      <c r="G438">
        <f>VLOOKUP(C438,'[1]phenotypes-895'!$A$2:$G$896,7,FALSE)</f>
        <v>64</v>
      </c>
      <c r="H438" s="1">
        <v>-1.1526959819777499E-2</v>
      </c>
      <c r="I438" s="1">
        <f>VLOOKUP(C438,'[1]phenotypes-895'!$A$2:$I$896,9,FALSE)</f>
        <v>0.54976842898091716</v>
      </c>
      <c r="J438" s="1"/>
      <c r="K438" s="4">
        <v>4.5209377246095581</v>
      </c>
      <c r="L438" s="1"/>
      <c r="M438" s="8">
        <v>1</v>
      </c>
      <c r="N438" s="1"/>
      <c r="O438">
        <v>1.173</v>
      </c>
      <c r="P438" s="1"/>
      <c r="Q438" s="2">
        <v>0.05</v>
      </c>
    </row>
    <row r="439" spans="1:17" x14ac:dyDescent="0.2">
      <c r="A439">
        <v>752</v>
      </c>
      <c r="B439">
        <v>32</v>
      </c>
      <c r="C439" t="s">
        <v>751</v>
      </c>
      <c r="D439" s="13" t="s">
        <v>913</v>
      </c>
      <c r="E439" s="1">
        <v>1.71305691460565</v>
      </c>
      <c r="F439" s="1">
        <v>0.94554839333212004</v>
      </c>
      <c r="G439">
        <f>VLOOKUP(C439,'[1]phenotypes-895'!$A$2:$G$896,7,FALSE)</f>
        <v>63</v>
      </c>
      <c r="H439" s="1">
        <v>-5.3465630980905003E-2</v>
      </c>
      <c r="I439" s="1">
        <f>VLOOKUP(C439,'[1]phenotypes-895'!$A$2:$I$896,9,FALSE)</f>
        <v>0.4141351145470582</v>
      </c>
      <c r="J439" s="1"/>
      <c r="K439" s="4">
        <v>4.1615180626290282</v>
      </c>
      <c r="L439" s="1"/>
      <c r="M439" s="8">
        <v>1</v>
      </c>
      <c r="N439" s="1"/>
      <c r="O439">
        <v>0.42599999999999999</v>
      </c>
      <c r="P439" s="1"/>
      <c r="Q439" s="2">
        <v>-0.28999999999999998</v>
      </c>
    </row>
    <row r="440" spans="1:17" x14ac:dyDescent="0.2">
      <c r="A440">
        <v>577</v>
      </c>
      <c r="B440">
        <v>42</v>
      </c>
      <c r="C440" t="s">
        <v>576</v>
      </c>
      <c r="D440" s="13" t="s">
        <v>912</v>
      </c>
      <c r="E440" s="1">
        <v>-1.5447678041896</v>
      </c>
      <c r="F440" s="1">
        <v>0.92476001871170399</v>
      </c>
      <c r="G440">
        <f>VLOOKUP(C440,'[1]phenotypes-895'!$A$2:$G$896,7,FALSE)</f>
        <v>67</v>
      </c>
      <c r="H440" s="1">
        <v>5.5761818817644603E-2</v>
      </c>
      <c r="I440" s="1">
        <f>VLOOKUP(C440,'[1]phenotypes-895'!$A$2:$I$896,9,FALSE)</f>
        <v>0.54270428810878979</v>
      </c>
      <c r="J440" s="1"/>
      <c r="K440" s="4">
        <v>4.100880994729474</v>
      </c>
      <c r="L440" s="1"/>
      <c r="M440" s="8">
        <v>1</v>
      </c>
      <c r="N440" s="1"/>
      <c r="O440">
        <v>0.67100000000000004</v>
      </c>
      <c r="P440" s="1"/>
      <c r="Q440" s="2">
        <v>-0.13</v>
      </c>
    </row>
    <row r="441" spans="1:17" x14ac:dyDescent="0.2">
      <c r="A441">
        <v>883</v>
      </c>
      <c r="B441">
        <v>22</v>
      </c>
      <c r="C441" t="s">
        <v>882</v>
      </c>
      <c r="D441" s="13" t="s">
        <v>913</v>
      </c>
      <c r="E441" s="1">
        <v>9.8550904062514794E-2</v>
      </c>
      <c r="F441" s="1">
        <v>0.92316351415480802</v>
      </c>
      <c r="G441">
        <f>VLOOKUP(C441,'[1]phenotypes-895'!$A$2:$G$896,7,FALSE)</f>
        <v>98</v>
      </c>
      <c r="H441" s="1">
        <v>-1.4990042532522301E-2</v>
      </c>
      <c r="I441" s="1">
        <f>VLOOKUP(C441,'[1]phenotypes-895'!$A$2:$I$896,9,FALSE)</f>
        <v>0</v>
      </c>
      <c r="J441" s="1"/>
      <c r="K441" s="4">
        <v>0</v>
      </c>
      <c r="L441" s="1"/>
      <c r="M441" s="8">
        <v>0</v>
      </c>
      <c r="N441" s="1"/>
      <c r="O441">
        <v>1.21</v>
      </c>
      <c r="P441" s="1"/>
      <c r="Q441" s="2">
        <v>0.06</v>
      </c>
    </row>
    <row r="442" spans="1:17" x14ac:dyDescent="0.2">
      <c r="A442">
        <v>331</v>
      </c>
      <c r="B442">
        <v>9</v>
      </c>
      <c r="C442" t="s">
        <v>330</v>
      </c>
      <c r="D442" s="12" t="s">
        <v>912</v>
      </c>
      <c r="E442" s="1">
        <v>3.01965426052304E-2</v>
      </c>
      <c r="F442" s="1">
        <v>0.89943391930607297</v>
      </c>
      <c r="G442">
        <f>VLOOKUP(C442,'[1]phenotypes-895'!$A$2:$G$896,7,FALSE)</f>
        <v>98</v>
      </c>
      <c r="H442" s="1">
        <v>-2.97001124277642E-2</v>
      </c>
      <c r="I442" s="1">
        <f>VLOOKUP(C442,'[1]phenotypes-895'!$A$2:$I$896,9,FALSE)</f>
        <v>0</v>
      </c>
      <c r="J442" s="1"/>
      <c r="K442" s="4">
        <v>0</v>
      </c>
      <c r="L442" s="1"/>
      <c r="M442" s="8">
        <v>0</v>
      </c>
      <c r="N442" s="1"/>
      <c r="O442" s="6">
        <v>1.123</v>
      </c>
      <c r="P442" s="1"/>
      <c r="Q442" s="7">
        <v>0.04</v>
      </c>
    </row>
    <row r="443" spans="1:17" x14ac:dyDescent="0.2">
      <c r="A443">
        <v>796</v>
      </c>
      <c r="B443">
        <v>31</v>
      </c>
      <c r="C443" t="s">
        <v>795</v>
      </c>
      <c r="D443" s="13" t="s">
        <v>913</v>
      </c>
      <c r="E443" s="1">
        <v>1.1244739412060001</v>
      </c>
      <c r="F443" s="1">
        <v>0.87098188485841699</v>
      </c>
      <c r="G443">
        <f>VLOOKUP(C443,'[1]phenotypes-895'!$A$2:$G$896,7,FALSE)</f>
        <v>98</v>
      </c>
      <c r="H443" s="1">
        <v>-9.2821023548644108E-3</v>
      </c>
      <c r="I443" s="1">
        <f>VLOOKUP(C443,'[1]phenotypes-895'!$A$2:$I$896,9,FALSE)</f>
        <v>0.27272205114136638</v>
      </c>
      <c r="J443" s="1"/>
      <c r="K443" s="4">
        <v>4.2239237929473878</v>
      </c>
      <c r="L443" s="1"/>
      <c r="M443" s="8">
        <v>1</v>
      </c>
      <c r="N443" s="1"/>
      <c r="O443">
        <v>1.0389999999999999</v>
      </c>
      <c r="P443" s="1"/>
      <c r="Q443" s="2">
        <v>0.01</v>
      </c>
    </row>
    <row r="444" spans="1:17" x14ac:dyDescent="0.2">
      <c r="A444">
        <v>393</v>
      </c>
      <c r="B444">
        <v>54</v>
      </c>
      <c r="C444" t="s">
        <v>392</v>
      </c>
      <c r="D444" s="13" t="s">
        <v>912</v>
      </c>
      <c r="E444" s="1">
        <v>-0.42535324483939002</v>
      </c>
      <c r="F444" s="1">
        <v>0.87065969680237498</v>
      </c>
      <c r="G444">
        <f>VLOOKUP(C444,'[1]phenotypes-895'!$A$2:$G$896,7,FALSE)</f>
        <v>76</v>
      </c>
      <c r="H444" s="1">
        <v>-1.5115786578901501E-3</v>
      </c>
      <c r="I444" s="1">
        <f>VLOOKUP(C444,'[1]phenotypes-895'!$A$2:$I$896,9,FALSE)</f>
        <v>0.3526359334354604</v>
      </c>
      <c r="J444" s="1"/>
      <c r="K444" s="4">
        <v>4.1384231408701231</v>
      </c>
      <c r="L444" s="1"/>
      <c r="M444" s="8">
        <v>1</v>
      </c>
      <c r="N444" s="1"/>
      <c r="O444">
        <v>0.79600000000000004</v>
      </c>
      <c r="P444" s="1"/>
      <c r="Q444" s="2">
        <v>-7.0000000000000007E-2</v>
      </c>
    </row>
    <row r="445" spans="1:17" x14ac:dyDescent="0.2">
      <c r="A445">
        <v>487</v>
      </c>
      <c r="B445">
        <v>48</v>
      </c>
      <c r="C445" t="s">
        <v>486</v>
      </c>
      <c r="D445" s="13" t="s">
        <v>912</v>
      </c>
      <c r="E445" s="1">
        <v>0.52397697926355502</v>
      </c>
      <c r="F445" s="1">
        <v>0.84480627309080203</v>
      </c>
      <c r="G445">
        <f>VLOOKUP(C445,'[1]phenotypes-895'!$A$2:$G$896,7,FALSE)</f>
        <v>98</v>
      </c>
      <c r="H445" s="1">
        <v>2.84440453503212E-2</v>
      </c>
      <c r="I445" s="1">
        <f>VLOOKUP(C445,'[1]phenotypes-895'!$A$2:$I$896,9,FALSE)</f>
        <v>0.26625446186625967</v>
      </c>
      <c r="J445" s="1"/>
      <c r="K445" s="4">
        <v>4.562500181518522</v>
      </c>
      <c r="L445" s="1"/>
      <c r="M445" s="8">
        <v>1</v>
      </c>
      <c r="N445" s="1"/>
      <c r="O445">
        <v>0.88100000000000001</v>
      </c>
      <c r="P445" s="1"/>
      <c r="Q445" s="2">
        <v>-0.04</v>
      </c>
    </row>
    <row r="446" spans="1:17" x14ac:dyDescent="0.2">
      <c r="A446">
        <v>618</v>
      </c>
      <c r="B446">
        <v>42</v>
      </c>
      <c r="C446" t="s">
        <v>617</v>
      </c>
      <c r="D446" s="13" t="s">
        <v>912</v>
      </c>
      <c r="E446" s="1">
        <v>-0.86272976180727701</v>
      </c>
      <c r="F446" s="1">
        <v>0.80915765913900095</v>
      </c>
      <c r="G446">
        <f>VLOOKUP(C446,'[1]phenotypes-895'!$A$2:$G$896,7,FALSE)</f>
        <v>86</v>
      </c>
      <c r="H446" s="1">
        <v>5.7256862315635697E-2</v>
      </c>
      <c r="I446" s="1">
        <f>VLOOKUP(C446,'[1]phenotypes-895'!$A$2:$I$896,9,FALSE)</f>
        <v>0.31277665532643428</v>
      </c>
      <c r="J446" s="1"/>
      <c r="K446" s="4">
        <v>3.803552603724532</v>
      </c>
      <c r="L446" s="1"/>
      <c r="M446" s="8">
        <v>1</v>
      </c>
      <c r="N446" s="1"/>
      <c r="O446">
        <v>0.63300000000000001</v>
      </c>
      <c r="P446" s="1"/>
      <c r="Q446" s="2">
        <v>-0.15</v>
      </c>
    </row>
    <row r="447" spans="1:17" x14ac:dyDescent="0.2">
      <c r="A447">
        <v>656</v>
      </c>
      <c r="B447">
        <v>26</v>
      </c>
      <c r="C447" t="s">
        <v>655</v>
      </c>
      <c r="D447" s="13" t="s">
        <v>913</v>
      </c>
      <c r="E447" s="1">
        <v>0.30245957488110398</v>
      </c>
      <c r="F447" s="1">
        <v>0.78516203681102703</v>
      </c>
      <c r="G447">
        <f>VLOOKUP(C447,'[1]phenotypes-895'!$A$2:$G$896,7,FALSE)</f>
        <v>98</v>
      </c>
      <c r="H447" s="1">
        <v>1.37222970484135E-2</v>
      </c>
      <c r="I447" s="1">
        <f>VLOOKUP(C447,'[1]phenotypes-895'!$A$2:$I$896,9,FALSE)</f>
        <v>0.14081057616575959</v>
      </c>
      <c r="J447" s="1"/>
      <c r="K447" s="4">
        <v>2.6942668643044079</v>
      </c>
      <c r="L447" s="1"/>
      <c r="M447" s="8">
        <v>1</v>
      </c>
      <c r="N447" s="1"/>
      <c r="O447">
        <v>0.98699999999999999</v>
      </c>
      <c r="P447" s="1"/>
      <c r="Q447" s="2">
        <v>0</v>
      </c>
    </row>
    <row r="448" spans="1:17" x14ac:dyDescent="0.2">
      <c r="A448">
        <v>670</v>
      </c>
      <c r="B448">
        <v>42</v>
      </c>
      <c r="C448" t="s">
        <v>669</v>
      </c>
      <c r="D448" s="13" t="s">
        <v>912</v>
      </c>
      <c r="E448" s="1">
        <v>-1.6957890500202599</v>
      </c>
      <c r="F448" s="1">
        <v>0.77463730758801097</v>
      </c>
      <c r="G448">
        <f>VLOOKUP(C448,'[1]phenotypes-895'!$A$2:$G$896,7,FALSE)</f>
        <v>65</v>
      </c>
      <c r="H448" s="1">
        <v>2.4401534203917601E-2</v>
      </c>
      <c r="I448" s="1">
        <f>VLOOKUP(C448,'[1]phenotypes-895'!$A$2:$I$896,9,FALSE)</f>
        <v>0.33530787730354228</v>
      </c>
      <c r="J448" s="1"/>
      <c r="K448" s="4">
        <v>3.473641609758034</v>
      </c>
      <c r="L448" s="1"/>
      <c r="M448" s="8">
        <v>1</v>
      </c>
      <c r="N448" s="1"/>
      <c r="O448">
        <v>0.58299999999999996</v>
      </c>
      <c r="P448" s="1"/>
      <c r="Q448" s="2">
        <v>-0.18</v>
      </c>
    </row>
    <row r="449" spans="1:17" x14ac:dyDescent="0.2">
      <c r="A449">
        <v>825</v>
      </c>
      <c r="B449">
        <v>35</v>
      </c>
      <c r="C449" t="s">
        <v>824</v>
      </c>
      <c r="D449" s="13" t="s">
        <v>913</v>
      </c>
      <c r="E449" s="1">
        <v>0.65146277591115498</v>
      </c>
      <c r="F449" s="1">
        <v>0.76983496546413799</v>
      </c>
      <c r="G449">
        <f>VLOOKUP(C449,'[1]phenotypes-895'!$A$2:$G$896,7,FALSE)</f>
        <v>63</v>
      </c>
      <c r="H449" s="1">
        <v>-8.5330690472661994E-2</v>
      </c>
      <c r="I449" s="1">
        <f>VLOOKUP(C449,'[1]phenotypes-895'!$A$2:$I$896,9,FALSE)</f>
        <v>0.53521648091880281</v>
      </c>
      <c r="J449" s="1"/>
      <c r="K449" s="4">
        <v>4.490982392747938</v>
      </c>
      <c r="L449" s="1"/>
      <c r="M449" s="8">
        <v>1</v>
      </c>
      <c r="N449" s="1"/>
      <c r="O449">
        <v>1.036</v>
      </c>
      <c r="P449" s="1"/>
      <c r="Q449" s="2">
        <v>0.01</v>
      </c>
    </row>
    <row r="450" spans="1:17" x14ac:dyDescent="0.2">
      <c r="A450">
        <v>418</v>
      </c>
      <c r="B450">
        <v>42</v>
      </c>
      <c r="C450" t="s">
        <v>417</v>
      </c>
      <c r="D450" s="13" t="s">
        <v>912</v>
      </c>
      <c r="E450" s="1">
        <v>-1.4036679095246001</v>
      </c>
      <c r="F450" s="1">
        <v>0.76305074285948304</v>
      </c>
      <c r="G450">
        <f>VLOOKUP(C450,'[1]phenotypes-895'!$A$2:$G$896,7,FALSE)</f>
        <v>98</v>
      </c>
      <c r="H450" s="1">
        <v>1.56191305852817E-3</v>
      </c>
      <c r="I450" s="1">
        <f>VLOOKUP(C450,'[1]phenotypes-895'!$A$2:$I$896,9,FALSE)</f>
        <v>0</v>
      </c>
      <c r="J450" s="1"/>
      <c r="K450" s="4">
        <v>0</v>
      </c>
      <c r="L450" s="1"/>
      <c r="M450" s="8">
        <v>0</v>
      </c>
      <c r="N450" s="1"/>
      <c r="O450">
        <v>0.85099999999999998</v>
      </c>
      <c r="P450" s="1"/>
      <c r="Q450" s="2">
        <v>-0.05</v>
      </c>
    </row>
    <row r="451" spans="1:17" x14ac:dyDescent="0.2">
      <c r="A451">
        <v>771</v>
      </c>
      <c r="B451">
        <v>21</v>
      </c>
      <c r="C451" t="s">
        <v>770</v>
      </c>
      <c r="D451" s="13" t="s">
        <v>913</v>
      </c>
      <c r="E451" s="1">
        <v>1.7054820304362099</v>
      </c>
      <c r="F451" s="1">
        <v>0.712858032803519</v>
      </c>
      <c r="G451">
        <f>VLOOKUP(C451,'[1]phenotypes-895'!$A$2:$G$896,7,FALSE)</f>
        <v>98</v>
      </c>
      <c r="H451" s="1">
        <v>-3.12031533344648E-2</v>
      </c>
      <c r="I451" s="1">
        <f>VLOOKUP(C451,'[1]phenotypes-895'!$A$2:$I$896,9,FALSE)</f>
        <v>0</v>
      </c>
      <c r="J451" s="1"/>
      <c r="K451" s="4">
        <v>0</v>
      </c>
      <c r="L451" s="1"/>
      <c r="M451" s="8">
        <v>0</v>
      </c>
      <c r="N451" s="1"/>
      <c r="O451">
        <v>1.073</v>
      </c>
      <c r="P451" s="1"/>
      <c r="Q451" s="2">
        <v>0.02</v>
      </c>
    </row>
    <row r="452" spans="1:17" x14ac:dyDescent="0.2">
      <c r="A452">
        <v>215</v>
      </c>
      <c r="B452">
        <v>7</v>
      </c>
      <c r="C452" t="s">
        <v>214</v>
      </c>
      <c r="D452" s="12" t="s">
        <v>913</v>
      </c>
      <c r="E452" s="1">
        <v>2.3411176263536801</v>
      </c>
      <c r="F452" s="1">
        <v>0.68853101170255304</v>
      </c>
      <c r="G452">
        <f>VLOOKUP(C452,'[1]phenotypes-895'!$A$2:$G$896,7,FALSE)</f>
        <v>98</v>
      </c>
      <c r="H452" s="1">
        <v>-3.8103413342861402E-2</v>
      </c>
      <c r="I452" s="1">
        <f>VLOOKUP(C452,'[1]phenotypes-895'!$A$2:$I$896,9,FALSE)</f>
        <v>0</v>
      </c>
      <c r="J452" s="1"/>
      <c r="K452" s="4">
        <v>0</v>
      </c>
      <c r="L452" s="1"/>
      <c r="M452" s="8">
        <v>0</v>
      </c>
      <c r="N452" s="1"/>
      <c r="O452" s="6">
        <v>1.4</v>
      </c>
      <c r="P452" s="1"/>
      <c r="Q452" s="7">
        <v>0.1</v>
      </c>
    </row>
    <row r="453" spans="1:17" x14ac:dyDescent="0.2">
      <c r="A453">
        <v>60</v>
      </c>
      <c r="B453">
        <v>18</v>
      </c>
      <c r="C453" t="s">
        <v>59</v>
      </c>
      <c r="D453" s="12" t="s">
        <v>912</v>
      </c>
      <c r="E453" s="1">
        <v>-0.52604636779986302</v>
      </c>
      <c r="F453" s="1">
        <v>0.66490176334198303</v>
      </c>
      <c r="G453">
        <f>VLOOKUP(C453,'[1]phenotypes-895'!$A$2:$G$896,7,FALSE)</f>
        <v>88</v>
      </c>
      <c r="H453" s="1">
        <v>3.0949327881514499E-2</v>
      </c>
      <c r="I453" s="1">
        <f>VLOOKUP(C453,'[1]phenotypes-895'!$A$2:$I$896,9,FALSE)</f>
        <v>0.2183896245111589</v>
      </c>
      <c r="J453" s="1"/>
      <c r="K453" s="4">
        <v>4.2908675957823332</v>
      </c>
      <c r="L453" s="1"/>
      <c r="M453" s="8">
        <v>1</v>
      </c>
      <c r="N453" s="1"/>
      <c r="O453" s="6">
        <v>1.238</v>
      </c>
      <c r="P453" s="1"/>
      <c r="Q453" s="7">
        <v>7.0000000000000007E-2</v>
      </c>
    </row>
    <row r="454" spans="1:17" x14ac:dyDescent="0.2">
      <c r="A454">
        <v>833</v>
      </c>
      <c r="B454">
        <v>25</v>
      </c>
      <c r="C454" t="s">
        <v>832</v>
      </c>
      <c r="D454" s="13" t="s">
        <v>913</v>
      </c>
      <c r="E454" s="1">
        <v>1.8759022749377099</v>
      </c>
      <c r="F454" s="1">
        <v>0.63737329064150905</v>
      </c>
      <c r="G454">
        <f>VLOOKUP(C454,'[1]phenotypes-895'!$A$2:$G$896,7,FALSE)</f>
        <v>98</v>
      </c>
      <c r="H454" s="1">
        <v>-1.6812692403007801E-2</v>
      </c>
      <c r="I454" s="1">
        <f>VLOOKUP(C454,'[1]phenotypes-895'!$A$2:$I$896,9,FALSE)</f>
        <v>0.1040114809420505</v>
      </c>
      <c r="J454" s="1"/>
      <c r="K454" s="4">
        <v>2.3357852090945346</v>
      </c>
      <c r="L454" s="1"/>
      <c r="M454" s="8">
        <v>1</v>
      </c>
      <c r="N454" s="1"/>
      <c r="O454">
        <v>0.98699999999999999</v>
      </c>
      <c r="P454" s="1"/>
      <c r="Q454" s="2">
        <v>0</v>
      </c>
    </row>
    <row r="455" spans="1:17" x14ac:dyDescent="0.2">
      <c r="A455">
        <v>822</v>
      </c>
      <c r="B455">
        <v>50</v>
      </c>
      <c r="C455" t="s">
        <v>821</v>
      </c>
      <c r="D455" s="13" t="s">
        <v>912</v>
      </c>
      <c r="E455" s="1">
        <v>-1.01810474177253</v>
      </c>
      <c r="F455" s="1">
        <v>0.63531466579318197</v>
      </c>
      <c r="G455">
        <f>VLOOKUP(C455,'[1]phenotypes-895'!$A$2:$G$896,7,FALSE)</f>
        <v>81</v>
      </c>
      <c r="H455" s="1">
        <v>1.14880741412796E-2</v>
      </c>
      <c r="I455" s="1">
        <f>VLOOKUP(C455,'[1]phenotypes-895'!$A$2:$I$896,9,FALSE)</f>
        <v>0.3179550022886356</v>
      </c>
      <c r="J455" s="1"/>
      <c r="K455" s="4">
        <v>4.1487927841532439</v>
      </c>
      <c r="L455" s="1"/>
      <c r="M455" s="8">
        <v>1</v>
      </c>
      <c r="N455" s="1"/>
      <c r="O455">
        <v>0.55800000000000005</v>
      </c>
      <c r="P455" s="1"/>
      <c r="Q455" s="2">
        <v>-0.2</v>
      </c>
    </row>
    <row r="456" spans="1:17" x14ac:dyDescent="0.2">
      <c r="A456">
        <v>720</v>
      </c>
      <c r="B456">
        <v>39</v>
      </c>
      <c r="C456" t="s">
        <v>719</v>
      </c>
      <c r="D456" s="13" t="s">
        <v>913</v>
      </c>
      <c r="E456" s="1">
        <v>1.80674549702573</v>
      </c>
      <c r="F456" s="1">
        <v>0.631928469442119</v>
      </c>
      <c r="G456">
        <f>VLOOKUP(C456,'[1]phenotypes-895'!$A$2:$G$896,7,FALSE)</f>
        <v>51</v>
      </c>
      <c r="H456" s="1">
        <v>-7.1443604762924495E-2</v>
      </c>
      <c r="I456" s="1">
        <f>VLOOKUP(C456,'[1]phenotypes-895'!$A$2:$I$896,9,FALSE)</f>
        <v>0.19845796419441189</v>
      </c>
      <c r="J456" s="1"/>
      <c r="K456" s="4">
        <v>3.6880896418220011</v>
      </c>
      <c r="L456" s="1"/>
      <c r="M456" s="8">
        <v>1</v>
      </c>
      <c r="N456" s="1"/>
      <c r="O456">
        <v>1.1879999999999999</v>
      </c>
      <c r="P456" s="1"/>
      <c r="Q456" s="2">
        <v>0.05</v>
      </c>
    </row>
    <row r="457" spans="1:17" x14ac:dyDescent="0.2">
      <c r="A457">
        <v>776</v>
      </c>
      <c r="B457">
        <v>23</v>
      </c>
      <c r="C457" t="s">
        <v>775</v>
      </c>
      <c r="D457" s="13" t="s">
        <v>913</v>
      </c>
      <c r="E457" s="1">
        <v>0.86189656970012796</v>
      </c>
      <c r="F457" s="1">
        <v>0.57574677934123797</v>
      </c>
      <c r="G457">
        <f>VLOOKUP(C457,'[1]phenotypes-895'!$A$2:$G$896,7,FALSE)</f>
        <v>77</v>
      </c>
      <c r="H457" s="1">
        <v>-3.9442742696863001E-2</v>
      </c>
      <c r="I457" s="1">
        <f>VLOOKUP(C457,'[1]phenotypes-895'!$A$2:$I$896,9,FALSE)</f>
        <v>0.3399224282166689</v>
      </c>
      <c r="J457" s="1"/>
      <c r="K457" s="4">
        <v>3.8686048304681617</v>
      </c>
      <c r="L457" s="1"/>
      <c r="M457" s="8">
        <v>1</v>
      </c>
      <c r="N457" s="1"/>
      <c r="O457">
        <v>1.2609999999999999</v>
      </c>
      <c r="P457" s="1"/>
      <c r="Q457" s="2">
        <v>7.0000000000000007E-2</v>
      </c>
    </row>
    <row r="458" spans="1:17" x14ac:dyDescent="0.2">
      <c r="A458">
        <v>601</v>
      </c>
      <c r="B458">
        <v>38</v>
      </c>
      <c r="C458" t="s">
        <v>600</v>
      </c>
      <c r="D458" s="13" t="s">
        <v>913</v>
      </c>
      <c r="E458" s="1">
        <v>-0.51415726358407898</v>
      </c>
      <c r="F458" s="1">
        <v>0.57429740590005396</v>
      </c>
      <c r="G458">
        <f>VLOOKUP(C458,'[1]phenotypes-895'!$A$2:$G$896,7,FALSE)</f>
        <v>98</v>
      </c>
      <c r="H458" s="1">
        <v>1.0051980145838401E-2</v>
      </c>
      <c r="I458" s="1">
        <f>VLOOKUP(C458,'[1]phenotypes-895'!$A$2:$I$896,9,FALSE)</f>
        <v>0</v>
      </c>
      <c r="J458" s="1"/>
      <c r="K458" s="4">
        <v>0</v>
      </c>
      <c r="L458" s="1"/>
      <c r="M458" s="8">
        <v>0</v>
      </c>
      <c r="N458" s="1"/>
      <c r="O458">
        <v>1.252</v>
      </c>
      <c r="P458" s="1"/>
      <c r="Q458" s="2">
        <v>7.0000000000000007E-2</v>
      </c>
    </row>
    <row r="459" spans="1:17" x14ac:dyDescent="0.2">
      <c r="A459">
        <v>369</v>
      </c>
      <c r="B459">
        <v>42</v>
      </c>
      <c r="C459" t="s">
        <v>368</v>
      </c>
      <c r="D459" s="13" t="s">
        <v>912</v>
      </c>
      <c r="E459" s="1">
        <v>1.54585047434543</v>
      </c>
      <c r="F459" s="1">
        <v>0.57126376651840205</v>
      </c>
      <c r="G459">
        <f>VLOOKUP(C459,'[1]phenotypes-895'!$A$2:$G$896,7,FALSE)</f>
        <v>70</v>
      </c>
      <c r="H459" s="1">
        <v>-2.3979000335683901E-2</v>
      </c>
      <c r="I459" s="1">
        <f>VLOOKUP(C459,'[1]phenotypes-895'!$A$2:$I$896,9,FALSE)</f>
        <v>0.44665291465256041</v>
      </c>
      <c r="J459" s="1"/>
      <c r="K459" s="4">
        <v>4.8271245864626202</v>
      </c>
      <c r="L459" s="1"/>
      <c r="M459" s="8">
        <v>1</v>
      </c>
      <c r="N459" s="1"/>
      <c r="O459">
        <v>0.85299999999999998</v>
      </c>
      <c r="P459" s="1"/>
      <c r="Q459" s="2">
        <v>-0.05</v>
      </c>
    </row>
    <row r="460" spans="1:17" x14ac:dyDescent="0.2">
      <c r="A460">
        <v>104</v>
      </c>
      <c r="B460">
        <v>7</v>
      </c>
      <c r="C460" t="s">
        <v>103</v>
      </c>
      <c r="D460" s="12" t="s">
        <v>913</v>
      </c>
      <c r="E460" s="1">
        <v>1.8283629443579299</v>
      </c>
      <c r="F460" s="1">
        <v>0.54390845755656803</v>
      </c>
      <c r="G460">
        <f>VLOOKUP(C460,'[1]phenotypes-895'!$A$2:$G$896,7,FALSE)</f>
        <v>56</v>
      </c>
      <c r="H460" s="1">
        <v>-5.4982972217037497E-2</v>
      </c>
      <c r="I460" s="1">
        <f>VLOOKUP(C460,'[1]phenotypes-895'!$A$2:$I$896,9,FALSE)</f>
        <v>0.4255386853572875</v>
      </c>
      <c r="J460" s="1"/>
      <c r="K460" s="4">
        <v>4.4246281272589219</v>
      </c>
      <c r="L460" s="1"/>
      <c r="M460" s="8">
        <v>1</v>
      </c>
      <c r="N460" s="1"/>
      <c r="O460" s="6">
        <v>0.82299999999999995</v>
      </c>
      <c r="P460" s="1"/>
      <c r="Q460" s="7">
        <v>-0.06</v>
      </c>
    </row>
    <row r="461" spans="1:17" x14ac:dyDescent="0.2">
      <c r="A461">
        <v>188</v>
      </c>
      <c r="B461">
        <v>14</v>
      </c>
      <c r="C461" t="s">
        <v>187</v>
      </c>
      <c r="D461" s="12" t="s">
        <v>912</v>
      </c>
      <c r="E461" s="1">
        <v>0.50107034370156001</v>
      </c>
      <c r="F461" s="1">
        <v>0.53705034316550204</v>
      </c>
      <c r="G461">
        <f>VLOOKUP(C461,'[1]phenotypes-895'!$A$2:$G$896,7,FALSE)</f>
        <v>69</v>
      </c>
      <c r="H461" s="1">
        <v>5.7693232645111697E-2</v>
      </c>
      <c r="I461" s="1">
        <f>VLOOKUP(C461,'[1]phenotypes-895'!$A$2:$I$896,9,FALSE)</f>
        <v>0.73395805018863025</v>
      </c>
      <c r="J461" s="1"/>
      <c r="K461" s="4">
        <v>4.4534993530096862</v>
      </c>
      <c r="L461" s="1"/>
      <c r="M461" s="8">
        <v>1</v>
      </c>
      <c r="N461" s="1"/>
      <c r="O461" s="6">
        <v>1.1180000000000001</v>
      </c>
      <c r="P461" s="1"/>
      <c r="Q461" s="7">
        <v>0.03</v>
      </c>
    </row>
    <row r="462" spans="1:17" x14ac:dyDescent="0.2">
      <c r="A462">
        <v>413</v>
      </c>
      <c r="B462">
        <v>49</v>
      </c>
      <c r="C462" t="s">
        <v>412</v>
      </c>
      <c r="D462" s="13" t="s">
        <v>912</v>
      </c>
      <c r="E462" s="1">
        <v>0.17804075965684801</v>
      </c>
      <c r="F462" s="1">
        <v>0.52638615946669798</v>
      </c>
      <c r="G462">
        <f>VLOOKUP(C462,'[1]phenotypes-895'!$A$2:$G$896,7,FALSE)</f>
        <v>98</v>
      </c>
      <c r="H462" s="1">
        <v>1.8957480457179501E-2</v>
      </c>
      <c r="I462" s="1">
        <f>VLOOKUP(C462,'[1]phenotypes-895'!$A$2:$I$896,9,FALSE)</f>
        <v>8.5190822896124438E-2</v>
      </c>
      <c r="J462" s="1"/>
      <c r="K462" s="4">
        <v>2.3741670803366741</v>
      </c>
      <c r="L462" s="1"/>
      <c r="M462" s="8">
        <v>1</v>
      </c>
      <c r="N462" s="1"/>
      <c r="O462">
        <v>0.69099999999999995</v>
      </c>
      <c r="P462" s="1"/>
      <c r="Q462" s="2">
        <v>-0.12</v>
      </c>
    </row>
    <row r="463" spans="1:17" x14ac:dyDescent="0.2">
      <c r="A463">
        <v>784</v>
      </c>
      <c r="B463">
        <v>37</v>
      </c>
      <c r="C463" t="s">
        <v>783</v>
      </c>
      <c r="D463" s="13" t="s">
        <v>913</v>
      </c>
      <c r="E463" s="1">
        <v>0.77276368629454395</v>
      </c>
      <c r="F463" s="1">
        <v>0.519761976175387</v>
      </c>
      <c r="G463">
        <f>VLOOKUP(C463,'[1]phenotypes-895'!$A$2:$G$896,7,FALSE)</f>
        <v>98</v>
      </c>
      <c r="H463" s="1">
        <v>1.48417064907311E-2</v>
      </c>
      <c r="I463" s="1">
        <f>VLOOKUP(C463,'[1]phenotypes-895'!$A$2:$I$896,9,FALSE)</f>
        <v>0.26284940437979099</v>
      </c>
      <c r="J463" s="1"/>
      <c r="K463" s="4">
        <v>3.525971055858351</v>
      </c>
      <c r="L463" s="1"/>
      <c r="M463" s="8">
        <v>1</v>
      </c>
      <c r="N463" s="1"/>
      <c r="O463">
        <v>0.55000000000000004</v>
      </c>
      <c r="P463" s="1"/>
      <c r="Q463" s="2">
        <v>-0.2</v>
      </c>
    </row>
    <row r="464" spans="1:17" x14ac:dyDescent="0.2">
      <c r="A464">
        <v>575</v>
      </c>
      <c r="B464">
        <v>54</v>
      </c>
      <c r="C464" t="s">
        <v>574</v>
      </c>
      <c r="D464" s="13" t="s">
        <v>912</v>
      </c>
      <c r="E464" s="1">
        <v>-1.4291585057137299</v>
      </c>
      <c r="F464" s="1">
        <v>0.50969443733673503</v>
      </c>
      <c r="G464">
        <f>VLOOKUP(C464,'[1]phenotypes-895'!$A$2:$G$896,7,FALSE)</f>
        <v>65</v>
      </c>
      <c r="H464" s="1">
        <v>-5.4561119511792799E-3</v>
      </c>
      <c r="I464" s="1">
        <f>VLOOKUP(C464,'[1]phenotypes-895'!$A$2:$I$896,9,FALSE)</f>
        <v>0.41019341004712517</v>
      </c>
      <c r="J464" s="1"/>
      <c r="K464" s="4">
        <v>4.2094310038521776</v>
      </c>
      <c r="L464" s="1"/>
      <c r="M464" s="8">
        <v>1</v>
      </c>
      <c r="N464" s="1"/>
      <c r="O464">
        <v>0.51900000000000002</v>
      </c>
      <c r="P464" s="1"/>
      <c r="Q464" s="2">
        <v>-0.22</v>
      </c>
    </row>
    <row r="465" spans="1:17" x14ac:dyDescent="0.2">
      <c r="A465">
        <v>454</v>
      </c>
      <c r="B465">
        <v>45</v>
      </c>
      <c r="C465" t="s">
        <v>453</v>
      </c>
      <c r="D465" s="13" t="s">
        <v>912</v>
      </c>
      <c r="E465" s="1">
        <v>-1.99443840534548</v>
      </c>
      <c r="F465" s="1">
        <v>0.50806266428605695</v>
      </c>
      <c r="G465">
        <f>VLOOKUP(C465,'[1]phenotypes-895'!$A$2:$G$896,7,FALSE)</f>
        <v>74</v>
      </c>
      <c r="H465" s="1">
        <v>-5.2066198274334204E-3</v>
      </c>
      <c r="I465" s="1">
        <f>VLOOKUP(C465,'[1]phenotypes-895'!$A$2:$I$896,9,FALSE)</f>
        <v>0.56082689734711177</v>
      </c>
      <c r="J465" s="1"/>
      <c r="K465" s="4">
        <v>3.9212530406937196</v>
      </c>
      <c r="L465" s="1"/>
      <c r="M465" s="8">
        <v>1</v>
      </c>
      <c r="N465" s="1"/>
      <c r="O465">
        <v>0.78700000000000003</v>
      </c>
      <c r="P465" s="1"/>
      <c r="Q465" s="2">
        <v>-0.08</v>
      </c>
    </row>
    <row r="466" spans="1:17" x14ac:dyDescent="0.2">
      <c r="A466">
        <v>387</v>
      </c>
      <c r="B466">
        <v>44</v>
      </c>
      <c r="C466" t="s">
        <v>386</v>
      </c>
      <c r="D466" s="13" t="s">
        <v>912</v>
      </c>
      <c r="E466" s="1">
        <v>-1.16915576915095</v>
      </c>
      <c r="F466" s="1">
        <v>0.50087164703699705</v>
      </c>
      <c r="G466">
        <f>VLOOKUP(C466,'[1]phenotypes-895'!$A$2:$G$896,7,FALSE)</f>
        <v>98</v>
      </c>
      <c r="H466" s="1">
        <v>7.4720636573553196E-3</v>
      </c>
      <c r="I466" s="1">
        <f>VLOOKUP(C466,'[1]phenotypes-895'!$A$2:$I$896,9,FALSE)</f>
        <v>0.1857198399293801</v>
      </c>
      <c r="J466" s="1"/>
      <c r="K466" s="4">
        <v>3.1784033239974101</v>
      </c>
      <c r="L466" s="1"/>
      <c r="M466" s="8">
        <v>1</v>
      </c>
      <c r="N466" s="1"/>
      <c r="O466">
        <v>0.63</v>
      </c>
      <c r="P466" s="1"/>
      <c r="Q466" s="2">
        <v>-0.15</v>
      </c>
    </row>
    <row r="467" spans="1:17" x14ac:dyDescent="0.2">
      <c r="A467">
        <v>42</v>
      </c>
      <c r="B467">
        <v>23</v>
      </c>
      <c r="C467" t="s">
        <v>41</v>
      </c>
      <c r="D467" s="13" t="s">
        <v>913</v>
      </c>
      <c r="E467" s="1">
        <v>1.1748889000129701</v>
      </c>
      <c r="F467" s="1">
        <v>0.49256847786123098</v>
      </c>
      <c r="G467">
        <f>VLOOKUP(C467,'[1]phenotypes-895'!$A$2:$G$896,7,FALSE)</f>
        <v>56</v>
      </c>
      <c r="H467" s="1">
        <v>-4.2453337154940998E-2</v>
      </c>
      <c r="I467" s="1">
        <f>VLOOKUP(C467,'[1]phenotypes-895'!$A$2:$I$896,9,FALSE)</f>
        <v>0.47606881852290062</v>
      </c>
      <c r="J467" s="1"/>
      <c r="K467" s="4">
        <v>3.9466871097820584</v>
      </c>
      <c r="L467" s="1"/>
      <c r="M467" s="8">
        <v>1</v>
      </c>
      <c r="N467" s="1"/>
      <c r="O467">
        <v>1.258</v>
      </c>
      <c r="P467" s="1"/>
      <c r="Q467" s="2">
        <v>7.0000000000000007E-2</v>
      </c>
    </row>
    <row r="468" spans="1:17" x14ac:dyDescent="0.2">
      <c r="A468">
        <v>872</v>
      </c>
      <c r="B468">
        <v>21</v>
      </c>
      <c r="C468" t="s">
        <v>871</v>
      </c>
      <c r="D468" s="13" t="s">
        <v>913</v>
      </c>
      <c r="E468" s="1">
        <v>1.18811760238113</v>
      </c>
      <c r="F468" s="1">
        <v>0.47804611641368799</v>
      </c>
      <c r="G468">
        <f>VLOOKUP(C468,'[1]phenotypes-895'!$A$2:$G$896,7,FALSE)</f>
        <v>67</v>
      </c>
      <c r="H468" s="1">
        <v>-4.7674201071793099E-2</v>
      </c>
      <c r="I468" s="1">
        <f>VLOOKUP(C468,'[1]phenotypes-895'!$A$2:$I$896,9,FALSE)</f>
        <v>0.52803281106482403</v>
      </c>
      <c r="J468" s="1"/>
      <c r="K468" s="4">
        <v>4.3139419257830927</v>
      </c>
      <c r="L468" s="1"/>
      <c r="M468" s="8">
        <v>1</v>
      </c>
      <c r="N468" s="1"/>
      <c r="O468">
        <v>0.95799999999999996</v>
      </c>
      <c r="P468" s="1"/>
      <c r="Q468" s="2">
        <v>-0.01</v>
      </c>
    </row>
    <row r="469" spans="1:17" x14ac:dyDescent="0.2">
      <c r="A469">
        <v>594</v>
      </c>
      <c r="B469">
        <v>25</v>
      </c>
      <c r="C469" t="s">
        <v>593</v>
      </c>
      <c r="D469" s="13" t="s">
        <v>913</v>
      </c>
      <c r="E469" s="1">
        <v>1.85983252464529</v>
      </c>
      <c r="F469" s="1">
        <v>0.46673933785166499</v>
      </c>
      <c r="G469">
        <f>VLOOKUP(C469,'[1]phenotypes-895'!$A$2:$G$896,7,FALSE)</f>
        <v>51</v>
      </c>
      <c r="H469" s="1">
        <v>-9.0076392952189194E-2</v>
      </c>
      <c r="I469" s="1">
        <f>VLOOKUP(C469,'[1]phenotypes-895'!$A$2:$I$896,9,FALSE)</f>
        <v>0.35138716612551801</v>
      </c>
      <c r="J469" s="1"/>
      <c r="K469" s="4">
        <v>4.0665885501036181</v>
      </c>
      <c r="L469" s="1"/>
      <c r="M469" s="8">
        <v>1</v>
      </c>
      <c r="N469" s="1"/>
      <c r="O469">
        <v>1.044</v>
      </c>
      <c r="P469" s="1"/>
      <c r="Q469" s="2">
        <v>0.01</v>
      </c>
    </row>
    <row r="470" spans="1:17" x14ac:dyDescent="0.2">
      <c r="A470">
        <v>532</v>
      </c>
      <c r="B470">
        <v>44</v>
      </c>
      <c r="C470" t="s">
        <v>531</v>
      </c>
      <c r="D470" s="13" t="s">
        <v>912</v>
      </c>
      <c r="E470" s="1">
        <v>-2.3131396875452199</v>
      </c>
      <c r="F470" s="1">
        <v>0.45694769785332301</v>
      </c>
      <c r="G470">
        <f>VLOOKUP(C470,'[1]phenotypes-895'!$A$2:$G$896,7,FALSE)</f>
        <v>77</v>
      </c>
      <c r="H470" s="1">
        <v>-1.06649868820844E-2</v>
      </c>
      <c r="I470" s="1">
        <f>VLOOKUP(C470,'[1]phenotypes-895'!$A$2:$I$896,9,FALSE)</f>
        <v>0.48214645177698878</v>
      </c>
      <c r="J470" s="1"/>
      <c r="K470" s="4">
        <v>4.4468875580607969</v>
      </c>
      <c r="L470" s="1"/>
      <c r="M470" s="8">
        <v>1</v>
      </c>
      <c r="N470" s="1"/>
      <c r="O470">
        <v>0.71499999999999997</v>
      </c>
      <c r="P470" s="1"/>
      <c r="Q470" s="2">
        <v>-0.11</v>
      </c>
    </row>
    <row r="471" spans="1:17" x14ac:dyDescent="0.2">
      <c r="A471">
        <v>374</v>
      </c>
      <c r="B471">
        <v>48</v>
      </c>
      <c r="C471" t="s">
        <v>373</v>
      </c>
      <c r="D471" s="13" t="s">
        <v>912</v>
      </c>
      <c r="E471" s="1">
        <v>0.57590262083413402</v>
      </c>
      <c r="F471" s="1">
        <v>0.456435121860717</v>
      </c>
      <c r="G471">
        <f>VLOOKUP(C471,'[1]phenotypes-895'!$A$2:$G$896,7,FALSE)</f>
        <v>98</v>
      </c>
      <c r="H471" s="1">
        <v>2.4587361999989499E-2</v>
      </c>
      <c r="I471" s="1">
        <f>VLOOKUP(C471,'[1]phenotypes-895'!$A$2:$I$896,9,FALSE)</f>
        <v>0.14735983806021399</v>
      </c>
      <c r="J471" s="1"/>
      <c r="K471" s="4">
        <v>2.2498040409417794</v>
      </c>
      <c r="L471" s="1"/>
      <c r="M471" s="8">
        <v>1</v>
      </c>
      <c r="N471" s="1"/>
      <c r="O471">
        <v>0.99099999999999999</v>
      </c>
      <c r="P471" s="1"/>
      <c r="Q471" s="2">
        <v>0</v>
      </c>
    </row>
    <row r="472" spans="1:17" x14ac:dyDescent="0.2">
      <c r="A472">
        <v>452</v>
      </c>
      <c r="B472">
        <v>42</v>
      </c>
      <c r="C472" t="s">
        <v>451</v>
      </c>
      <c r="D472" s="13" t="s">
        <v>912</v>
      </c>
      <c r="E472" s="1">
        <v>1.1836751091556501</v>
      </c>
      <c r="F472" s="1">
        <v>0.43582175546523999</v>
      </c>
      <c r="G472">
        <f>VLOOKUP(C472,'[1]phenotypes-895'!$A$2:$G$896,7,FALSE)</f>
        <v>88</v>
      </c>
      <c r="H472" s="1">
        <v>-5.6216304114725E-3</v>
      </c>
      <c r="I472" s="1">
        <f>VLOOKUP(C472,'[1]phenotypes-895'!$A$2:$I$896,9,FALSE)</f>
        <v>0.43476362544890063</v>
      </c>
      <c r="J472" s="1"/>
      <c r="K472" s="4">
        <v>3.5419592579953938</v>
      </c>
      <c r="L472" s="1"/>
      <c r="M472" s="8">
        <v>1</v>
      </c>
      <c r="N472" s="1"/>
      <c r="O472">
        <v>0.67300000000000004</v>
      </c>
      <c r="P472" s="1"/>
      <c r="Q472" s="2">
        <v>-0.13</v>
      </c>
    </row>
    <row r="473" spans="1:17" x14ac:dyDescent="0.2">
      <c r="A473">
        <v>424</v>
      </c>
      <c r="B473">
        <v>29</v>
      </c>
      <c r="C473" t="s">
        <v>423</v>
      </c>
      <c r="D473" s="13" t="s">
        <v>913</v>
      </c>
      <c r="E473" s="1">
        <v>1.19055925047803</v>
      </c>
      <c r="F473" s="1">
        <v>0.431436826786738</v>
      </c>
      <c r="G473">
        <f>VLOOKUP(C473,'[1]phenotypes-895'!$A$2:$G$896,7,FALSE)</f>
        <v>98</v>
      </c>
      <c r="H473" s="1">
        <v>-1.6328662609029002E-2</v>
      </c>
      <c r="I473" s="1">
        <f>VLOOKUP(C473,'[1]phenotypes-895'!$A$2:$I$896,9,FALSE)</f>
        <v>0</v>
      </c>
      <c r="J473" s="1"/>
      <c r="K473" s="4">
        <v>0</v>
      </c>
      <c r="L473" s="1"/>
      <c r="M473" s="8">
        <v>0</v>
      </c>
      <c r="N473" s="1"/>
      <c r="O473">
        <v>1.115</v>
      </c>
      <c r="P473" s="1"/>
      <c r="Q473" s="2">
        <v>0.03</v>
      </c>
    </row>
    <row r="474" spans="1:17" x14ac:dyDescent="0.2">
      <c r="A474">
        <v>657</v>
      </c>
      <c r="B474">
        <v>36</v>
      </c>
      <c r="C474" t="s">
        <v>656</v>
      </c>
      <c r="D474" s="13" t="s">
        <v>913</v>
      </c>
      <c r="E474" s="1">
        <v>1.2616917877918199</v>
      </c>
      <c r="F474" s="1">
        <v>0.37332882275467899</v>
      </c>
      <c r="G474">
        <f>VLOOKUP(C474,'[1]phenotypes-895'!$A$2:$G$896,7,FALSE)</f>
        <v>68</v>
      </c>
      <c r="H474" s="1">
        <v>-4.7172275589835097E-2</v>
      </c>
      <c r="I474" s="1">
        <f>VLOOKUP(C474,'[1]phenotypes-895'!$A$2:$I$896,9,FALSE)</f>
        <v>0.38921887618213102</v>
      </c>
      <c r="J474" s="1"/>
      <c r="K474" s="4">
        <v>4.1794210686667084</v>
      </c>
      <c r="L474" s="1"/>
      <c r="M474" s="8">
        <v>1</v>
      </c>
      <c r="N474" s="1"/>
      <c r="O474">
        <v>1.2030000000000001</v>
      </c>
      <c r="P474" s="1"/>
      <c r="Q474" s="2">
        <v>0.06</v>
      </c>
    </row>
    <row r="475" spans="1:17" x14ac:dyDescent="0.2">
      <c r="A475">
        <v>798</v>
      </c>
      <c r="B475">
        <v>40</v>
      </c>
      <c r="C475" t="s">
        <v>797</v>
      </c>
      <c r="D475" s="13" t="s">
        <v>913</v>
      </c>
      <c r="E475" s="1">
        <v>-1.69651307592503</v>
      </c>
      <c r="F475" s="1">
        <v>0.37203492770009</v>
      </c>
      <c r="G475">
        <f>VLOOKUP(C475,'[1]phenotypes-895'!$A$2:$G$896,7,FALSE)</f>
        <v>51</v>
      </c>
      <c r="H475" s="1">
        <v>9.5378275491243194E-3</v>
      </c>
      <c r="I475" s="1">
        <f>VLOOKUP(C475,'[1]phenotypes-895'!$A$2:$I$896,9,FALSE)</f>
        <v>0.55081278962882774</v>
      </c>
      <c r="J475" s="1"/>
      <c r="K475" s="4">
        <v>3.962743716103466</v>
      </c>
      <c r="L475" s="1"/>
      <c r="M475" s="8">
        <v>1</v>
      </c>
      <c r="N475" s="1"/>
      <c r="O475">
        <v>1.0820000000000001</v>
      </c>
      <c r="P475" s="1"/>
      <c r="Q475" s="2">
        <v>0.02</v>
      </c>
    </row>
    <row r="476" spans="1:17" x14ac:dyDescent="0.2">
      <c r="A476">
        <v>81</v>
      </c>
      <c r="B476">
        <v>12</v>
      </c>
      <c r="C476" t="s">
        <v>80</v>
      </c>
      <c r="D476" s="12" t="s">
        <v>912</v>
      </c>
      <c r="E476" s="1">
        <v>-0.49070349239036798</v>
      </c>
      <c r="F476" s="1">
        <v>0.36842156782443197</v>
      </c>
      <c r="G476">
        <f>VLOOKUP(C476,'[1]phenotypes-895'!$A$2:$G$896,7,FALSE)</f>
        <v>72</v>
      </c>
      <c r="H476" s="1">
        <v>4.1877836943303201E-2</v>
      </c>
      <c r="I476" s="1">
        <f>VLOOKUP(C476,'[1]phenotypes-895'!$A$2:$I$896,9,FALSE)</f>
        <v>0.74593822322571368</v>
      </c>
      <c r="J476" s="1"/>
      <c r="K476" s="4">
        <v>5.2057317749641552</v>
      </c>
      <c r="L476" s="1"/>
      <c r="M476" s="8">
        <v>1</v>
      </c>
      <c r="N476" s="1"/>
      <c r="O476" s="6">
        <v>0.85699999999999998</v>
      </c>
      <c r="P476" s="1"/>
      <c r="Q476" s="7">
        <v>-0.05</v>
      </c>
    </row>
    <row r="477" spans="1:17" x14ac:dyDescent="0.2">
      <c r="A477">
        <v>691</v>
      </c>
      <c r="B477">
        <v>48</v>
      </c>
      <c r="C477" t="s">
        <v>690</v>
      </c>
      <c r="D477" s="13" t="s">
        <v>912</v>
      </c>
      <c r="E477" s="1">
        <v>-1.06293263719433</v>
      </c>
      <c r="F477" s="1">
        <v>0.35052217790958901</v>
      </c>
      <c r="G477">
        <f>VLOOKUP(C477,'[1]phenotypes-895'!$A$2:$G$896,7,FALSE)</f>
        <v>48</v>
      </c>
      <c r="H477" s="1">
        <v>-7.1589959724375499E-2</v>
      </c>
      <c r="I477" s="1">
        <f>VLOOKUP(C477,'[1]phenotypes-895'!$A$2:$I$896,9,FALSE)</f>
        <v>0.16254462021270691</v>
      </c>
      <c r="J477" s="1"/>
      <c r="K477" s="4">
        <v>3.5215005239021222</v>
      </c>
      <c r="L477" s="1"/>
      <c r="M477" s="8">
        <v>1</v>
      </c>
      <c r="N477" s="1"/>
      <c r="O477">
        <v>0.56399999999999995</v>
      </c>
      <c r="P477" s="1"/>
      <c r="Q477" s="2">
        <v>-0.19</v>
      </c>
    </row>
    <row r="478" spans="1:17" x14ac:dyDescent="0.2">
      <c r="A478">
        <v>403</v>
      </c>
      <c r="B478">
        <v>34</v>
      </c>
      <c r="C478" t="s">
        <v>402</v>
      </c>
      <c r="D478" s="13" t="s">
        <v>913</v>
      </c>
      <c r="E478" s="1">
        <v>-0.33099676254099503</v>
      </c>
      <c r="F478" s="1">
        <v>0.34467162550217101</v>
      </c>
      <c r="G478">
        <f>VLOOKUP(C478,'[1]phenotypes-895'!$A$2:$G$896,7,FALSE)</f>
        <v>69</v>
      </c>
      <c r="H478" s="1">
        <v>-1.34313825906059E-2</v>
      </c>
      <c r="I478" s="1">
        <f>VLOOKUP(C478,'[1]phenotypes-895'!$A$2:$I$896,9,FALSE)</f>
        <v>0.36484829942014002</v>
      </c>
      <c r="J478" s="1"/>
      <c r="K478" s="4">
        <v>4.2577856437458674</v>
      </c>
      <c r="L478" s="1"/>
      <c r="M478" s="8">
        <v>1</v>
      </c>
      <c r="N478" s="1"/>
      <c r="O478">
        <v>1.0609999999999999</v>
      </c>
      <c r="P478" s="1"/>
      <c r="Q478" s="2">
        <v>0.02</v>
      </c>
    </row>
    <row r="479" spans="1:17" x14ac:dyDescent="0.2">
      <c r="A479">
        <v>847</v>
      </c>
      <c r="B479">
        <v>40</v>
      </c>
      <c r="C479" t="s">
        <v>846</v>
      </c>
      <c r="D479" s="13" t="s">
        <v>913</v>
      </c>
      <c r="E479" s="1">
        <v>2.8462758237685502</v>
      </c>
      <c r="F479" s="1">
        <v>0.33720382913629598</v>
      </c>
      <c r="G479">
        <f>VLOOKUP(C479,'[1]phenotypes-895'!$A$2:$G$896,7,FALSE)</f>
        <v>74</v>
      </c>
      <c r="H479" s="1">
        <v>-4.8266969844756799E-2</v>
      </c>
      <c r="I479" s="1">
        <f>VLOOKUP(C479,'[1]phenotypes-895'!$A$2:$I$896,9,FALSE)</f>
        <v>0.39030874320966003</v>
      </c>
      <c r="J479" s="1"/>
      <c r="K479" s="4">
        <v>4.4270286142809647</v>
      </c>
      <c r="L479" s="1"/>
      <c r="M479" s="8">
        <v>1</v>
      </c>
      <c r="N479" s="1"/>
      <c r="O479">
        <v>0.88800000000000001</v>
      </c>
      <c r="P479" s="1"/>
      <c r="Q479" s="2">
        <v>-0.04</v>
      </c>
    </row>
    <row r="480" spans="1:17" x14ac:dyDescent="0.2">
      <c r="A480">
        <v>476</v>
      </c>
      <c r="B480">
        <v>45</v>
      </c>
      <c r="C480" t="s">
        <v>475</v>
      </c>
      <c r="D480" s="13" t="s">
        <v>912</v>
      </c>
      <c r="E480" s="1">
        <v>1.71753606025446</v>
      </c>
      <c r="F480" s="1">
        <v>0.33690243657395003</v>
      </c>
      <c r="G480">
        <f>VLOOKUP(C480,'[1]phenotypes-895'!$A$2:$G$896,7,FALSE)</f>
        <v>86</v>
      </c>
      <c r="H480" s="1">
        <v>-2.4605919313943E-2</v>
      </c>
      <c r="I480" s="1">
        <f>VLOOKUP(C480,'[1]phenotypes-895'!$A$2:$I$896,9,FALSE)</f>
        <v>0.27797389052317528</v>
      </c>
      <c r="J480" s="1"/>
      <c r="K480" s="4">
        <v>4.5840245251556393</v>
      </c>
      <c r="L480" s="1"/>
      <c r="M480" s="8">
        <v>1</v>
      </c>
      <c r="N480" s="1"/>
      <c r="O480">
        <v>1.0069999999999999</v>
      </c>
      <c r="P480" s="1"/>
      <c r="Q480" s="2">
        <v>0</v>
      </c>
    </row>
    <row r="481" spans="1:17" x14ac:dyDescent="0.2">
      <c r="A481">
        <v>642</v>
      </c>
      <c r="B481">
        <v>29</v>
      </c>
      <c r="C481" t="s">
        <v>641</v>
      </c>
      <c r="D481" s="13" t="s">
        <v>913</v>
      </c>
      <c r="E481" s="1">
        <v>1.55362062831314</v>
      </c>
      <c r="F481" s="1">
        <v>0.336502742224768</v>
      </c>
      <c r="G481">
        <f>VLOOKUP(C481,'[1]phenotypes-895'!$A$2:$G$896,7,FALSE)</f>
        <v>70</v>
      </c>
      <c r="H481" s="1">
        <v>-1.0767271322228201E-2</v>
      </c>
      <c r="I481" s="1">
        <f>VLOOKUP(C481,'[1]phenotypes-895'!$A$2:$I$896,9,FALSE)</f>
        <v>0.42614791033547827</v>
      </c>
      <c r="J481" s="1"/>
      <c r="K481" s="4">
        <v>3.8804473567584288</v>
      </c>
      <c r="L481" s="1"/>
      <c r="M481" s="8">
        <v>1</v>
      </c>
      <c r="N481" s="1"/>
      <c r="O481">
        <v>1.1399999999999999</v>
      </c>
      <c r="P481" s="1"/>
      <c r="Q481" s="2">
        <v>0.04</v>
      </c>
    </row>
    <row r="482" spans="1:17" x14ac:dyDescent="0.2">
      <c r="A482">
        <v>879</v>
      </c>
      <c r="B482">
        <v>35</v>
      </c>
      <c r="C482" t="s">
        <v>878</v>
      </c>
      <c r="D482" s="13" t="s">
        <v>913</v>
      </c>
      <c r="E482" s="1">
        <v>-4.69849894622687E-2</v>
      </c>
      <c r="F482" s="1">
        <v>0.32985806084226099</v>
      </c>
      <c r="G482">
        <f>VLOOKUP(C482,'[1]phenotypes-895'!$A$2:$G$896,7,FALSE)</f>
        <v>65</v>
      </c>
      <c r="H482" s="1">
        <v>7.4290991331177701E-3</v>
      </c>
      <c r="I482" s="1">
        <f>VLOOKUP(C482,'[1]phenotypes-895'!$A$2:$I$896,9,FALSE)</f>
        <v>0.63902179687718508</v>
      </c>
      <c r="J482" s="1"/>
      <c r="K482" s="4">
        <v>4.4795819312984264</v>
      </c>
      <c r="L482" s="1"/>
      <c r="M482" s="8">
        <v>1</v>
      </c>
      <c r="N482" s="1"/>
      <c r="O482">
        <v>0.95499999999999996</v>
      </c>
      <c r="P482" s="1"/>
      <c r="Q482" s="2">
        <v>-0.01</v>
      </c>
    </row>
    <row r="483" spans="1:17" x14ac:dyDescent="0.2">
      <c r="A483">
        <v>87</v>
      </c>
      <c r="B483">
        <v>7</v>
      </c>
      <c r="C483" t="s">
        <v>86</v>
      </c>
      <c r="D483" s="12" t="s">
        <v>913</v>
      </c>
      <c r="E483" s="1">
        <v>1.53805076772053</v>
      </c>
      <c r="F483" s="1">
        <v>0.32835773725915701</v>
      </c>
      <c r="G483">
        <f>VLOOKUP(C483,'[1]phenotypes-895'!$A$2:$G$896,7,FALSE)</f>
        <v>53</v>
      </c>
      <c r="H483" s="1">
        <v>-2.5782042719846101E-2</v>
      </c>
      <c r="I483" s="1">
        <f>VLOOKUP(C483,'[1]phenotypes-895'!$A$2:$I$896,9,FALSE)</f>
        <v>0.70287414888448785</v>
      </c>
      <c r="J483" s="1"/>
      <c r="K483" s="4">
        <v>4.2942832963962223</v>
      </c>
      <c r="L483" s="1"/>
      <c r="M483" s="8">
        <v>1</v>
      </c>
      <c r="N483" s="1"/>
      <c r="O483" s="6">
        <v>1.0289999999999999</v>
      </c>
      <c r="P483" s="1"/>
      <c r="Q483" s="7">
        <v>0.01</v>
      </c>
    </row>
    <row r="484" spans="1:17" x14ac:dyDescent="0.2">
      <c r="A484">
        <v>878</v>
      </c>
      <c r="B484">
        <v>44</v>
      </c>
      <c r="C484" t="s">
        <v>877</v>
      </c>
      <c r="D484" s="13" t="s">
        <v>912</v>
      </c>
      <c r="E484" s="1">
        <v>-1.50124493152843</v>
      </c>
      <c r="F484" s="1">
        <v>0.32656637399069499</v>
      </c>
      <c r="G484">
        <f>VLOOKUP(C484,'[1]phenotypes-895'!$A$2:$G$896,7,FALSE)</f>
        <v>63</v>
      </c>
      <c r="H484" s="1">
        <v>-3.2884088109991799E-2</v>
      </c>
      <c r="I484" s="1">
        <f>VLOOKUP(C484,'[1]phenotypes-895'!$A$2:$I$896,9,FALSE)</f>
        <v>0.26902932185257361</v>
      </c>
      <c r="J484" s="1"/>
      <c r="K484" s="4">
        <v>4.6530961674214906</v>
      </c>
      <c r="L484" s="1"/>
      <c r="M484" s="8">
        <v>1</v>
      </c>
      <c r="N484" s="1"/>
      <c r="O484">
        <v>0.73499999999999999</v>
      </c>
      <c r="P484" s="1"/>
      <c r="Q484" s="2">
        <v>-0.1</v>
      </c>
    </row>
    <row r="485" spans="1:17" x14ac:dyDescent="0.2">
      <c r="A485">
        <v>859</v>
      </c>
      <c r="B485">
        <v>54</v>
      </c>
      <c r="C485" t="s">
        <v>858</v>
      </c>
      <c r="D485" s="13" t="s">
        <v>912</v>
      </c>
      <c r="E485" s="1">
        <v>-1.6965413402381599</v>
      </c>
      <c r="F485" s="1">
        <v>0.32042670848147797</v>
      </c>
      <c r="G485">
        <f>VLOOKUP(C485,'[1]phenotypes-895'!$A$2:$G$896,7,FALSE)</f>
        <v>67</v>
      </c>
      <c r="H485" s="1">
        <v>9.2644539068590295E-3</v>
      </c>
      <c r="I485" s="1">
        <f>VLOOKUP(C485,'[1]phenotypes-895'!$A$2:$I$896,9,FALSE)</f>
        <v>0.46269912981740469</v>
      </c>
      <c r="J485" s="1"/>
      <c r="K485" s="4">
        <v>4.3835950049640475</v>
      </c>
      <c r="L485" s="1"/>
      <c r="M485" s="8">
        <v>1</v>
      </c>
      <c r="N485" s="1"/>
      <c r="O485">
        <v>0.61799999999999999</v>
      </c>
      <c r="P485" s="1"/>
      <c r="Q485" s="2">
        <v>-0.16</v>
      </c>
    </row>
    <row r="486" spans="1:17" x14ac:dyDescent="0.2">
      <c r="A486">
        <v>486</v>
      </c>
      <c r="B486">
        <v>50</v>
      </c>
      <c r="C486" t="s">
        <v>485</v>
      </c>
      <c r="D486" s="13" t="s">
        <v>912</v>
      </c>
      <c r="E486" s="1">
        <v>-0.95480120540701496</v>
      </c>
      <c r="F486" s="1">
        <v>0.29976530742497098</v>
      </c>
      <c r="G486">
        <f>VLOOKUP(C486,'[1]phenotypes-895'!$A$2:$G$896,7,FALSE)</f>
        <v>64</v>
      </c>
      <c r="H486" s="1">
        <v>2.00638104533357E-2</v>
      </c>
      <c r="I486" s="1">
        <f>VLOOKUP(C486,'[1]phenotypes-895'!$A$2:$I$896,9,FALSE)</f>
        <v>0.47528606609770813</v>
      </c>
      <c r="J486" s="1"/>
      <c r="K486" s="4">
        <v>4.2396377162494145</v>
      </c>
      <c r="L486" s="1"/>
      <c r="M486" s="8">
        <v>1</v>
      </c>
      <c r="N486" s="1"/>
      <c r="O486">
        <v>0.623</v>
      </c>
      <c r="P486" s="1"/>
      <c r="Q486" s="2">
        <v>-0.15</v>
      </c>
    </row>
    <row r="487" spans="1:17" x14ac:dyDescent="0.2">
      <c r="A487">
        <v>699</v>
      </c>
      <c r="B487">
        <v>25</v>
      </c>
      <c r="C487" t="s">
        <v>698</v>
      </c>
      <c r="D487" s="13" t="s">
        <v>913</v>
      </c>
      <c r="E487" s="1">
        <v>1.7391767004342999</v>
      </c>
      <c r="F487" s="1">
        <v>0.299209475203286</v>
      </c>
      <c r="G487">
        <f>VLOOKUP(C487,'[1]phenotypes-895'!$A$2:$G$896,7,FALSE)</f>
        <v>76</v>
      </c>
      <c r="H487" s="1">
        <v>2.9580718161701401E-2</v>
      </c>
      <c r="I487" s="1">
        <f>VLOOKUP(C487,'[1]phenotypes-895'!$A$2:$I$896,9,FALSE)</f>
        <v>0.62143620201181937</v>
      </c>
      <c r="J487" s="1"/>
      <c r="K487" s="4">
        <v>4.8851346166861536</v>
      </c>
      <c r="L487" s="1"/>
      <c r="M487" s="8">
        <v>1</v>
      </c>
      <c r="N487" s="1"/>
      <c r="O487">
        <v>0.96499999999999997</v>
      </c>
      <c r="P487" s="1"/>
      <c r="Q487" s="2">
        <v>-0.01</v>
      </c>
    </row>
    <row r="488" spans="1:17" x14ac:dyDescent="0.2">
      <c r="A488">
        <v>376</v>
      </c>
      <c r="B488">
        <v>49</v>
      </c>
      <c r="C488" t="s">
        <v>375</v>
      </c>
      <c r="D488" s="13" t="s">
        <v>912</v>
      </c>
      <c r="E488" s="1">
        <v>4.4276156261879897E-2</v>
      </c>
      <c r="F488" s="1">
        <v>0.29592798787866498</v>
      </c>
      <c r="G488">
        <f>VLOOKUP(C488,'[1]phenotypes-895'!$A$2:$G$896,7,FALSE)</f>
        <v>88</v>
      </c>
      <c r="H488" s="1">
        <v>-2.4871929965788798E-3</v>
      </c>
      <c r="I488" s="1">
        <f>VLOOKUP(C488,'[1]phenotypes-895'!$A$2:$I$896,9,FALSE)</f>
        <v>0.28324506065152011</v>
      </c>
      <c r="J488" s="1"/>
      <c r="K488" s="4">
        <v>3.9916310169197007</v>
      </c>
      <c r="L488" s="1"/>
      <c r="M488" s="8">
        <v>1</v>
      </c>
      <c r="N488" s="1"/>
      <c r="O488">
        <v>0.92600000000000005</v>
      </c>
      <c r="P488" s="1"/>
      <c r="Q488" s="2">
        <v>-0.02</v>
      </c>
    </row>
    <row r="489" spans="1:17" x14ac:dyDescent="0.2">
      <c r="A489">
        <v>406</v>
      </c>
      <c r="B489">
        <v>50</v>
      </c>
      <c r="C489" t="s">
        <v>405</v>
      </c>
      <c r="D489" s="13" t="s">
        <v>912</v>
      </c>
      <c r="E489" s="1">
        <v>-1.44953130789088</v>
      </c>
      <c r="F489" s="1">
        <v>0.29241006553125198</v>
      </c>
      <c r="G489">
        <f>VLOOKUP(C489,'[1]phenotypes-895'!$A$2:$G$896,7,FALSE)</f>
        <v>56</v>
      </c>
      <c r="H489" s="1">
        <v>7.55757136783132E-3</v>
      </c>
      <c r="I489" s="1">
        <f>VLOOKUP(C489,'[1]phenotypes-895'!$A$2:$I$896,9,FALSE)</f>
        <v>0.71694040126932501</v>
      </c>
      <c r="J489" s="1"/>
      <c r="K489" s="4">
        <v>4.675861882057105</v>
      </c>
      <c r="L489" s="1"/>
      <c r="M489" s="8">
        <v>1</v>
      </c>
      <c r="N489" s="1"/>
      <c r="O489">
        <v>0.629</v>
      </c>
      <c r="P489" s="1"/>
      <c r="Q489" s="2">
        <v>-0.15</v>
      </c>
    </row>
    <row r="490" spans="1:17" x14ac:dyDescent="0.2">
      <c r="A490">
        <v>696</v>
      </c>
      <c r="B490">
        <v>23</v>
      </c>
      <c r="C490" t="s">
        <v>695</v>
      </c>
      <c r="D490" s="13" t="s">
        <v>913</v>
      </c>
      <c r="E490" s="1">
        <v>0.276540120692014</v>
      </c>
      <c r="F490" s="1">
        <v>0.277325321615426</v>
      </c>
      <c r="G490">
        <f>VLOOKUP(C490,'[1]phenotypes-895'!$A$2:$G$896,7,FALSE)</f>
        <v>98</v>
      </c>
      <c r="H490" s="1">
        <v>-2.8117598367190001E-3</v>
      </c>
      <c r="I490" s="1">
        <f>VLOOKUP(C490,'[1]phenotypes-895'!$A$2:$I$896,9,FALSE)</f>
        <v>0</v>
      </c>
      <c r="J490" s="1"/>
      <c r="K490" s="4">
        <v>0</v>
      </c>
      <c r="L490" s="1"/>
      <c r="M490" s="8">
        <v>0</v>
      </c>
      <c r="N490" s="1"/>
      <c r="O490">
        <v>1.224</v>
      </c>
      <c r="P490" s="1"/>
      <c r="Q490" s="2">
        <v>0.06</v>
      </c>
    </row>
    <row r="491" spans="1:17" x14ac:dyDescent="0.2">
      <c r="A491">
        <v>534</v>
      </c>
      <c r="B491">
        <v>31</v>
      </c>
      <c r="C491" t="s">
        <v>533</v>
      </c>
      <c r="D491" s="13" t="s">
        <v>913</v>
      </c>
      <c r="E491" s="1">
        <v>0.54053022543913298</v>
      </c>
      <c r="F491" s="1">
        <v>0.223294179710604</v>
      </c>
      <c r="G491">
        <f>VLOOKUP(C491,'[1]phenotypes-895'!$A$2:$G$896,7,FALSE)</f>
        <v>64</v>
      </c>
      <c r="H491" s="1">
        <v>2.6830932137898701E-2</v>
      </c>
      <c r="I491" s="1">
        <f>VLOOKUP(C491,'[1]phenotypes-895'!$A$2:$I$896,9,FALSE)</f>
        <v>0.48787629957041778</v>
      </c>
      <c r="J491" s="1"/>
      <c r="K491" s="4">
        <v>4.2163084132636257</v>
      </c>
      <c r="L491" s="1"/>
      <c r="M491" s="8">
        <v>1</v>
      </c>
      <c r="N491" s="1"/>
      <c r="O491">
        <v>1.0640000000000001</v>
      </c>
      <c r="P491" s="1"/>
      <c r="Q491" s="2">
        <v>0.02</v>
      </c>
    </row>
    <row r="492" spans="1:17" x14ac:dyDescent="0.2">
      <c r="A492">
        <v>844</v>
      </c>
      <c r="B492">
        <v>27</v>
      </c>
      <c r="C492" t="s">
        <v>843</v>
      </c>
      <c r="D492" s="13" t="s">
        <v>913</v>
      </c>
      <c r="E492" s="1">
        <v>1.12153696279121</v>
      </c>
      <c r="F492" s="1">
        <v>0.20138932489098099</v>
      </c>
      <c r="G492">
        <f>VLOOKUP(C492,'[1]phenotypes-895'!$A$2:$G$896,7,FALSE)</f>
        <v>84</v>
      </c>
      <c r="H492" s="1">
        <v>4.4993101906870003E-2</v>
      </c>
      <c r="I492" s="1">
        <f>VLOOKUP(C492,'[1]phenotypes-895'!$A$2:$I$896,9,FALSE)</f>
        <v>0.45125020228515839</v>
      </c>
      <c r="J492" s="1"/>
      <c r="K492" s="4">
        <v>5.1135330538860329</v>
      </c>
      <c r="L492" s="1"/>
      <c r="M492" s="8">
        <v>1</v>
      </c>
      <c r="N492" s="1"/>
      <c r="O492">
        <v>1.31</v>
      </c>
      <c r="P492" s="1"/>
      <c r="Q492" s="2">
        <v>0.08</v>
      </c>
    </row>
    <row r="493" spans="1:17" x14ac:dyDescent="0.2">
      <c r="A493">
        <v>853</v>
      </c>
      <c r="B493">
        <v>30</v>
      </c>
      <c r="C493" t="s">
        <v>852</v>
      </c>
      <c r="D493" s="13" t="s">
        <v>913</v>
      </c>
      <c r="E493" s="1">
        <v>1.4168973617440299</v>
      </c>
      <c r="F493" s="1">
        <v>0.18523372741942001</v>
      </c>
      <c r="G493">
        <f>VLOOKUP(C493,'[1]phenotypes-895'!$A$2:$G$896,7,FALSE)</f>
        <v>98</v>
      </c>
      <c r="H493" s="1">
        <v>-1.8834983585953102E-2</v>
      </c>
      <c r="I493" s="1">
        <f>VLOOKUP(C493,'[1]phenotypes-895'!$A$2:$I$896,9,FALSE)</f>
        <v>0</v>
      </c>
      <c r="J493" s="1"/>
      <c r="K493" s="4">
        <v>0</v>
      </c>
      <c r="L493" s="1"/>
      <c r="M493" s="8">
        <v>0</v>
      </c>
      <c r="N493" s="1"/>
      <c r="O493">
        <v>1.0329999999999999</v>
      </c>
      <c r="P493" s="1"/>
      <c r="Q493" s="2">
        <v>0.01</v>
      </c>
    </row>
    <row r="494" spans="1:17" x14ac:dyDescent="0.2">
      <c r="A494">
        <v>65</v>
      </c>
      <c r="B494">
        <v>12</v>
      </c>
      <c r="C494" t="s">
        <v>64</v>
      </c>
      <c r="D494" s="12" t="s">
        <v>912</v>
      </c>
      <c r="E494" s="1">
        <v>-0.62613949811608605</v>
      </c>
      <c r="F494" s="1">
        <v>0.184151384603885</v>
      </c>
      <c r="G494">
        <f>VLOOKUP(C494,'[1]phenotypes-895'!$A$2:$G$896,7,FALSE)</f>
        <v>98</v>
      </c>
      <c r="H494" s="1">
        <v>-1.1573546028953699E-2</v>
      </c>
      <c r="I494" s="1">
        <f>VLOOKUP(C494,'[1]phenotypes-895'!$A$2:$I$896,9,FALSE)</f>
        <v>0</v>
      </c>
      <c r="J494" s="1"/>
      <c r="K494" s="4">
        <v>0</v>
      </c>
      <c r="L494" s="1"/>
      <c r="M494" s="8">
        <v>0</v>
      </c>
      <c r="N494" s="1"/>
      <c r="O494" s="6">
        <v>1.1120000000000001</v>
      </c>
      <c r="P494" s="1"/>
      <c r="Q494" s="7">
        <v>0.03</v>
      </c>
    </row>
    <row r="495" spans="1:17" x14ac:dyDescent="0.2">
      <c r="A495">
        <v>751</v>
      </c>
      <c r="B495">
        <v>25</v>
      </c>
      <c r="C495" t="s">
        <v>750</v>
      </c>
      <c r="D495" s="13" t="s">
        <v>913</v>
      </c>
      <c r="E495" s="1">
        <v>1.07210554680029</v>
      </c>
      <c r="F495" s="1">
        <v>0.18359954810781001</v>
      </c>
      <c r="G495">
        <f>VLOOKUP(C495,'[1]phenotypes-895'!$A$2:$G$896,7,FALSE)</f>
        <v>98</v>
      </c>
      <c r="H495" s="1">
        <v>-1.40164352658295E-2</v>
      </c>
      <c r="I495" s="1">
        <f>VLOOKUP(C495,'[1]phenotypes-895'!$A$2:$I$896,9,FALSE)</f>
        <v>0</v>
      </c>
      <c r="J495" s="1"/>
      <c r="K495" s="4">
        <v>0</v>
      </c>
      <c r="L495" s="1"/>
      <c r="M495" s="8">
        <v>0</v>
      </c>
      <c r="N495" s="1"/>
      <c r="O495">
        <v>1.3169999999999999</v>
      </c>
      <c r="P495" s="1"/>
      <c r="Q495" s="2">
        <v>0.08</v>
      </c>
    </row>
    <row r="496" spans="1:17" x14ac:dyDescent="0.2">
      <c r="A496">
        <v>159</v>
      </c>
      <c r="B496">
        <v>12</v>
      </c>
      <c r="C496" t="s">
        <v>158</v>
      </c>
      <c r="D496" s="12" t="s">
        <v>912</v>
      </c>
      <c r="E496" s="1">
        <v>-0.54990823199224903</v>
      </c>
      <c r="F496" s="1">
        <v>0.165606163646003</v>
      </c>
      <c r="G496">
        <f>VLOOKUP(C496,'[1]phenotypes-895'!$A$2:$G$896,7,FALSE)</f>
        <v>62</v>
      </c>
      <c r="H496" s="1">
        <v>-3.3176867939924998E-2</v>
      </c>
      <c r="I496" s="1">
        <f>VLOOKUP(C496,'[1]phenotypes-895'!$A$2:$I$896,9,FALSE)</f>
        <v>0.46351028782100562</v>
      </c>
      <c r="J496" s="1"/>
      <c r="K496" s="4">
        <v>4.1252387053532695</v>
      </c>
      <c r="L496" s="1"/>
      <c r="M496" s="8">
        <v>1</v>
      </c>
      <c r="N496" s="1"/>
      <c r="O496" s="6">
        <v>0.83399999999999996</v>
      </c>
      <c r="P496" s="1"/>
      <c r="Q496" s="7">
        <v>-0.06</v>
      </c>
    </row>
    <row r="497" spans="1:17" x14ac:dyDescent="0.2">
      <c r="A497">
        <v>666</v>
      </c>
      <c r="B497">
        <v>54</v>
      </c>
      <c r="C497" t="s">
        <v>665</v>
      </c>
      <c r="D497" s="13" t="s">
        <v>912</v>
      </c>
      <c r="E497" s="1">
        <v>-1.59810836598271</v>
      </c>
      <c r="F497" s="1">
        <v>0.163578934741543</v>
      </c>
      <c r="G497">
        <f>VLOOKUP(C497,'[1]phenotypes-895'!$A$2:$G$896,7,FALSE)</f>
        <v>63</v>
      </c>
      <c r="H497" s="1">
        <v>3.8932380846526402E-3</v>
      </c>
      <c r="I497" s="1">
        <f>VLOOKUP(C497,'[1]phenotypes-895'!$A$2:$I$896,9,FALSE)</f>
        <v>0.51637451667916556</v>
      </c>
      <c r="J497" s="1"/>
      <c r="K497" s="4">
        <v>3.8162134897600679</v>
      </c>
      <c r="L497" s="1"/>
      <c r="M497" s="8">
        <v>1</v>
      </c>
      <c r="N497" s="1"/>
      <c r="O497">
        <v>0.55800000000000005</v>
      </c>
      <c r="P497" s="1"/>
      <c r="Q497" s="2">
        <v>-0.2</v>
      </c>
    </row>
    <row r="498" spans="1:17" x14ac:dyDescent="0.2">
      <c r="A498">
        <v>585</v>
      </c>
      <c r="B498">
        <v>34</v>
      </c>
      <c r="C498" t="s">
        <v>584</v>
      </c>
      <c r="D498" s="13" t="s">
        <v>913</v>
      </c>
      <c r="E498" s="1">
        <v>0.134360934016623</v>
      </c>
      <c r="F498" s="1">
        <v>0.150394731190401</v>
      </c>
      <c r="G498">
        <f>VLOOKUP(C498,'[1]phenotypes-895'!$A$2:$G$896,7,FALSE)</f>
        <v>63</v>
      </c>
      <c r="H498" s="1">
        <v>1.6732530071112299E-2</v>
      </c>
      <c r="I498" s="1">
        <f>VLOOKUP(C498,'[1]phenotypes-895'!$A$2:$I$896,9,FALSE)</f>
        <v>0.58925313136915192</v>
      </c>
      <c r="J498" s="1"/>
      <c r="K498" s="4">
        <v>3.9423067477713327</v>
      </c>
      <c r="L498" s="1"/>
      <c r="M498" s="8">
        <v>1</v>
      </c>
      <c r="N498" s="1"/>
      <c r="O498">
        <v>0.999</v>
      </c>
      <c r="P498" s="1"/>
      <c r="Q498" s="2">
        <v>0</v>
      </c>
    </row>
    <row r="499" spans="1:17" x14ac:dyDescent="0.2">
      <c r="A499">
        <v>123</v>
      </c>
      <c r="B499">
        <v>32</v>
      </c>
      <c r="C499" t="s">
        <v>122</v>
      </c>
      <c r="D499" s="13" t="s">
        <v>913</v>
      </c>
      <c r="E499" s="1">
        <v>1.24496238140132</v>
      </c>
      <c r="F499" s="1">
        <v>0.143700117082316</v>
      </c>
      <c r="G499">
        <f>VLOOKUP(C499,'[1]phenotypes-895'!$A$2:$G$896,7,FALSE)</f>
        <v>56</v>
      </c>
      <c r="H499" s="1">
        <v>-2.0177896825729701E-2</v>
      </c>
      <c r="I499" s="1">
        <f>VLOOKUP(C499,'[1]phenotypes-895'!$A$2:$I$896,9,FALSE)</f>
        <v>0.48409307075872599</v>
      </c>
      <c r="J499" s="1"/>
      <c r="K499" s="4">
        <v>3.8341503074746628</v>
      </c>
      <c r="L499" s="1"/>
      <c r="M499" s="8">
        <v>1</v>
      </c>
      <c r="N499" s="1"/>
      <c r="O499">
        <v>1.0149999999999999</v>
      </c>
      <c r="P499" s="1"/>
      <c r="Q499" s="2">
        <v>0</v>
      </c>
    </row>
    <row r="500" spans="1:17" x14ac:dyDescent="0.2">
      <c r="A500">
        <v>163</v>
      </c>
      <c r="B500">
        <v>50</v>
      </c>
      <c r="C500" t="s">
        <v>162</v>
      </c>
      <c r="D500" s="13" t="s">
        <v>912</v>
      </c>
      <c r="E500" s="1">
        <v>-0.94796649588192305</v>
      </c>
      <c r="F500" s="1">
        <v>0.137888065673996</v>
      </c>
      <c r="G500">
        <f>VLOOKUP(C500,'[1]phenotypes-895'!$A$2:$G$896,7,FALSE)</f>
        <v>60</v>
      </c>
      <c r="H500" s="1">
        <v>3.7944776322599602E-3</v>
      </c>
      <c r="I500" s="1">
        <f>VLOOKUP(C500,'[1]phenotypes-895'!$A$2:$I$896,9,FALSE)</f>
        <v>0.5039825658814967</v>
      </c>
      <c r="J500" s="1"/>
      <c r="K500" s="4">
        <v>3.8119648658997032</v>
      </c>
      <c r="L500" s="1"/>
      <c r="M500" s="8">
        <v>1</v>
      </c>
      <c r="N500" s="1"/>
      <c r="O500">
        <v>0.53300000000000003</v>
      </c>
      <c r="P500" s="1"/>
      <c r="Q500" s="2">
        <v>-0.21</v>
      </c>
    </row>
    <row r="501" spans="1:17" x14ac:dyDescent="0.2">
      <c r="A501">
        <v>602</v>
      </c>
      <c r="B501">
        <v>49</v>
      </c>
      <c r="C501" t="s">
        <v>601</v>
      </c>
      <c r="D501" s="13" t="s">
        <v>912</v>
      </c>
      <c r="E501" s="1">
        <v>-2.79979439429898</v>
      </c>
      <c r="F501" s="1">
        <v>0.12710054910802099</v>
      </c>
      <c r="G501">
        <f>VLOOKUP(C501,'[1]phenotypes-895'!$A$2:$G$896,7,FALSE)</f>
        <v>63</v>
      </c>
      <c r="H501" s="1">
        <v>3.1436365996787202E-2</v>
      </c>
      <c r="I501" s="1">
        <f>VLOOKUP(C501,'[1]phenotypes-895'!$A$2:$I$896,9,FALSE)</f>
        <v>0.5149829871217072</v>
      </c>
      <c r="J501" s="1"/>
      <c r="K501" s="4">
        <v>3.9989229393133399</v>
      </c>
      <c r="L501" s="1"/>
      <c r="M501" s="8">
        <v>1</v>
      </c>
      <c r="N501" s="1"/>
      <c r="O501">
        <v>0.77</v>
      </c>
      <c r="P501" s="1"/>
      <c r="Q501" s="2">
        <v>-0.08</v>
      </c>
    </row>
    <row r="502" spans="1:17" x14ac:dyDescent="0.2">
      <c r="A502">
        <v>364</v>
      </c>
      <c r="B502">
        <v>44</v>
      </c>
      <c r="C502" t="s">
        <v>363</v>
      </c>
      <c r="D502" s="13" t="s">
        <v>912</v>
      </c>
      <c r="E502" s="1">
        <v>0.48750062772000402</v>
      </c>
      <c r="F502" s="1">
        <v>0.120949372273725</v>
      </c>
      <c r="G502">
        <f>VLOOKUP(C502,'[1]phenotypes-895'!$A$2:$G$896,7,FALSE)</f>
        <v>98</v>
      </c>
      <c r="H502" s="1">
        <v>2.9512034872439301E-2</v>
      </c>
      <c r="I502" s="1">
        <f>VLOOKUP(C502,'[1]phenotypes-895'!$A$2:$I$896,9,FALSE)</f>
        <v>0.37036318738735963</v>
      </c>
      <c r="J502" s="1"/>
      <c r="K502" s="4">
        <v>4.4049158253870786</v>
      </c>
      <c r="L502" s="1"/>
      <c r="M502" s="8">
        <v>1</v>
      </c>
      <c r="N502" s="1"/>
      <c r="O502">
        <v>0.85799999999999998</v>
      </c>
      <c r="P502" s="1"/>
      <c r="Q502" s="2">
        <v>-0.05</v>
      </c>
    </row>
    <row r="503" spans="1:17" x14ac:dyDescent="0.2">
      <c r="A503">
        <v>463</v>
      </c>
      <c r="B503">
        <v>44</v>
      </c>
      <c r="C503" t="s">
        <v>462</v>
      </c>
      <c r="D503" s="13" t="s">
        <v>912</v>
      </c>
      <c r="E503" s="1">
        <v>1.3237786754683101</v>
      </c>
      <c r="F503" s="1">
        <v>0.117640843422271</v>
      </c>
      <c r="G503">
        <f>VLOOKUP(C503,'[1]phenotypes-895'!$A$2:$G$896,7,FALSE)</f>
        <v>52</v>
      </c>
      <c r="H503" s="1">
        <v>-5.8549945324970799E-2</v>
      </c>
      <c r="I503" s="1">
        <f>VLOOKUP(C503,'[1]phenotypes-895'!$A$2:$I$896,9,FALSE)</f>
        <v>0.47229540729825342</v>
      </c>
      <c r="J503" s="1"/>
      <c r="K503" s="4">
        <v>3.4778072228516042</v>
      </c>
      <c r="L503" s="1"/>
      <c r="M503" s="8">
        <v>1</v>
      </c>
      <c r="N503" s="1"/>
      <c r="O503">
        <v>0.51400000000000001</v>
      </c>
      <c r="P503" s="1"/>
      <c r="Q503" s="2">
        <v>-0.23</v>
      </c>
    </row>
    <row r="504" spans="1:17" x14ac:dyDescent="0.2">
      <c r="A504">
        <v>437</v>
      </c>
      <c r="B504">
        <v>49</v>
      </c>
      <c r="C504" t="s">
        <v>436</v>
      </c>
      <c r="D504" s="13" t="s">
        <v>912</v>
      </c>
      <c r="E504" s="1">
        <v>-1.3986730053379299</v>
      </c>
      <c r="F504" s="1">
        <v>0.11543765334202701</v>
      </c>
      <c r="G504">
        <f>VLOOKUP(C504,'[1]phenotypes-895'!$A$2:$G$896,7,FALSE)</f>
        <v>98</v>
      </c>
      <c r="H504" s="1">
        <v>-1.6598060548896201E-2</v>
      </c>
      <c r="I504" s="1">
        <f>VLOOKUP(C504,'[1]phenotypes-895'!$A$2:$I$896,9,FALSE)</f>
        <v>0</v>
      </c>
      <c r="J504" s="1"/>
      <c r="K504" s="4">
        <v>0</v>
      </c>
      <c r="L504" s="1"/>
      <c r="M504" s="8">
        <v>0</v>
      </c>
      <c r="N504" s="1"/>
      <c r="O504">
        <v>0.90100000000000002</v>
      </c>
      <c r="P504" s="1"/>
      <c r="Q504" s="2">
        <v>-0.03</v>
      </c>
    </row>
    <row r="505" spans="1:17" x14ac:dyDescent="0.2">
      <c r="A505">
        <v>231</v>
      </c>
      <c r="B505">
        <v>11</v>
      </c>
      <c r="C505" t="s">
        <v>230</v>
      </c>
      <c r="D505" s="12" t="s">
        <v>912</v>
      </c>
      <c r="E505" s="1">
        <v>-0.680363135223926</v>
      </c>
      <c r="F505" s="1">
        <v>0.109001392936477</v>
      </c>
      <c r="G505">
        <f>VLOOKUP(C505,'[1]phenotypes-895'!$A$2:$G$896,7,FALSE)</f>
        <v>98</v>
      </c>
      <c r="H505" s="1">
        <v>-2.10754313128463E-2</v>
      </c>
      <c r="I505" s="1">
        <f>VLOOKUP(C505,'[1]phenotypes-895'!$A$2:$I$896,9,FALSE)</f>
        <v>0</v>
      </c>
      <c r="J505" s="1"/>
      <c r="K505" s="4">
        <v>0</v>
      </c>
      <c r="L505" s="1"/>
      <c r="M505" s="8">
        <v>0</v>
      </c>
      <c r="N505" s="1"/>
      <c r="O505" s="6">
        <v>0.98399999999999999</v>
      </c>
      <c r="P505" s="1"/>
      <c r="Q505" s="7">
        <v>-0.01</v>
      </c>
    </row>
    <row r="506" spans="1:17" x14ac:dyDescent="0.2">
      <c r="A506">
        <v>342</v>
      </c>
      <c r="B506">
        <v>11</v>
      </c>
      <c r="C506" t="s">
        <v>341</v>
      </c>
      <c r="D506" s="12" t="s">
        <v>912</v>
      </c>
      <c r="E506" s="1">
        <v>-7.2824001768231006E-2</v>
      </c>
      <c r="F506" s="1">
        <v>0.10388169629917</v>
      </c>
      <c r="G506">
        <f>VLOOKUP(C506,'[1]phenotypes-895'!$A$2:$G$896,7,FALSE)</f>
        <v>98</v>
      </c>
      <c r="H506" s="1">
        <v>-1.20176139693563E-2</v>
      </c>
      <c r="I506" s="1">
        <f>VLOOKUP(C506,'[1]phenotypes-895'!$A$2:$I$896,9,FALSE)</f>
        <v>0</v>
      </c>
      <c r="J506" s="1"/>
      <c r="K506" s="4">
        <v>0</v>
      </c>
      <c r="L506" s="1"/>
      <c r="M506" s="8">
        <v>0</v>
      </c>
      <c r="N506" s="1"/>
      <c r="O506" s="6">
        <v>0.97199999999999998</v>
      </c>
      <c r="P506" s="1"/>
      <c r="Q506" s="7">
        <v>-0.01</v>
      </c>
    </row>
    <row r="507" spans="1:17" x14ac:dyDescent="0.2">
      <c r="A507">
        <v>263</v>
      </c>
      <c r="B507">
        <v>34</v>
      </c>
      <c r="C507" t="s">
        <v>262</v>
      </c>
      <c r="D507" s="13" t="s">
        <v>913</v>
      </c>
      <c r="E507" s="1">
        <v>1.4227856207300899E-2</v>
      </c>
      <c r="F507" s="1">
        <v>7.9612864610941997E-2</v>
      </c>
      <c r="G507">
        <f>VLOOKUP(C507,'[1]phenotypes-895'!$A$2:$G$896,7,FALSE)</f>
        <v>77</v>
      </c>
      <c r="H507" s="1">
        <v>2.15665189835147E-2</v>
      </c>
      <c r="I507" s="1">
        <f>VLOOKUP(C507,'[1]phenotypes-895'!$A$2:$I$896,9,FALSE)</f>
        <v>0.36143051899493928</v>
      </c>
      <c r="J507" s="1"/>
      <c r="K507" s="4">
        <v>3.7722445109108729</v>
      </c>
      <c r="L507" s="1"/>
      <c r="M507" s="8">
        <v>1</v>
      </c>
      <c r="N507" s="1"/>
      <c r="O507">
        <v>0.99399999999999999</v>
      </c>
      <c r="P507" s="1"/>
      <c r="Q507" s="2">
        <v>0</v>
      </c>
    </row>
    <row r="508" spans="1:17" x14ac:dyDescent="0.2">
      <c r="A508">
        <v>636</v>
      </c>
      <c r="B508">
        <v>40</v>
      </c>
      <c r="C508" t="s">
        <v>635</v>
      </c>
      <c r="D508" s="13" t="s">
        <v>913</v>
      </c>
      <c r="E508" s="1">
        <v>0.636032462535707</v>
      </c>
      <c r="F508" s="1">
        <v>7.4666782322520595E-2</v>
      </c>
      <c r="G508">
        <f>VLOOKUP(C508,'[1]phenotypes-895'!$A$2:$G$896,7,FALSE)</f>
        <v>70</v>
      </c>
      <c r="H508" s="1">
        <v>5.4978312052052503E-2</v>
      </c>
      <c r="I508" s="1">
        <f>VLOOKUP(C508,'[1]phenotypes-895'!$A$2:$I$896,9,FALSE)</f>
        <v>0.6756093637624313</v>
      </c>
      <c r="J508" s="1"/>
      <c r="K508" s="4">
        <v>5.0212638373730245</v>
      </c>
      <c r="L508" s="1"/>
      <c r="M508" s="8">
        <v>1</v>
      </c>
      <c r="N508" s="1"/>
      <c r="O508">
        <v>1.0029999999999999</v>
      </c>
      <c r="P508" s="1"/>
      <c r="Q508" s="2">
        <v>0</v>
      </c>
    </row>
    <row r="509" spans="1:17" x14ac:dyDescent="0.2">
      <c r="A509">
        <v>10</v>
      </c>
      <c r="B509">
        <v>12</v>
      </c>
      <c r="C509" t="s">
        <v>9</v>
      </c>
      <c r="D509" s="12" t="s">
        <v>912</v>
      </c>
      <c r="E509" s="1">
        <v>-0.89999703469389603</v>
      </c>
      <c r="F509" s="1">
        <v>5.8106509351567297E-2</v>
      </c>
      <c r="G509">
        <f>VLOOKUP(C509,'[1]phenotypes-895'!$A$2:$G$896,7,FALSE)</f>
        <v>62</v>
      </c>
      <c r="H509" s="1">
        <v>-1.6912717354808902E-2</v>
      </c>
      <c r="I509" s="1">
        <f>VLOOKUP(C509,'[1]phenotypes-895'!$A$2:$I$896,9,FALSE)</f>
        <v>0.45469205998757523</v>
      </c>
      <c r="J509" s="1"/>
      <c r="K509" s="4">
        <v>4.274882962615691</v>
      </c>
      <c r="L509" s="1"/>
      <c r="M509" s="8">
        <v>1</v>
      </c>
      <c r="N509" s="1"/>
      <c r="O509" s="6">
        <v>0.97399999999999998</v>
      </c>
      <c r="P509" s="1"/>
      <c r="Q509" s="7">
        <v>-0.01</v>
      </c>
    </row>
    <row r="510" spans="1:17" x14ac:dyDescent="0.2">
      <c r="A510">
        <v>533</v>
      </c>
      <c r="B510">
        <v>42</v>
      </c>
      <c r="C510" t="s">
        <v>532</v>
      </c>
      <c r="D510" s="13" t="s">
        <v>912</v>
      </c>
      <c r="E510" s="1">
        <v>-2.6622507658951</v>
      </c>
      <c r="F510" s="1">
        <v>4.3046184559469201E-2</v>
      </c>
      <c r="G510">
        <f>VLOOKUP(C510,'[1]phenotypes-895'!$A$2:$G$896,7,FALSE)</f>
        <v>40</v>
      </c>
      <c r="H510" s="1">
        <v>6.1544271679734398E-2</v>
      </c>
      <c r="I510" s="1">
        <f>VLOOKUP(C510,'[1]phenotypes-895'!$A$2:$I$896,9,FALSE)</f>
        <v>0.69118734316310648</v>
      </c>
      <c r="J510" s="1"/>
      <c r="K510" s="4">
        <v>3.9626253987499322</v>
      </c>
      <c r="L510" s="1"/>
      <c r="M510" s="8">
        <v>1</v>
      </c>
      <c r="N510" s="1"/>
      <c r="O510">
        <v>0.60299999999999998</v>
      </c>
      <c r="P510" s="1"/>
      <c r="Q510" s="2">
        <v>-0.17</v>
      </c>
    </row>
    <row r="511" spans="1:17" x14ac:dyDescent="0.2">
      <c r="A511">
        <v>218</v>
      </c>
      <c r="B511">
        <v>49</v>
      </c>
      <c r="C511" t="s">
        <v>217</v>
      </c>
      <c r="D511" s="13" t="s">
        <v>912</v>
      </c>
      <c r="E511" s="1">
        <v>-2.20315421064603</v>
      </c>
      <c r="F511" s="1">
        <v>2.3437575272053299E-3</v>
      </c>
      <c r="G511">
        <f>VLOOKUP(C511,'[1]phenotypes-895'!$A$2:$G$896,7,FALSE)</f>
        <v>54</v>
      </c>
      <c r="H511" s="1">
        <v>3.1708189606935902E-2</v>
      </c>
      <c r="I511" s="1">
        <f>VLOOKUP(C511,'[1]phenotypes-895'!$A$2:$I$896,9,FALSE)</f>
        <v>0.6272656898419221</v>
      </c>
      <c r="J511" s="1"/>
      <c r="K511" s="4">
        <v>4.618673207475636</v>
      </c>
      <c r="L511" s="1"/>
      <c r="M511" s="8">
        <v>1</v>
      </c>
      <c r="N511" s="1"/>
      <c r="O511">
        <v>0.73399999999999999</v>
      </c>
      <c r="P511" s="1"/>
      <c r="Q511" s="2">
        <v>-0.1</v>
      </c>
    </row>
    <row r="512" spans="1:17" x14ac:dyDescent="0.2">
      <c r="A512">
        <v>505</v>
      </c>
      <c r="B512">
        <v>44</v>
      </c>
      <c r="C512" t="s">
        <v>504</v>
      </c>
      <c r="D512" s="13" t="s">
        <v>912</v>
      </c>
      <c r="E512" s="1">
        <v>1.7215802115200001</v>
      </c>
      <c r="F512" s="1">
        <v>-1.1682398804470501E-2</v>
      </c>
      <c r="G512">
        <f>VLOOKUP(C512,'[1]phenotypes-895'!$A$2:$G$896,7,FALSE)</f>
        <v>98</v>
      </c>
      <c r="H512" s="1">
        <v>-1.33722643031545E-2</v>
      </c>
      <c r="I512" s="1">
        <f>VLOOKUP(C512,'[1]phenotypes-895'!$A$2:$I$896,9,FALSE)</f>
        <v>0</v>
      </c>
      <c r="J512" s="1"/>
      <c r="K512" s="4">
        <v>0</v>
      </c>
      <c r="L512" s="1"/>
      <c r="M512" s="8">
        <v>0</v>
      </c>
      <c r="N512" s="1"/>
      <c r="O512">
        <v>0.73299999999999998</v>
      </c>
      <c r="P512" s="1"/>
      <c r="Q512" s="2">
        <v>-0.1</v>
      </c>
    </row>
    <row r="513" spans="1:17" x14ac:dyDescent="0.2">
      <c r="A513">
        <v>895</v>
      </c>
      <c r="B513">
        <v>31</v>
      </c>
      <c r="C513" t="s">
        <v>894</v>
      </c>
      <c r="D513" s="13" t="s">
        <v>913</v>
      </c>
      <c r="E513" s="1">
        <v>2.3704389307067801</v>
      </c>
      <c r="F513" s="1">
        <v>-2.45732E-2</v>
      </c>
      <c r="G513" s="15">
        <v>98</v>
      </c>
      <c r="H513" s="1">
        <v>-2.4200935412653599E-2</v>
      </c>
      <c r="I513" s="1">
        <f>VLOOKUP(C513,'[1]phenotypes-895'!$A$2:$I$896,9,FALSE)</f>
        <v>0.43584503370126931</v>
      </c>
      <c r="J513" s="1"/>
      <c r="K513" s="8">
        <v>1</v>
      </c>
      <c r="L513" s="1"/>
      <c r="M513">
        <v>1.175</v>
      </c>
      <c r="N513" s="1"/>
      <c r="O513" s="2">
        <v>0.05</v>
      </c>
    </row>
    <row r="514" spans="1:17" x14ac:dyDescent="0.2">
      <c r="A514">
        <v>807</v>
      </c>
      <c r="B514">
        <v>54</v>
      </c>
      <c r="C514" t="s">
        <v>806</v>
      </c>
      <c r="D514" s="13" t="s">
        <v>912</v>
      </c>
      <c r="E514" s="1">
        <v>-1.1554963703042</v>
      </c>
      <c r="F514" s="1">
        <v>-2.60104283741068E-2</v>
      </c>
      <c r="G514">
        <f>VLOOKUP(C514,'[1]phenotypes-895'!$A$2:$G$896,7,FALSE)</f>
        <v>51</v>
      </c>
      <c r="H514" s="1">
        <v>5.7766002431073804E-3</v>
      </c>
      <c r="I514" s="1">
        <f>VLOOKUP(C514,'[1]phenotypes-895'!$A$2:$I$896,9,FALSE)</f>
        <v>0.67262378954335866</v>
      </c>
      <c r="J514" s="1"/>
      <c r="K514" s="4">
        <v>3.8274901638644661</v>
      </c>
      <c r="L514" s="1"/>
      <c r="M514" s="8">
        <v>1</v>
      </c>
      <c r="N514" s="1"/>
      <c r="O514">
        <v>0.57499999999999996</v>
      </c>
      <c r="P514" s="1"/>
      <c r="Q514" s="2">
        <v>-0.18</v>
      </c>
    </row>
    <row r="515" spans="1:17" x14ac:dyDescent="0.2">
      <c r="A515">
        <v>459</v>
      </c>
      <c r="B515">
        <v>47</v>
      </c>
      <c r="C515" t="s">
        <v>458</v>
      </c>
      <c r="D515" s="13" t="s">
        <v>912</v>
      </c>
      <c r="E515" s="1">
        <v>-1.8110870443048199</v>
      </c>
      <c r="F515" s="1">
        <v>-2.94667296032332E-2</v>
      </c>
      <c r="G515">
        <f>VLOOKUP(C515,'[1]phenotypes-895'!$A$2:$G$896,7,FALSE)</f>
        <v>66</v>
      </c>
      <c r="H515" s="1">
        <v>5.5732308978847199E-3</v>
      </c>
      <c r="I515" s="1">
        <f>VLOOKUP(C515,'[1]phenotypes-895'!$A$2:$I$896,9,FALSE)</f>
        <v>0.41262008460922378</v>
      </c>
      <c r="J515" s="1"/>
      <c r="K515" s="4">
        <v>3.3208695857251551</v>
      </c>
      <c r="L515" s="1"/>
      <c r="M515" s="8">
        <v>1</v>
      </c>
      <c r="N515" s="1"/>
      <c r="O515">
        <v>0.98</v>
      </c>
      <c r="P515" s="1"/>
      <c r="Q515" s="2">
        <v>-0.01</v>
      </c>
    </row>
    <row r="516" spans="1:17" x14ac:dyDescent="0.2">
      <c r="A516">
        <v>843</v>
      </c>
      <c r="B516">
        <v>35</v>
      </c>
      <c r="C516" t="s">
        <v>842</v>
      </c>
      <c r="D516" s="13" t="s">
        <v>913</v>
      </c>
      <c r="E516" s="1">
        <v>1.68809580160839</v>
      </c>
      <c r="F516" s="1">
        <v>-3.68872523171924E-2</v>
      </c>
      <c r="G516">
        <f>VLOOKUP(C516,'[1]phenotypes-895'!$A$2:$G$896,7,FALSE)</f>
        <v>98</v>
      </c>
      <c r="H516" s="1">
        <v>-2.4501095569104601E-2</v>
      </c>
      <c r="I516" s="1">
        <f>VLOOKUP(C516,'[1]phenotypes-895'!$A$2:$I$896,9,FALSE)</f>
        <v>0</v>
      </c>
      <c r="J516" s="1"/>
      <c r="K516" s="4">
        <v>0</v>
      </c>
      <c r="L516" s="1"/>
      <c r="M516" s="8">
        <v>0</v>
      </c>
      <c r="N516" s="1"/>
      <c r="O516">
        <v>0.58199999999999996</v>
      </c>
      <c r="P516" s="1"/>
      <c r="Q516" s="2">
        <v>-0.18</v>
      </c>
    </row>
    <row r="517" spans="1:17" x14ac:dyDescent="0.2">
      <c r="A517">
        <v>866</v>
      </c>
      <c r="B517">
        <v>42</v>
      </c>
      <c r="C517" t="s">
        <v>865</v>
      </c>
      <c r="D517" s="13" t="s">
        <v>912</v>
      </c>
      <c r="E517" s="1">
        <v>-2.0682248236853198</v>
      </c>
      <c r="F517" s="1">
        <v>-5.23302537120552E-2</v>
      </c>
      <c r="G517">
        <f>VLOOKUP(C517,'[1]phenotypes-895'!$A$2:$G$896,7,FALSE)</f>
        <v>48</v>
      </c>
      <c r="H517" s="1">
        <v>2.0785197075750699E-2</v>
      </c>
      <c r="I517" s="1">
        <f>VLOOKUP(C517,'[1]phenotypes-895'!$A$2:$I$896,9,FALSE)</f>
        <v>0.51745416317913351</v>
      </c>
      <c r="J517" s="1"/>
      <c r="K517" s="4">
        <v>3.4621500449349205</v>
      </c>
      <c r="L517" s="1"/>
      <c r="M517" s="8">
        <v>1</v>
      </c>
      <c r="N517" s="1"/>
      <c r="O517">
        <v>0.61599999999999999</v>
      </c>
      <c r="P517" s="1"/>
      <c r="Q517" s="2">
        <v>-0.16</v>
      </c>
    </row>
    <row r="518" spans="1:17" x14ac:dyDescent="0.2">
      <c r="A518">
        <v>648</v>
      </c>
      <c r="B518">
        <v>30</v>
      </c>
      <c r="C518" t="s">
        <v>647</v>
      </c>
      <c r="D518" s="13" t="s">
        <v>913</v>
      </c>
      <c r="E518" s="1">
        <v>1.9815997090592301</v>
      </c>
      <c r="F518" s="1">
        <v>-7.9085418168125601E-2</v>
      </c>
      <c r="G518">
        <f>VLOOKUP(C518,'[1]phenotypes-895'!$A$2:$G$896,7,FALSE)</f>
        <v>98</v>
      </c>
      <c r="H518" s="1">
        <v>-5.6946589278874797E-2</v>
      </c>
      <c r="I518" s="1">
        <f>VLOOKUP(C518,'[1]phenotypes-895'!$A$2:$I$896,9,FALSE)</f>
        <v>0</v>
      </c>
      <c r="J518" s="1"/>
      <c r="K518" s="4">
        <v>0</v>
      </c>
      <c r="L518" s="1"/>
      <c r="M518" s="8">
        <v>0</v>
      </c>
      <c r="N518" s="1"/>
      <c r="O518">
        <v>1.1040000000000001</v>
      </c>
      <c r="P518" s="1"/>
      <c r="Q518" s="2">
        <v>0.03</v>
      </c>
    </row>
    <row r="519" spans="1:17" x14ac:dyDescent="0.2">
      <c r="A519">
        <v>166</v>
      </c>
      <c r="B519">
        <v>6</v>
      </c>
      <c r="C519" t="s">
        <v>165</v>
      </c>
      <c r="D519" s="12" t="s">
        <v>913</v>
      </c>
      <c r="E519" s="1">
        <v>2.2296510301808499</v>
      </c>
      <c r="F519" s="1">
        <v>-8.4392837984636801E-2</v>
      </c>
      <c r="G519">
        <f>VLOOKUP(C519,'[1]phenotypes-895'!$A$2:$G$896,7,FALSE)</f>
        <v>57</v>
      </c>
      <c r="H519" s="1">
        <v>-4.0216495556864802E-2</v>
      </c>
      <c r="I519" s="1">
        <f>VLOOKUP(C519,'[1]phenotypes-895'!$A$2:$I$896,9,FALSE)</f>
        <v>0.43945433688148638</v>
      </c>
      <c r="J519" s="1"/>
      <c r="K519" s="4">
        <v>3.5261615539280582</v>
      </c>
      <c r="L519" s="1"/>
      <c r="M519" s="8">
        <v>1</v>
      </c>
      <c r="N519" s="1"/>
      <c r="O519" s="6">
        <v>0.98</v>
      </c>
      <c r="P519" s="1"/>
      <c r="Q519" s="7">
        <v>-0.01</v>
      </c>
    </row>
    <row r="520" spans="1:17" x14ac:dyDescent="0.2">
      <c r="A520">
        <v>208</v>
      </c>
      <c r="B520">
        <v>52</v>
      </c>
      <c r="C520" t="s">
        <v>207</v>
      </c>
      <c r="D520" s="13" t="s">
        <v>912</v>
      </c>
      <c r="E520" s="1">
        <v>-2.1736551864828999</v>
      </c>
      <c r="F520" s="1">
        <v>-0.104800660606141</v>
      </c>
      <c r="G520">
        <f>VLOOKUP(C520,'[1]phenotypes-895'!$A$2:$G$896,7,FALSE)</f>
        <v>57</v>
      </c>
      <c r="H520" s="1">
        <v>1.0118091652529099E-2</v>
      </c>
      <c r="I520" s="1">
        <f>VLOOKUP(C520,'[1]phenotypes-895'!$A$2:$I$896,9,FALSE)</f>
        <v>0.59961618689660712</v>
      </c>
      <c r="J520" s="1"/>
      <c r="K520" s="4">
        <v>4.4074890499019554</v>
      </c>
      <c r="L520" s="1"/>
      <c r="M520" s="8">
        <v>1</v>
      </c>
      <c r="N520" s="1"/>
      <c r="O520">
        <v>0.52100000000000002</v>
      </c>
      <c r="P520" s="1"/>
      <c r="Q520" s="2">
        <v>-0.22</v>
      </c>
    </row>
    <row r="521" spans="1:17" x14ac:dyDescent="0.2">
      <c r="A521">
        <v>787</v>
      </c>
      <c r="B521">
        <v>42</v>
      </c>
      <c r="C521" t="s">
        <v>786</v>
      </c>
      <c r="D521" s="13" t="s">
        <v>912</v>
      </c>
      <c r="E521" s="1">
        <v>-2.0874223930872402</v>
      </c>
      <c r="F521" s="1">
        <v>-0.11810885847080201</v>
      </c>
      <c r="G521">
        <f>VLOOKUP(C521,'[1]phenotypes-895'!$A$2:$G$896,7,FALSE)</f>
        <v>82</v>
      </c>
      <c r="H521" s="1">
        <v>2.9683712955784699E-2</v>
      </c>
      <c r="I521" s="1">
        <f>VLOOKUP(C521,'[1]phenotypes-895'!$A$2:$I$896,9,FALSE)</f>
        <v>0.40265572662673421</v>
      </c>
      <c r="J521" s="1"/>
      <c r="K521" s="4">
        <v>0</v>
      </c>
      <c r="L521" s="1"/>
      <c r="M521" s="8">
        <v>1</v>
      </c>
      <c r="N521" s="1"/>
      <c r="O521">
        <v>0.52</v>
      </c>
      <c r="P521" s="1"/>
      <c r="Q521" s="2">
        <v>-0.22</v>
      </c>
    </row>
    <row r="522" spans="1:17" x14ac:dyDescent="0.2">
      <c r="A522">
        <v>111</v>
      </c>
      <c r="B522">
        <v>1</v>
      </c>
      <c r="C522" t="s">
        <v>110</v>
      </c>
      <c r="D522" s="12" t="s">
        <v>913</v>
      </c>
      <c r="E522" s="1">
        <v>1.17600718114458</v>
      </c>
      <c r="F522" s="1">
        <v>-0.12156393404563599</v>
      </c>
      <c r="G522">
        <f>VLOOKUP(C522,'[1]phenotypes-895'!$A$2:$G$896,7,FALSE)</f>
        <v>98</v>
      </c>
      <c r="H522" s="1">
        <v>-4.4807517512793903E-2</v>
      </c>
      <c r="I522" s="1">
        <f>VLOOKUP(C522,'[1]phenotypes-895'!$A$2:$I$896,9,FALSE)</f>
        <v>0</v>
      </c>
      <c r="J522" s="1"/>
      <c r="K522" s="4">
        <v>0</v>
      </c>
      <c r="L522" s="1"/>
      <c r="M522" s="8">
        <v>0</v>
      </c>
      <c r="N522" s="1"/>
      <c r="O522" s="6">
        <v>1.0680000000000001</v>
      </c>
      <c r="P522" s="1"/>
      <c r="Q522" s="7">
        <v>0.02</v>
      </c>
    </row>
    <row r="523" spans="1:17" x14ac:dyDescent="0.2">
      <c r="A523">
        <v>574</v>
      </c>
      <c r="B523">
        <v>54</v>
      </c>
      <c r="C523" t="s">
        <v>573</v>
      </c>
      <c r="D523" s="13" t="s">
        <v>912</v>
      </c>
      <c r="E523" s="1">
        <v>-1.41835275242901</v>
      </c>
      <c r="F523" s="1">
        <v>-0.14739190693658999</v>
      </c>
      <c r="G523">
        <f>VLOOKUP(C523,'[1]phenotypes-895'!$A$2:$G$896,7,FALSE)</f>
        <v>63</v>
      </c>
      <c r="H523" s="1">
        <v>-1.7011672947852899E-2</v>
      </c>
      <c r="I523" s="1">
        <f>VLOOKUP(C523,'[1]phenotypes-895'!$A$2:$I$896,9,FALSE)</f>
        <v>0.43703190822707277</v>
      </c>
      <c r="J523" s="1"/>
      <c r="K523" s="4">
        <v>4.6240111256844409</v>
      </c>
      <c r="L523" s="1"/>
      <c r="M523" s="8">
        <v>1</v>
      </c>
      <c r="N523" s="1"/>
      <c r="O523">
        <v>0.51500000000000001</v>
      </c>
      <c r="P523" s="1"/>
      <c r="Q523" s="2">
        <v>-0.22</v>
      </c>
    </row>
    <row r="524" spans="1:17" x14ac:dyDescent="0.2">
      <c r="A524">
        <v>526</v>
      </c>
      <c r="B524">
        <v>30</v>
      </c>
      <c r="C524" t="s">
        <v>525</v>
      </c>
      <c r="D524" s="13" t="s">
        <v>913</v>
      </c>
      <c r="E524" s="1">
        <v>1.01428011372379</v>
      </c>
      <c r="F524" s="1">
        <v>-0.155468468972148</v>
      </c>
      <c r="G524">
        <f>VLOOKUP(C524,'[1]phenotypes-895'!$A$2:$G$896,7,FALSE)</f>
        <v>98</v>
      </c>
      <c r="H524" s="1">
        <v>-1.9539686238496601E-2</v>
      </c>
      <c r="I524" s="1">
        <f>VLOOKUP(C524,'[1]phenotypes-895'!$A$2:$I$896,9,FALSE)</f>
        <v>0</v>
      </c>
      <c r="J524" s="1"/>
      <c r="K524" s="4">
        <v>0</v>
      </c>
      <c r="L524" s="1"/>
      <c r="M524" s="8">
        <v>0</v>
      </c>
      <c r="N524" s="1"/>
      <c r="O524">
        <v>1.083</v>
      </c>
      <c r="P524" s="1"/>
      <c r="Q524" s="2">
        <v>0.03</v>
      </c>
    </row>
    <row r="525" spans="1:17" x14ac:dyDescent="0.2">
      <c r="A525">
        <v>130</v>
      </c>
      <c r="B525">
        <v>43</v>
      </c>
      <c r="C525" t="s">
        <v>129</v>
      </c>
      <c r="D525" s="13" t="s">
        <v>912</v>
      </c>
      <c r="E525" s="1">
        <v>-1.96488729297653</v>
      </c>
      <c r="F525" s="1">
        <v>-0.15770374216885</v>
      </c>
      <c r="G525">
        <f>VLOOKUP(C525,'[1]phenotypes-895'!$A$2:$G$896,7,FALSE)</f>
        <v>62</v>
      </c>
      <c r="H525" s="1">
        <v>2.41808646140887E-2</v>
      </c>
      <c r="I525" s="1">
        <f>VLOOKUP(C525,'[1]phenotypes-895'!$A$2:$I$896,9,FALSE)</f>
        <v>0.43729162839069269</v>
      </c>
      <c r="J525" s="1"/>
      <c r="K525" s="4">
        <v>4.2079109641158334</v>
      </c>
      <c r="L525" s="1"/>
      <c r="M525" s="8">
        <v>1</v>
      </c>
      <c r="N525" s="1"/>
      <c r="O525">
        <v>0.81299999999999994</v>
      </c>
      <c r="P525" s="1"/>
      <c r="Q525" s="2">
        <v>-7.0000000000000007E-2</v>
      </c>
    </row>
    <row r="526" spans="1:17" x14ac:dyDescent="0.2">
      <c r="A526">
        <v>168</v>
      </c>
      <c r="B526">
        <v>12</v>
      </c>
      <c r="C526" t="s">
        <v>167</v>
      </c>
      <c r="D526" s="12" t="s">
        <v>912</v>
      </c>
      <c r="E526" s="1">
        <v>-1.0066395635821199</v>
      </c>
      <c r="F526" s="1">
        <v>-0.18275532468123601</v>
      </c>
      <c r="G526">
        <f>VLOOKUP(C526,'[1]phenotypes-895'!$A$2:$G$896,7,FALSE)</f>
        <v>51</v>
      </c>
      <c r="H526" s="1">
        <v>2.3645765613573799E-2</v>
      </c>
      <c r="I526" s="1">
        <f>VLOOKUP(C526,'[1]phenotypes-895'!$A$2:$I$896,9,FALSE)</f>
        <v>0.8367874047947097</v>
      </c>
      <c r="J526" s="1"/>
      <c r="K526" s="4">
        <v>4.0653593626591267</v>
      </c>
      <c r="L526" s="1"/>
      <c r="M526" s="8">
        <v>1</v>
      </c>
      <c r="N526" s="1"/>
      <c r="O526" s="6">
        <v>0.89300000000000002</v>
      </c>
      <c r="P526" s="1"/>
      <c r="Q526" s="7">
        <v>-0.04</v>
      </c>
    </row>
    <row r="527" spans="1:17" x14ac:dyDescent="0.2">
      <c r="A527">
        <v>508</v>
      </c>
      <c r="B527">
        <v>50</v>
      </c>
      <c r="C527" t="s">
        <v>507</v>
      </c>
      <c r="D527" s="13" t="s">
        <v>912</v>
      </c>
      <c r="E527" s="1">
        <v>0.75809691521908895</v>
      </c>
      <c r="F527" s="1">
        <v>-0.21247889017213301</v>
      </c>
      <c r="G527">
        <f>VLOOKUP(C527,'[1]phenotypes-895'!$A$2:$G$896,7,FALSE)</f>
        <v>62</v>
      </c>
      <c r="H527" s="1">
        <v>-1.2102886734202199E-2</v>
      </c>
      <c r="I527" s="1">
        <f>VLOOKUP(C527,'[1]phenotypes-895'!$A$2:$I$896,9,FALSE)</f>
        <v>0.53962423578912122</v>
      </c>
      <c r="J527" s="1"/>
      <c r="K527" s="4">
        <v>4.3406247868328007</v>
      </c>
      <c r="L527" s="1"/>
      <c r="M527" s="8">
        <v>1</v>
      </c>
      <c r="N527" s="1"/>
      <c r="O527">
        <v>0.67100000000000004</v>
      </c>
      <c r="P527" s="1"/>
      <c r="Q527" s="2">
        <v>-0.13</v>
      </c>
    </row>
    <row r="528" spans="1:17" x14ac:dyDescent="0.2">
      <c r="A528">
        <v>214</v>
      </c>
      <c r="B528">
        <v>54</v>
      </c>
      <c r="C528" t="s">
        <v>213</v>
      </c>
      <c r="D528" s="13" t="s">
        <v>912</v>
      </c>
      <c r="E528" s="1">
        <v>-1.95925819392556</v>
      </c>
      <c r="F528" s="1">
        <v>-0.21254033914017101</v>
      </c>
      <c r="G528">
        <f>VLOOKUP(C528,'[1]phenotypes-895'!$A$2:$G$896,7,FALSE)</f>
        <v>70</v>
      </c>
      <c r="H528" s="1">
        <v>-1.47328040782815E-2</v>
      </c>
      <c r="I528" s="1">
        <f>VLOOKUP(C528,'[1]phenotypes-895'!$A$2:$I$896,9,FALSE)</f>
        <v>0.43246765794932129</v>
      </c>
      <c r="J528" s="1"/>
      <c r="K528" s="4">
        <v>3.6709977232306814</v>
      </c>
      <c r="L528" s="1"/>
      <c r="M528" s="8">
        <v>1</v>
      </c>
      <c r="N528" s="1"/>
      <c r="O528">
        <v>0.51700000000000002</v>
      </c>
      <c r="P528" s="1"/>
      <c r="Q528" s="2">
        <v>-0.22</v>
      </c>
    </row>
    <row r="529" spans="1:17" x14ac:dyDescent="0.2">
      <c r="A529">
        <v>788</v>
      </c>
      <c r="B529">
        <v>33</v>
      </c>
      <c r="C529" t="s">
        <v>787</v>
      </c>
      <c r="D529" s="13" t="s">
        <v>913</v>
      </c>
      <c r="E529" s="1">
        <v>-0.99150398035968701</v>
      </c>
      <c r="F529" s="1">
        <v>-0.23196694897793901</v>
      </c>
      <c r="G529">
        <f>VLOOKUP(C529,'[1]phenotypes-895'!$A$2:$G$896,7,FALSE)</f>
        <v>98</v>
      </c>
      <c r="H529" s="1">
        <v>-6.1911417392322499E-3</v>
      </c>
      <c r="I529" s="1">
        <f>VLOOKUP(C529,'[1]phenotypes-895'!$A$2:$I$896,9,FALSE)</f>
        <v>0</v>
      </c>
      <c r="J529" s="1"/>
      <c r="K529" s="4">
        <v>0</v>
      </c>
      <c r="L529" s="1"/>
      <c r="M529" s="8">
        <v>0</v>
      </c>
      <c r="N529" s="1"/>
      <c r="O529">
        <v>0.745</v>
      </c>
      <c r="P529" s="1"/>
      <c r="Q529" s="2">
        <v>-0.09</v>
      </c>
    </row>
    <row r="530" spans="1:17" x14ac:dyDescent="0.2">
      <c r="A530">
        <v>552</v>
      </c>
      <c r="B530">
        <v>50</v>
      </c>
      <c r="C530" t="s">
        <v>551</v>
      </c>
      <c r="D530" s="13" t="s">
        <v>912</v>
      </c>
      <c r="E530" s="1">
        <v>-2.3933695121478999</v>
      </c>
      <c r="F530" s="1">
        <v>-0.24207369576146001</v>
      </c>
      <c r="G530">
        <f>VLOOKUP(C530,'[1]phenotypes-895'!$A$2:$G$896,7,FALSE)</f>
        <v>48</v>
      </c>
      <c r="H530" s="1">
        <v>-1.43462850233995E-2</v>
      </c>
      <c r="I530" s="1">
        <f>VLOOKUP(C530,'[1]phenotypes-895'!$A$2:$I$896,9,FALSE)</f>
        <v>0.23665228157271931</v>
      </c>
      <c r="J530" s="1"/>
      <c r="K530" s="4">
        <v>3.2361219781926187</v>
      </c>
      <c r="L530" s="1"/>
      <c r="M530" s="8">
        <v>1</v>
      </c>
      <c r="N530" s="1"/>
      <c r="O530">
        <v>0.58199999999999996</v>
      </c>
      <c r="P530" s="1"/>
      <c r="Q530" s="2">
        <v>-0.18</v>
      </c>
    </row>
    <row r="531" spans="1:17" x14ac:dyDescent="0.2">
      <c r="A531">
        <v>881</v>
      </c>
      <c r="B531">
        <v>31</v>
      </c>
      <c r="C531" t="s">
        <v>880</v>
      </c>
      <c r="D531" s="13" t="s">
        <v>913</v>
      </c>
      <c r="E531" s="1">
        <v>1.1438788825964601</v>
      </c>
      <c r="F531" s="1">
        <v>-0.256794980235453</v>
      </c>
      <c r="G531">
        <f>VLOOKUP(C531,'[1]phenotypes-895'!$A$2:$G$896,7,FALSE)</f>
        <v>63</v>
      </c>
      <c r="H531" s="1">
        <v>-5.55778958434292E-3</v>
      </c>
      <c r="I531" s="1">
        <f>VLOOKUP(C531,'[1]phenotypes-895'!$A$2:$I$896,9,FALSE)</f>
        <v>0.64172712544574395</v>
      </c>
      <c r="J531" s="1"/>
      <c r="K531" s="4">
        <v>4.89444084702785</v>
      </c>
      <c r="L531" s="1"/>
      <c r="M531" s="8">
        <v>1</v>
      </c>
      <c r="N531" s="1"/>
      <c r="O531">
        <v>1.077</v>
      </c>
      <c r="P531" s="1"/>
      <c r="Q531" s="2">
        <v>0.02</v>
      </c>
    </row>
    <row r="532" spans="1:17" x14ac:dyDescent="0.2">
      <c r="A532">
        <v>710</v>
      </c>
      <c r="B532">
        <v>22</v>
      </c>
      <c r="C532" t="s">
        <v>709</v>
      </c>
      <c r="D532" s="13" t="s">
        <v>913</v>
      </c>
      <c r="E532" s="1">
        <v>0.20900997381091199</v>
      </c>
      <c r="F532" s="1">
        <v>-0.29096501128241298</v>
      </c>
      <c r="G532">
        <f>VLOOKUP(C532,'[1]phenotypes-895'!$A$2:$G$896,7,FALSE)</f>
        <v>56</v>
      </c>
      <c r="H532" s="1">
        <v>3.1127836742683698E-2</v>
      </c>
      <c r="I532" s="1">
        <f>VLOOKUP(C532,'[1]phenotypes-895'!$A$2:$I$896,9,FALSE)</f>
        <v>0.6836362904619474</v>
      </c>
      <c r="J532" s="1"/>
      <c r="K532" s="4">
        <v>4.5796530765640728</v>
      </c>
      <c r="L532" s="1"/>
      <c r="M532" s="8">
        <v>1</v>
      </c>
      <c r="N532" s="1"/>
      <c r="O532">
        <v>1.1180000000000001</v>
      </c>
      <c r="P532" s="1"/>
      <c r="Q532" s="2">
        <v>0.03</v>
      </c>
    </row>
    <row r="533" spans="1:17" x14ac:dyDescent="0.2">
      <c r="A533">
        <v>475</v>
      </c>
      <c r="B533">
        <v>44</v>
      </c>
      <c r="C533" t="s">
        <v>474</v>
      </c>
      <c r="D533" s="13" t="s">
        <v>912</v>
      </c>
      <c r="E533" s="1">
        <v>-0.83978251436474505</v>
      </c>
      <c r="F533" s="1">
        <v>-0.32104530487499</v>
      </c>
      <c r="G533">
        <f>VLOOKUP(C533,'[1]phenotypes-895'!$A$2:$G$896,7,FALSE)</f>
        <v>58</v>
      </c>
      <c r="H533" s="1">
        <v>2.0228100962493299E-2</v>
      </c>
      <c r="I533" s="1">
        <f>VLOOKUP(C533,'[1]phenotypes-895'!$A$2:$I$896,9,FALSE)</f>
        <v>0.50888489903448875</v>
      </c>
      <c r="J533" s="1"/>
      <c r="K533" s="4">
        <v>4.0364469282017028</v>
      </c>
      <c r="L533" s="1"/>
      <c r="M533" s="8">
        <v>1</v>
      </c>
      <c r="N533" s="1"/>
      <c r="O533">
        <v>0.98199999999999998</v>
      </c>
      <c r="P533" s="1"/>
      <c r="Q533" s="2">
        <v>-0.01</v>
      </c>
    </row>
    <row r="534" spans="1:17" x14ac:dyDescent="0.2">
      <c r="A534">
        <v>635</v>
      </c>
      <c r="B534">
        <v>50</v>
      </c>
      <c r="C534" t="s">
        <v>634</v>
      </c>
      <c r="D534" s="13" t="s">
        <v>912</v>
      </c>
      <c r="E534" s="1">
        <v>-1.30261122587746</v>
      </c>
      <c r="F534" s="1">
        <v>-0.32596360447651102</v>
      </c>
      <c r="G534">
        <f>VLOOKUP(C534,'[1]phenotypes-895'!$A$2:$G$896,7,FALSE)</f>
        <v>72</v>
      </c>
      <c r="H534" s="1">
        <v>2.95641599169283E-2</v>
      </c>
      <c r="I534" s="1">
        <f>VLOOKUP(C534,'[1]phenotypes-895'!$A$2:$I$896,9,FALSE)</f>
        <v>0.404740888482156</v>
      </c>
      <c r="J534" s="1"/>
      <c r="K534" s="4">
        <v>3.3928746153662002</v>
      </c>
      <c r="L534" s="1"/>
      <c r="M534" s="8">
        <v>1</v>
      </c>
      <c r="N534" s="1"/>
      <c r="O534">
        <v>0.495</v>
      </c>
      <c r="P534" s="1"/>
      <c r="Q534" s="2">
        <v>-0.24</v>
      </c>
    </row>
    <row r="535" spans="1:17" x14ac:dyDescent="0.2">
      <c r="A535">
        <v>439</v>
      </c>
      <c r="B535">
        <v>54</v>
      </c>
      <c r="C535" t="s">
        <v>438</v>
      </c>
      <c r="D535" s="13" t="s">
        <v>912</v>
      </c>
      <c r="E535" s="1">
        <v>0.81382719435669704</v>
      </c>
      <c r="F535" s="1">
        <v>-0.341298352342366</v>
      </c>
      <c r="G535">
        <f>VLOOKUP(C535,'[1]phenotypes-895'!$A$2:$G$896,7,FALSE)</f>
        <v>98</v>
      </c>
      <c r="H535" s="1">
        <v>3.9206395789178998E-3</v>
      </c>
      <c r="I535" s="1">
        <f>VLOOKUP(C535,'[1]phenotypes-895'!$A$2:$I$896,9,FALSE)</f>
        <v>0.20915257419901809</v>
      </c>
      <c r="J535" s="1"/>
      <c r="K535" s="4">
        <v>3.916576471477963</v>
      </c>
      <c r="L535" s="1"/>
      <c r="M535" s="8">
        <v>1</v>
      </c>
      <c r="N535" s="1"/>
      <c r="O535">
        <v>0.69099999999999995</v>
      </c>
      <c r="P535" s="1"/>
      <c r="Q535" s="2">
        <v>-0.12</v>
      </c>
    </row>
    <row r="536" spans="1:17" x14ac:dyDescent="0.2">
      <c r="A536">
        <v>223</v>
      </c>
      <c r="B536">
        <v>1</v>
      </c>
      <c r="C536" t="s">
        <v>222</v>
      </c>
      <c r="D536" s="12" t="s">
        <v>913</v>
      </c>
      <c r="E536" s="1">
        <v>0.65435518704986995</v>
      </c>
      <c r="F536" s="1">
        <v>-0.38514438888157398</v>
      </c>
      <c r="G536">
        <f>VLOOKUP(C536,'[1]phenotypes-895'!$A$2:$G$896,7,FALSE)</f>
        <v>98</v>
      </c>
      <c r="H536" s="1">
        <v>-9.4669111021418E-3</v>
      </c>
      <c r="I536" s="1">
        <f>VLOOKUP(C536,'[1]phenotypes-895'!$A$2:$I$896,9,FALSE)</f>
        <v>0</v>
      </c>
      <c r="J536" s="1"/>
      <c r="K536" s="4">
        <v>0</v>
      </c>
      <c r="L536" s="1"/>
      <c r="M536" s="8">
        <v>0</v>
      </c>
      <c r="N536" s="1"/>
      <c r="O536" s="6">
        <v>1.2609999999999999</v>
      </c>
      <c r="P536" s="1"/>
      <c r="Q536" s="7">
        <v>7.0000000000000007E-2</v>
      </c>
    </row>
    <row r="537" spans="1:17" x14ac:dyDescent="0.2">
      <c r="A537">
        <v>420</v>
      </c>
      <c r="B537">
        <v>53</v>
      </c>
      <c r="C537" t="s">
        <v>419</v>
      </c>
      <c r="D537" s="13" t="s">
        <v>912</v>
      </c>
      <c r="E537" s="1">
        <v>1.4831853823433301</v>
      </c>
      <c r="F537" s="1">
        <v>-0.385457529675863</v>
      </c>
      <c r="G537">
        <f>VLOOKUP(C537,'[1]phenotypes-895'!$A$2:$G$896,7,FALSE)</f>
        <v>98</v>
      </c>
      <c r="H537" s="1">
        <v>-1.9361159714064401E-2</v>
      </c>
      <c r="I537" s="1">
        <f>VLOOKUP(C537,'[1]phenotypes-895'!$A$2:$I$896,9,FALSE)</f>
        <v>0</v>
      </c>
      <c r="J537" s="1"/>
      <c r="K537" s="4">
        <v>0</v>
      </c>
      <c r="L537" s="1"/>
      <c r="M537" s="8">
        <v>0</v>
      </c>
      <c r="N537" s="1"/>
      <c r="O537">
        <v>0.61899999999999999</v>
      </c>
      <c r="P537" s="1"/>
      <c r="Q537" s="2">
        <v>-0.15</v>
      </c>
    </row>
    <row r="538" spans="1:17" x14ac:dyDescent="0.2">
      <c r="A538">
        <v>785</v>
      </c>
      <c r="B538">
        <v>54</v>
      </c>
      <c r="C538" t="s">
        <v>784</v>
      </c>
      <c r="D538" s="13" t="s">
        <v>912</v>
      </c>
      <c r="E538" s="1">
        <v>-1.6388925089591899</v>
      </c>
      <c r="F538" s="1">
        <v>-0.39255670726071501</v>
      </c>
      <c r="G538">
        <f>VLOOKUP(C538,'[1]phenotypes-895'!$A$2:$G$896,7,FALSE)</f>
        <v>51</v>
      </c>
      <c r="H538" s="1">
        <v>-2.0720209643706699E-2</v>
      </c>
      <c r="I538" s="1">
        <f>VLOOKUP(C538,'[1]phenotypes-895'!$A$2:$I$896,9,FALSE)</f>
        <v>0.2474730456377984</v>
      </c>
      <c r="J538" s="1"/>
      <c r="K538" s="4">
        <v>3.2145835259105424</v>
      </c>
      <c r="L538" s="1"/>
      <c r="M538" s="8">
        <v>1</v>
      </c>
      <c r="N538" s="1"/>
      <c r="O538">
        <v>0.55700000000000005</v>
      </c>
      <c r="P538" s="1"/>
      <c r="Q538" s="2">
        <v>-0.19</v>
      </c>
    </row>
    <row r="539" spans="1:17" x14ac:dyDescent="0.2">
      <c r="A539">
        <v>407</v>
      </c>
      <c r="B539">
        <v>51</v>
      </c>
      <c r="C539" t="s">
        <v>406</v>
      </c>
      <c r="D539" s="13" t="s">
        <v>912</v>
      </c>
      <c r="E539" s="1">
        <v>6.69885897918339E-3</v>
      </c>
      <c r="F539" s="1">
        <v>-0.41299807845035202</v>
      </c>
      <c r="G539">
        <f>VLOOKUP(C539,'[1]phenotypes-895'!$A$2:$G$896,7,FALSE)</f>
        <v>65</v>
      </c>
      <c r="H539" s="1">
        <v>2.6218057786747899E-2</v>
      </c>
      <c r="I539" s="1">
        <f>VLOOKUP(C539,'[1]phenotypes-895'!$A$2:$I$896,9,FALSE)</f>
        <v>0.71538550640195719</v>
      </c>
      <c r="J539" s="1"/>
      <c r="K539" s="4">
        <v>4.532304626138882</v>
      </c>
      <c r="L539" s="1"/>
      <c r="M539" s="8">
        <v>1</v>
      </c>
      <c r="N539" s="1"/>
      <c r="O539">
        <v>1.012</v>
      </c>
      <c r="P539" s="1"/>
      <c r="Q539" s="2">
        <v>0</v>
      </c>
    </row>
    <row r="540" spans="1:17" x14ac:dyDescent="0.2">
      <c r="A540">
        <v>887</v>
      </c>
      <c r="B540">
        <v>24</v>
      </c>
      <c r="C540" t="s">
        <v>886</v>
      </c>
      <c r="D540" s="13" t="s">
        <v>913</v>
      </c>
      <c r="E540" s="1">
        <v>0.48336886393742001</v>
      </c>
      <c r="F540" s="1">
        <v>-0.43503150137977797</v>
      </c>
      <c r="G540">
        <f>VLOOKUP(C540,'[1]phenotypes-895'!$A$2:$G$896,7,FALSE)</f>
        <v>98</v>
      </c>
      <c r="H540" s="1">
        <v>-1.01593177638057E-2</v>
      </c>
      <c r="I540" s="1">
        <f>VLOOKUP(C540,'[1]phenotypes-895'!$A$2:$I$896,9,FALSE)</f>
        <v>0</v>
      </c>
      <c r="J540" s="1"/>
      <c r="K540" s="4">
        <v>0</v>
      </c>
      <c r="L540" s="1"/>
      <c r="M540" s="8">
        <v>0</v>
      </c>
      <c r="N540" s="1"/>
      <c r="O540">
        <v>1.369</v>
      </c>
      <c r="P540" s="1"/>
      <c r="Q540" s="2">
        <v>0.1</v>
      </c>
    </row>
    <row r="541" spans="1:17" x14ac:dyDescent="0.2">
      <c r="A541">
        <v>379</v>
      </c>
      <c r="B541">
        <v>44</v>
      </c>
      <c r="C541" t="s">
        <v>378</v>
      </c>
      <c r="D541" s="13" t="s">
        <v>912</v>
      </c>
      <c r="E541" s="1">
        <v>0.484544860650022</v>
      </c>
      <c r="F541" s="1">
        <v>-0.446800850110742</v>
      </c>
      <c r="G541">
        <f>VLOOKUP(C541,'[1]phenotypes-895'!$A$2:$G$896,7,FALSE)</f>
        <v>98</v>
      </c>
      <c r="H541" s="1">
        <v>1.58705307663994E-2</v>
      </c>
      <c r="I541" s="1">
        <f>VLOOKUP(C541,'[1]phenotypes-895'!$A$2:$I$896,9,FALSE)</f>
        <v>0.1241983564244911</v>
      </c>
      <c r="J541" s="1"/>
      <c r="K541" s="4">
        <v>2.6737080872470895</v>
      </c>
      <c r="L541" s="1"/>
      <c r="M541" s="8">
        <v>1</v>
      </c>
      <c r="N541" s="1"/>
      <c r="O541">
        <v>0.71299999999999997</v>
      </c>
      <c r="P541" s="1"/>
      <c r="Q541" s="2">
        <v>-0.11</v>
      </c>
    </row>
    <row r="542" spans="1:17" x14ac:dyDescent="0.2">
      <c r="A542">
        <v>8</v>
      </c>
      <c r="B542">
        <v>6</v>
      </c>
      <c r="C542" t="s">
        <v>7</v>
      </c>
      <c r="D542" s="12" t="s">
        <v>913</v>
      </c>
      <c r="E542" s="1">
        <v>0.87949578142470397</v>
      </c>
      <c r="F542" s="1">
        <v>-0.452748383920271</v>
      </c>
      <c r="G542">
        <f>VLOOKUP(C542,'[1]phenotypes-895'!$A$2:$G$896,7,FALSE)</f>
        <v>98</v>
      </c>
      <c r="H542" s="1">
        <v>9.4215304719031494E-3</v>
      </c>
      <c r="I542" s="1">
        <f>VLOOKUP(C542,'[1]phenotypes-895'!$A$2:$I$896,9,FALSE)</f>
        <v>0.30843374879968127</v>
      </c>
      <c r="J542" s="1"/>
      <c r="K542" s="4">
        <v>4.3442682542332527</v>
      </c>
      <c r="L542" s="1"/>
      <c r="M542" s="8">
        <v>1</v>
      </c>
      <c r="N542" s="1"/>
      <c r="O542" s="6">
        <v>0.66</v>
      </c>
      <c r="P542" s="1"/>
      <c r="Q542" s="7">
        <v>-0.14000000000000001</v>
      </c>
    </row>
    <row r="543" spans="1:17" x14ac:dyDescent="0.2">
      <c r="A543">
        <v>356</v>
      </c>
      <c r="B543">
        <v>35</v>
      </c>
      <c r="C543" t="s">
        <v>355</v>
      </c>
      <c r="D543" s="13" t="s">
        <v>913</v>
      </c>
      <c r="E543" s="1">
        <v>0.143765513724676</v>
      </c>
      <c r="F543" s="1">
        <v>-0.46959278076938099</v>
      </c>
      <c r="G543">
        <f>VLOOKUP(C543,'[1]phenotypes-895'!$A$2:$G$896,7,FALSE)</f>
        <v>42</v>
      </c>
      <c r="H543" s="1">
        <v>1.2120975644231301E-3</v>
      </c>
      <c r="I543" s="1">
        <f>VLOOKUP(C543,'[1]phenotypes-895'!$A$2:$I$896,9,FALSE)</f>
        <v>0.78746786455792162</v>
      </c>
      <c r="J543" s="1"/>
      <c r="K543" s="4">
        <v>4.3775399787981231</v>
      </c>
      <c r="L543" s="1"/>
      <c r="M543" s="8">
        <v>1</v>
      </c>
      <c r="N543" s="1"/>
      <c r="O543">
        <v>0.96199999999999997</v>
      </c>
      <c r="P543" s="1"/>
      <c r="Q543" s="2">
        <v>-0.01</v>
      </c>
    </row>
    <row r="544" spans="1:17" x14ac:dyDescent="0.2">
      <c r="A544">
        <v>786</v>
      </c>
      <c r="B544">
        <v>31</v>
      </c>
      <c r="C544" t="s">
        <v>785</v>
      </c>
      <c r="D544" s="13" t="s">
        <v>913</v>
      </c>
      <c r="E544" s="1">
        <v>1.17891525865696</v>
      </c>
      <c r="F544" s="1">
        <v>-0.46979562365272098</v>
      </c>
      <c r="G544">
        <f>VLOOKUP(C544,'[1]phenotypes-895'!$A$2:$G$896,7,FALSE)</f>
        <v>98</v>
      </c>
      <c r="H544" s="1">
        <v>9.9274058159694398E-3</v>
      </c>
      <c r="I544" s="1">
        <f>VLOOKUP(C544,'[1]phenotypes-895'!$A$2:$I$896,9,FALSE)</f>
        <v>0</v>
      </c>
      <c r="J544" s="1"/>
      <c r="K544" s="4">
        <v>0</v>
      </c>
      <c r="L544" s="1"/>
      <c r="M544" s="8">
        <v>0</v>
      </c>
      <c r="N544" s="1"/>
      <c r="O544">
        <v>1.0569999999999999</v>
      </c>
      <c r="P544" s="1"/>
      <c r="Q544" s="2">
        <v>0.02</v>
      </c>
    </row>
    <row r="545" spans="1:17" x14ac:dyDescent="0.2">
      <c r="A545">
        <v>836</v>
      </c>
      <c r="B545">
        <v>29</v>
      </c>
      <c r="C545" t="s">
        <v>835</v>
      </c>
      <c r="D545" s="13" t="s">
        <v>913</v>
      </c>
      <c r="E545" s="1">
        <v>0.83912092198328603</v>
      </c>
      <c r="F545" s="1">
        <v>-0.47424205317662399</v>
      </c>
      <c r="G545">
        <f>VLOOKUP(C545,'[1]phenotypes-895'!$A$2:$G$896,7,FALSE)</f>
        <v>98</v>
      </c>
      <c r="H545" s="1">
        <v>-3.63748049717776E-2</v>
      </c>
      <c r="I545" s="1">
        <f>VLOOKUP(C545,'[1]phenotypes-895'!$A$2:$I$896,9,FALSE)</f>
        <v>0</v>
      </c>
      <c r="J545" s="1"/>
      <c r="K545" s="4">
        <v>0</v>
      </c>
      <c r="L545" s="1"/>
      <c r="M545" s="8">
        <v>0</v>
      </c>
      <c r="N545" s="1"/>
      <c r="O545">
        <v>1.153</v>
      </c>
      <c r="P545" s="1"/>
      <c r="Q545" s="2">
        <v>0.04</v>
      </c>
    </row>
    <row r="546" spans="1:17" x14ac:dyDescent="0.2">
      <c r="A546">
        <v>619</v>
      </c>
      <c r="B546">
        <v>33</v>
      </c>
      <c r="C546" t="s">
        <v>618</v>
      </c>
      <c r="D546" s="13" t="s">
        <v>913</v>
      </c>
      <c r="E546" s="1">
        <v>0.201550560148264</v>
      </c>
      <c r="F546" s="1">
        <v>-0.52076523075827996</v>
      </c>
      <c r="G546">
        <f>VLOOKUP(C546,'[1]phenotypes-895'!$A$2:$G$896,7,FALSE)</f>
        <v>98</v>
      </c>
      <c r="H546" s="1">
        <v>2.51861595236632E-3</v>
      </c>
      <c r="I546" s="1">
        <f>VLOOKUP(C546,'[1]phenotypes-895'!$A$2:$I$896,9,FALSE)</f>
        <v>0</v>
      </c>
      <c r="J546" s="1"/>
      <c r="K546" s="4">
        <v>0</v>
      </c>
      <c r="L546" s="1"/>
      <c r="M546" s="8">
        <v>0</v>
      </c>
      <c r="N546" s="1"/>
      <c r="O546">
        <v>0.91600000000000004</v>
      </c>
      <c r="P546" s="1"/>
      <c r="Q546" s="2">
        <v>-0.03</v>
      </c>
    </row>
    <row r="547" spans="1:17" x14ac:dyDescent="0.2">
      <c r="A547">
        <v>44</v>
      </c>
      <c r="B547">
        <v>32</v>
      </c>
      <c r="C547" t="s">
        <v>43</v>
      </c>
      <c r="D547" s="13" t="s">
        <v>913</v>
      </c>
      <c r="E547" s="1">
        <v>-7.6424689200160795E-2</v>
      </c>
      <c r="F547" s="1">
        <v>-0.53339333183000004</v>
      </c>
      <c r="G547">
        <f>VLOOKUP(C547,'[1]phenotypes-895'!$A$2:$G$896,7,FALSE)</f>
        <v>67</v>
      </c>
      <c r="H547" s="1">
        <v>2.77168926213863E-2</v>
      </c>
      <c r="I547" s="1">
        <f>VLOOKUP(C547,'[1]phenotypes-895'!$A$2:$I$896,9,FALSE)</f>
        <v>0.46892485816475382</v>
      </c>
      <c r="J547" s="1"/>
      <c r="K547" s="4">
        <v>4.2272782019979456</v>
      </c>
      <c r="L547" s="1"/>
      <c r="M547" s="8">
        <v>1</v>
      </c>
      <c r="N547" s="1"/>
      <c r="O547">
        <v>1.0860000000000001</v>
      </c>
      <c r="P547" s="1"/>
      <c r="Q547" s="2">
        <v>0.03</v>
      </c>
    </row>
    <row r="548" spans="1:17" x14ac:dyDescent="0.2">
      <c r="A548">
        <v>852</v>
      </c>
      <c r="B548">
        <v>49</v>
      </c>
      <c r="C548" t="s">
        <v>851</v>
      </c>
      <c r="D548" s="13" t="s">
        <v>912</v>
      </c>
      <c r="E548" s="1">
        <v>-1.6108979264419701</v>
      </c>
      <c r="F548" s="1">
        <v>-0.53764311365020101</v>
      </c>
      <c r="G548">
        <f>VLOOKUP(C548,'[1]phenotypes-895'!$A$2:$G$896,7,FALSE)</f>
        <v>67</v>
      </c>
      <c r="H548" s="1">
        <v>2.7723504939977599E-2</v>
      </c>
      <c r="I548" s="1">
        <f>VLOOKUP(C548,'[1]phenotypes-895'!$A$2:$I$896,9,FALSE)</f>
        <v>0.41956941552262678</v>
      </c>
      <c r="J548" s="1"/>
      <c r="K548" s="4">
        <v>4.1725910270447377</v>
      </c>
      <c r="L548" s="1"/>
      <c r="M548" s="8">
        <v>1</v>
      </c>
      <c r="N548" s="1"/>
      <c r="O548">
        <v>0.57699999999999996</v>
      </c>
      <c r="P548" s="1"/>
      <c r="Q548" s="2">
        <v>-0.19</v>
      </c>
    </row>
    <row r="549" spans="1:17" x14ac:dyDescent="0.2">
      <c r="A549">
        <v>217</v>
      </c>
      <c r="B549">
        <v>12</v>
      </c>
      <c r="C549" t="s">
        <v>216</v>
      </c>
      <c r="D549" s="12" t="s">
        <v>912</v>
      </c>
      <c r="E549" s="1">
        <v>-1.8434689878928801</v>
      </c>
      <c r="F549" s="1">
        <v>-0.54847317316451105</v>
      </c>
      <c r="G549">
        <f>VLOOKUP(C549,'[1]phenotypes-895'!$A$2:$G$896,7,FALSE)</f>
        <v>63</v>
      </c>
      <c r="H549" s="1">
        <v>9.4467001458831707E-3</v>
      </c>
      <c r="I549" s="1">
        <f>VLOOKUP(C549,'[1]phenotypes-895'!$A$2:$I$896,9,FALSE)</f>
        <v>0.35320872323592922</v>
      </c>
      <c r="J549" s="1"/>
      <c r="K549" s="4">
        <v>3.5598540927882274</v>
      </c>
      <c r="L549" s="1"/>
      <c r="M549" s="8">
        <v>1</v>
      </c>
      <c r="N549" s="1"/>
      <c r="O549" s="6">
        <v>0.79300000000000004</v>
      </c>
      <c r="P549" s="1"/>
      <c r="Q549" s="7">
        <v>-0.08</v>
      </c>
    </row>
    <row r="550" spans="1:17" x14ac:dyDescent="0.2">
      <c r="A550">
        <v>714</v>
      </c>
      <c r="B550">
        <v>50</v>
      </c>
      <c r="C550" t="s">
        <v>713</v>
      </c>
      <c r="D550" s="13" t="s">
        <v>912</v>
      </c>
      <c r="E550" s="1">
        <v>-1.5258782522659999</v>
      </c>
      <c r="F550" s="1">
        <v>-0.564029955592115</v>
      </c>
      <c r="G550">
        <f>VLOOKUP(C550,'[1]phenotypes-895'!$A$2:$G$896,7,FALSE)</f>
        <v>59</v>
      </c>
      <c r="H550" s="1">
        <v>2.99363950318619E-2</v>
      </c>
      <c r="I550" s="1">
        <f>VLOOKUP(C550,'[1]phenotypes-895'!$A$2:$I$896,9,FALSE)</f>
        <v>0.42285370760725749</v>
      </c>
      <c r="J550" s="1"/>
      <c r="K550" s="4">
        <v>4.5892873867390263</v>
      </c>
      <c r="L550" s="1"/>
      <c r="M550" s="8">
        <v>1</v>
      </c>
      <c r="N550" s="1"/>
      <c r="O550">
        <v>0.65900000000000003</v>
      </c>
      <c r="P550" s="1"/>
      <c r="Q550" s="2">
        <v>-0.14000000000000001</v>
      </c>
    </row>
    <row r="551" spans="1:17" x14ac:dyDescent="0.2">
      <c r="A551">
        <v>496</v>
      </c>
      <c r="B551">
        <v>45</v>
      </c>
      <c r="C551" t="s">
        <v>495</v>
      </c>
      <c r="D551" s="13" t="s">
        <v>912</v>
      </c>
      <c r="E551" s="1">
        <v>-0.25480490982102599</v>
      </c>
      <c r="F551" s="1">
        <v>-0.56798589332496097</v>
      </c>
      <c r="G551">
        <f>VLOOKUP(C551,'[1]phenotypes-895'!$A$2:$G$896,7,FALSE)</f>
        <v>74</v>
      </c>
      <c r="H551" s="1">
        <v>-8.3059693368375594E-3</v>
      </c>
      <c r="I551" s="1">
        <f>VLOOKUP(C551,'[1]phenotypes-895'!$A$2:$I$896,9,FALSE)</f>
        <v>0.44364013343238401</v>
      </c>
      <c r="J551" s="1"/>
      <c r="K551" s="4">
        <v>4.5273241878127548</v>
      </c>
      <c r="L551" s="1"/>
      <c r="M551" s="8">
        <v>1</v>
      </c>
      <c r="N551" s="1"/>
      <c r="O551">
        <v>0.76300000000000001</v>
      </c>
      <c r="P551" s="1"/>
      <c r="Q551" s="2">
        <v>-0.09</v>
      </c>
    </row>
    <row r="552" spans="1:17" x14ac:dyDescent="0.2">
      <c r="A552">
        <v>91</v>
      </c>
      <c r="B552">
        <v>2</v>
      </c>
      <c r="C552" t="s">
        <v>90</v>
      </c>
      <c r="D552" s="12" t="s">
        <v>913</v>
      </c>
      <c r="E552" s="1">
        <v>6.2387832683299699E-2</v>
      </c>
      <c r="F552" s="1">
        <v>-0.58428857151535196</v>
      </c>
      <c r="G552">
        <f>VLOOKUP(C552,'[1]phenotypes-895'!$A$2:$G$896,7,FALSE)</f>
        <v>98</v>
      </c>
      <c r="H552" s="1">
        <v>1.49523636060221E-2</v>
      </c>
      <c r="I552" s="1">
        <f>VLOOKUP(C552,'[1]phenotypes-895'!$A$2:$I$896,9,FALSE)</f>
        <v>0</v>
      </c>
      <c r="J552" s="1"/>
      <c r="K552" s="4">
        <v>0</v>
      </c>
      <c r="L552" s="1"/>
      <c r="M552" s="8">
        <v>0</v>
      </c>
      <c r="N552" s="1"/>
      <c r="O552" s="6">
        <v>0.94399999999999995</v>
      </c>
      <c r="P552" s="1"/>
      <c r="Q552" s="7">
        <v>-0.02</v>
      </c>
    </row>
    <row r="553" spans="1:17" x14ac:dyDescent="0.2">
      <c r="A553">
        <v>578</v>
      </c>
      <c r="B553">
        <v>34</v>
      </c>
      <c r="C553" t="s">
        <v>577</v>
      </c>
      <c r="D553" s="13" t="s">
        <v>913</v>
      </c>
      <c r="E553" s="1">
        <v>-0.69976898037683999</v>
      </c>
      <c r="F553" s="1">
        <v>-0.59431806308050295</v>
      </c>
      <c r="G553">
        <f>VLOOKUP(C553,'[1]phenotypes-895'!$A$2:$G$896,7,FALSE)</f>
        <v>98</v>
      </c>
      <c r="H553" s="1">
        <v>-3.8695939509567198E-4</v>
      </c>
      <c r="I553" s="1">
        <f>VLOOKUP(C553,'[1]phenotypes-895'!$A$2:$I$896,9,FALSE)</f>
        <v>0</v>
      </c>
      <c r="J553" s="1"/>
      <c r="K553" s="4">
        <v>0</v>
      </c>
      <c r="L553" s="1"/>
      <c r="M553" s="8">
        <v>0</v>
      </c>
      <c r="N553" s="1"/>
      <c r="O553">
        <v>1.1160000000000001</v>
      </c>
      <c r="P553" s="1"/>
      <c r="Q553" s="2">
        <v>0.03</v>
      </c>
    </row>
    <row r="554" spans="1:17" x14ac:dyDescent="0.2">
      <c r="A554">
        <v>120</v>
      </c>
      <c r="B554">
        <v>12</v>
      </c>
      <c r="C554" t="s">
        <v>119</v>
      </c>
      <c r="D554" s="12" t="s">
        <v>912</v>
      </c>
      <c r="E554" s="1">
        <v>-1.1396791447677701</v>
      </c>
      <c r="F554" s="1">
        <v>-0.62462885735954199</v>
      </c>
      <c r="G554">
        <f>VLOOKUP(C554,'[1]phenotypes-895'!$A$2:$G$896,7,FALSE)</f>
        <v>78</v>
      </c>
      <c r="H554" s="1">
        <v>-5.7684018773914297E-3</v>
      </c>
      <c r="I554" s="1">
        <f>VLOOKUP(C554,'[1]phenotypes-895'!$A$2:$I$896,9,FALSE)</f>
        <v>0.46311342261982968</v>
      </c>
      <c r="J554" s="1"/>
      <c r="K554" s="4">
        <v>4.2165947517547604</v>
      </c>
      <c r="L554" s="1"/>
      <c r="M554" s="8">
        <v>1</v>
      </c>
      <c r="N554" s="1"/>
      <c r="O554" s="6">
        <v>0.97799999999999998</v>
      </c>
      <c r="P554" s="1"/>
      <c r="Q554" s="7">
        <v>-0.01</v>
      </c>
    </row>
    <row r="555" spans="1:17" x14ac:dyDescent="0.2">
      <c r="A555">
        <v>225</v>
      </c>
      <c r="B555">
        <v>6</v>
      </c>
      <c r="C555" t="s">
        <v>224</v>
      </c>
      <c r="D555" s="12" t="s">
        <v>913</v>
      </c>
      <c r="E555" s="1">
        <v>1.7592126804055299</v>
      </c>
      <c r="F555" s="1">
        <v>-0.62850650035663902</v>
      </c>
      <c r="G555">
        <f>VLOOKUP(C555,'[1]phenotypes-895'!$A$2:$G$896,7,FALSE)</f>
        <v>64</v>
      </c>
      <c r="H555" s="1">
        <v>-1.89039676679602E-3</v>
      </c>
      <c r="I555" s="1">
        <f>VLOOKUP(C555,'[1]phenotypes-895'!$A$2:$I$896,9,FALSE)</f>
        <v>0.5805199057213003</v>
      </c>
      <c r="J555" s="1"/>
      <c r="K555" s="4">
        <v>4.0095498311531514</v>
      </c>
      <c r="L555" s="1"/>
      <c r="M555" s="8">
        <v>1</v>
      </c>
      <c r="N555" s="1"/>
      <c r="O555" s="6">
        <v>0.95199999999999996</v>
      </c>
      <c r="P555" s="1"/>
      <c r="Q555" s="7">
        <v>-0.02</v>
      </c>
    </row>
    <row r="556" spans="1:17" x14ac:dyDescent="0.2">
      <c r="A556">
        <v>845</v>
      </c>
      <c r="B556">
        <v>29</v>
      </c>
      <c r="C556" t="s">
        <v>844</v>
      </c>
      <c r="D556" s="13" t="s">
        <v>913</v>
      </c>
      <c r="E556" s="1">
        <v>0.90579945907363102</v>
      </c>
      <c r="F556" s="1">
        <v>-0.65952956006667596</v>
      </c>
      <c r="G556">
        <f>VLOOKUP(C556,'[1]phenotypes-895'!$A$2:$G$896,7,FALSE)</f>
        <v>91</v>
      </c>
      <c r="H556" s="1">
        <v>1.7056477845435299E-2</v>
      </c>
      <c r="I556" s="1">
        <f>VLOOKUP(C556,'[1]phenotypes-895'!$A$2:$I$896,9,FALSE)</f>
        <v>0.42508890463799348</v>
      </c>
      <c r="J556" s="1"/>
      <c r="K556" s="4">
        <v>4.0485495487682268</v>
      </c>
      <c r="L556" s="1"/>
      <c r="M556" s="8">
        <v>1</v>
      </c>
      <c r="N556" s="1"/>
      <c r="O556">
        <v>1.0680000000000001</v>
      </c>
      <c r="P556" s="1"/>
      <c r="Q556" s="2">
        <v>0.02</v>
      </c>
    </row>
    <row r="557" spans="1:17" x14ac:dyDescent="0.2">
      <c r="A557">
        <v>127</v>
      </c>
      <c r="B557">
        <v>49</v>
      </c>
      <c r="C557" t="s">
        <v>126</v>
      </c>
      <c r="D557" s="13" t="s">
        <v>912</v>
      </c>
      <c r="E557" s="1">
        <v>-2.0086070434458501</v>
      </c>
      <c r="F557" s="1">
        <v>-0.68441843314509199</v>
      </c>
      <c r="G557">
        <f>VLOOKUP(C557,'[1]phenotypes-895'!$A$2:$G$896,7,FALSE)</f>
        <v>59</v>
      </c>
      <c r="H557" s="1">
        <v>2.4676145970869999E-2</v>
      </c>
      <c r="I557" s="1">
        <f>VLOOKUP(C557,'[1]phenotypes-895'!$A$2:$I$896,9,FALSE)</f>
        <v>0.5568100931002854</v>
      </c>
      <c r="J557" s="1"/>
      <c r="K557" s="4">
        <v>4.3978212823912939</v>
      </c>
      <c r="L557" s="1"/>
      <c r="M557" s="8">
        <v>1</v>
      </c>
      <c r="N557" s="1"/>
      <c r="O557">
        <v>0.58599999999999997</v>
      </c>
      <c r="P557" s="1"/>
      <c r="Q557" s="2">
        <v>-0.18</v>
      </c>
    </row>
    <row r="558" spans="1:17" x14ac:dyDescent="0.2">
      <c r="A558">
        <v>51</v>
      </c>
      <c r="B558">
        <v>11</v>
      </c>
      <c r="C558" t="s">
        <v>50</v>
      </c>
      <c r="D558" s="12" t="s">
        <v>912</v>
      </c>
      <c r="E558" s="1">
        <v>-1.57338772942952</v>
      </c>
      <c r="F558" s="1">
        <v>-0.71494569191741897</v>
      </c>
      <c r="G558">
        <f>VLOOKUP(C558,'[1]phenotypes-895'!$A$2:$G$896,7,FALSE)</f>
        <v>98</v>
      </c>
      <c r="H558" s="1">
        <v>2.82314041852386E-2</v>
      </c>
      <c r="I558" s="1">
        <f>VLOOKUP(C558,'[1]phenotypes-895'!$A$2:$I$896,9,FALSE)</f>
        <v>0.28730367705543641</v>
      </c>
      <c r="J558" s="1"/>
      <c r="K558" s="4">
        <v>5.343912890442355</v>
      </c>
      <c r="L558" s="1"/>
      <c r="M558" s="8">
        <v>1</v>
      </c>
      <c r="N558" s="1"/>
      <c r="O558" s="6">
        <v>0.96899999999999997</v>
      </c>
      <c r="P558" s="1"/>
      <c r="Q558" s="7">
        <v>-0.01</v>
      </c>
    </row>
    <row r="559" spans="1:17" x14ac:dyDescent="0.2">
      <c r="A559">
        <v>738</v>
      </c>
      <c r="B559">
        <v>22</v>
      </c>
      <c r="C559" t="s">
        <v>737</v>
      </c>
      <c r="D559" s="13" t="s">
        <v>913</v>
      </c>
      <c r="E559" s="1">
        <v>-1.2515750816662099</v>
      </c>
      <c r="F559" s="1">
        <v>-0.73576542020938396</v>
      </c>
      <c r="G559">
        <f>VLOOKUP(C559,'[1]phenotypes-895'!$A$2:$G$896,7,FALSE)</f>
        <v>57</v>
      </c>
      <c r="H559" s="1">
        <v>5.5366815989638003E-2</v>
      </c>
      <c r="I559" s="1">
        <f>VLOOKUP(C559,'[1]phenotypes-895'!$A$2:$I$896,9,FALSE)</f>
        <v>0.90173323470425504</v>
      </c>
      <c r="J559" s="1"/>
      <c r="K559" s="4">
        <v>4.8585833714624629</v>
      </c>
      <c r="L559" s="1"/>
      <c r="M559" s="8">
        <v>1</v>
      </c>
      <c r="N559" s="1"/>
      <c r="O559">
        <v>1.196</v>
      </c>
      <c r="P559" s="1"/>
      <c r="Q559" s="2">
        <v>0.06</v>
      </c>
    </row>
    <row r="560" spans="1:17" x14ac:dyDescent="0.2">
      <c r="A560">
        <v>768</v>
      </c>
      <c r="B560">
        <v>50</v>
      </c>
      <c r="C560" t="s">
        <v>767</v>
      </c>
      <c r="D560" s="13" t="s">
        <v>912</v>
      </c>
      <c r="E560" s="1">
        <v>-1.7314321555049501</v>
      </c>
      <c r="F560" s="1">
        <v>-0.74155926305342501</v>
      </c>
      <c r="G560">
        <f>VLOOKUP(C560,'[1]phenotypes-895'!$A$2:$G$896,7,FALSE)</f>
        <v>59</v>
      </c>
      <c r="H560" s="1">
        <v>3.3670460512508403E-2</v>
      </c>
      <c r="I560" s="1">
        <f>VLOOKUP(C560,'[1]phenotypes-895'!$A$2:$I$896,9,FALSE)</f>
        <v>0.43053406670867628</v>
      </c>
      <c r="J560" s="1"/>
      <c r="K560" s="4">
        <v>4.4952064344736948</v>
      </c>
      <c r="L560" s="1"/>
      <c r="M560" s="8">
        <v>1</v>
      </c>
      <c r="N560" s="1"/>
      <c r="O560">
        <v>0.45700000000000002</v>
      </c>
      <c r="P560" s="1"/>
      <c r="Q560" s="2">
        <v>-0.27</v>
      </c>
    </row>
    <row r="561" spans="1:17" x14ac:dyDescent="0.2">
      <c r="A561">
        <v>465</v>
      </c>
      <c r="B561">
        <v>52</v>
      </c>
      <c r="C561" t="s">
        <v>464</v>
      </c>
      <c r="D561" s="13" t="s">
        <v>912</v>
      </c>
      <c r="E561" s="1">
        <v>-0.2216790749343</v>
      </c>
      <c r="F561" s="1">
        <v>-0.75544003553850303</v>
      </c>
      <c r="G561">
        <f>VLOOKUP(C561,'[1]phenotypes-895'!$A$2:$G$896,7,FALSE)</f>
        <v>98</v>
      </c>
      <c r="H561" s="1">
        <v>-1.22303282849795E-2</v>
      </c>
      <c r="I561" s="1">
        <f>VLOOKUP(C561,'[1]phenotypes-895'!$A$2:$I$896,9,FALSE)</f>
        <v>0</v>
      </c>
      <c r="J561" s="1"/>
      <c r="K561" s="4">
        <v>0</v>
      </c>
      <c r="L561" s="1"/>
      <c r="M561" s="8">
        <v>0</v>
      </c>
      <c r="N561" s="1"/>
      <c r="O561">
        <v>0.79</v>
      </c>
      <c r="P561" s="1"/>
      <c r="Q561" s="2">
        <v>-7.0000000000000007E-2</v>
      </c>
    </row>
    <row r="562" spans="1:17" x14ac:dyDescent="0.2">
      <c r="A562">
        <v>739</v>
      </c>
      <c r="B562">
        <v>49</v>
      </c>
      <c r="C562" t="s">
        <v>738</v>
      </c>
      <c r="D562" s="13" t="s">
        <v>912</v>
      </c>
      <c r="E562" s="1">
        <v>-2.00721949233803</v>
      </c>
      <c r="F562" s="1">
        <v>-0.76237941981641</v>
      </c>
      <c r="G562">
        <f>VLOOKUP(C562,'[1]phenotypes-895'!$A$2:$G$896,7,FALSE)</f>
        <v>62</v>
      </c>
      <c r="H562" s="1">
        <v>1.9883933760932601E-2</v>
      </c>
      <c r="I562" s="1">
        <f>VLOOKUP(C562,'[1]phenotypes-895'!$A$2:$I$896,9,FALSE)</f>
        <v>0.47537713754809441</v>
      </c>
      <c r="J562" s="1"/>
      <c r="K562" s="4">
        <v>3.7229033142532466</v>
      </c>
      <c r="L562" s="1"/>
      <c r="M562" s="8">
        <v>1</v>
      </c>
      <c r="N562" s="1"/>
      <c r="O562">
        <v>0.67900000000000005</v>
      </c>
      <c r="P562" s="1"/>
      <c r="Q562" s="2">
        <v>-0.12</v>
      </c>
    </row>
    <row r="563" spans="1:17" x14ac:dyDescent="0.2">
      <c r="A563">
        <v>28</v>
      </c>
      <c r="B563">
        <v>30</v>
      </c>
      <c r="C563" t="s">
        <v>27</v>
      </c>
      <c r="D563" s="13" t="s">
        <v>913</v>
      </c>
      <c r="E563" s="1">
        <v>0.86126521652792398</v>
      </c>
      <c r="F563" s="1">
        <v>-0.76749293266382301</v>
      </c>
      <c r="G563">
        <f>VLOOKUP(C563,'[1]phenotypes-895'!$A$2:$G$896,7,FALSE)</f>
        <v>98</v>
      </c>
      <c r="H563" s="1">
        <v>-2.86754275312016E-2</v>
      </c>
      <c r="I563" s="1">
        <f>VLOOKUP(C563,'[1]phenotypes-895'!$A$2:$I$896,9,FALSE)</f>
        <v>0</v>
      </c>
      <c r="J563" s="1"/>
      <c r="K563" s="4">
        <v>0</v>
      </c>
      <c r="L563" s="1"/>
      <c r="M563" s="8">
        <v>0</v>
      </c>
      <c r="N563" s="1"/>
      <c r="O563">
        <v>1.2589999999999999</v>
      </c>
      <c r="P563" s="1"/>
      <c r="Q563" s="2">
        <v>7.0000000000000007E-2</v>
      </c>
    </row>
    <row r="564" spans="1:17" x14ac:dyDescent="0.2">
      <c r="A564">
        <v>829</v>
      </c>
      <c r="B564">
        <v>31</v>
      </c>
      <c r="C564" t="s">
        <v>828</v>
      </c>
      <c r="D564" s="13" t="s">
        <v>913</v>
      </c>
      <c r="E564" s="1">
        <v>-0.49135681974914103</v>
      </c>
      <c r="F564" s="1">
        <v>-0.77754031476880103</v>
      </c>
      <c r="G564">
        <f>VLOOKUP(C564,'[1]phenotypes-895'!$A$2:$G$896,7,FALSE)</f>
        <v>98</v>
      </c>
      <c r="H564" s="1">
        <v>4.2414731838396502E-2</v>
      </c>
      <c r="I564" s="1">
        <f>VLOOKUP(C564,'[1]phenotypes-895'!$A$2:$I$896,9,FALSE)</f>
        <v>0</v>
      </c>
      <c r="J564" s="1"/>
      <c r="K564" s="4">
        <v>0</v>
      </c>
      <c r="L564" s="1"/>
      <c r="M564" s="8">
        <v>0</v>
      </c>
      <c r="N564" s="1"/>
      <c r="O564">
        <v>1.0649999999999999</v>
      </c>
      <c r="P564" s="1"/>
      <c r="Q564" s="2">
        <v>0.02</v>
      </c>
    </row>
    <row r="565" spans="1:17" x14ac:dyDescent="0.2">
      <c r="A565">
        <v>477</v>
      </c>
      <c r="B565">
        <v>49</v>
      </c>
      <c r="C565" t="s">
        <v>476</v>
      </c>
      <c r="D565" s="13" t="s">
        <v>912</v>
      </c>
      <c r="E565" s="1">
        <v>0.46758880421024301</v>
      </c>
      <c r="F565" s="1">
        <v>-0.78247459492849303</v>
      </c>
      <c r="G565">
        <f>VLOOKUP(C565,'[1]phenotypes-895'!$A$2:$G$896,7,FALSE)</f>
        <v>98</v>
      </c>
      <c r="H565" s="1">
        <v>-3.9657406666648999E-2</v>
      </c>
      <c r="I565" s="1">
        <f>VLOOKUP(C565,'[1]phenotypes-895'!$A$2:$I$896,9,FALSE)</f>
        <v>0</v>
      </c>
      <c r="J565" s="1"/>
      <c r="K565" s="4">
        <v>0</v>
      </c>
      <c r="L565" s="1"/>
      <c r="M565" s="8">
        <v>0</v>
      </c>
      <c r="N565" s="1"/>
      <c r="O565">
        <v>0.89900000000000002</v>
      </c>
      <c r="P565" s="1"/>
      <c r="Q565" s="2">
        <v>-0.03</v>
      </c>
    </row>
    <row r="566" spans="1:17" x14ac:dyDescent="0.2">
      <c r="A566">
        <v>597</v>
      </c>
      <c r="B566">
        <v>38</v>
      </c>
      <c r="C566" t="s">
        <v>596</v>
      </c>
      <c r="D566" s="13" t="s">
        <v>913</v>
      </c>
      <c r="E566" s="1">
        <v>-1.4768010304397701</v>
      </c>
      <c r="F566" s="1">
        <v>-0.79092289566359697</v>
      </c>
      <c r="G566">
        <f>VLOOKUP(C566,'[1]phenotypes-895'!$A$2:$G$896,7,FALSE)</f>
        <v>98</v>
      </c>
      <c r="H566" s="1">
        <v>1.29439657416531E-2</v>
      </c>
      <c r="I566" s="1">
        <f>VLOOKUP(C566,'[1]phenotypes-895'!$A$2:$I$896,9,FALSE)</f>
        <v>0</v>
      </c>
      <c r="J566" s="1"/>
      <c r="K566" s="4">
        <v>0</v>
      </c>
      <c r="L566" s="1"/>
      <c r="M566" s="8">
        <v>0</v>
      </c>
      <c r="N566" s="1"/>
      <c r="O566">
        <v>1.2789999999999999</v>
      </c>
      <c r="P566" s="1"/>
      <c r="Q566" s="2">
        <v>0.08</v>
      </c>
    </row>
    <row r="567" spans="1:17" x14ac:dyDescent="0.2">
      <c r="A567">
        <v>401</v>
      </c>
      <c r="B567">
        <v>35</v>
      </c>
      <c r="C567" t="s">
        <v>400</v>
      </c>
      <c r="D567" s="13" t="s">
        <v>913</v>
      </c>
      <c r="E567" s="1">
        <v>0.60659310625876695</v>
      </c>
      <c r="F567" s="1">
        <v>-0.79734393013782501</v>
      </c>
      <c r="G567">
        <f>VLOOKUP(C567,'[1]phenotypes-895'!$A$2:$G$896,7,FALSE)</f>
        <v>98</v>
      </c>
      <c r="H567" s="1">
        <v>-2.08019413671045E-2</v>
      </c>
      <c r="I567" s="1">
        <f>VLOOKUP(C567,'[1]phenotypes-895'!$A$2:$I$896,9,FALSE)</f>
        <v>0</v>
      </c>
      <c r="J567" s="1"/>
      <c r="K567" s="4">
        <v>0</v>
      </c>
      <c r="L567" s="1"/>
      <c r="M567" s="8">
        <v>0</v>
      </c>
      <c r="N567" s="1"/>
      <c r="O567">
        <v>0.97199999999999998</v>
      </c>
      <c r="P567" s="1"/>
      <c r="Q567" s="2">
        <v>-0.01</v>
      </c>
    </row>
    <row r="568" spans="1:17" x14ac:dyDescent="0.2">
      <c r="A568">
        <v>694</v>
      </c>
      <c r="B568">
        <v>30</v>
      </c>
      <c r="C568" t="s">
        <v>693</v>
      </c>
      <c r="D568" s="13" t="s">
        <v>913</v>
      </c>
      <c r="E568" s="1">
        <v>-1.1004974919222299</v>
      </c>
      <c r="F568" s="1">
        <v>-0.81421642895813395</v>
      </c>
      <c r="G568">
        <f>VLOOKUP(C568,'[1]phenotypes-895'!$A$2:$G$896,7,FALSE)</f>
        <v>98</v>
      </c>
      <c r="H568" s="1">
        <v>-8.8338325804001895E-3</v>
      </c>
      <c r="I568" s="1">
        <f>VLOOKUP(C568,'[1]phenotypes-895'!$A$2:$I$896,9,FALSE)</f>
        <v>0</v>
      </c>
      <c r="J568" s="1"/>
      <c r="K568" s="4">
        <v>0</v>
      </c>
      <c r="L568" s="1"/>
      <c r="M568" s="8">
        <v>0</v>
      </c>
      <c r="N568" s="1"/>
      <c r="O568">
        <v>1.224</v>
      </c>
      <c r="P568" s="1"/>
      <c r="Q568" s="2">
        <v>0.06</v>
      </c>
    </row>
    <row r="569" spans="1:17" x14ac:dyDescent="0.2">
      <c r="A569">
        <v>565</v>
      </c>
      <c r="B569">
        <v>32</v>
      </c>
      <c r="C569" t="s">
        <v>564</v>
      </c>
      <c r="D569" s="13" t="s">
        <v>913</v>
      </c>
      <c r="E569" s="1">
        <v>-1.55604966924766</v>
      </c>
      <c r="F569" s="1">
        <v>-0.82012750498841702</v>
      </c>
      <c r="G569">
        <f>VLOOKUP(C569,'[1]phenotypes-895'!$A$2:$G$896,7,FALSE)</f>
        <v>98</v>
      </c>
      <c r="H569" s="1">
        <v>6.58919845175322E-3</v>
      </c>
      <c r="I569" s="1">
        <f>VLOOKUP(C569,'[1]phenotypes-895'!$A$2:$I$896,9,FALSE)</f>
        <v>0</v>
      </c>
      <c r="J569" s="1"/>
      <c r="K569" s="4">
        <v>0</v>
      </c>
      <c r="L569" s="1"/>
      <c r="M569" s="8">
        <v>0</v>
      </c>
      <c r="N569" s="1"/>
      <c r="O569">
        <v>1.0389999999999999</v>
      </c>
      <c r="P569" s="1"/>
      <c r="Q569" s="2">
        <v>0.01</v>
      </c>
    </row>
    <row r="570" spans="1:17" x14ac:dyDescent="0.2">
      <c r="A570">
        <v>502</v>
      </c>
      <c r="B570">
        <v>42</v>
      </c>
      <c r="C570" t="s">
        <v>501</v>
      </c>
      <c r="D570" s="13" t="s">
        <v>912</v>
      </c>
      <c r="E570" s="1">
        <v>0.36435519391301102</v>
      </c>
      <c r="F570" s="1">
        <v>-0.84868296705217094</v>
      </c>
      <c r="G570">
        <f>VLOOKUP(C570,'[1]phenotypes-895'!$A$2:$G$896,7,FALSE)</f>
        <v>74</v>
      </c>
      <c r="H570" s="1">
        <v>-1.51438167449129E-2</v>
      </c>
      <c r="I570" s="1">
        <f>VLOOKUP(C570,'[1]phenotypes-895'!$A$2:$I$896,9,FALSE)</f>
        <v>0.35506103435840092</v>
      </c>
      <c r="J570" s="1"/>
      <c r="K570" s="4">
        <v>3.6372803813309171</v>
      </c>
      <c r="L570" s="1"/>
      <c r="M570" s="8">
        <v>1</v>
      </c>
      <c r="N570" s="1"/>
      <c r="O570">
        <v>0.78100000000000003</v>
      </c>
      <c r="P570" s="1"/>
      <c r="Q570" s="2">
        <v>-0.08</v>
      </c>
    </row>
    <row r="571" spans="1:17" x14ac:dyDescent="0.2">
      <c r="A571">
        <v>309</v>
      </c>
      <c r="B571">
        <v>51</v>
      </c>
      <c r="C571" t="s">
        <v>308</v>
      </c>
      <c r="D571" s="13" t="s">
        <v>912</v>
      </c>
      <c r="E571" s="1">
        <v>-3.28685211217064</v>
      </c>
      <c r="F571" s="1">
        <v>-0.85332375740592104</v>
      </c>
      <c r="G571">
        <f>VLOOKUP(C571,'[1]phenotypes-895'!$A$2:$G$896,7,FALSE)</f>
        <v>59</v>
      </c>
      <c r="H571" s="1">
        <v>2.2877190072435601E-2</v>
      </c>
      <c r="I571" s="1">
        <f>VLOOKUP(C571,'[1]phenotypes-895'!$A$2:$I$896,9,FALSE)</f>
        <v>0.41977623231238748</v>
      </c>
      <c r="J571" s="1"/>
      <c r="K571" s="4">
        <v>3.988626052588224</v>
      </c>
      <c r="L571" s="1"/>
      <c r="M571" s="8">
        <v>1</v>
      </c>
      <c r="N571" s="1"/>
      <c r="O571">
        <v>0.71799999999999997</v>
      </c>
      <c r="P571" s="1"/>
      <c r="Q571" s="2">
        <v>-0.11</v>
      </c>
    </row>
    <row r="572" spans="1:17" x14ac:dyDescent="0.2">
      <c r="A572">
        <v>673</v>
      </c>
      <c r="B572">
        <v>29</v>
      </c>
      <c r="C572" t="s">
        <v>672</v>
      </c>
      <c r="D572" s="13" t="s">
        <v>913</v>
      </c>
      <c r="E572" s="1">
        <v>0.42183257536005903</v>
      </c>
      <c r="F572" s="1">
        <v>-0.89919234562016104</v>
      </c>
      <c r="G572">
        <f>VLOOKUP(C572,'[1]phenotypes-895'!$A$2:$G$896,7,FALSE)</f>
        <v>63</v>
      </c>
      <c r="H572" s="1">
        <v>-1.9238523916052699E-2</v>
      </c>
      <c r="I572" s="1">
        <f>VLOOKUP(C572,'[1]phenotypes-895'!$A$2:$I$896,9,FALSE)</f>
        <v>0.49855523827813758</v>
      </c>
      <c r="J572" s="1"/>
      <c r="K572" s="4">
        <v>3.4978155544370564</v>
      </c>
      <c r="L572" s="1"/>
      <c r="M572" s="8">
        <v>1</v>
      </c>
      <c r="N572" s="1"/>
      <c r="O572">
        <v>0.93400000000000005</v>
      </c>
      <c r="P572" s="1"/>
      <c r="Q572" s="2">
        <v>-0.02</v>
      </c>
    </row>
    <row r="573" spans="1:17" x14ac:dyDescent="0.2">
      <c r="A573">
        <v>440</v>
      </c>
      <c r="B573">
        <v>52</v>
      </c>
      <c r="C573" t="s">
        <v>439</v>
      </c>
      <c r="D573" s="13" t="s">
        <v>912</v>
      </c>
      <c r="E573" s="1">
        <v>-0.998655066677688</v>
      </c>
      <c r="F573" s="1">
        <v>-0.899455317930134</v>
      </c>
      <c r="G573">
        <f>VLOOKUP(C573,'[1]phenotypes-895'!$A$2:$G$896,7,FALSE)</f>
        <v>98</v>
      </c>
      <c r="H573" s="1">
        <v>3.22420189896351E-2</v>
      </c>
      <c r="I573" s="1">
        <f>VLOOKUP(C573,'[1]phenotypes-895'!$A$2:$I$896,9,FALSE)</f>
        <v>0</v>
      </c>
      <c r="J573" s="1"/>
      <c r="K573" s="4">
        <v>0</v>
      </c>
      <c r="L573" s="1"/>
      <c r="M573" s="8">
        <v>0</v>
      </c>
      <c r="N573" s="1"/>
      <c r="O573">
        <v>0.90700000000000003</v>
      </c>
      <c r="P573" s="1"/>
      <c r="Q573" s="2">
        <v>-0.03</v>
      </c>
    </row>
    <row r="574" spans="1:17" x14ac:dyDescent="0.2">
      <c r="A574">
        <v>32</v>
      </c>
      <c r="B574">
        <v>21</v>
      </c>
      <c r="C574" t="s">
        <v>31</v>
      </c>
      <c r="D574" s="13" t="s">
        <v>913</v>
      </c>
      <c r="E574" s="1">
        <v>0.18640551688437099</v>
      </c>
      <c r="F574" s="1">
        <v>-0.91644761732591795</v>
      </c>
      <c r="G574">
        <f>VLOOKUP(C574,'[1]phenotypes-895'!$A$2:$G$896,7,FALSE)</f>
        <v>70</v>
      </c>
      <c r="H574" s="1">
        <v>2.65708135246152E-3</v>
      </c>
      <c r="I574" s="1">
        <f>VLOOKUP(C574,'[1]phenotypes-895'!$A$2:$I$896,9,FALSE)</f>
        <v>0.54074270705863881</v>
      </c>
      <c r="J574" s="1"/>
      <c r="K574" s="4">
        <v>4.3704821827624505</v>
      </c>
      <c r="L574" s="1"/>
      <c r="M574" s="8">
        <v>1</v>
      </c>
      <c r="N574" s="1"/>
      <c r="O574">
        <v>0.878</v>
      </c>
      <c r="P574" s="1"/>
      <c r="Q574" s="2">
        <v>-0.04</v>
      </c>
    </row>
    <row r="575" spans="1:17" x14ac:dyDescent="0.2">
      <c r="A575">
        <v>318</v>
      </c>
      <c r="B575">
        <v>9</v>
      </c>
      <c r="C575" t="s">
        <v>317</v>
      </c>
      <c r="D575" s="12" t="s">
        <v>912</v>
      </c>
      <c r="E575" s="1">
        <v>-1.1005719195050401</v>
      </c>
      <c r="F575" s="1">
        <v>-0.92828603191967296</v>
      </c>
      <c r="G575">
        <f>VLOOKUP(C575,'[1]phenotypes-895'!$A$2:$G$896,7,FALSE)</f>
        <v>98</v>
      </c>
      <c r="H575" s="1">
        <v>3.1767842242894401E-3</v>
      </c>
      <c r="I575" s="1">
        <f>VLOOKUP(C575,'[1]phenotypes-895'!$A$2:$I$896,9,FALSE)</f>
        <v>0</v>
      </c>
      <c r="J575" s="1"/>
      <c r="K575" s="4">
        <v>0</v>
      </c>
      <c r="L575" s="1"/>
      <c r="M575" s="8">
        <v>0</v>
      </c>
      <c r="N575" s="1"/>
      <c r="O575" s="6">
        <v>1.0660000000000001</v>
      </c>
      <c r="P575" s="1"/>
      <c r="Q575" s="7">
        <v>0.02</v>
      </c>
    </row>
    <row r="576" spans="1:17" x14ac:dyDescent="0.2">
      <c r="A576">
        <v>628</v>
      </c>
      <c r="B576">
        <v>40</v>
      </c>
      <c r="C576" t="s">
        <v>627</v>
      </c>
      <c r="D576" s="13" t="s">
        <v>913</v>
      </c>
      <c r="E576" s="1">
        <v>-0.16224421833323799</v>
      </c>
      <c r="F576" s="1">
        <v>-0.97887692045181396</v>
      </c>
      <c r="G576">
        <f>VLOOKUP(C576,'[1]phenotypes-895'!$A$2:$G$896,7,FALSE)</f>
        <v>74</v>
      </c>
      <c r="H576" s="1">
        <v>6.9806584351158399E-3</v>
      </c>
      <c r="I576" s="1">
        <f>VLOOKUP(C576,'[1]phenotypes-895'!$A$2:$I$896,9,FALSE)</f>
        <v>0.52640135463440374</v>
      </c>
      <c r="J576" s="1"/>
      <c r="K576" s="4">
        <v>4.6497682407651295</v>
      </c>
      <c r="L576" s="1"/>
      <c r="M576" s="8">
        <v>1</v>
      </c>
      <c r="N576" s="1"/>
      <c r="O576">
        <v>0.94330000000000003</v>
      </c>
      <c r="P576" s="1"/>
      <c r="Q576" s="2">
        <v>-0.02</v>
      </c>
    </row>
    <row r="577" spans="1:17" x14ac:dyDescent="0.2">
      <c r="A577">
        <v>337</v>
      </c>
      <c r="B577">
        <v>6</v>
      </c>
      <c r="C577" t="s">
        <v>336</v>
      </c>
      <c r="D577" s="12" t="s">
        <v>913</v>
      </c>
      <c r="E577" s="1">
        <v>0.54776121242807696</v>
      </c>
      <c r="F577" s="1">
        <v>-1.0126031375553299</v>
      </c>
      <c r="G577">
        <f>VLOOKUP(C577,'[1]phenotypes-895'!$A$2:$G$896,7,FALSE)</f>
        <v>98</v>
      </c>
      <c r="H577" s="1">
        <v>-4.3712049450706902E-3</v>
      </c>
      <c r="I577" s="1">
        <f>VLOOKUP(C577,'[1]phenotypes-895'!$A$2:$I$896,9,FALSE)</f>
        <v>0.44270525626822033</v>
      </c>
      <c r="J577" s="1"/>
      <c r="K577" s="4">
        <v>3.7207633114530965</v>
      </c>
      <c r="L577" s="1"/>
      <c r="M577" s="8">
        <v>1</v>
      </c>
      <c r="N577" s="1"/>
      <c r="O577" s="6">
        <v>1.0960000000000001</v>
      </c>
      <c r="P577" s="1"/>
      <c r="Q577" s="7">
        <v>0.03</v>
      </c>
    </row>
    <row r="578" spans="1:17" x14ac:dyDescent="0.2">
      <c r="A578">
        <v>355</v>
      </c>
      <c r="B578">
        <v>6</v>
      </c>
      <c r="C578" t="s">
        <v>354</v>
      </c>
      <c r="D578" s="12" t="s">
        <v>913</v>
      </c>
      <c r="E578" s="1">
        <v>0.79108461270241204</v>
      </c>
      <c r="F578" s="1">
        <v>-1.02940614732413</v>
      </c>
      <c r="G578">
        <f>VLOOKUP(C578,'[1]phenotypes-895'!$A$2:$G$896,7,FALSE)</f>
        <v>98</v>
      </c>
      <c r="H578" s="1">
        <v>-4.27330756438043E-3</v>
      </c>
      <c r="I578" s="1">
        <f>VLOOKUP(C578,'[1]phenotypes-895'!$A$2:$I$896,9,FALSE)</f>
        <v>0</v>
      </c>
      <c r="J578" s="1"/>
      <c r="K578" s="4">
        <v>0</v>
      </c>
      <c r="L578" s="1"/>
      <c r="M578" s="8">
        <v>0</v>
      </c>
      <c r="N578" s="1"/>
      <c r="O578" s="6">
        <v>0.89400000000000002</v>
      </c>
      <c r="P578" s="1"/>
      <c r="Q578" s="7">
        <v>-0.04</v>
      </c>
    </row>
    <row r="579" spans="1:17" x14ac:dyDescent="0.2">
      <c r="A579">
        <v>276</v>
      </c>
      <c r="B579">
        <v>6</v>
      </c>
      <c r="C579" t="s">
        <v>275</v>
      </c>
      <c r="D579" s="12" t="s">
        <v>913</v>
      </c>
      <c r="E579" s="1">
        <v>0.42794507545101301</v>
      </c>
      <c r="F579" s="1">
        <v>-1.0526180335006801</v>
      </c>
      <c r="G579">
        <f>VLOOKUP(C579,'[1]phenotypes-895'!$A$2:$G$896,7,FALSE)</f>
        <v>98</v>
      </c>
      <c r="H579" s="1">
        <v>-1.39670365926227E-2</v>
      </c>
      <c r="I579" s="1">
        <f>VLOOKUP(C579,'[1]phenotypes-895'!$A$2:$I$896,9,FALSE)</f>
        <v>0</v>
      </c>
      <c r="J579" s="1"/>
      <c r="K579" s="4">
        <v>0</v>
      </c>
      <c r="L579" s="1"/>
      <c r="M579" s="8">
        <v>0</v>
      </c>
      <c r="N579" s="1"/>
      <c r="O579" s="6">
        <v>0.96799999999999997</v>
      </c>
      <c r="P579" s="1"/>
      <c r="Q579" s="7">
        <v>-0.01</v>
      </c>
    </row>
    <row r="580" spans="1:17" x14ac:dyDescent="0.2">
      <c r="A580">
        <v>22</v>
      </c>
      <c r="B580">
        <v>4</v>
      </c>
      <c r="C580" t="s">
        <v>21</v>
      </c>
      <c r="D580" s="12" t="s">
        <v>913</v>
      </c>
      <c r="E580" s="1">
        <v>0.91783320748853403</v>
      </c>
      <c r="F580" s="1">
        <v>-1.0612976836907899</v>
      </c>
      <c r="G580">
        <f>VLOOKUP(C580,'[1]phenotypes-895'!$A$2:$G$896,7,FALSE)</f>
        <v>74</v>
      </c>
      <c r="H580" s="1">
        <v>-1.05262883928066E-2</v>
      </c>
      <c r="I580" s="1">
        <f>VLOOKUP(C580,'[1]phenotypes-895'!$A$2:$I$896,9,FALSE)</f>
        <v>0.49917000408930562</v>
      </c>
      <c r="J580" s="1"/>
      <c r="K580" s="4">
        <v>4.2149354593089434</v>
      </c>
      <c r="L580" s="1"/>
      <c r="M580" s="8">
        <v>1</v>
      </c>
      <c r="N580" s="1"/>
      <c r="O580" s="6">
        <v>1.1759999999999999</v>
      </c>
      <c r="P580" s="1"/>
      <c r="Q580" s="7">
        <v>0.05</v>
      </c>
    </row>
    <row r="581" spans="1:17" x14ac:dyDescent="0.2">
      <c r="A581">
        <v>817</v>
      </c>
      <c r="B581">
        <v>40</v>
      </c>
      <c r="C581" t="s">
        <v>816</v>
      </c>
      <c r="D581" s="13" t="s">
        <v>913</v>
      </c>
      <c r="E581" s="1">
        <v>-0.26863884652529701</v>
      </c>
      <c r="F581" s="1">
        <v>-1.07619743463452</v>
      </c>
      <c r="G581">
        <f>VLOOKUP(C581,'[1]phenotypes-895'!$A$2:$G$896,7,FALSE)</f>
        <v>71</v>
      </c>
      <c r="H581" s="1">
        <v>4.0023833822516702E-2</v>
      </c>
      <c r="I581" s="1">
        <f>VLOOKUP(C581,'[1]phenotypes-895'!$A$2:$I$896,9,FALSE)</f>
        <v>0.4952676213058666</v>
      </c>
      <c r="J581" s="1"/>
      <c r="K581" s="4">
        <v>4.2656954715743449</v>
      </c>
      <c r="L581" s="1"/>
      <c r="M581" s="8">
        <v>1</v>
      </c>
      <c r="N581" s="1"/>
      <c r="O581">
        <v>1.0589999999999999</v>
      </c>
      <c r="P581" s="1"/>
      <c r="Q581" s="2">
        <v>0.02</v>
      </c>
    </row>
    <row r="582" spans="1:17" x14ac:dyDescent="0.2">
      <c r="A582">
        <v>450</v>
      </c>
      <c r="B582">
        <v>49</v>
      </c>
      <c r="C582" t="s">
        <v>449</v>
      </c>
      <c r="D582" s="13" t="s">
        <v>912</v>
      </c>
      <c r="E582" s="1">
        <v>0.62503270217071105</v>
      </c>
      <c r="F582" s="1">
        <v>-1.0808992135433</v>
      </c>
      <c r="G582">
        <f>VLOOKUP(C582,'[1]phenotypes-895'!$A$2:$G$896,7,FALSE)</f>
        <v>98</v>
      </c>
      <c r="H582" s="1">
        <v>-1.7830797555537001E-2</v>
      </c>
      <c r="I582" s="1">
        <f>VLOOKUP(C582,'[1]phenotypes-895'!$A$2:$I$896,9,FALSE)</f>
        <v>0.20481069001820909</v>
      </c>
      <c r="J582" s="1"/>
      <c r="K582" s="4">
        <v>3.206550077663997</v>
      </c>
      <c r="L582" s="1"/>
      <c r="M582" s="8">
        <v>1</v>
      </c>
      <c r="N582" s="1"/>
      <c r="O582">
        <v>0.68799999999999994</v>
      </c>
      <c r="P582" s="1"/>
      <c r="Q582" s="2">
        <v>-0.12</v>
      </c>
    </row>
    <row r="583" spans="1:17" x14ac:dyDescent="0.2">
      <c r="A583">
        <v>34</v>
      </c>
      <c r="B583">
        <v>50</v>
      </c>
      <c r="C583" t="s">
        <v>33</v>
      </c>
      <c r="D583" s="13" t="s">
        <v>912</v>
      </c>
      <c r="E583" s="1">
        <v>-3.49354221621169</v>
      </c>
      <c r="F583" s="1">
        <v>-1.1074686985400499</v>
      </c>
      <c r="G583">
        <f>VLOOKUP(C583,'[1]phenotypes-895'!$A$2:$G$896,7,FALSE)</f>
        <v>62</v>
      </c>
      <c r="H583" s="1">
        <v>4.7791736175988003E-2</v>
      </c>
      <c r="I583" s="1">
        <f>VLOOKUP(C583,'[1]phenotypes-895'!$A$2:$I$896,9,FALSE)</f>
        <v>0.54957624068581257</v>
      </c>
      <c r="J583" s="1"/>
      <c r="K583" s="4">
        <v>4.3430665812617049</v>
      </c>
      <c r="L583" s="1"/>
      <c r="M583" s="8">
        <v>1</v>
      </c>
      <c r="N583" s="1"/>
      <c r="O583">
        <v>0.65</v>
      </c>
      <c r="P583" s="1"/>
      <c r="Q583" s="2">
        <v>-0.14000000000000001</v>
      </c>
    </row>
    <row r="584" spans="1:17" x14ac:dyDescent="0.2">
      <c r="A584">
        <v>368</v>
      </c>
      <c r="B584">
        <v>44</v>
      </c>
      <c r="C584" t="s">
        <v>367</v>
      </c>
      <c r="D584" s="13" t="s">
        <v>912</v>
      </c>
      <c r="E584" s="1">
        <v>3.9516574347692797E-2</v>
      </c>
      <c r="F584" s="1">
        <v>-1.1157237365357699</v>
      </c>
      <c r="G584">
        <f>VLOOKUP(C584,'[1]phenotypes-895'!$A$2:$G$896,7,FALSE)</f>
        <v>66</v>
      </c>
      <c r="H584" s="1">
        <v>3.38874278881124E-4</v>
      </c>
      <c r="I584" s="1">
        <f>VLOOKUP(C584,'[1]phenotypes-895'!$A$2:$I$896,9,FALSE)</f>
        <v>0.6672785933429265</v>
      </c>
      <c r="J584" s="1"/>
      <c r="K584" s="4">
        <v>4.2023711052861445</v>
      </c>
      <c r="L584" s="1"/>
      <c r="M584" s="8">
        <v>1</v>
      </c>
      <c r="N584" s="1"/>
      <c r="O584">
        <v>0.96299999999999997</v>
      </c>
      <c r="P584" s="1"/>
      <c r="Q584" s="2">
        <v>-0.01</v>
      </c>
    </row>
    <row r="585" spans="1:17" x14ac:dyDescent="0.2">
      <c r="A585">
        <v>157</v>
      </c>
      <c r="B585">
        <v>10</v>
      </c>
      <c r="C585" t="s">
        <v>156</v>
      </c>
      <c r="D585" s="12" t="s">
        <v>912</v>
      </c>
      <c r="E585" s="1">
        <v>-1.8876318013660101</v>
      </c>
      <c r="F585" s="1">
        <v>-1.124100814602</v>
      </c>
      <c r="G585">
        <f>VLOOKUP(C585,'[1]phenotypes-895'!$A$2:$G$896,7,FALSE)</f>
        <v>98</v>
      </c>
      <c r="H585" s="1">
        <v>1.78777481617848E-2</v>
      </c>
      <c r="I585" s="1">
        <f>VLOOKUP(C585,'[1]phenotypes-895'!$A$2:$I$896,9,FALSE)</f>
        <v>0</v>
      </c>
      <c r="J585" s="1"/>
      <c r="K585" s="4">
        <v>0</v>
      </c>
      <c r="L585" s="1"/>
      <c r="M585" s="8">
        <v>0</v>
      </c>
      <c r="N585" s="1"/>
      <c r="O585" s="6">
        <v>1.0640000000000001</v>
      </c>
      <c r="P585" s="1"/>
      <c r="Q585" s="7">
        <v>0.02</v>
      </c>
    </row>
    <row r="586" spans="1:17" x14ac:dyDescent="0.2">
      <c r="A586">
        <v>622</v>
      </c>
      <c r="B586">
        <v>40</v>
      </c>
      <c r="C586" t="s">
        <v>621</v>
      </c>
      <c r="D586" s="13" t="s">
        <v>913</v>
      </c>
      <c r="E586" s="1">
        <v>-0.414636282745875</v>
      </c>
      <c r="F586" s="1">
        <v>-1.1252083427674999</v>
      </c>
      <c r="G586">
        <f>VLOOKUP(C586,'[1]phenotypes-895'!$A$2:$G$896,7,FALSE)</f>
        <v>98</v>
      </c>
      <c r="H586" s="1">
        <v>-4.8059781168729799E-3</v>
      </c>
      <c r="I586" s="1">
        <f>VLOOKUP(C586,'[1]phenotypes-895'!$A$2:$I$896,9,FALSE)</f>
        <v>0</v>
      </c>
      <c r="J586" s="1"/>
      <c r="K586" s="4">
        <v>0</v>
      </c>
      <c r="L586" s="1"/>
      <c r="M586" s="8">
        <v>0</v>
      </c>
      <c r="N586" s="1"/>
      <c r="O586">
        <v>0.98799999999999999</v>
      </c>
      <c r="P586" s="1"/>
      <c r="Q586" s="2">
        <v>0</v>
      </c>
    </row>
    <row r="587" spans="1:17" x14ac:dyDescent="0.2">
      <c r="A587">
        <v>193</v>
      </c>
      <c r="B587">
        <v>6</v>
      </c>
      <c r="C587" t="s">
        <v>192</v>
      </c>
      <c r="D587" s="12" t="s">
        <v>913</v>
      </c>
      <c r="E587" s="1">
        <v>0.83327672196148095</v>
      </c>
      <c r="F587" s="1">
        <v>-1.1295198007021401</v>
      </c>
      <c r="G587">
        <f>VLOOKUP(C587,'[1]phenotypes-895'!$A$2:$G$896,7,FALSE)</f>
        <v>98</v>
      </c>
      <c r="H587" s="1">
        <v>-1.05786755683955E-2</v>
      </c>
      <c r="I587" s="1">
        <f>VLOOKUP(C587,'[1]phenotypes-895'!$A$2:$I$896,9,FALSE)</f>
        <v>0</v>
      </c>
      <c r="J587" s="1"/>
      <c r="K587" s="4">
        <v>0</v>
      </c>
      <c r="L587" s="1"/>
      <c r="M587" s="8">
        <v>0</v>
      </c>
      <c r="N587" s="1"/>
      <c r="O587" s="6">
        <v>1.0649999999999999</v>
      </c>
      <c r="P587" s="1"/>
      <c r="Q587" s="7">
        <v>0.02</v>
      </c>
    </row>
    <row r="588" spans="1:17" x14ac:dyDescent="0.2">
      <c r="A588">
        <v>202</v>
      </c>
      <c r="B588">
        <v>11</v>
      </c>
      <c r="C588" t="s">
        <v>201</v>
      </c>
      <c r="D588" s="12" t="s">
        <v>912</v>
      </c>
      <c r="E588" s="1">
        <v>-0.91937699416309304</v>
      </c>
      <c r="F588" s="1">
        <v>-1.12981271605974</v>
      </c>
      <c r="G588">
        <f>VLOOKUP(C588,'[1]phenotypes-895'!$A$2:$G$896,7,FALSE)</f>
        <v>65</v>
      </c>
      <c r="H588" s="1">
        <v>-1.83086700259373E-2</v>
      </c>
      <c r="I588" s="1">
        <f>VLOOKUP(C588,'[1]phenotypes-895'!$A$2:$I$896,9,FALSE)</f>
        <v>0.52991817725808943</v>
      </c>
      <c r="J588" s="1"/>
      <c r="K588" s="4">
        <v>4.1292822951674228</v>
      </c>
      <c r="L588" s="1"/>
      <c r="M588" s="8">
        <v>1</v>
      </c>
      <c r="N588" s="1"/>
      <c r="O588" s="6">
        <v>0.96799999999999997</v>
      </c>
      <c r="P588" s="1"/>
      <c r="Q588" s="7">
        <v>-0.01</v>
      </c>
    </row>
    <row r="589" spans="1:17" x14ac:dyDescent="0.2">
      <c r="A589">
        <v>880</v>
      </c>
      <c r="B589">
        <v>23</v>
      </c>
      <c r="C589" t="s">
        <v>879</v>
      </c>
      <c r="D589" s="13" t="s">
        <v>913</v>
      </c>
      <c r="E589" s="1">
        <v>-0.50794263510163595</v>
      </c>
      <c r="F589" s="1">
        <v>-1.1352758763059601</v>
      </c>
      <c r="G589">
        <f>VLOOKUP(C589,'[1]phenotypes-895'!$A$2:$G$896,7,FALSE)</f>
        <v>49</v>
      </c>
      <c r="H589" s="1">
        <v>1.6042607746351901E-2</v>
      </c>
      <c r="I589" s="1">
        <f>VLOOKUP(C589,'[1]phenotypes-895'!$A$2:$I$896,9,FALSE)</f>
        <v>0.94567576215245519</v>
      </c>
      <c r="J589" s="1"/>
      <c r="K589" s="4">
        <v>4.9961886255403698</v>
      </c>
      <c r="L589" s="1"/>
      <c r="M589" s="8">
        <v>1</v>
      </c>
      <c r="N589" s="1"/>
      <c r="O589">
        <v>1.246</v>
      </c>
      <c r="P589" s="1"/>
      <c r="Q589" s="2">
        <v>7.0000000000000007E-2</v>
      </c>
    </row>
    <row r="590" spans="1:17" x14ac:dyDescent="0.2">
      <c r="A590">
        <v>18</v>
      </c>
      <c r="B590">
        <v>9</v>
      </c>
      <c r="C590" t="s">
        <v>17</v>
      </c>
      <c r="D590" s="12" t="s">
        <v>912</v>
      </c>
      <c r="E590" s="1">
        <v>-1.01868399210545</v>
      </c>
      <c r="F590" s="1">
        <v>-1.16657181381845</v>
      </c>
      <c r="G590">
        <f>VLOOKUP(C590,'[1]phenotypes-895'!$A$2:$G$896,7,FALSE)</f>
        <v>46</v>
      </c>
      <c r="H590" s="1">
        <v>-1.23962746170245E-2</v>
      </c>
      <c r="I590" s="1">
        <f>VLOOKUP(C590,'[1]phenotypes-895'!$A$2:$I$896,9,FALSE)</f>
        <v>0.53687773290176322</v>
      </c>
      <c r="J590" s="1"/>
      <c r="K590" s="4">
        <v>3.7832106864414157</v>
      </c>
      <c r="L590" s="1"/>
      <c r="M590" s="8">
        <v>1</v>
      </c>
      <c r="N590" s="1"/>
      <c r="O590" s="6">
        <v>0.879</v>
      </c>
      <c r="P590" s="1"/>
      <c r="Q590" s="7">
        <v>-0.04</v>
      </c>
    </row>
    <row r="591" spans="1:17" x14ac:dyDescent="0.2">
      <c r="A591">
        <v>760</v>
      </c>
      <c r="B591">
        <v>22</v>
      </c>
      <c r="C591" t="s">
        <v>759</v>
      </c>
      <c r="D591" s="13" t="s">
        <v>913</v>
      </c>
      <c r="E591" s="1">
        <v>-0.65641978178319205</v>
      </c>
      <c r="F591" s="1">
        <v>-1.21807843487584</v>
      </c>
      <c r="G591">
        <f>VLOOKUP(C591,'[1]phenotypes-895'!$A$2:$G$896,7,FALSE)</f>
        <v>67</v>
      </c>
      <c r="H591" s="1">
        <v>4.7188168790815797E-2</v>
      </c>
      <c r="I591" s="1">
        <f>VLOOKUP(C591,'[1]phenotypes-895'!$A$2:$I$896,9,FALSE)</f>
        <v>0.80614168176574097</v>
      </c>
      <c r="J591" s="1"/>
      <c r="K591" s="4">
        <v>4.4372526077536163</v>
      </c>
      <c r="L591" s="1"/>
      <c r="M591" s="8">
        <v>1</v>
      </c>
      <c r="N591" s="1"/>
      <c r="O591">
        <v>1.31</v>
      </c>
      <c r="P591" s="1"/>
      <c r="Q591" s="2">
        <v>0.08</v>
      </c>
    </row>
    <row r="592" spans="1:17" x14ac:dyDescent="0.2">
      <c r="A592">
        <v>834</v>
      </c>
      <c r="B592">
        <v>42</v>
      </c>
      <c r="C592" t="s">
        <v>833</v>
      </c>
      <c r="D592" s="13" t="s">
        <v>912</v>
      </c>
      <c r="E592" s="1">
        <v>-3.8936339266878801</v>
      </c>
      <c r="F592" s="1">
        <v>-1.25444885642811</v>
      </c>
      <c r="G592">
        <f>VLOOKUP(C592,'[1]phenotypes-895'!$A$2:$G$896,7,FALSE)</f>
        <v>63</v>
      </c>
      <c r="H592" s="1">
        <v>8.6782559040191706E-2</v>
      </c>
      <c r="I592" s="1">
        <f>VLOOKUP(C592,'[1]phenotypes-895'!$A$2:$I$896,9,FALSE)</f>
        <v>0.46135807943962781</v>
      </c>
      <c r="J592" s="1"/>
      <c r="K592" s="4">
        <v>3.8908190520578714</v>
      </c>
      <c r="L592" s="1"/>
      <c r="M592" s="8">
        <v>1</v>
      </c>
      <c r="N592" s="1"/>
      <c r="O592">
        <v>0.71199999999999997</v>
      </c>
      <c r="P592" s="1"/>
      <c r="Q592" s="2">
        <v>-0.11</v>
      </c>
    </row>
    <row r="593" spans="1:17" x14ac:dyDescent="0.2">
      <c r="A593">
        <v>25</v>
      </c>
      <c r="B593">
        <v>10</v>
      </c>
      <c r="C593" t="s">
        <v>24</v>
      </c>
      <c r="D593" s="12" t="s">
        <v>912</v>
      </c>
      <c r="E593" s="1">
        <v>-2.54009825280006</v>
      </c>
      <c r="F593" s="1">
        <v>-1.28635635643275</v>
      </c>
      <c r="G593">
        <f>VLOOKUP(C593,'[1]phenotypes-895'!$A$2:$G$896,7,FALSE)</f>
        <v>81</v>
      </c>
      <c r="H593" s="1">
        <v>4.9504655645794801E-2</v>
      </c>
      <c r="I593" s="1">
        <f>VLOOKUP(C593,'[1]phenotypes-895'!$A$2:$I$896,9,FALSE)</f>
        <v>0.26475579525975851</v>
      </c>
      <c r="J593" s="1"/>
      <c r="K593" s="4">
        <v>4.3536594099128392</v>
      </c>
      <c r="L593" s="1"/>
      <c r="M593" s="8">
        <v>1</v>
      </c>
      <c r="N593" s="1"/>
      <c r="O593" s="6">
        <v>1.198</v>
      </c>
      <c r="P593" s="1"/>
      <c r="Q593" s="7">
        <v>0.06</v>
      </c>
    </row>
    <row r="594" spans="1:17" x14ac:dyDescent="0.2">
      <c r="A594">
        <v>201</v>
      </c>
      <c r="B594">
        <v>18</v>
      </c>
      <c r="C594" t="s">
        <v>200</v>
      </c>
      <c r="D594" s="12" t="s">
        <v>912</v>
      </c>
      <c r="E594" s="1">
        <v>-2.5202138135149998</v>
      </c>
      <c r="F594" s="1">
        <v>-1.32087072062179</v>
      </c>
      <c r="G594">
        <f>VLOOKUP(C594,'[1]phenotypes-895'!$A$2:$G$896,7,FALSE)</f>
        <v>65</v>
      </c>
      <c r="H594" s="1">
        <v>5.3773414446057599E-2</v>
      </c>
      <c r="I594" s="1">
        <f>VLOOKUP(C594,'[1]phenotypes-895'!$A$2:$I$896,9,FALSE)</f>
        <v>0.74877726520606713</v>
      </c>
      <c r="J594" s="1"/>
      <c r="K594" s="4">
        <v>4.6372154955459592</v>
      </c>
      <c r="L594" s="1"/>
      <c r="M594" s="8">
        <v>1</v>
      </c>
      <c r="N594" s="1"/>
      <c r="O594" s="6">
        <v>1.093</v>
      </c>
      <c r="P594" s="1"/>
      <c r="Q594" s="7">
        <v>0.03</v>
      </c>
    </row>
    <row r="595" spans="1:17" x14ac:dyDescent="0.2">
      <c r="A595">
        <v>9</v>
      </c>
      <c r="B595">
        <v>12</v>
      </c>
      <c r="C595" t="s">
        <v>8</v>
      </c>
      <c r="D595" s="12" t="s">
        <v>912</v>
      </c>
      <c r="E595" s="1">
        <v>-2.2606279867287302</v>
      </c>
      <c r="F595" s="1">
        <v>-1.3225028984109499</v>
      </c>
      <c r="G595">
        <f>VLOOKUP(C595,'[1]phenotypes-895'!$A$2:$G$896,7,FALSE)</f>
        <v>98</v>
      </c>
      <c r="H595" s="1">
        <v>3.0673507607400499E-3</v>
      </c>
      <c r="I595" s="1">
        <f>VLOOKUP(C595,'[1]phenotypes-895'!$A$2:$I$896,9,FALSE)</f>
        <v>0</v>
      </c>
      <c r="J595" s="1"/>
      <c r="K595" s="4">
        <v>0</v>
      </c>
      <c r="L595" s="1"/>
      <c r="M595" s="8">
        <v>0</v>
      </c>
      <c r="N595" s="1"/>
      <c r="O595" s="6">
        <v>0.91</v>
      </c>
      <c r="P595" s="1"/>
      <c r="Q595" s="7">
        <v>-0.03</v>
      </c>
    </row>
    <row r="596" spans="1:17" x14ac:dyDescent="0.2">
      <c r="A596">
        <v>74</v>
      </c>
      <c r="B596">
        <v>21</v>
      </c>
      <c r="C596" t="s">
        <v>73</v>
      </c>
      <c r="D596" s="13" t="s">
        <v>913</v>
      </c>
      <c r="E596" s="1">
        <v>-0.16331109031007801</v>
      </c>
      <c r="F596" s="1">
        <v>-1.32460230834724</v>
      </c>
      <c r="G596">
        <f>VLOOKUP(C596,'[1]phenotypes-895'!$A$2:$G$896,7,FALSE)</f>
        <v>59</v>
      </c>
      <c r="H596" s="1">
        <v>-1.17431524628674E-2</v>
      </c>
      <c r="I596" s="1">
        <f>VLOOKUP(C596,'[1]phenotypes-895'!$A$2:$I$896,9,FALSE)</f>
        <v>0.53507924337900448</v>
      </c>
      <c r="J596" s="1"/>
      <c r="K596" s="4">
        <v>4.6754498078618933</v>
      </c>
      <c r="L596" s="1"/>
      <c r="M596" s="8">
        <v>1</v>
      </c>
      <c r="N596" s="1"/>
      <c r="O596">
        <v>1.085</v>
      </c>
      <c r="P596" s="1"/>
      <c r="Q596" s="2">
        <v>0.03</v>
      </c>
    </row>
    <row r="597" spans="1:17" x14ac:dyDescent="0.2">
      <c r="A597">
        <v>678</v>
      </c>
      <c r="B597">
        <v>52</v>
      </c>
      <c r="C597" t="s">
        <v>677</v>
      </c>
      <c r="D597" s="13" t="s">
        <v>912</v>
      </c>
      <c r="E597" s="1">
        <v>-3.21885583647859</v>
      </c>
      <c r="F597" s="1">
        <v>-1.3499016620386901</v>
      </c>
      <c r="G597">
        <f>VLOOKUP(C597,'[1]phenotypes-895'!$A$2:$G$896,7,FALSE)</f>
        <v>45</v>
      </c>
      <c r="H597" s="1">
        <v>1.36096662754094E-2</v>
      </c>
      <c r="I597" s="1">
        <f>VLOOKUP(C597,'[1]phenotypes-895'!$A$2:$I$896,9,FALSE)</f>
        <v>0.76367062294959975</v>
      </c>
      <c r="J597" s="1"/>
      <c r="K597" s="4">
        <v>4.6198462437208416</v>
      </c>
      <c r="L597" s="1"/>
      <c r="M597" s="8">
        <v>1</v>
      </c>
      <c r="N597" s="1"/>
      <c r="O597">
        <v>0.55200000000000005</v>
      </c>
      <c r="P597" s="1"/>
      <c r="Q597" s="2">
        <v>-0.2</v>
      </c>
    </row>
    <row r="598" spans="1:17" x14ac:dyDescent="0.2">
      <c r="A598">
        <v>336</v>
      </c>
      <c r="B598">
        <v>4</v>
      </c>
      <c r="C598" t="s">
        <v>335</v>
      </c>
      <c r="D598" s="12" t="s">
        <v>913</v>
      </c>
      <c r="E598" s="1">
        <v>0.342470375919815</v>
      </c>
      <c r="F598" s="1">
        <v>-1.37454896937658</v>
      </c>
      <c r="G598">
        <f>VLOOKUP(C598,'[1]phenotypes-895'!$A$2:$G$896,7,FALSE)</f>
        <v>98</v>
      </c>
      <c r="H598" s="1">
        <v>2.6988792983969299E-2</v>
      </c>
      <c r="I598" s="1">
        <f>VLOOKUP(C598,'[1]phenotypes-895'!$A$2:$I$896,9,FALSE)</f>
        <v>0</v>
      </c>
      <c r="J598" s="1"/>
      <c r="K598" s="4">
        <v>0</v>
      </c>
      <c r="L598" s="1"/>
      <c r="M598" s="8">
        <v>0</v>
      </c>
      <c r="N598" s="1"/>
      <c r="O598" s="6">
        <v>1.069</v>
      </c>
      <c r="P598" s="1"/>
      <c r="Q598" s="7">
        <v>0.02</v>
      </c>
    </row>
    <row r="599" spans="1:17" x14ac:dyDescent="0.2">
      <c r="A599">
        <v>113</v>
      </c>
      <c r="B599">
        <v>4</v>
      </c>
      <c r="C599" t="s">
        <v>112</v>
      </c>
      <c r="D599" s="12" t="s">
        <v>913</v>
      </c>
      <c r="E599" s="1">
        <v>0.23887220951447899</v>
      </c>
      <c r="F599" s="1">
        <v>-1.3753334339427301</v>
      </c>
      <c r="G599">
        <f>VLOOKUP(C599,'[1]phenotypes-895'!$A$2:$G$896,7,FALSE)</f>
        <v>98</v>
      </c>
      <c r="H599" s="1">
        <v>-3.06071969167927E-2</v>
      </c>
      <c r="I599" s="1">
        <f>VLOOKUP(C599,'[1]phenotypes-895'!$A$2:$I$896,9,FALSE)</f>
        <v>0</v>
      </c>
      <c r="J599" s="1"/>
      <c r="K599" s="4">
        <v>0</v>
      </c>
      <c r="L599" s="1"/>
      <c r="M599" s="8">
        <v>0</v>
      </c>
      <c r="N599" s="1"/>
      <c r="O599" s="6">
        <v>1.3260000000000001</v>
      </c>
      <c r="P599" s="1"/>
      <c r="Q599" s="7">
        <v>0.09</v>
      </c>
    </row>
    <row r="600" spans="1:17" x14ac:dyDescent="0.2">
      <c r="A600">
        <v>522</v>
      </c>
      <c r="B600">
        <v>3</v>
      </c>
      <c r="C600" t="s">
        <v>521</v>
      </c>
      <c r="D600" s="12" t="s">
        <v>913</v>
      </c>
      <c r="E600" s="1">
        <v>1.4003134197198399</v>
      </c>
      <c r="F600" s="1">
        <v>-1.3811308462845</v>
      </c>
      <c r="G600">
        <f>VLOOKUP(C600,'[1]phenotypes-895'!$A$2:$G$896,7,FALSE)</f>
        <v>98</v>
      </c>
      <c r="H600" s="1">
        <v>-2.3511585567365701E-2</v>
      </c>
      <c r="I600" s="1">
        <f>VLOOKUP(C600,'[1]phenotypes-895'!$A$2:$I$896,9,FALSE)</f>
        <v>0.1196515212122779</v>
      </c>
      <c r="J600" s="1"/>
      <c r="K600" s="4">
        <v>2.2469535809129364</v>
      </c>
      <c r="L600" s="1"/>
      <c r="M600" s="8">
        <v>1</v>
      </c>
      <c r="N600" s="1"/>
      <c r="O600" s="6">
        <v>0.90900000000000003</v>
      </c>
      <c r="P600" s="1"/>
      <c r="Q600" s="7">
        <v>-0.03</v>
      </c>
    </row>
    <row r="601" spans="1:17" x14ac:dyDescent="0.2">
      <c r="A601">
        <v>227</v>
      </c>
      <c r="B601">
        <v>8</v>
      </c>
      <c r="C601" t="s">
        <v>226</v>
      </c>
      <c r="D601" s="12" t="s">
        <v>913</v>
      </c>
      <c r="E601" s="1">
        <v>-0.20632843639131401</v>
      </c>
      <c r="F601" s="1">
        <v>-1.3821497952675601</v>
      </c>
      <c r="G601">
        <f>VLOOKUP(C601,'[1]phenotypes-895'!$A$2:$G$896,7,FALSE)</f>
        <v>98</v>
      </c>
      <c r="H601" s="1">
        <v>1.83799589045746E-3</v>
      </c>
      <c r="I601" s="1">
        <f>VLOOKUP(C601,'[1]phenotypes-895'!$A$2:$I$896,9,FALSE)</f>
        <v>0</v>
      </c>
      <c r="J601" s="1"/>
      <c r="K601" s="4">
        <v>0</v>
      </c>
      <c r="L601" s="1"/>
      <c r="M601" s="8">
        <v>0</v>
      </c>
      <c r="N601" s="1"/>
      <c r="O601" s="6">
        <v>0.86899999999999999</v>
      </c>
      <c r="P601" s="1"/>
      <c r="Q601" s="7">
        <v>-0.05</v>
      </c>
    </row>
    <row r="602" spans="1:17" x14ac:dyDescent="0.2">
      <c r="A602">
        <v>358</v>
      </c>
      <c r="B602">
        <v>40</v>
      </c>
      <c r="C602" t="s">
        <v>357</v>
      </c>
      <c r="D602" s="13" t="s">
        <v>913</v>
      </c>
      <c r="E602" s="1">
        <v>-0.96311662297850398</v>
      </c>
      <c r="F602" s="1">
        <v>-1.3864962132110601</v>
      </c>
      <c r="G602">
        <f>VLOOKUP(C602,'[1]phenotypes-895'!$A$2:$G$896,7,FALSE)</f>
        <v>49</v>
      </c>
      <c r="H602" s="1">
        <v>-2.2005596876083799E-3</v>
      </c>
      <c r="I602" s="1">
        <f>VLOOKUP(C602,'[1]phenotypes-895'!$A$2:$I$896,9,FALSE)</f>
        <v>0.54361293637451347</v>
      </c>
      <c r="J602" s="1"/>
      <c r="K602" s="4">
        <v>4.026750611053127</v>
      </c>
      <c r="L602" s="1"/>
      <c r="M602" s="8">
        <v>1</v>
      </c>
      <c r="N602" s="1"/>
      <c r="O602">
        <v>1.081</v>
      </c>
      <c r="P602" s="1"/>
      <c r="Q602" s="2">
        <v>0.02</v>
      </c>
    </row>
    <row r="603" spans="1:17" x14ac:dyDescent="0.2">
      <c r="A603">
        <v>627</v>
      </c>
      <c r="B603">
        <v>32</v>
      </c>
      <c r="C603" t="s">
        <v>626</v>
      </c>
      <c r="D603" s="13" t="s">
        <v>913</v>
      </c>
      <c r="E603" s="1">
        <v>-0.444383003885086</v>
      </c>
      <c r="F603" s="1">
        <v>-1.42717277608208</v>
      </c>
      <c r="G603">
        <f>VLOOKUP(C603,'[1]phenotypes-895'!$A$2:$G$896,7,FALSE)</f>
        <v>60</v>
      </c>
      <c r="H603" s="1">
        <v>1.2979172790389E-2</v>
      </c>
      <c r="I603" s="1">
        <f>VLOOKUP(C603,'[1]phenotypes-895'!$A$2:$I$896,9,FALSE)</f>
        <v>0.60638949438928125</v>
      </c>
      <c r="J603" s="1"/>
      <c r="K603" s="4">
        <v>4.0850845430215204</v>
      </c>
      <c r="L603" s="1"/>
      <c r="M603" s="8">
        <v>1</v>
      </c>
      <c r="N603" s="1"/>
      <c r="O603">
        <v>1.0580000000000001</v>
      </c>
      <c r="P603" s="1"/>
      <c r="Q603" s="2">
        <v>0.02</v>
      </c>
    </row>
    <row r="604" spans="1:17" x14ac:dyDescent="0.2">
      <c r="A604">
        <v>174</v>
      </c>
      <c r="B604">
        <v>9</v>
      </c>
      <c r="C604" t="s">
        <v>173</v>
      </c>
      <c r="D604" s="12" t="s">
        <v>912</v>
      </c>
      <c r="E604" s="1">
        <v>-1.3238888087663401</v>
      </c>
      <c r="F604" s="1">
        <v>-1.45188733507243</v>
      </c>
      <c r="G604">
        <f>VLOOKUP(C604,'[1]phenotypes-895'!$A$2:$G$896,7,FALSE)</f>
        <v>72</v>
      </c>
      <c r="H604" s="1">
        <v>1.41368247975492E-2</v>
      </c>
      <c r="I604" s="1">
        <f>VLOOKUP(C604,'[1]phenotypes-895'!$A$2:$I$896,9,FALSE)</f>
        <v>0.77186303312170845</v>
      </c>
      <c r="J604" s="1"/>
      <c r="K604" s="4">
        <v>4.6200582654322044</v>
      </c>
      <c r="L604" s="1"/>
      <c r="M604" s="8">
        <v>1</v>
      </c>
      <c r="N604" s="1"/>
      <c r="O604" s="6">
        <v>0.93200000000000005</v>
      </c>
      <c r="P604" s="1"/>
      <c r="Q604" s="7">
        <v>-0.02</v>
      </c>
    </row>
    <row r="605" spans="1:17" x14ac:dyDescent="0.2">
      <c r="A605">
        <v>321</v>
      </c>
      <c r="B605">
        <v>20</v>
      </c>
      <c r="C605" t="s">
        <v>320</v>
      </c>
      <c r="D605" s="12" t="s">
        <v>912</v>
      </c>
      <c r="E605" s="1">
        <v>-2.74377006899471</v>
      </c>
      <c r="F605" s="1">
        <v>-1.46659234045177</v>
      </c>
      <c r="G605">
        <f>VLOOKUP(C605,'[1]phenotypes-895'!$A$2:$G$896,7,FALSE)</f>
        <v>72</v>
      </c>
      <c r="H605" s="1">
        <v>3.7459799878549901E-2</v>
      </c>
      <c r="I605" s="1">
        <f>VLOOKUP(C605,'[1]phenotypes-895'!$A$2:$I$896,9,FALSE)</f>
        <v>0.60340133589288314</v>
      </c>
      <c r="J605" s="1"/>
      <c r="K605" s="4">
        <v>5.2609514505363375</v>
      </c>
      <c r="L605" s="1"/>
      <c r="M605" s="8">
        <v>1</v>
      </c>
      <c r="N605" s="1"/>
      <c r="O605" s="6">
        <v>0.99099999999999999</v>
      </c>
      <c r="P605" s="1"/>
      <c r="Q605" s="7">
        <v>0</v>
      </c>
    </row>
    <row r="606" spans="1:17" x14ac:dyDescent="0.2">
      <c r="A606">
        <v>82</v>
      </c>
      <c r="B606">
        <v>33</v>
      </c>
      <c r="C606" t="s">
        <v>81</v>
      </c>
      <c r="D606" s="13" t="s">
        <v>913</v>
      </c>
      <c r="E606" s="1">
        <v>-1.5219242167357401</v>
      </c>
      <c r="F606" s="1">
        <v>-1.4797308588028599</v>
      </c>
      <c r="G606">
        <f>VLOOKUP(C606,'[1]phenotypes-895'!$A$2:$G$896,7,FALSE)</f>
        <v>76</v>
      </c>
      <c r="H606" s="1">
        <v>3.4837344455308401E-2</v>
      </c>
      <c r="I606" s="1">
        <f>VLOOKUP(C606,'[1]phenotypes-895'!$A$2:$I$896,9,FALSE)</f>
        <v>0.50390707719292005</v>
      </c>
      <c r="J606" s="1"/>
      <c r="K606" s="4">
        <v>4.0376525691937903</v>
      </c>
      <c r="L606" s="1"/>
      <c r="M606" s="8">
        <v>1</v>
      </c>
      <c r="N606" s="1"/>
      <c r="O606">
        <v>1.014</v>
      </c>
      <c r="P606" s="1"/>
      <c r="Q606" s="2">
        <v>0</v>
      </c>
    </row>
    <row r="607" spans="1:17" x14ac:dyDescent="0.2">
      <c r="A607">
        <v>295</v>
      </c>
      <c r="B607">
        <v>15</v>
      </c>
      <c r="C607" t="s">
        <v>294</v>
      </c>
      <c r="D607" s="12" t="s">
        <v>912</v>
      </c>
      <c r="E607" s="1">
        <v>-1.4349473893781699</v>
      </c>
      <c r="F607" s="1">
        <v>-1.5610255400008399</v>
      </c>
      <c r="G607">
        <f>VLOOKUP(C607,'[1]phenotypes-895'!$A$2:$G$896,7,FALSE)</f>
        <v>98</v>
      </c>
      <c r="H607" s="1">
        <v>-3.8785903604761703E-2</v>
      </c>
      <c r="I607" s="1">
        <f>VLOOKUP(C607,'[1]phenotypes-895'!$A$2:$I$896,9,FALSE)</f>
        <v>0</v>
      </c>
      <c r="J607" s="1"/>
      <c r="K607" s="4">
        <v>0</v>
      </c>
      <c r="L607" s="1"/>
      <c r="M607" s="8">
        <v>0</v>
      </c>
      <c r="N607" s="1"/>
      <c r="O607" s="6">
        <v>0.746</v>
      </c>
      <c r="P607" s="1"/>
      <c r="Q607" s="7">
        <v>-0.1</v>
      </c>
    </row>
    <row r="608" spans="1:17" x14ac:dyDescent="0.2">
      <c r="A608">
        <v>438</v>
      </c>
      <c r="B608">
        <v>50</v>
      </c>
      <c r="C608" t="s">
        <v>437</v>
      </c>
      <c r="D608" s="13" t="s">
        <v>912</v>
      </c>
      <c r="E608" s="1">
        <v>-1.3429637912624</v>
      </c>
      <c r="F608" s="1">
        <v>-1.5771203980561099</v>
      </c>
      <c r="G608">
        <f>VLOOKUP(C608,'[1]phenotypes-895'!$A$2:$G$896,7,FALSE)</f>
        <v>88</v>
      </c>
      <c r="H608" s="1">
        <v>5.28784086320601E-2</v>
      </c>
      <c r="I608" s="1">
        <f>VLOOKUP(C608,'[1]phenotypes-895'!$A$2:$I$896,9,FALSE)</f>
        <v>0.50451818731149667</v>
      </c>
      <c r="J608" s="1"/>
      <c r="K608" s="4">
        <v>3.5475534818917742</v>
      </c>
      <c r="L608" s="1"/>
      <c r="M608" s="8">
        <v>1</v>
      </c>
      <c r="N608" s="1"/>
      <c r="O608">
        <v>0.69299999999999995</v>
      </c>
      <c r="P608" s="1"/>
      <c r="Q608" s="2">
        <v>-0.12</v>
      </c>
    </row>
    <row r="609" spans="1:17" x14ac:dyDescent="0.2">
      <c r="A609">
        <v>160</v>
      </c>
      <c r="B609">
        <v>1</v>
      </c>
      <c r="C609" t="s">
        <v>159</v>
      </c>
      <c r="D609" s="12" t="s">
        <v>913</v>
      </c>
      <c r="E609" s="1">
        <v>-0.42152304682359698</v>
      </c>
      <c r="F609" s="1">
        <v>-1.5931183061290499</v>
      </c>
      <c r="G609">
        <f>VLOOKUP(C609,'[1]phenotypes-895'!$A$2:$G$896,7,FALSE)</f>
        <v>98</v>
      </c>
      <c r="H609" s="1">
        <v>-4.76761420146976E-3</v>
      </c>
      <c r="I609" s="1">
        <f>VLOOKUP(C609,'[1]phenotypes-895'!$A$2:$I$896,9,FALSE)</f>
        <v>0</v>
      </c>
      <c r="J609" s="1"/>
      <c r="K609" s="4">
        <v>0</v>
      </c>
      <c r="L609" s="1"/>
      <c r="M609" s="8">
        <v>0</v>
      </c>
      <c r="N609" s="1"/>
      <c r="O609" s="6">
        <v>1.02</v>
      </c>
      <c r="P609" s="1"/>
      <c r="Q609" s="7">
        <v>0.01</v>
      </c>
    </row>
    <row r="610" spans="1:17" x14ac:dyDescent="0.2">
      <c r="A610">
        <v>499</v>
      </c>
      <c r="B610">
        <v>53</v>
      </c>
      <c r="C610" t="s">
        <v>498</v>
      </c>
      <c r="D610" s="13" t="s">
        <v>912</v>
      </c>
      <c r="E610" s="1">
        <v>-0.33798921877667198</v>
      </c>
      <c r="F610" s="1">
        <v>-1.5978810730041599</v>
      </c>
      <c r="G610">
        <f>VLOOKUP(C610,'[1]phenotypes-895'!$A$2:$G$896,7,FALSE)</f>
        <v>98</v>
      </c>
      <c r="H610" s="1">
        <v>-2.2405510928108802E-2</v>
      </c>
      <c r="I610" s="1">
        <f>VLOOKUP(C610,'[1]phenotypes-895'!$A$2:$I$896,9,FALSE)</f>
        <v>0</v>
      </c>
      <c r="J610" s="1"/>
      <c r="K610" s="4">
        <v>0</v>
      </c>
      <c r="L610" s="1"/>
      <c r="M610" s="8">
        <v>0</v>
      </c>
      <c r="N610" s="1"/>
      <c r="O610">
        <v>0.80100000000000005</v>
      </c>
      <c r="P610" s="1"/>
      <c r="Q610" s="2">
        <v>-7.0000000000000007E-2</v>
      </c>
    </row>
    <row r="611" spans="1:17" x14ac:dyDescent="0.2">
      <c r="A611">
        <v>416</v>
      </c>
      <c r="B611">
        <v>45</v>
      </c>
      <c r="C611" t="s">
        <v>415</v>
      </c>
      <c r="D611" s="13" t="s">
        <v>912</v>
      </c>
      <c r="E611" s="1">
        <v>-1.47681647902423</v>
      </c>
      <c r="F611" s="1">
        <v>-1.63006054501116</v>
      </c>
      <c r="G611">
        <f>VLOOKUP(C611,'[1]phenotypes-895'!$A$2:$G$896,7,FALSE)</f>
        <v>98</v>
      </c>
      <c r="H611" s="1">
        <v>2.2862200829626401E-2</v>
      </c>
      <c r="I611" s="1">
        <f>VLOOKUP(C611,'[1]phenotypes-895'!$A$2:$I$896,9,FALSE)</f>
        <v>0</v>
      </c>
      <c r="J611" s="1"/>
      <c r="K611" s="4">
        <v>0</v>
      </c>
      <c r="L611" s="1"/>
      <c r="M611" s="8">
        <v>0</v>
      </c>
      <c r="N611" s="1"/>
      <c r="O611">
        <v>0.90300000000000002</v>
      </c>
      <c r="P611" s="1"/>
      <c r="Q611" s="2">
        <v>-0.03</v>
      </c>
    </row>
    <row r="612" spans="1:17" x14ac:dyDescent="0.2">
      <c r="A612">
        <v>737</v>
      </c>
      <c r="B612">
        <v>52</v>
      </c>
      <c r="C612" t="s">
        <v>736</v>
      </c>
      <c r="D612" s="13" t="s">
        <v>912</v>
      </c>
      <c r="E612" s="1">
        <v>-3.5892280339890701</v>
      </c>
      <c r="F612" s="1">
        <v>-1.63925780867198</v>
      </c>
      <c r="G612">
        <f>VLOOKUP(C612,'[1]phenotypes-895'!$A$2:$G$896,7,FALSE)</f>
        <v>52</v>
      </c>
      <c r="H612" s="1">
        <v>1.55103216701619E-2</v>
      </c>
      <c r="I612" s="1">
        <f>VLOOKUP(C612,'[1]phenotypes-895'!$A$2:$I$896,9,FALSE)</f>
        <v>0.55919806973996866</v>
      </c>
      <c r="J612" s="1"/>
      <c r="K612" s="4">
        <v>4.4656657379852147</v>
      </c>
      <c r="L612" s="1"/>
      <c r="M612" s="8">
        <v>1</v>
      </c>
      <c r="N612" s="1"/>
      <c r="O612">
        <v>0.58499999999999996</v>
      </c>
      <c r="P612" s="1"/>
      <c r="Q612" s="2">
        <v>-0.18</v>
      </c>
    </row>
    <row r="613" spans="1:17" x14ac:dyDescent="0.2">
      <c r="A613">
        <v>563</v>
      </c>
      <c r="B613">
        <v>26</v>
      </c>
      <c r="C613" t="s">
        <v>562</v>
      </c>
      <c r="D613" s="13" t="s">
        <v>913</v>
      </c>
      <c r="E613" s="1">
        <v>0.65662738806814902</v>
      </c>
      <c r="F613" s="1">
        <v>-1.70262206691758</v>
      </c>
      <c r="G613">
        <f>VLOOKUP(C613,'[1]phenotypes-895'!$A$2:$G$896,7,FALSE)</f>
        <v>98</v>
      </c>
      <c r="H613" s="1">
        <v>-3.29677947795257E-4</v>
      </c>
      <c r="I613" s="1">
        <f>VLOOKUP(C613,'[1]phenotypes-895'!$A$2:$I$896,9,FALSE)</f>
        <v>0</v>
      </c>
      <c r="J613" s="1"/>
      <c r="K613" s="4">
        <v>0</v>
      </c>
      <c r="L613" s="1"/>
      <c r="M613" s="8">
        <v>0</v>
      </c>
      <c r="N613" s="1"/>
      <c r="O613">
        <v>1.3009999999999999</v>
      </c>
      <c r="P613" s="1"/>
      <c r="Q613" s="2">
        <v>0.08</v>
      </c>
    </row>
    <row r="614" spans="1:17" x14ac:dyDescent="0.2">
      <c r="A614">
        <v>862</v>
      </c>
      <c r="B614">
        <v>40</v>
      </c>
      <c r="C614" t="s">
        <v>861</v>
      </c>
      <c r="D614" s="13" t="s">
        <v>913</v>
      </c>
      <c r="E614" s="1">
        <v>-1.01046936530119</v>
      </c>
      <c r="F614" s="1">
        <v>-1.7615918367722301</v>
      </c>
      <c r="G614">
        <f>VLOOKUP(C614,'[1]phenotypes-895'!$A$2:$G$896,7,FALSE)</f>
        <v>63</v>
      </c>
      <c r="H614" s="1">
        <v>2.6634917189987901E-2</v>
      </c>
      <c r="I614" s="1">
        <f>VLOOKUP(C614,'[1]phenotypes-895'!$A$2:$I$896,9,FALSE)</f>
        <v>0.45949266141556339</v>
      </c>
      <c r="J614" s="1"/>
      <c r="K614" s="4">
        <v>3.7516273024880373</v>
      </c>
      <c r="L614" s="1"/>
      <c r="M614" s="8">
        <v>1</v>
      </c>
      <c r="N614" s="1"/>
      <c r="O614">
        <v>1.1040000000000001</v>
      </c>
      <c r="P614" s="1"/>
      <c r="Q614" s="2">
        <v>0.03</v>
      </c>
    </row>
    <row r="615" spans="1:17" x14ac:dyDescent="0.2">
      <c r="A615">
        <v>781</v>
      </c>
      <c r="B615">
        <v>44</v>
      </c>
      <c r="C615" t="s">
        <v>780</v>
      </c>
      <c r="D615" s="13" t="s">
        <v>912</v>
      </c>
      <c r="E615" s="1">
        <v>-3.6565570373301099</v>
      </c>
      <c r="F615" s="1">
        <v>-1.7771577656943101</v>
      </c>
      <c r="G615">
        <f>VLOOKUP(C615,'[1]phenotypes-895'!$A$2:$G$896,7,FALSE)</f>
        <v>44</v>
      </c>
      <c r="H615" s="1">
        <v>-3.4966447807407999E-2</v>
      </c>
      <c r="I615" s="1">
        <f>VLOOKUP(C615,'[1]phenotypes-895'!$A$2:$I$896,9,FALSE)</f>
        <v>0.54045734265919632</v>
      </c>
      <c r="J615" s="1"/>
      <c r="K615" s="4">
        <v>3.8018557327514149</v>
      </c>
      <c r="L615" s="1"/>
      <c r="M615" s="8">
        <v>1</v>
      </c>
      <c r="N615" s="1"/>
      <c r="O615">
        <v>0.56399999999999995</v>
      </c>
      <c r="P615" s="1"/>
      <c r="Q615" s="2">
        <v>-0.19</v>
      </c>
    </row>
    <row r="616" spans="1:17" x14ac:dyDescent="0.2">
      <c r="A616">
        <v>297</v>
      </c>
      <c r="B616">
        <v>4</v>
      </c>
      <c r="C616" t="s">
        <v>296</v>
      </c>
      <c r="D616" s="12" t="s">
        <v>913</v>
      </c>
      <c r="E616" s="1">
        <v>-0.106422079839454</v>
      </c>
      <c r="F616" s="1">
        <v>-1.7980939980678901</v>
      </c>
      <c r="G616">
        <f>VLOOKUP(C616,'[1]phenotypes-895'!$A$2:$G$896,7,FALSE)</f>
        <v>72</v>
      </c>
      <c r="H616" s="1">
        <v>5.3396161241550097E-2</v>
      </c>
      <c r="I616" s="1">
        <f>VLOOKUP(C616,'[1]phenotypes-895'!$A$2:$I$896,9,FALSE)</f>
        <v>0.48002874348890329</v>
      </c>
      <c r="J616" s="1"/>
      <c r="K616" s="4">
        <v>4.9683351847771062</v>
      </c>
      <c r="L616" s="1"/>
      <c r="M616" s="8">
        <v>1</v>
      </c>
      <c r="N616" s="1"/>
      <c r="O616" s="6">
        <v>0.92600000000000005</v>
      </c>
      <c r="P616" s="1"/>
      <c r="Q616" s="7">
        <v>-0.03</v>
      </c>
    </row>
    <row r="617" spans="1:17" x14ac:dyDescent="0.2">
      <c r="A617">
        <v>47</v>
      </c>
      <c r="B617">
        <v>6</v>
      </c>
      <c r="C617" t="s">
        <v>46</v>
      </c>
      <c r="D617" s="12" t="s">
        <v>913</v>
      </c>
      <c r="E617" s="1">
        <v>0.28342238097971301</v>
      </c>
      <c r="F617" s="1">
        <v>-1.8130239631837901</v>
      </c>
      <c r="G617">
        <f>VLOOKUP(C617,'[1]phenotypes-895'!$A$2:$G$896,7,FALSE)</f>
        <v>56</v>
      </c>
      <c r="H617" s="1">
        <v>-1.10905377038763E-2</v>
      </c>
      <c r="I617" s="1">
        <f>VLOOKUP(C617,'[1]phenotypes-895'!$A$2:$I$896,9,FALSE)</f>
        <v>0.52238952232104696</v>
      </c>
      <c r="J617" s="1"/>
      <c r="K617" s="4">
        <v>3.8248778704319233</v>
      </c>
      <c r="L617" s="1"/>
      <c r="M617" s="8">
        <v>1</v>
      </c>
      <c r="N617" s="1"/>
      <c r="O617" s="6">
        <v>0.91900000000000004</v>
      </c>
      <c r="P617" s="1"/>
      <c r="Q617" s="7">
        <v>-0.03</v>
      </c>
    </row>
    <row r="618" spans="1:17" x14ac:dyDescent="0.2">
      <c r="A618">
        <v>399</v>
      </c>
      <c r="B618">
        <v>50</v>
      </c>
      <c r="C618" t="s">
        <v>398</v>
      </c>
      <c r="D618" s="13" t="s">
        <v>912</v>
      </c>
      <c r="E618" s="1">
        <v>-2.6555552719526898</v>
      </c>
      <c r="F618" s="1">
        <v>-1.8285242877221599</v>
      </c>
      <c r="G618">
        <f>VLOOKUP(C618,'[1]phenotypes-895'!$A$2:$G$896,7,FALSE)</f>
        <v>92</v>
      </c>
      <c r="H618" s="1">
        <v>6.0552324560437902E-2</v>
      </c>
      <c r="I618" s="1">
        <f>VLOOKUP(C618,'[1]phenotypes-895'!$A$2:$I$896,9,FALSE)</f>
        <v>0.28507182691149408</v>
      </c>
      <c r="J618" s="1"/>
      <c r="K618" s="4">
        <v>3.8625833255947928</v>
      </c>
      <c r="L618" s="1"/>
      <c r="M618" s="8">
        <v>1</v>
      </c>
      <c r="N618" s="1"/>
      <c r="O618">
        <v>0.7</v>
      </c>
      <c r="P618" s="1"/>
      <c r="Q618" s="2">
        <v>-0.12</v>
      </c>
    </row>
    <row r="619" spans="1:17" x14ac:dyDescent="0.2">
      <c r="A619">
        <v>98</v>
      </c>
      <c r="B619">
        <v>9</v>
      </c>
      <c r="C619" t="s">
        <v>97</v>
      </c>
      <c r="D619" s="12" t="s">
        <v>912</v>
      </c>
      <c r="E619" s="1">
        <v>-1.6038597070514899</v>
      </c>
      <c r="F619" s="1">
        <v>-1.8299348485951099</v>
      </c>
      <c r="G619">
        <f>VLOOKUP(C619,'[1]phenotypes-895'!$A$2:$G$896,7,FALSE)</f>
        <v>84</v>
      </c>
      <c r="H619" s="1">
        <v>1.0737906298508E-2</v>
      </c>
      <c r="I619" s="1">
        <f>VLOOKUP(C619,'[1]phenotypes-895'!$A$2:$I$896,9,FALSE)</f>
        <v>0.38438895868802547</v>
      </c>
      <c r="J619" s="1"/>
      <c r="K619" s="4">
        <v>4.5266188115245907</v>
      </c>
      <c r="L619" s="1"/>
      <c r="M619" s="8">
        <v>1</v>
      </c>
      <c r="N619" s="1"/>
      <c r="O619" s="6">
        <v>0.85399999999999998</v>
      </c>
      <c r="P619" s="1"/>
      <c r="Q619" s="7">
        <v>-0.05</v>
      </c>
    </row>
    <row r="620" spans="1:17" x14ac:dyDescent="0.2">
      <c r="A620">
        <v>99</v>
      </c>
      <c r="B620">
        <v>9</v>
      </c>
      <c r="C620" t="s">
        <v>98</v>
      </c>
      <c r="D620" s="12" t="s">
        <v>912</v>
      </c>
      <c r="E620" s="1">
        <v>-2.7536861312710501</v>
      </c>
      <c r="F620" s="1">
        <v>-1.85069601417685</v>
      </c>
      <c r="G620">
        <f>VLOOKUP(C620,'[1]phenotypes-895'!$A$2:$G$896,7,FALSE)</f>
        <v>72</v>
      </c>
      <c r="H620" s="1">
        <v>5.5274577599035202E-2</v>
      </c>
      <c r="I620" s="1">
        <f>VLOOKUP(C620,'[1]phenotypes-895'!$A$2:$I$896,9,FALSE)</f>
        <v>0.64380804184679585</v>
      </c>
      <c r="J620" s="1"/>
      <c r="K620" s="4">
        <v>4.3644839069556776</v>
      </c>
      <c r="L620" s="1"/>
      <c r="M620" s="8">
        <v>1</v>
      </c>
      <c r="N620" s="1"/>
      <c r="O620" s="6">
        <v>1.0389999999999999</v>
      </c>
      <c r="P620" s="1"/>
      <c r="Q620" s="7">
        <v>0.01</v>
      </c>
    </row>
    <row r="621" spans="1:17" x14ac:dyDescent="0.2">
      <c r="A621">
        <v>50</v>
      </c>
      <c r="B621">
        <v>6</v>
      </c>
      <c r="C621" t="s">
        <v>49</v>
      </c>
      <c r="D621" s="12" t="s">
        <v>913</v>
      </c>
      <c r="E621" s="1">
        <v>0.14826566251960699</v>
      </c>
      <c r="F621" s="1">
        <v>-1.8521143261353501</v>
      </c>
      <c r="G621">
        <f>VLOOKUP(C621,'[1]phenotypes-895'!$A$2:$G$896,7,FALSE)</f>
        <v>98</v>
      </c>
      <c r="H621" s="1">
        <v>-4.4953762128067398E-3</v>
      </c>
      <c r="I621" s="1">
        <f>VLOOKUP(C621,'[1]phenotypes-895'!$A$2:$I$896,9,FALSE)</f>
        <v>0</v>
      </c>
      <c r="J621" s="1"/>
      <c r="K621" s="4">
        <v>0</v>
      </c>
      <c r="L621" s="1"/>
      <c r="M621" s="8">
        <v>0</v>
      </c>
      <c r="N621" s="1"/>
      <c r="O621" s="6">
        <v>1.119</v>
      </c>
      <c r="P621" s="1"/>
      <c r="Q621" s="7">
        <v>0.03</v>
      </c>
    </row>
    <row r="622" spans="1:17" x14ac:dyDescent="0.2">
      <c r="A622">
        <v>156</v>
      </c>
      <c r="B622">
        <v>6</v>
      </c>
      <c r="C622" t="s">
        <v>155</v>
      </c>
      <c r="D622" s="12" t="s">
        <v>913</v>
      </c>
      <c r="E622" s="1">
        <v>5.4177441854911801E-2</v>
      </c>
      <c r="F622" s="1">
        <v>-1.9302367347520799</v>
      </c>
      <c r="G622">
        <f>VLOOKUP(C622,'[1]phenotypes-895'!$A$2:$G$896,7,FALSE)</f>
        <v>75</v>
      </c>
      <c r="H622" s="1">
        <v>3.9273849240971798E-3</v>
      </c>
      <c r="I622" s="1">
        <f>VLOOKUP(C622,'[1]phenotypes-895'!$A$2:$I$896,9,FALSE)</f>
        <v>0.4544613636412333</v>
      </c>
      <c r="J622" s="1"/>
      <c r="K622" s="4">
        <v>3.9476186817082111</v>
      </c>
      <c r="L622" s="1"/>
      <c r="M622" s="8">
        <v>1</v>
      </c>
      <c r="N622" s="1"/>
      <c r="O622" s="6">
        <v>1.0660000000000001</v>
      </c>
      <c r="P622" s="1"/>
      <c r="Q622" s="7">
        <v>0.02</v>
      </c>
    </row>
    <row r="623" spans="1:17" x14ac:dyDescent="0.2">
      <c r="A623">
        <v>237</v>
      </c>
      <c r="B623">
        <v>10</v>
      </c>
      <c r="C623" t="s">
        <v>236</v>
      </c>
      <c r="D623" s="12" t="s">
        <v>912</v>
      </c>
      <c r="E623" s="1">
        <v>-2.4085457271976498</v>
      </c>
      <c r="F623" s="1">
        <v>-1.94489336452854</v>
      </c>
      <c r="G623">
        <f>VLOOKUP(C623,'[1]phenotypes-895'!$A$2:$G$896,7,FALSE)</f>
        <v>79</v>
      </c>
      <c r="H623" s="1">
        <v>3.4215039847442001E-2</v>
      </c>
      <c r="I623" s="1">
        <f>VLOOKUP(C623,'[1]phenotypes-895'!$A$2:$I$896,9,FALSE)</f>
        <v>0.46535768470886302</v>
      </c>
      <c r="J623" s="1"/>
      <c r="K623" s="4">
        <v>4.4999544736537684</v>
      </c>
      <c r="L623" s="1"/>
      <c r="M623" s="8">
        <v>1</v>
      </c>
      <c r="N623" s="1"/>
      <c r="O623" s="6">
        <v>1.03</v>
      </c>
      <c r="P623" s="1"/>
      <c r="Q623" s="7">
        <v>0.01</v>
      </c>
    </row>
    <row r="624" spans="1:17" x14ac:dyDescent="0.2">
      <c r="A624">
        <v>205</v>
      </c>
      <c r="B624">
        <v>11</v>
      </c>
      <c r="C624" t="s">
        <v>204</v>
      </c>
      <c r="D624" s="12" t="s">
        <v>912</v>
      </c>
      <c r="E624" s="1">
        <v>-2.8534588689351801</v>
      </c>
      <c r="F624" s="1">
        <v>-2.00437659281741</v>
      </c>
      <c r="G624">
        <f>VLOOKUP(C624,'[1]phenotypes-895'!$A$2:$G$896,7,FALSE)</f>
        <v>65</v>
      </c>
      <c r="H624" s="1">
        <v>5.77286559303887E-2</v>
      </c>
      <c r="I624" s="1">
        <f>VLOOKUP(C624,'[1]phenotypes-895'!$A$2:$I$896,9,FALSE)</f>
        <v>0.70405034620549289</v>
      </c>
      <c r="J624" s="1"/>
      <c r="K624" s="4">
        <v>5.8113606423177062</v>
      </c>
      <c r="L624" s="1"/>
      <c r="M624" s="8">
        <v>1</v>
      </c>
      <c r="N624" s="1"/>
      <c r="O624" s="6">
        <v>0.95699999999999996</v>
      </c>
      <c r="P624" s="1"/>
      <c r="Q624" s="7">
        <v>-0.01</v>
      </c>
    </row>
    <row r="625" spans="1:17" x14ac:dyDescent="0.2">
      <c r="A625">
        <v>102</v>
      </c>
      <c r="B625">
        <v>14</v>
      </c>
      <c r="C625" t="s">
        <v>101</v>
      </c>
      <c r="D625" s="12" t="s">
        <v>912</v>
      </c>
      <c r="E625" s="1">
        <v>-3.3107393810447201</v>
      </c>
      <c r="F625" s="1">
        <v>-2.00743937543302</v>
      </c>
      <c r="G625">
        <f>VLOOKUP(C625,'[1]phenotypes-895'!$A$2:$G$896,7,FALSE)</f>
        <v>53</v>
      </c>
      <c r="H625" s="1">
        <v>8.4598025376401403E-2</v>
      </c>
      <c r="I625" s="1">
        <f>VLOOKUP(C625,'[1]phenotypes-895'!$A$2:$I$896,9,FALSE)</f>
        <v>0.58933898304519339</v>
      </c>
      <c r="J625" s="1"/>
      <c r="K625" s="4">
        <v>3.9770953542332972</v>
      </c>
      <c r="L625" s="1"/>
      <c r="M625" s="8">
        <v>1</v>
      </c>
      <c r="N625" s="1"/>
      <c r="O625" s="6">
        <v>1.2529999999999999</v>
      </c>
      <c r="P625" s="1"/>
      <c r="Q625" s="7">
        <v>7.0000000000000007E-2</v>
      </c>
    </row>
    <row r="626" spans="1:17" x14ac:dyDescent="0.2">
      <c r="A626">
        <v>106</v>
      </c>
      <c r="B626">
        <v>9</v>
      </c>
      <c r="C626" t="s">
        <v>105</v>
      </c>
      <c r="D626" s="12" t="s">
        <v>912</v>
      </c>
      <c r="E626" s="1">
        <v>-1.2962739984818901</v>
      </c>
      <c r="F626" s="1">
        <v>-2.05666426293228</v>
      </c>
      <c r="G626">
        <f>VLOOKUP(C626,'[1]phenotypes-895'!$A$2:$G$896,7,FALSE)</f>
        <v>79</v>
      </c>
      <c r="H626" s="1">
        <v>1.5160675706989001E-2</v>
      </c>
      <c r="I626" s="1">
        <f>VLOOKUP(C626,'[1]phenotypes-895'!$A$2:$I$896,9,FALSE)</f>
        <v>0.44931049465901751</v>
      </c>
      <c r="J626" s="1"/>
      <c r="K626" s="4">
        <v>4.3725109368119215</v>
      </c>
      <c r="L626" s="1"/>
      <c r="M626" s="8">
        <v>1</v>
      </c>
      <c r="N626" s="1"/>
      <c r="O626" s="6">
        <v>0.97799999999999998</v>
      </c>
      <c r="P626" s="1"/>
      <c r="Q626" s="7">
        <v>-0.01</v>
      </c>
    </row>
    <row r="627" spans="1:17" x14ac:dyDescent="0.2">
      <c r="A627">
        <v>735</v>
      </c>
      <c r="B627">
        <v>32</v>
      </c>
      <c r="C627" t="s">
        <v>734</v>
      </c>
      <c r="D627" s="13" t="s">
        <v>913</v>
      </c>
      <c r="E627" s="1">
        <v>-1.0049867182944201</v>
      </c>
      <c r="F627" s="1">
        <v>-2.0617894892333801</v>
      </c>
      <c r="G627">
        <f>VLOOKUP(C627,'[1]phenotypes-895'!$A$2:$G$896,7,FALSE)</f>
        <v>64</v>
      </c>
      <c r="H627" s="1">
        <v>1.0902029185259701E-2</v>
      </c>
      <c r="I627" s="1">
        <f>VLOOKUP(C627,'[1]phenotypes-895'!$A$2:$I$896,9,FALSE)</f>
        <v>0.66024201730905474</v>
      </c>
      <c r="J627" s="1"/>
      <c r="K627" s="4">
        <v>4.9747953334961492</v>
      </c>
      <c r="L627" s="1"/>
      <c r="M627" s="8">
        <v>1</v>
      </c>
      <c r="N627" s="1"/>
      <c r="O627">
        <v>0.96</v>
      </c>
      <c r="P627" s="1"/>
      <c r="Q627" s="2">
        <v>-0.01</v>
      </c>
    </row>
    <row r="628" spans="1:17" x14ac:dyDescent="0.2">
      <c r="A628">
        <v>430</v>
      </c>
      <c r="B628">
        <v>43</v>
      </c>
      <c r="C628" t="s">
        <v>429</v>
      </c>
      <c r="D628" s="13" t="s">
        <v>912</v>
      </c>
      <c r="E628" s="1">
        <v>-1.8860847484727701</v>
      </c>
      <c r="F628" s="1">
        <v>-2.0708859648620002</v>
      </c>
      <c r="G628">
        <f>VLOOKUP(C628,'[1]phenotypes-895'!$A$2:$G$896,7,FALSE)</f>
        <v>68</v>
      </c>
      <c r="H628" s="1">
        <v>1.25524625555525E-2</v>
      </c>
      <c r="I628" s="1">
        <f>VLOOKUP(C628,'[1]phenotypes-895'!$A$2:$I$896,9,FALSE)</f>
        <v>0.34623126851598851</v>
      </c>
      <c r="J628" s="1"/>
      <c r="K628" s="4">
        <v>4.2722905203010626</v>
      </c>
      <c r="L628" s="1"/>
      <c r="M628" s="8">
        <v>1</v>
      </c>
      <c r="N628" s="1"/>
      <c r="O628">
        <v>1.0569999999999999</v>
      </c>
      <c r="P628" s="1"/>
      <c r="Q628" s="2">
        <v>0.02</v>
      </c>
    </row>
    <row r="629" spans="1:17" x14ac:dyDescent="0.2">
      <c r="A629">
        <v>267</v>
      </c>
      <c r="B629">
        <v>43</v>
      </c>
      <c r="C629" t="s">
        <v>266</v>
      </c>
      <c r="D629" s="13" t="s">
        <v>912</v>
      </c>
      <c r="E629" s="1">
        <v>-3.6324581132445899</v>
      </c>
      <c r="F629" s="1">
        <v>-2.0758440226822801</v>
      </c>
      <c r="G629">
        <f>VLOOKUP(C629,'[1]phenotypes-895'!$A$2:$G$896,7,FALSE)</f>
        <v>54</v>
      </c>
      <c r="H629" s="1">
        <v>2.9352593563520699E-2</v>
      </c>
      <c r="I629" s="1">
        <f>VLOOKUP(C629,'[1]phenotypes-895'!$A$2:$I$896,9,FALSE)</f>
        <v>0.45742718271281813</v>
      </c>
      <c r="J629" s="1"/>
      <c r="K629" s="4">
        <v>4.4568163927768625</v>
      </c>
      <c r="L629" s="1"/>
      <c r="M629" s="8">
        <v>1</v>
      </c>
      <c r="N629" s="1"/>
      <c r="O629">
        <v>0.72399999999999998</v>
      </c>
      <c r="P629" s="1"/>
      <c r="Q629" s="2">
        <v>-0.11</v>
      </c>
    </row>
    <row r="630" spans="1:17" x14ac:dyDescent="0.2">
      <c r="A630">
        <v>340</v>
      </c>
      <c r="B630">
        <v>14</v>
      </c>
      <c r="C630" t="s">
        <v>339</v>
      </c>
      <c r="D630" s="12" t="s">
        <v>912</v>
      </c>
      <c r="E630" s="1">
        <v>-1.60333898414868</v>
      </c>
      <c r="F630" s="1">
        <v>-2.1169272674938702</v>
      </c>
      <c r="G630">
        <f>VLOOKUP(C630,'[1]phenotypes-895'!$A$2:$G$896,7,FALSE)</f>
        <v>74</v>
      </c>
      <c r="H630" s="1">
        <v>7.2593295236265898E-2</v>
      </c>
      <c r="I630" s="1">
        <f>VLOOKUP(C630,'[1]phenotypes-895'!$A$2:$I$896,9,FALSE)</f>
        <v>0.48207852557501141</v>
      </c>
      <c r="J630" s="1"/>
      <c r="K630" s="4">
        <v>4.7275328570315782</v>
      </c>
      <c r="L630" s="1"/>
      <c r="M630" s="8">
        <v>1</v>
      </c>
      <c r="N630" s="1"/>
      <c r="O630" s="6">
        <v>0.79100000000000004</v>
      </c>
      <c r="P630" s="1"/>
      <c r="Q630" s="7">
        <v>-0.08</v>
      </c>
    </row>
    <row r="631" spans="1:17" x14ac:dyDescent="0.2">
      <c r="A631">
        <v>93</v>
      </c>
      <c r="B631">
        <v>6</v>
      </c>
      <c r="C631" t="s">
        <v>92</v>
      </c>
      <c r="D631" s="12" t="s">
        <v>913</v>
      </c>
      <c r="E631" s="1">
        <v>0.28219055394137599</v>
      </c>
      <c r="F631" s="1">
        <v>-2.1203428400918698</v>
      </c>
      <c r="G631">
        <f>VLOOKUP(C631,'[1]phenotypes-895'!$A$2:$G$896,7,FALSE)</f>
        <v>82</v>
      </c>
      <c r="H631" s="1">
        <v>1.18762784805978E-2</v>
      </c>
      <c r="I631" s="1">
        <f>VLOOKUP(C631,'[1]phenotypes-895'!$A$2:$I$896,9,FALSE)</f>
        <v>0.550217751533291</v>
      </c>
      <c r="J631" s="1"/>
      <c r="K631" s="4">
        <v>4.7589779945463659</v>
      </c>
      <c r="L631" s="1"/>
      <c r="M631" s="8">
        <v>1</v>
      </c>
      <c r="N631" s="1"/>
      <c r="O631" s="6">
        <v>1.157</v>
      </c>
      <c r="P631" s="1"/>
      <c r="Q631" s="7">
        <v>0.05</v>
      </c>
    </row>
    <row r="632" spans="1:17" x14ac:dyDescent="0.2">
      <c r="A632">
        <v>458</v>
      </c>
      <c r="B632">
        <v>50</v>
      </c>
      <c r="C632" t="s">
        <v>457</v>
      </c>
      <c r="D632" s="13" t="s">
        <v>912</v>
      </c>
      <c r="E632" s="1">
        <v>-0.90394052301587302</v>
      </c>
      <c r="F632" s="1">
        <v>-2.1761905493539202</v>
      </c>
      <c r="G632">
        <f>VLOOKUP(C632,'[1]phenotypes-895'!$A$2:$G$896,7,FALSE)</f>
        <v>57</v>
      </c>
      <c r="H632" s="1">
        <v>-3.6289145854654899E-3</v>
      </c>
      <c r="I632" s="1">
        <f>VLOOKUP(C632,'[1]phenotypes-895'!$A$2:$I$896,9,FALSE)</f>
        <v>0.478677828572941</v>
      </c>
      <c r="J632" s="1"/>
      <c r="K632" s="4">
        <v>4.5213316913752202</v>
      </c>
      <c r="L632" s="1"/>
      <c r="M632" s="8">
        <v>1</v>
      </c>
      <c r="N632" s="1"/>
      <c r="O632">
        <v>0.76</v>
      </c>
      <c r="P632" s="1"/>
      <c r="Q632" s="2">
        <v>-0.09</v>
      </c>
    </row>
    <row r="633" spans="1:17" x14ac:dyDescent="0.2">
      <c r="A633">
        <v>148</v>
      </c>
      <c r="B633">
        <v>4</v>
      </c>
      <c r="C633" t="s">
        <v>147</v>
      </c>
      <c r="D633" s="12" t="s">
        <v>913</v>
      </c>
      <c r="E633" s="1">
        <v>6.4176322992954699E-2</v>
      </c>
      <c r="F633" s="1">
        <v>-2.1796010435040101</v>
      </c>
      <c r="G633">
        <f>VLOOKUP(C633,'[1]phenotypes-895'!$A$2:$G$896,7,FALSE)</f>
        <v>98</v>
      </c>
      <c r="H633" s="1">
        <v>1.30462171868699E-2</v>
      </c>
      <c r="I633" s="1">
        <f>VLOOKUP(C633,'[1]phenotypes-895'!$A$2:$I$896,9,FALSE)</f>
        <v>0</v>
      </c>
      <c r="J633" s="1"/>
      <c r="K633" s="4">
        <v>0</v>
      </c>
      <c r="L633" s="1"/>
      <c r="M633" s="8">
        <v>0</v>
      </c>
      <c r="N633" s="1"/>
      <c r="O633" s="6">
        <v>0.99</v>
      </c>
      <c r="P633" s="1"/>
      <c r="Q633" s="7">
        <v>0</v>
      </c>
    </row>
    <row r="634" spans="1:17" x14ac:dyDescent="0.2">
      <c r="A634">
        <v>228</v>
      </c>
      <c r="B634">
        <v>4</v>
      </c>
      <c r="C634" t="s">
        <v>227</v>
      </c>
      <c r="D634" s="12" t="s">
        <v>913</v>
      </c>
      <c r="E634" s="1">
        <v>-1.20802482379972</v>
      </c>
      <c r="F634" s="1">
        <v>-2.1914717774996699</v>
      </c>
      <c r="G634">
        <f>VLOOKUP(C634,'[1]phenotypes-895'!$A$2:$G$896,7,FALSE)</f>
        <v>80</v>
      </c>
      <c r="H634" s="1">
        <v>3.22755696503551E-2</v>
      </c>
      <c r="I634" s="1">
        <f>VLOOKUP(C634,'[1]phenotypes-895'!$A$2:$I$896,9,FALSE)</f>
        <v>0.42925459009842798</v>
      </c>
      <c r="J634" s="1"/>
      <c r="K634" s="4">
        <v>3.7441069054485738</v>
      </c>
      <c r="L634" s="1"/>
      <c r="M634" s="8">
        <v>1</v>
      </c>
      <c r="N634" s="1"/>
      <c r="O634" s="6">
        <v>0.89900000000000002</v>
      </c>
      <c r="P634" s="1"/>
      <c r="Q634" s="7">
        <v>-0.03</v>
      </c>
    </row>
    <row r="635" spans="1:17" x14ac:dyDescent="0.2">
      <c r="A635">
        <v>428</v>
      </c>
      <c r="B635">
        <v>53</v>
      </c>
      <c r="C635" t="s">
        <v>427</v>
      </c>
      <c r="D635" s="13" t="s">
        <v>912</v>
      </c>
      <c r="E635" s="1">
        <v>-2.7876757324235002</v>
      </c>
      <c r="F635" s="1">
        <v>-2.2422700728341098</v>
      </c>
      <c r="G635">
        <f>VLOOKUP(C635,'[1]phenotypes-895'!$A$2:$G$896,7,FALSE)</f>
        <v>62</v>
      </c>
      <c r="H635" s="1">
        <v>6.2653271618080597E-2</v>
      </c>
      <c r="I635" s="1">
        <f>VLOOKUP(C635,'[1]phenotypes-895'!$A$2:$I$896,9,FALSE)</f>
        <v>0.6113882003560962</v>
      </c>
      <c r="J635" s="1"/>
      <c r="K635" s="4">
        <v>4.5816846699596718</v>
      </c>
      <c r="L635" s="1"/>
      <c r="M635" s="8">
        <v>1</v>
      </c>
      <c r="N635" s="1"/>
      <c r="O635">
        <v>0.60299999999999998</v>
      </c>
      <c r="P635" s="1"/>
      <c r="Q635" s="2">
        <v>-0.17</v>
      </c>
    </row>
    <row r="636" spans="1:17" x14ac:dyDescent="0.2">
      <c r="A636">
        <v>651</v>
      </c>
      <c r="B636">
        <v>27</v>
      </c>
      <c r="C636" t="s">
        <v>650</v>
      </c>
      <c r="D636" s="13" t="s">
        <v>913</v>
      </c>
      <c r="E636" s="1">
        <v>-1.3275855938034</v>
      </c>
      <c r="F636" s="1">
        <v>-2.24781566225032</v>
      </c>
      <c r="G636">
        <f>VLOOKUP(C636,'[1]phenotypes-895'!$A$2:$G$896,7,FALSE)</f>
        <v>78</v>
      </c>
      <c r="H636" s="1">
        <v>2.0612677864285799E-2</v>
      </c>
      <c r="I636" s="1">
        <f>VLOOKUP(C636,'[1]phenotypes-895'!$A$2:$I$896,9,FALSE)</f>
        <v>0.42758056584852783</v>
      </c>
      <c r="J636" s="1"/>
      <c r="K636" s="4">
        <v>4.2937606686138432</v>
      </c>
      <c r="L636" s="1"/>
      <c r="M636" s="8">
        <v>1</v>
      </c>
      <c r="N636" s="1"/>
      <c r="O636">
        <v>1.2629999999999999</v>
      </c>
      <c r="P636" s="1"/>
      <c r="Q636" s="2">
        <v>7.0000000000000007E-2</v>
      </c>
    </row>
    <row r="637" spans="1:17" x14ac:dyDescent="0.2">
      <c r="A637">
        <v>888</v>
      </c>
      <c r="B637">
        <v>29</v>
      </c>
      <c r="C637" t="s">
        <v>887</v>
      </c>
      <c r="D637" s="13" t="s">
        <v>913</v>
      </c>
      <c r="E637" s="1">
        <v>-0.20645983088035</v>
      </c>
      <c r="F637" s="1">
        <v>-2.2503001029695899</v>
      </c>
      <c r="G637">
        <f>VLOOKUP(C637,'[1]phenotypes-895'!$A$2:$G$896,7,FALSE)</f>
        <v>69</v>
      </c>
      <c r="H637" s="1">
        <v>1.3814425460915099E-2</v>
      </c>
      <c r="I637" s="1">
        <f>VLOOKUP(C637,'[1]phenotypes-895'!$A$2:$I$896,9,FALSE)</f>
        <v>0.35794566964949842</v>
      </c>
      <c r="J637" s="1"/>
      <c r="K637" s="4">
        <v>4.1284352567366662</v>
      </c>
      <c r="L637" s="1"/>
      <c r="M637" s="8">
        <v>1</v>
      </c>
      <c r="N637" s="1"/>
      <c r="O637">
        <v>1.2390000000000001</v>
      </c>
      <c r="P637" s="1"/>
      <c r="Q637" s="2">
        <v>7.0000000000000007E-2</v>
      </c>
    </row>
    <row r="638" spans="1:17" x14ac:dyDescent="0.2">
      <c r="A638">
        <v>536</v>
      </c>
      <c r="B638">
        <v>40</v>
      </c>
      <c r="C638" t="s">
        <v>535</v>
      </c>
      <c r="D638" s="13" t="s">
        <v>913</v>
      </c>
      <c r="E638" s="1">
        <v>-1.65469228192447</v>
      </c>
      <c r="F638" s="1">
        <v>-2.2851626637579399</v>
      </c>
      <c r="G638">
        <f>VLOOKUP(C638,'[1]phenotypes-895'!$A$2:$G$896,7,FALSE)</f>
        <v>68</v>
      </c>
      <c r="H638" s="1">
        <v>2.5905133635426101E-2</v>
      </c>
      <c r="I638" s="1">
        <f>VLOOKUP(C638,'[1]phenotypes-895'!$A$2:$I$896,9,FALSE)</f>
        <v>0.51009052026907786</v>
      </c>
      <c r="J638" s="1"/>
      <c r="K638" s="4">
        <v>4.633498984539556</v>
      </c>
      <c r="L638" s="1"/>
      <c r="M638" s="8">
        <v>1</v>
      </c>
      <c r="N638" s="1"/>
      <c r="O638">
        <v>1.0449999999999999</v>
      </c>
      <c r="P638" s="1"/>
      <c r="Q638" s="2">
        <v>0.01</v>
      </c>
    </row>
    <row r="639" spans="1:17" x14ac:dyDescent="0.2">
      <c r="A639">
        <v>840</v>
      </c>
      <c r="B639">
        <v>39</v>
      </c>
      <c r="C639" t="s">
        <v>839</v>
      </c>
      <c r="D639" s="13" t="s">
        <v>913</v>
      </c>
      <c r="E639" s="1">
        <v>-2.23877447224943</v>
      </c>
      <c r="F639" s="1">
        <v>-2.2929491223534</v>
      </c>
      <c r="G639">
        <f>VLOOKUP(C639,'[1]phenotypes-895'!$A$2:$G$896,7,FALSE)</f>
        <v>98</v>
      </c>
      <c r="H639" s="1">
        <v>2.9394106180280401E-4</v>
      </c>
      <c r="I639" s="1">
        <f>VLOOKUP(C639,'[1]phenotypes-895'!$A$2:$I$896,9,FALSE)</f>
        <v>0</v>
      </c>
      <c r="J639" s="1"/>
      <c r="K639" s="4">
        <v>0</v>
      </c>
      <c r="L639" s="1"/>
      <c r="M639" s="8">
        <v>0</v>
      </c>
      <c r="N639" s="1"/>
      <c r="O639">
        <v>1.0629999999999999</v>
      </c>
      <c r="P639" s="1"/>
      <c r="Q639" s="2">
        <v>0.02</v>
      </c>
    </row>
    <row r="640" spans="1:17" x14ac:dyDescent="0.2">
      <c r="A640">
        <v>197</v>
      </c>
      <c r="B640">
        <v>6</v>
      </c>
      <c r="C640" t="s">
        <v>196</v>
      </c>
      <c r="D640" s="12" t="s">
        <v>913</v>
      </c>
      <c r="E640" s="1">
        <v>-0.14850148196802501</v>
      </c>
      <c r="F640" s="1">
        <v>-2.2933775707008599</v>
      </c>
      <c r="G640">
        <f>VLOOKUP(C640,'[1]phenotypes-895'!$A$2:$G$896,7,FALSE)</f>
        <v>98</v>
      </c>
      <c r="H640" s="1">
        <v>6.4995720095266003E-3</v>
      </c>
      <c r="I640" s="1">
        <f>VLOOKUP(C640,'[1]phenotypes-895'!$A$2:$I$896,9,FALSE)</f>
        <v>0</v>
      </c>
      <c r="J640" s="1"/>
      <c r="K640" s="4">
        <v>0</v>
      </c>
      <c r="L640" s="1"/>
      <c r="M640" s="8">
        <v>0</v>
      </c>
      <c r="N640" s="1"/>
      <c r="O640" s="6">
        <v>1.2569999999999999</v>
      </c>
      <c r="P640" s="1"/>
      <c r="Q640" s="7">
        <v>7.0000000000000007E-2</v>
      </c>
    </row>
    <row r="641" spans="1:17" x14ac:dyDescent="0.2">
      <c r="A641">
        <v>75</v>
      </c>
      <c r="B641">
        <v>3</v>
      </c>
      <c r="C641" t="s">
        <v>74</v>
      </c>
      <c r="D641" s="12" t="s">
        <v>913</v>
      </c>
      <c r="E641" s="1">
        <v>-9.0126443004150906E-3</v>
      </c>
      <c r="F641" s="1">
        <v>-2.3221313165007</v>
      </c>
      <c r="G641">
        <f>VLOOKUP(C641,'[1]phenotypes-895'!$A$2:$G$896,7,FALSE)</f>
        <v>63</v>
      </c>
      <c r="H641" s="1">
        <v>-2.67423783890517E-3</v>
      </c>
      <c r="I641" s="1">
        <f>VLOOKUP(C641,'[1]phenotypes-895'!$A$2:$I$896,9,FALSE)</f>
        <v>0.65320263519019406</v>
      </c>
      <c r="J641" s="1"/>
      <c r="K641" s="4">
        <v>4.3357275959339594</v>
      </c>
      <c r="L641" s="1"/>
      <c r="M641" s="8">
        <v>1</v>
      </c>
      <c r="N641" s="1"/>
      <c r="O641" s="6">
        <v>0.93400000000000005</v>
      </c>
      <c r="P641" s="1"/>
      <c r="Q641" s="7">
        <v>-0.02</v>
      </c>
    </row>
    <row r="642" spans="1:17" x14ac:dyDescent="0.2">
      <c r="A642">
        <v>282</v>
      </c>
      <c r="B642">
        <v>7</v>
      </c>
      <c r="C642" t="s">
        <v>281</v>
      </c>
      <c r="D642" s="12" t="s">
        <v>913</v>
      </c>
      <c r="E642" s="1">
        <v>-0.84734955466142603</v>
      </c>
      <c r="F642" s="1">
        <v>-2.3243838315507799</v>
      </c>
      <c r="G642">
        <f>VLOOKUP(C642,'[1]phenotypes-895'!$A$2:$G$896,7,FALSE)</f>
        <v>62</v>
      </c>
      <c r="H642" s="1">
        <v>2.4365570288492101E-2</v>
      </c>
      <c r="I642" s="1">
        <f>VLOOKUP(C642,'[1]phenotypes-895'!$A$2:$I$896,9,FALSE)</f>
        <v>0.86700831812415358</v>
      </c>
      <c r="J642" s="1"/>
      <c r="K642" s="4">
        <v>5.1616767710408711</v>
      </c>
      <c r="L642" s="1"/>
      <c r="M642" s="8">
        <v>1</v>
      </c>
      <c r="N642" s="1"/>
      <c r="O642" s="6">
        <v>1.1719999999999999</v>
      </c>
      <c r="P642" s="1"/>
      <c r="Q642" s="7">
        <v>0.05</v>
      </c>
    </row>
    <row r="643" spans="1:17" x14ac:dyDescent="0.2">
      <c r="A643">
        <v>530</v>
      </c>
      <c r="B643">
        <v>33</v>
      </c>
      <c r="C643" t="s">
        <v>529</v>
      </c>
      <c r="D643" s="13" t="s">
        <v>913</v>
      </c>
      <c r="E643" s="1">
        <v>-1.7897059291978601</v>
      </c>
      <c r="F643" s="1">
        <v>-2.3469078940897901</v>
      </c>
      <c r="G643">
        <f>VLOOKUP(C643,'[1]phenotypes-895'!$A$2:$G$896,7,FALSE)</f>
        <v>75</v>
      </c>
      <c r="H643" s="1">
        <v>2.9981532587955599E-2</v>
      </c>
      <c r="I643" s="1">
        <f>VLOOKUP(C643,'[1]phenotypes-895'!$A$2:$I$896,9,FALSE)</f>
        <v>0.48441107644156328</v>
      </c>
      <c r="J643" s="1"/>
      <c r="K643" s="4">
        <v>3.8915543535605401</v>
      </c>
      <c r="L643" s="1"/>
      <c r="M643" s="8">
        <v>1</v>
      </c>
      <c r="N643" s="1"/>
      <c r="O643">
        <v>0.95299999999999996</v>
      </c>
      <c r="P643" s="1"/>
      <c r="Q643" s="2">
        <v>-0.02</v>
      </c>
    </row>
    <row r="644" spans="1:17" x14ac:dyDescent="0.2">
      <c r="A644">
        <v>175</v>
      </c>
      <c r="B644">
        <v>30</v>
      </c>
      <c r="C644" t="s">
        <v>174</v>
      </c>
      <c r="D644" s="13" t="s">
        <v>913</v>
      </c>
      <c r="E644" s="1">
        <v>-1.2276866196271701</v>
      </c>
      <c r="F644" s="1">
        <v>-2.3670877423496499</v>
      </c>
      <c r="G644">
        <f>VLOOKUP(C644,'[1]phenotypes-895'!$A$2:$G$896,7,FALSE)</f>
        <v>75</v>
      </c>
      <c r="H644" s="1">
        <v>1.9378621485302502E-2</v>
      </c>
      <c r="I644" s="1">
        <f>VLOOKUP(C644,'[1]phenotypes-895'!$A$2:$I$896,9,FALSE)</f>
        <v>0.47689084862973963</v>
      </c>
      <c r="J644" s="1"/>
      <c r="K644" s="4">
        <v>3.9439952618455454</v>
      </c>
      <c r="L644" s="1"/>
      <c r="M644" s="8">
        <v>1</v>
      </c>
      <c r="N644" s="1"/>
      <c r="O644">
        <v>1.2929999999999999</v>
      </c>
      <c r="P644" s="1"/>
      <c r="Q644" s="2">
        <v>0.08</v>
      </c>
    </row>
    <row r="645" spans="1:17" x14ac:dyDescent="0.2">
      <c r="A645">
        <v>199</v>
      </c>
      <c r="B645">
        <v>3</v>
      </c>
      <c r="C645" t="s">
        <v>198</v>
      </c>
      <c r="D645" s="12" t="s">
        <v>913</v>
      </c>
      <c r="E645" s="1">
        <v>-0.258335863109731</v>
      </c>
      <c r="F645" s="1">
        <v>-2.3766914415186999</v>
      </c>
      <c r="G645">
        <f>VLOOKUP(C645,'[1]phenotypes-895'!$A$2:$G$896,7,FALSE)</f>
        <v>98</v>
      </c>
      <c r="H645" s="1">
        <v>2.0988541276094199E-2</v>
      </c>
      <c r="I645" s="1">
        <f>VLOOKUP(C645,'[1]phenotypes-895'!$A$2:$I$896,9,FALSE)</f>
        <v>0</v>
      </c>
      <c r="J645" s="1"/>
      <c r="K645" s="4">
        <v>0</v>
      </c>
      <c r="L645" s="1"/>
      <c r="M645" s="8">
        <v>0</v>
      </c>
      <c r="N645" s="1"/>
      <c r="O645" s="6">
        <v>1.0089999999999999</v>
      </c>
      <c r="P645" s="1"/>
      <c r="Q645" s="7">
        <v>0</v>
      </c>
    </row>
    <row r="646" spans="1:17" x14ac:dyDescent="0.2">
      <c r="A646">
        <v>40</v>
      </c>
      <c r="B646">
        <v>37</v>
      </c>
      <c r="C646" t="s">
        <v>39</v>
      </c>
      <c r="D646" s="13" t="s">
        <v>913</v>
      </c>
      <c r="E646" s="1">
        <v>-2.2069120290214199</v>
      </c>
      <c r="F646" s="1">
        <v>-2.3885133976938402</v>
      </c>
      <c r="G646">
        <f>VLOOKUP(C646,'[1]phenotypes-895'!$A$2:$G$896,7,FALSE)</f>
        <v>49</v>
      </c>
      <c r="H646" s="1">
        <v>5.95033018858213E-2</v>
      </c>
      <c r="I646" s="1">
        <f>VLOOKUP(C646,'[1]phenotypes-895'!$A$2:$I$896,9,FALSE)</f>
        <v>0.78039672242382041</v>
      </c>
      <c r="J646" s="1"/>
      <c r="K646" s="4">
        <v>3.9905399247692683</v>
      </c>
      <c r="L646" s="1"/>
      <c r="M646" s="8">
        <v>1</v>
      </c>
      <c r="N646" s="1"/>
      <c r="O646">
        <v>1.357</v>
      </c>
      <c r="P646" s="1"/>
      <c r="Q646" s="2">
        <v>0.1</v>
      </c>
    </row>
    <row r="647" spans="1:17" x14ac:dyDescent="0.2">
      <c r="A647">
        <v>16</v>
      </c>
      <c r="B647">
        <v>3</v>
      </c>
      <c r="C647" t="s">
        <v>15</v>
      </c>
      <c r="D647" s="12" t="s">
        <v>913</v>
      </c>
      <c r="E647" s="1">
        <v>-9.6051725952221001E-2</v>
      </c>
      <c r="F647" s="1">
        <v>-2.3904293538682899</v>
      </c>
      <c r="G647">
        <f>VLOOKUP(C647,'[1]phenotypes-895'!$A$2:$G$896,7,FALSE)</f>
        <v>98</v>
      </c>
      <c r="H647" s="1">
        <v>-1.7655459250449701E-2</v>
      </c>
      <c r="I647" s="1">
        <f>VLOOKUP(C647,'[1]phenotypes-895'!$A$2:$I$896,9,FALSE)</f>
        <v>0</v>
      </c>
      <c r="J647" s="1"/>
      <c r="K647" s="4">
        <v>0</v>
      </c>
      <c r="L647" s="1"/>
      <c r="M647" s="8">
        <v>0</v>
      </c>
      <c r="N647" s="1"/>
      <c r="O647" s="6">
        <v>0.995</v>
      </c>
      <c r="P647" s="1"/>
      <c r="Q647" s="7">
        <v>0</v>
      </c>
    </row>
    <row r="648" spans="1:17" x14ac:dyDescent="0.2">
      <c r="A648">
        <v>38</v>
      </c>
      <c r="B648">
        <v>43</v>
      </c>
      <c r="C648" t="s">
        <v>37</v>
      </c>
      <c r="D648" s="13" t="s">
        <v>912</v>
      </c>
      <c r="E648" s="1">
        <v>-3.57041745365499</v>
      </c>
      <c r="F648" s="1">
        <v>-2.39820695675111</v>
      </c>
      <c r="G648">
        <f>VLOOKUP(C648,'[1]phenotypes-895'!$A$2:$G$896,7,FALSE)</f>
        <v>70</v>
      </c>
      <c r="H648" s="1">
        <v>4.03002146303163E-2</v>
      </c>
      <c r="I648" s="1">
        <f>VLOOKUP(C648,'[1]phenotypes-895'!$A$2:$I$896,9,FALSE)</f>
        <v>0.39741946747110651</v>
      </c>
      <c r="J648" s="1"/>
      <c r="K648" s="4">
        <v>4.5104605840627938</v>
      </c>
      <c r="L648" s="1"/>
      <c r="M648" s="8">
        <v>1</v>
      </c>
      <c r="N648" s="1"/>
      <c r="O648">
        <v>0.63</v>
      </c>
      <c r="P648" s="1"/>
      <c r="Q648" s="2">
        <v>-0.16</v>
      </c>
    </row>
    <row r="649" spans="1:17" x14ac:dyDescent="0.2">
      <c r="A649">
        <v>371</v>
      </c>
      <c r="B649">
        <v>50</v>
      </c>
      <c r="C649" t="s">
        <v>370</v>
      </c>
      <c r="D649" s="13" t="s">
        <v>912</v>
      </c>
      <c r="E649" s="1">
        <v>-3.0197003293055098</v>
      </c>
      <c r="F649" s="1">
        <v>-2.4011630407880098</v>
      </c>
      <c r="G649">
        <f>VLOOKUP(C649,'[1]phenotypes-895'!$A$2:$G$896,7,FALSE)</f>
        <v>48</v>
      </c>
      <c r="H649" s="1">
        <v>6.9696223646490807E-2</v>
      </c>
      <c r="I649" s="1">
        <f>VLOOKUP(C649,'[1]phenotypes-895'!$A$2:$I$896,9,FALSE)</f>
        <v>0.86946343400805515</v>
      </c>
      <c r="J649" s="1"/>
      <c r="K649" s="4">
        <v>5.2471587080273023</v>
      </c>
      <c r="L649" s="1"/>
      <c r="M649" s="8">
        <v>1</v>
      </c>
      <c r="N649" s="1"/>
      <c r="O649">
        <v>0.82199999999999995</v>
      </c>
      <c r="P649" s="1"/>
      <c r="Q649" s="2">
        <v>-0.06</v>
      </c>
    </row>
    <row r="650" spans="1:17" x14ac:dyDescent="0.2">
      <c r="A650">
        <v>146</v>
      </c>
      <c r="B650">
        <v>9</v>
      </c>
      <c r="C650" t="s">
        <v>145</v>
      </c>
      <c r="D650" s="12" t="s">
        <v>912</v>
      </c>
      <c r="E650" s="1">
        <v>-2.9452871143074701</v>
      </c>
      <c r="F650" s="1">
        <v>-2.4046755963986501</v>
      </c>
      <c r="G650">
        <f>VLOOKUP(C650,'[1]phenotypes-895'!$A$2:$G$896,7,FALSE)</f>
        <v>54</v>
      </c>
      <c r="H650" s="1">
        <v>4.42954926548354E-2</v>
      </c>
      <c r="I650" s="1">
        <f>VLOOKUP(C650,'[1]phenotypes-895'!$A$2:$I$896,9,FALSE)</f>
        <v>0.7167894735979794</v>
      </c>
      <c r="J650" s="1"/>
      <c r="K650" s="4">
        <v>4.8715569138537838</v>
      </c>
      <c r="L650" s="1"/>
      <c r="M650" s="8">
        <v>1</v>
      </c>
      <c r="N650" s="1"/>
      <c r="O650" s="6">
        <v>1.004</v>
      </c>
      <c r="P650" s="1"/>
      <c r="Q650" s="7">
        <v>0</v>
      </c>
    </row>
    <row r="651" spans="1:17" x14ac:dyDescent="0.2">
      <c r="A651">
        <v>488</v>
      </c>
      <c r="B651">
        <v>46</v>
      </c>
      <c r="C651" t="s">
        <v>487</v>
      </c>
      <c r="D651" s="13" t="s">
        <v>912</v>
      </c>
      <c r="E651" s="1">
        <v>-1.4973091826291001</v>
      </c>
      <c r="F651" s="1">
        <v>-2.4603807199787102</v>
      </c>
      <c r="G651">
        <f>VLOOKUP(C651,'[1]phenotypes-895'!$A$2:$G$896,7,FALSE)</f>
        <v>69</v>
      </c>
      <c r="H651" s="1">
        <v>6.5972275926279899E-3</v>
      </c>
      <c r="I651" s="1">
        <f>VLOOKUP(C651,'[1]phenotypes-895'!$A$2:$I$896,9,FALSE)</f>
        <v>0.36462028121904733</v>
      </c>
      <c r="J651" s="1"/>
      <c r="K651" s="4">
        <v>4.7656890205493374</v>
      </c>
      <c r="L651" s="1"/>
      <c r="M651" s="8">
        <v>1</v>
      </c>
      <c r="N651" s="1"/>
      <c r="O651">
        <v>0.70399999999999996</v>
      </c>
      <c r="P651" s="1"/>
      <c r="Q651" s="2">
        <v>-0.12</v>
      </c>
    </row>
    <row r="652" spans="1:17" x14ac:dyDescent="0.2">
      <c r="A652">
        <v>509</v>
      </c>
      <c r="B652">
        <v>45</v>
      </c>
      <c r="C652" t="s">
        <v>508</v>
      </c>
      <c r="D652" s="13" t="s">
        <v>912</v>
      </c>
      <c r="E652" s="1">
        <v>-1.9189480040915201</v>
      </c>
      <c r="F652" s="1">
        <v>-2.4906391124415102</v>
      </c>
      <c r="G652">
        <f>VLOOKUP(C652,'[1]phenotypes-895'!$A$2:$G$896,7,FALSE)</f>
        <v>41</v>
      </c>
      <c r="H652" s="1">
        <v>1.9095035396803701E-2</v>
      </c>
      <c r="I652" s="1">
        <f>VLOOKUP(C652,'[1]phenotypes-895'!$A$2:$I$896,9,FALSE)</f>
        <v>0.72293106256798434</v>
      </c>
      <c r="J652" s="1"/>
      <c r="K652" s="4">
        <v>4.4405979425280115</v>
      </c>
      <c r="L652" s="1"/>
      <c r="M652" s="8">
        <v>1</v>
      </c>
      <c r="N652" s="1"/>
      <c r="O652">
        <v>0.90800000000000003</v>
      </c>
      <c r="P652" s="1"/>
      <c r="Q652" s="2">
        <v>-0.03</v>
      </c>
    </row>
    <row r="653" spans="1:17" x14ac:dyDescent="0.2">
      <c r="A653">
        <v>329</v>
      </c>
      <c r="B653">
        <v>13</v>
      </c>
      <c r="C653" t="s">
        <v>328</v>
      </c>
      <c r="D653" s="12" t="s">
        <v>912</v>
      </c>
      <c r="E653" s="1">
        <v>-3.0115893570366699</v>
      </c>
      <c r="F653" s="1">
        <v>-2.4968712697222299</v>
      </c>
      <c r="G653">
        <f>VLOOKUP(C653,'[1]phenotypes-895'!$A$2:$G$896,7,FALSE)</f>
        <v>98</v>
      </c>
      <c r="H653" s="1">
        <v>5.47690828332228E-2</v>
      </c>
      <c r="I653" s="1">
        <f>VLOOKUP(C653,'[1]phenotypes-895'!$A$2:$I$896,9,FALSE)</f>
        <v>0</v>
      </c>
      <c r="J653" s="1"/>
      <c r="K653" s="4">
        <v>0</v>
      </c>
      <c r="L653" s="1"/>
      <c r="M653" s="8">
        <v>0</v>
      </c>
      <c r="N653" s="1"/>
      <c r="O653" s="6">
        <v>0.91500000000000004</v>
      </c>
      <c r="P653" s="1"/>
      <c r="Q653" s="7">
        <v>-0.03</v>
      </c>
    </row>
    <row r="654" spans="1:17" x14ac:dyDescent="0.2">
      <c r="A654">
        <v>316</v>
      </c>
      <c r="B654">
        <v>40</v>
      </c>
      <c r="C654" t="s">
        <v>315</v>
      </c>
      <c r="D654" s="13" t="s">
        <v>913</v>
      </c>
      <c r="E654" s="1">
        <v>-1.89391836588534</v>
      </c>
      <c r="F654" s="1">
        <v>-2.50281268174647</v>
      </c>
      <c r="G654">
        <f>VLOOKUP(C654,'[1]phenotypes-895'!$A$2:$G$896,7,FALSE)</f>
        <v>68</v>
      </c>
      <c r="H654" s="1">
        <v>6.8034817520591498E-2</v>
      </c>
      <c r="I654" s="1">
        <f>VLOOKUP(C654,'[1]phenotypes-895'!$A$2:$I$896,9,FALSE)</f>
        <v>0.50289665903625924</v>
      </c>
      <c r="J654" s="1"/>
      <c r="K654" s="4">
        <v>4.1721439288774667</v>
      </c>
      <c r="L654" s="1"/>
      <c r="M654" s="8">
        <v>1</v>
      </c>
      <c r="N654" s="1"/>
      <c r="O654">
        <v>1.117</v>
      </c>
      <c r="P654" s="1"/>
      <c r="Q654" s="2">
        <v>0.03</v>
      </c>
    </row>
    <row r="655" spans="1:17" x14ac:dyDescent="0.2">
      <c r="A655">
        <v>370</v>
      </c>
      <c r="B655">
        <v>46</v>
      </c>
      <c r="C655" t="s">
        <v>369</v>
      </c>
      <c r="D655" s="13" t="s">
        <v>912</v>
      </c>
      <c r="E655" s="1">
        <v>-1.19671149871977</v>
      </c>
      <c r="F655" s="1">
        <v>-2.5291863562197001</v>
      </c>
      <c r="G655">
        <f>VLOOKUP(C655,'[1]phenotypes-895'!$A$2:$G$896,7,FALSE)</f>
        <v>62</v>
      </c>
      <c r="H655" s="1">
        <v>1.92195650695022E-2</v>
      </c>
      <c r="I655" s="1">
        <f>VLOOKUP(C655,'[1]phenotypes-895'!$A$2:$I$896,9,FALSE)</f>
        <v>0.50024925095262962</v>
      </c>
      <c r="J655" s="1"/>
      <c r="K655" s="4">
        <v>4.4675363746730499</v>
      </c>
      <c r="L655" s="1"/>
      <c r="M655" s="8">
        <v>1</v>
      </c>
      <c r="N655" s="1"/>
      <c r="O655">
        <v>0.878</v>
      </c>
      <c r="P655" s="1"/>
      <c r="Q655" s="2">
        <v>-0.04</v>
      </c>
    </row>
    <row r="656" spans="1:17" x14ac:dyDescent="0.2">
      <c r="A656">
        <v>580</v>
      </c>
      <c r="B656">
        <v>34</v>
      </c>
      <c r="C656" t="s">
        <v>579</v>
      </c>
      <c r="D656" s="13" t="s">
        <v>913</v>
      </c>
      <c r="E656" s="1">
        <v>-1.74148723551767</v>
      </c>
      <c r="F656" s="1">
        <v>-2.5370793186577498</v>
      </c>
      <c r="G656">
        <f>VLOOKUP(C656,'[1]phenotypes-895'!$A$2:$G$896,7,FALSE)</f>
        <v>58</v>
      </c>
      <c r="H656" s="1">
        <v>3.6776537887901403E-2</v>
      </c>
      <c r="I656" s="1">
        <f>VLOOKUP(C656,'[1]phenotypes-895'!$A$2:$I$896,9,FALSE)</f>
        <v>0.53331329487497015</v>
      </c>
      <c r="J656" s="1"/>
      <c r="K656" s="4">
        <v>4.4835328467893261</v>
      </c>
      <c r="L656" s="1"/>
      <c r="M656" s="8">
        <v>1</v>
      </c>
      <c r="N656" s="1"/>
      <c r="O656">
        <v>1.105</v>
      </c>
      <c r="P656" s="1"/>
      <c r="Q656" s="2">
        <v>0.03</v>
      </c>
    </row>
    <row r="657" spans="1:17" x14ac:dyDescent="0.2">
      <c r="A657">
        <v>724</v>
      </c>
      <c r="B657">
        <v>50</v>
      </c>
      <c r="C657" t="s">
        <v>723</v>
      </c>
      <c r="D657" s="13" t="s">
        <v>912</v>
      </c>
      <c r="E657" s="1">
        <v>-4.3210757909220598</v>
      </c>
      <c r="F657" s="1">
        <v>-2.57547298610866</v>
      </c>
      <c r="G657">
        <f>VLOOKUP(C657,'[1]phenotypes-895'!$A$2:$G$896,7,FALSE)</f>
        <v>63</v>
      </c>
      <c r="H657" s="1">
        <v>6.3825919651794294E-2</v>
      </c>
      <c r="I657" s="1">
        <f>VLOOKUP(C657,'[1]phenotypes-895'!$A$2:$I$896,9,FALSE)</f>
        <v>0.6093658609846706</v>
      </c>
      <c r="J657" s="1"/>
      <c r="K657" s="4">
        <v>5.1534306941687147</v>
      </c>
      <c r="L657" s="1"/>
      <c r="M657" s="8">
        <v>1</v>
      </c>
      <c r="N657" s="1"/>
      <c r="O657">
        <v>0.56899999999999995</v>
      </c>
      <c r="P657" s="1"/>
      <c r="Q657" s="2">
        <v>-0.19</v>
      </c>
    </row>
    <row r="658" spans="1:17" x14ac:dyDescent="0.2">
      <c r="A658">
        <v>780</v>
      </c>
      <c r="B658">
        <v>35</v>
      </c>
      <c r="C658" t="s">
        <v>779</v>
      </c>
      <c r="D658" s="13" t="s">
        <v>913</v>
      </c>
      <c r="E658" s="1">
        <v>-0.26069079230344</v>
      </c>
      <c r="F658" s="1">
        <v>-2.5926047423745802</v>
      </c>
      <c r="G658">
        <f>VLOOKUP(C658,'[1]phenotypes-895'!$A$2:$G$896,7,FALSE)</f>
        <v>98</v>
      </c>
      <c r="H658" s="1">
        <v>-8.5142637928691308E-3</v>
      </c>
      <c r="I658" s="1">
        <f>VLOOKUP(C658,'[1]phenotypes-895'!$A$2:$I$896,9,FALSE)</f>
        <v>0</v>
      </c>
      <c r="J658" s="1"/>
      <c r="K658" s="4">
        <v>0</v>
      </c>
      <c r="L658" s="1"/>
      <c r="M658" s="8">
        <v>0</v>
      </c>
      <c r="N658" s="1"/>
      <c r="O658">
        <v>0.89700000000000002</v>
      </c>
      <c r="P658" s="1"/>
      <c r="Q658" s="2">
        <v>-0.03</v>
      </c>
    </row>
    <row r="659" spans="1:17" x14ac:dyDescent="0.2">
      <c r="A659">
        <v>248</v>
      </c>
      <c r="B659">
        <v>10</v>
      </c>
      <c r="C659" t="s">
        <v>247</v>
      </c>
      <c r="D659" s="12" t="s">
        <v>912</v>
      </c>
      <c r="E659" s="1">
        <v>-3.4676978964314999</v>
      </c>
      <c r="F659" s="1">
        <v>-2.6130933831425001</v>
      </c>
      <c r="G659">
        <f>VLOOKUP(C659,'[1]phenotypes-895'!$A$2:$G$896,7,FALSE)</f>
        <v>98</v>
      </c>
      <c r="H659" s="1">
        <v>3.1295098325503597E-2</v>
      </c>
      <c r="I659" s="1">
        <f>VLOOKUP(C659,'[1]phenotypes-895'!$A$2:$I$896,9,FALSE)</f>
        <v>0</v>
      </c>
      <c r="J659" s="1"/>
      <c r="K659" s="4">
        <v>0</v>
      </c>
      <c r="L659" s="1"/>
      <c r="M659" s="8">
        <v>0</v>
      </c>
      <c r="N659" s="1"/>
      <c r="O659" s="6">
        <v>1.0069999999999999</v>
      </c>
      <c r="P659" s="1"/>
      <c r="Q659" s="7">
        <v>0</v>
      </c>
    </row>
    <row r="660" spans="1:17" x14ac:dyDescent="0.2">
      <c r="A660">
        <v>303</v>
      </c>
      <c r="B660">
        <v>34</v>
      </c>
      <c r="C660" t="s">
        <v>302</v>
      </c>
      <c r="D660" s="13" t="s">
        <v>913</v>
      </c>
      <c r="E660" s="1">
        <v>-2.1166594755964399</v>
      </c>
      <c r="F660" s="1">
        <v>-2.6780442285758701</v>
      </c>
      <c r="G660">
        <f>VLOOKUP(C660,'[1]phenotypes-895'!$A$2:$G$896,7,FALSE)</f>
        <v>68</v>
      </c>
      <c r="H660" s="1">
        <v>2.7660143725635598E-2</v>
      </c>
      <c r="I660" s="1">
        <f>VLOOKUP(C660,'[1]phenotypes-895'!$A$2:$I$896,9,FALSE)</f>
        <v>0.41632482500624518</v>
      </c>
      <c r="J660" s="1"/>
      <c r="K660" s="4">
        <v>4.5073183398638648</v>
      </c>
      <c r="L660" s="1"/>
      <c r="M660" s="8">
        <v>1</v>
      </c>
      <c r="N660" s="1"/>
      <c r="O660">
        <v>0.94</v>
      </c>
      <c r="P660" s="1"/>
      <c r="Q660" s="2">
        <v>-0.02</v>
      </c>
    </row>
    <row r="661" spans="1:17" x14ac:dyDescent="0.2">
      <c r="A661">
        <v>285</v>
      </c>
      <c r="B661">
        <v>6</v>
      </c>
      <c r="C661" t="s">
        <v>284</v>
      </c>
      <c r="D661" s="12" t="s">
        <v>913</v>
      </c>
      <c r="E661" s="1">
        <v>-0.25425496495901001</v>
      </c>
      <c r="F661" s="1">
        <v>-2.7055822543703099</v>
      </c>
      <c r="G661">
        <f>VLOOKUP(C661,'[1]phenotypes-895'!$A$2:$G$896,7,FALSE)</f>
        <v>98</v>
      </c>
      <c r="H661" s="1">
        <v>3.6610715737286803E-2</v>
      </c>
      <c r="I661" s="1">
        <f>VLOOKUP(C661,'[1]phenotypes-895'!$A$2:$I$896,9,FALSE)</f>
        <v>0.30411630405400403</v>
      </c>
      <c r="J661" s="1"/>
      <c r="K661" s="4">
        <v>4.3522292073083317</v>
      </c>
      <c r="L661" s="1"/>
      <c r="M661" s="8">
        <v>1</v>
      </c>
      <c r="N661" s="1"/>
      <c r="O661" s="6">
        <v>0.93100000000000005</v>
      </c>
      <c r="P661" s="1"/>
      <c r="Q661" s="7">
        <v>-0.02</v>
      </c>
    </row>
    <row r="662" spans="1:17" x14ac:dyDescent="0.2">
      <c r="A662">
        <v>219</v>
      </c>
      <c r="B662">
        <v>1</v>
      </c>
      <c r="C662" t="s">
        <v>218</v>
      </c>
      <c r="D662" s="12" t="s">
        <v>913</v>
      </c>
      <c r="E662" s="1">
        <v>-1.5384256887422201</v>
      </c>
      <c r="F662" s="1">
        <v>-2.7376342025459302</v>
      </c>
      <c r="G662">
        <f>VLOOKUP(C662,'[1]phenotypes-895'!$A$2:$G$896,7,FALSE)</f>
        <v>98</v>
      </c>
      <c r="H662" s="1">
        <v>1.43006631349433E-2</v>
      </c>
      <c r="I662" s="1">
        <f>VLOOKUP(C662,'[1]phenotypes-895'!$A$2:$I$896,9,FALSE)</f>
        <v>0</v>
      </c>
      <c r="J662" s="1"/>
      <c r="K662" s="4">
        <v>0</v>
      </c>
      <c r="L662" s="1"/>
      <c r="M662" s="8">
        <v>0</v>
      </c>
      <c r="N662" s="1"/>
      <c r="O662" s="6">
        <v>1.054</v>
      </c>
      <c r="P662" s="1"/>
      <c r="Q662" s="7">
        <v>0.02</v>
      </c>
    </row>
    <row r="663" spans="1:17" x14ac:dyDescent="0.2">
      <c r="A663">
        <v>482</v>
      </c>
      <c r="B663">
        <v>50</v>
      </c>
      <c r="C663" t="s">
        <v>481</v>
      </c>
      <c r="D663" s="13" t="s">
        <v>912</v>
      </c>
      <c r="E663" s="1">
        <v>-0.95820393342856403</v>
      </c>
      <c r="F663" s="1">
        <v>-2.7380582858679401</v>
      </c>
      <c r="G663">
        <f>VLOOKUP(C663,'[1]phenotypes-895'!$A$2:$G$896,7,FALSE)</f>
        <v>82</v>
      </c>
      <c r="H663" s="1">
        <v>9.1972854176506601E-3</v>
      </c>
      <c r="I663" s="1">
        <f>VLOOKUP(C663,'[1]phenotypes-895'!$A$2:$I$896,9,FALSE)</f>
        <v>0.23711824840899359</v>
      </c>
      <c r="J663" s="1"/>
      <c r="K663" s="4">
        <v>3.9668528367230382</v>
      </c>
      <c r="L663" s="1"/>
      <c r="M663" s="8">
        <v>1</v>
      </c>
      <c r="N663" s="1"/>
      <c r="O663">
        <v>0.70899999999999996</v>
      </c>
      <c r="P663" s="1"/>
      <c r="Q663" s="2">
        <v>-0.11</v>
      </c>
    </row>
    <row r="664" spans="1:17" x14ac:dyDescent="0.2">
      <c r="A664">
        <v>164</v>
      </c>
      <c r="B664">
        <v>6</v>
      </c>
      <c r="C664" t="s">
        <v>163</v>
      </c>
      <c r="D664" s="12" t="s">
        <v>913</v>
      </c>
      <c r="E664" s="1">
        <v>-1.0717396353150701</v>
      </c>
      <c r="F664" s="1">
        <v>-2.7768677916866902</v>
      </c>
      <c r="G664">
        <f>VLOOKUP(C664,'[1]phenotypes-895'!$A$2:$G$896,7,FALSE)</f>
        <v>58</v>
      </c>
      <c r="H664" s="1">
        <v>3.0150967961237299E-2</v>
      </c>
      <c r="I664" s="1">
        <f>VLOOKUP(C664,'[1]phenotypes-895'!$A$2:$I$896,9,FALSE)</f>
        <v>0.63239517286135161</v>
      </c>
      <c r="J664" s="1"/>
      <c r="K664" s="4">
        <v>4.8511190199800405</v>
      </c>
      <c r="L664" s="1"/>
      <c r="M664" s="8">
        <v>1</v>
      </c>
      <c r="N664" s="1"/>
      <c r="O664" s="6">
        <v>0.78400000000000003</v>
      </c>
      <c r="P664" s="1"/>
      <c r="Q664" s="7">
        <v>-0.08</v>
      </c>
    </row>
    <row r="665" spans="1:17" x14ac:dyDescent="0.2">
      <c r="A665">
        <v>132</v>
      </c>
      <c r="B665">
        <v>34</v>
      </c>
      <c r="C665" t="s">
        <v>131</v>
      </c>
      <c r="D665" s="13" t="s">
        <v>913</v>
      </c>
      <c r="E665" s="1">
        <v>-2.9754545497269</v>
      </c>
      <c r="F665" s="1">
        <v>-2.8063480346948899</v>
      </c>
      <c r="G665">
        <f>VLOOKUP(C665,'[1]phenotypes-895'!$A$2:$G$896,7,FALSE)</f>
        <v>70</v>
      </c>
      <c r="H665" s="1">
        <v>5.1035469286936599E-2</v>
      </c>
      <c r="I665" s="1">
        <f>VLOOKUP(C665,'[1]phenotypes-895'!$A$2:$I$896,9,FALSE)</f>
        <v>0.43577124260130368</v>
      </c>
      <c r="J665" s="1"/>
      <c r="K665" s="4">
        <v>3.6392742787385663</v>
      </c>
      <c r="L665" s="1"/>
      <c r="M665" s="8">
        <v>1</v>
      </c>
      <c r="N665" s="1"/>
      <c r="O665">
        <v>0.90600000000000003</v>
      </c>
      <c r="P665" s="1"/>
      <c r="Q665" s="2">
        <v>-0.03</v>
      </c>
    </row>
    <row r="666" spans="1:17" x14ac:dyDescent="0.2">
      <c r="A666">
        <v>319</v>
      </c>
      <c r="B666">
        <v>3</v>
      </c>
      <c r="C666" t="s">
        <v>318</v>
      </c>
      <c r="D666" s="12" t="s">
        <v>913</v>
      </c>
      <c r="E666" s="1">
        <v>-0.223307567508506</v>
      </c>
      <c r="F666" s="1">
        <v>-2.8444793129886499</v>
      </c>
      <c r="G666">
        <f>VLOOKUP(C666,'[1]phenotypes-895'!$A$2:$G$896,7,FALSE)</f>
        <v>64</v>
      </c>
      <c r="H666" s="1">
        <v>9.6599947233779598E-3</v>
      </c>
      <c r="I666" s="1">
        <f>VLOOKUP(C666,'[1]phenotypes-895'!$A$2:$I$896,9,FALSE)</f>
        <v>0.74614334795276205</v>
      </c>
      <c r="J666" s="1"/>
      <c r="K666" s="4">
        <v>5.0291809438760975</v>
      </c>
      <c r="L666" s="1"/>
      <c r="M666" s="8">
        <v>1</v>
      </c>
      <c r="N666" s="1"/>
      <c r="O666" s="6">
        <v>0.86099999999999999</v>
      </c>
      <c r="P666" s="1"/>
      <c r="Q666" s="7">
        <v>-0.05</v>
      </c>
    </row>
    <row r="667" spans="1:17" x14ac:dyDescent="0.2">
      <c r="A667">
        <v>521</v>
      </c>
      <c r="B667">
        <v>21</v>
      </c>
      <c r="C667" t="s">
        <v>520</v>
      </c>
      <c r="D667" s="13" t="s">
        <v>913</v>
      </c>
      <c r="E667" s="1">
        <v>-1.31198832078897</v>
      </c>
      <c r="F667" s="1">
        <v>-2.85762769764515</v>
      </c>
      <c r="G667">
        <f>VLOOKUP(C667,'[1]phenotypes-895'!$A$2:$G$896,7,FALSE)</f>
        <v>49</v>
      </c>
      <c r="H667" s="1">
        <v>2.2175812360920501E-2</v>
      </c>
      <c r="I667" s="1">
        <f>VLOOKUP(C667,'[1]phenotypes-895'!$A$2:$I$896,9,FALSE)</f>
        <v>0.87375047620571211</v>
      </c>
      <c r="J667" s="1"/>
      <c r="K667" s="4">
        <v>4.2190362854280306</v>
      </c>
      <c r="L667" s="1"/>
      <c r="M667" s="8">
        <v>1</v>
      </c>
      <c r="N667" s="1"/>
      <c r="O667">
        <v>1.089</v>
      </c>
      <c r="P667" s="1"/>
      <c r="Q667" s="2">
        <v>0.03</v>
      </c>
    </row>
    <row r="668" spans="1:17" x14ac:dyDescent="0.2">
      <c r="A668">
        <v>140</v>
      </c>
      <c r="B668">
        <v>16</v>
      </c>
      <c r="C668" t="s">
        <v>139</v>
      </c>
      <c r="D668" s="12" t="s">
        <v>912</v>
      </c>
      <c r="E668" s="1">
        <v>-2.9211985578497801</v>
      </c>
      <c r="F668" s="1">
        <v>-2.87792182618937</v>
      </c>
      <c r="G668">
        <f>VLOOKUP(C668,'[1]phenotypes-895'!$A$2:$G$896,7,FALSE)</f>
        <v>49</v>
      </c>
      <c r="H668" s="1">
        <v>-2.0411582204179098E-2</v>
      </c>
      <c r="I668" s="1">
        <f>VLOOKUP(C668,'[1]phenotypes-895'!$A$2:$I$896,9,FALSE)</f>
        <v>0.22744885067149409</v>
      </c>
      <c r="J668" s="1"/>
      <c r="K668" s="4">
        <v>3.4931629291151629</v>
      </c>
      <c r="L668" s="1"/>
      <c r="M668" s="8">
        <v>1</v>
      </c>
      <c r="N668" s="1"/>
      <c r="O668" s="6">
        <v>0.83199999999999996</v>
      </c>
      <c r="P668" s="1"/>
      <c r="Q668" s="7">
        <v>-0.06</v>
      </c>
    </row>
    <row r="669" spans="1:17" x14ac:dyDescent="0.2">
      <c r="A669">
        <v>137</v>
      </c>
      <c r="B669">
        <v>13</v>
      </c>
      <c r="C669" t="s">
        <v>136</v>
      </c>
      <c r="D669" s="12" t="s">
        <v>912</v>
      </c>
      <c r="E669" s="1">
        <v>-3.5451219725166601</v>
      </c>
      <c r="F669" s="1">
        <v>-2.88022898351648</v>
      </c>
      <c r="G669">
        <f>VLOOKUP(C669,'[1]phenotypes-895'!$A$2:$G$896,7,FALSE)</f>
        <v>60</v>
      </c>
      <c r="H669" s="1">
        <v>8.4022965776126904E-2</v>
      </c>
      <c r="I669" s="1">
        <f>VLOOKUP(C669,'[1]phenotypes-895'!$A$2:$I$896,9,FALSE)</f>
        <v>0.66913082243754884</v>
      </c>
      <c r="J669" s="1"/>
      <c r="K669" s="4">
        <v>4.568772272217255</v>
      </c>
      <c r="L669" s="1"/>
      <c r="M669" s="8">
        <v>1</v>
      </c>
      <c r="N669" s="1"/>
      <c r="O669" s="6">
        <v>0.83799999999999997</v>
      </c>
      <c r="P669" s="1"/>
      <c r="Q669" s="7">
        <v>-0.06</v>
      </c>
    </row>
    <row r="670" spans="1:17" x14ac:dyDescent="0.2">
      <c r="A670">
        <v>30</v>
      </c>
      <c r="B670">
        <v>24</v>
      </c>
      <c r="C670" t="s">
        <v>29</v>
      </c>
      <c r="D670" s="13" t="s">
        <v>913</v>
      </c>
      <c r="E670" s="1">
        <v>-1.04975465270158</v>
      </c>
      <c r="F670" s="1">
        <v>-2.9114954666219202</v>
      </c>
      <c r="G670">
        <f>VLOOKUP(C670,'[1]phenotypes-895'!$A$2:$G$896,7,FALSE)</f>
        <v>76</v>
      </c>
      <c r="H670" s="1">
        <v>1.8493187224766301E-2</v>
      </c>
      <c r="I670" s="1">
        <f>VLOOKUP(C670,'[1]phenotypes-895'!$A$2:$I$896,9,FALSE)</f>
        <v>0.48278121633469118</v>
      </c>
      <c r="J670" s="1"/>
      <c r="K670" s="4">
        <v>3.8096226792473638</v>
      </c>
      <c r="L670" s="1"/>
      <c r="M670" s="8">
        <v>1</v>
      </c>
      <c r="N670" s="1"/>
      <c r="O670">
        <v>1.0920000000000001</v>
      </c>
      <c r="P670" s="1"/>
      <c r="Q670" s="2">
        <v>0.03</v>
      </c>
    </row>
    <row r="671" spans="1:17" x14ac:dyDescent="0.2">
      <c r="A671">
        <v>136</v>
      </c>
      <c r="B671">
        <v>3</v>
      </c>
      <c r="C671" t="s">
        <v>135</v>
      </c>
      <c r="D671" s="12" t="s">
        <v>913</v>
      </c>
      <c r="E671" s="1">
        <v>-0.60033561594832596</v>
      </c>
      <c r="F671" s="1">
        <v>-3.04839773471355</v>
      </c>
      <c r="G671">
        <f>VLOOKUP(C671,'[1]phenotypes-895'!$A$2:$G$896,7,FALSE)</f>
        <v>98</v>
      </c>
      <c r="H671" s="1">
        <v>-1.90196632134376E-2</v>
      </c>
      <c r="I671" s="1">
        <f>VLOOKUP(C671,'[1]phenotypes-895'!$A$2:$I$896,9,FALSE)</f>
        <v>0</v>
      </c>
      <c r="J671" s="1"/>
      <c r="K671" s="4">
        <v>0</v>
      </c>
      <c r="L671" s="1"/>
      <c r="M671" s="8">
        <v>0</v>
      </c>
      <c r="N671" s="1"/>
      <c r="O671" s="6">
        <v>0.96299999999999997</v>
      </c>
      <c r="P671" s="1"/>
      <c r="Q671" s="7">
        <v>-0.01</v>
      </c>
    </row>
    <row r="672" spans="1:17" x14ac:dyDescent="0.2">
      <c r="A672">
        <v>262</v>
      </c>
      <c r="B672">
        <v>14</v>
      </c>
      <c r="C672" t="s">
        <v>261</v>
      </c>
      <c r="D672" s="12" t="s">
        <v>912</v>
      </c>
      <c r="E672" s="1">
        <v>-1.9929836003093999</v>
      </c>
      <c r="F672" s="1">
        <v>-3.06053126746</v>
      </c>
      <c r="G672">
        <f>VLOOKUP(C672,'[1]phenotypes-895'!$A$2:$G$896,7,FALSE)</f>
        <v>63</v>
      </c>
      <c r="H672" s="1">
        <v>5.8022338777829502E-2</v>
      </c>
      <c r="I672" s="1">
        <f>VLOOKUP(C672,'[1]phenotypes-895'!$A$2:$I$896,9,FALSE)</f>
        <v>0.50788005342434228</v>
      </c>
      <c r="J672" s="1"/>
      <c r="K672" s="4">
        <v>4.3315543077287018</v>
      </c>
      <c r="L672" s="1"/>
      <c r="M672" s="8">
        <v>1</v>
      </c>
      <c r="N672" s="1"/>
      <c r="O672" s="6">
        <v>1.0349999999999999</v>
      </c>
      <c r="P672" s="1"/>
      <c r="Q672" s="7">
        <v>0.01</v>
      </c>
    </row>
    <row r="673" spans="1:17" x14ac:dyDescent="0.2">
      <c r="A673">
        <v>810</v>
      </c>
      <c r="B673">
        <v>24</v>
      </c>
      <c r="C673" t="s">
        <v>809</v>
      </c>
      <c r="D673" s="13" t="s">
        <v>913</v>
      </c>
      <c r="E673" s="1">
        <v>-1.94932063741426</v>
      </c>
      <c r="F673" s="1">
        <v>-3.0875857129276301</v>
      </c>
      <c r="G673">
        <f>VLOOKUP(C673,'[1]phenotypes-895'!$A$2:$G$896,7,FALSE)</f>
        <v>98</v>
      </c>
      <c r="H673" s="1">
        <v>-3.0077989641801601E-2</v>
      </c>
      <c r="I673" s="1">
        <f>VLOOKUP(C673,'[1]phenotypes-895'!$A$2:$I$896,9,FALSE)</f>
        <v>0</v>
      </c>
      <c r="J673" s="1"/>
      <c r="K673" s="4">
        <v>0</v>
      </c>
      <c r="L673" s="1"/>
      <c r="M673" s="8">
        <v>0</v>
      </c>
      <c r="N673" s="1"/>
      <c r="O673">
        <v>1.042</v>
      </c>
      <c r="P673" s="1"/>
      <c r="Q673" s="2">
        <v>0.01</v>
      </c>
    </row>
    <row r="674" spans="1:17" x14ac:dyDescent="0.2">
      <c r="A674">
        <v>247</v>
      </c>
      <c r="B674">
        <v>1</v>
      </c>
      <c r="C674" t="s">
        <v>246</v>
      </c>
      <c r="D674" s="12" t="s">
        <v>913</v>
      </c>
      <c r="E674" s="1">
        <v>-1.6927653365892501</v>
      </c>
      <c r="F674" s="1">
        <v>-3.14430167812914</v>
      </c>
      <c r="G674">
        <f>VLOOKUP(C674,'[1]phenotypes-895'!$A$2:$G$896,7,FALSE)</f>
        <v>98</v>
      </c>
      <c r="H674" s="1">
        <v>3.40990785453784E-2</v>
      </c>
      <c r="I674" s="1">
        <f>VLOOKUP(C674,'[1]phenotypes-895'!$A$2:$I$896,9,FALSE)</f>
        <v>0</v>
      </c>
      <c r="J674" s="1"/>
      <c r="K674" s="4">
        <v>0</v>
      </c>
      <c r="L674" s="1"/>
      <c r="M674" s="8">
        <v>0</v>
      </c>
      <c r="N674" s="1"/>
      <c r="O674" s="6">
        <v>1.071</v>
      </c>
      <c r="P674" s="1"/>
      <c r="Q674" s="7">
        <v>0.02</v>
      </c>
    </row>
    <row r="675" spans="1:17" x14ac:dyDescent="0.2">
      <c r="A675">
        <v>500</v>
      </c>
      <c r="B675">
        <v>36</v>
      </c>
      <c r="C675" t="s">
        <v>499</v>
      </c>
      <c r="D675" s="13" t="s">
        <v>913</v>
      </c>
      <c r="E675" s="1">
        <v>-4.2718752151044903</v>
      </c>
      <c r="F675" s="1">
        <v>-3.1475682028977698</v>
      </c>
      <c r="G675">
        <f>VLOOKUP(C675,'[1]phenotypes-895'!$A$2:$G$896,7,FALSE)</f>
        <v>55</v>
      </c>
      <c r="H675" s="1">
        <v>7.6245065969672399E-2</v>
      </c>
      <c r="I675" s="1">
        <f>VLOOKUP(C675,'[1]phenotypes-895'!$A$2:$I$896,9,FALSE)</f>
        <v>0.67558723381326735</v>
      </c>
      <c r="J675" s="1"/>
      <c r="K675" s="4">
        <v>4.5313988730847425</v>
      </c>
      <c r="L675" s="1"/>
      <c r="M675" s="8">
        <v>1</v>
      </c>
      <c r="N675" s="1"/>
      <c r="O675">
        <v>0.68</v>
      </c>
      <c r="P675" s="1"/>
      <c r="Q675" s="2">
        <v>-0.12</v>
      </c>
    </row>
    <row r="676" spans="1:17" x14ac:dyDescent="0.2">
      <c r="A676">
        <v>685</v>
      </c>
      <c r="B676">
        <v>30</v>
      </c>
      <c r="C676" t="s">
        <v>684</v>
      </c>
      <c r="D676" s="13" t="s">
        <v>913</v>
      </c>
      <c r="E676" s="1">
        <v>-1.3269915684682501</v>
      </c>
      <c r="F676" s="1">
        <v>-3.1531975925334699</v>
      </c>
      <c r="G676">
        <f>VLOOKUP(C676,'[1]phenotypes-895'!$A$2:$G$896,7,FALSE)</f>
        <v>51</v>
      </c>
      <c r="H676" s="1">
        <v>2.06972764186505E-2</v>
      </c>
      <c r="I676" s="1">
        <f>VLOOKUP(C676,'[1]phenotypes-895'!$A$2:$I$896,9,FALSE)</f>
        <v>0.68293620221968598</v>
      </c>
      <c r="J676" s="1"/>
      <c r="K676" s="4">
        <v>3.6943614828905318</v>
      </c>
      <c r="L676" s="1"/>
      <c r="M676" s="8">
        <v>1</v>
      </c>
      <c r="N676" s="1"/>
      <c r="O676">
        <v>1.2150000000000001</v>
      </c>
      <c r="P676" s="1"/>
      <c r="Q676" s="2">
        <v>0.06</v>
      </c>
    </row>
    <row r="677" spans="1:17" x14ac:dyDescent="0.2">
      <c r="A677">
        <v>249</v>
      </c>
      <c r="B677">
        <v>10</v>
      </c>
      <c r="C677" t="s">
        <v>248</v>
      </c>
      <c r="D677" s="12" t="s">
        <v>912</v>
      </c>
      <c r="E677" s="1">
        <v>-2.0859437336386999</v>
      </c>
      <c r="F677" s="1">
        <v>-3.1664006659599102</v>
      </c>
      <c r="G677">
        <f>VLOOKUP(C677,'[1]phenotypes-895'!$A$2:$G$896,7,FALSE)</f>
        <v>56</v>
      </c>
      <c r="H677" s="1">
        <v>5.4174473980860102E-2</v>
      </c>
      <c r="I677" s="1">
        <f>VLOOKUP(C677,'[1]phenotypes-895'!$A$2:$I$896,9,FALSE)</f>
        <v>0.68766411038741349</v>
      </c>
      <c r="J677" s="1"/>
      <c r="K677" s="4">
        <v>3.6842582176836181</v>
      </c>
      <c r="L677" s="1"/>
      <c r="M677" s="8">
        <v>1</v>
      </c>
      <c r="N677" s="1"/>
      <c r="O677" s="6">
        <v>0.86199999999999999</v>
      </c>
      <c r="P677" s="1"/>
      <c r="Q677" s="7">
        <v>-0.05</v>
      </c>
    </row>
    <row r="678" spans="1:17" x14ac:dyDescent="0.2">
      <c r="A678">
        <v>41</v>
      </c>
      <c r="B678">
        <v>6</v>
      </c>
      <c r="C678" t="s">
        <v>40</v>
      </c>
      <c r="D678" s="12" t="s">
        <v>913</v>
      </c>
      <c r="E678" s="1">
        <v>-0.920669611496577</v>
      </c>
      <c r="F678" s="1">
        <v>-3.1900364896286901</v>
      </c>
      <c r="G678">
        <f>VLOOKUP(C678,'[1]phenotypes-895'!$A$2:$G$896,7,FALSE)</f>
        <v>60</v>
      </c>
      <c r="H678" s="1">
        <v>8.1121358366930702E-3</v>
      </c>
      <c r="I678" s="1">
        <f>VLOOKUP(C678,'[1]phenotypes-895'!$A$2:$I$896,9,FALSE)</f>
        <v>0.58814379512376669</v>
      </c>
      <c r="J678" s="1"/>
      <c r="K678" s="4">
        <v>4.3476682778212838</v>
      </c>
      <c r="L678" s="1"/>
      <c r="M678" s="8">
        <v>1</v>
      </c>
      <c r="N678" s="1"/>
      <c r="O678" s="6">
        <v>1.0980000000000001</v>
      </c>
      <c r="P678" s="1"/>
      <c r="Q678" s="7">
        <v>0.03</v>
      </c>
    </row>
    <row r="679" spans="1:17" x14ac:dyDescent="0.2">
      <c r="A679">
        <v>423</v>
      </c>
      <c r="B679">
        <v>48</v>
      </c>
      <c r="C679" t="s">
        <v>422</v>
      </c>
      <c r="D679" s="13" t="s">
        <v>912</v>
      </c>
      <c r="E679" s="1">
        <v>-3.4936634349507898</v>
      </c>
      <c r="F679" s="1">
        <v>-3.1912623136307601</v>
      </c>
      <c r="G679">
        <f>VLOOKUP(C679,'[1]phenotypes-895'!$A$2:$G$896,7,FALSE)</f>
        <v>58</v>
      </c>
      <c r="H679" s="1">
        <v>2.8193842843926401E-2</v>
      </c>
      <c r="I679" s="1">
        <f>VLOOKUP(C679,'[1]phenotypes-895'!$A$2:$I$896,9,FALSE)</f>
        <v>0.52025797629535142</v>
      </c>
      <c r="J679" s="1"/>
      <c r="K679" s="4">
        <v>4.6481514382733247</v>
      </c>
      <c r="L679" s="1"/>
      <c r="M679" s="8">
        <v>1</v>
      </c>
      <c r="N679" s="1"/>
      <c r="O679">
        <v>0.82799999999999996</v>
      </c>
      <c r="P679" s="1"/>
      <c r="Q679" s="2">
        <v>-0.06</v>
      </c>
    </row>
    <row r="680" spans="1:17" x14ac:dyDescent="0.2">
      <c r="A680">
        <v>469</v>
      </c>
      <c r="B680">
        <v>47</v>
      </c>
      <c r="C680" t="s">
        <v>468</v>
      </c>
      <c r="D680" s="13" t="s">
        <v>912</v>
      </c>
      <c r="E680" s="1">
        <v>-4.6834830859273699</v>
      </c>
      <c r="F680" s="1">
        <v>-3.2018719258364099</v>
      </c>
      <c r="G680">
        <f>VLOOKUP(C680,'[1]phenotypes-895'!$A$2:$G$896,7,FALSE)</f>
        <v>60</v>
      </c>
      <c r="H680" s="1">
        <v>0.114979696646694</v>
      </c>
      <c r="I680" s="1">
        <f>VLOOKUP(C680,'[1]phenotypes-895'!$A$2:$I$896,9,FALSE)</f>
        <v>0.92852109022929741</v>
      </c>
      <c r="J680" s="1"/>
      <c r="K680" s="4">
        <v>4.6986303740801354</v>
      </c>
      <c r="L680" s="1"/>
      <c r="M680" s="8">
        <v>1</v>
      </c>
      <c r="N680" s="1"/>
      <c r="O680">
        <v>1.177</v>
      </c>
      <c r="P680" s="1"/>
      <c r="Q680" s="2">
        <v>0.05</v>
      </c>
    </row>
    <row r="681" spans="1:17" x14ac:dyDescent="0.2">
      <c r="A681">
        <v>233</v>
      </c>
      <c r="B681">
        <v>14</v>
      </c>
      <c r="C681" t="s">
        <v>232</v>
      </c>
      <c r="D681" s="12" t="s">
        <v>912</v>
      </c>
      <c r="E681" s="1">
        <v>-2.44847862457679</v>
      </c>
      <c r="F681" s="1">
        <v>-3.2463719355360499</v>
      </c>
      <c r="G681">
        <f>VLOOKUP(C681,'[1]phenotypes-895'!$A$2:$G$896,7,FALSE)</f>
        <v>84</v>
      </c>
      <c r="H681" s="1">
        <v>9.5452877694934393E-2</v>
      </c>
      <c r="I681" s="1">
        <f>VLOOKUP(C681,'[1]phenotypes-895'!$A$2:$I$896,9,FALSE)</f>
        <v>0.65149567589687207</v>
      </c>
      <c r="J681" s="1"/>
      <c r="K681" s="4">
        <v>4.8115696117574833</v>
      </c>
      <c r="L681" s="1"/>
      <c r="M681" s="8">
        <v>1</v>
      </c>
      <c r="N681" s="1"/>
      <c r="O681" s="6">
        <v>1.026</v>
      </c>
      <c r="P681" s="1"/>
      <c r="Q681" s="7">
        <v>0.01</v>
      </c>
    </row>
    <row r="682" spans="1:17" x14ac:dyDescent="0.2">
      <c r="A682">
        <v>761</v>
      </c>
      <c r="B682">
        <v>30</v>
      </c>
      <c r="C682" t="s">
        <v>760</v>
      </c>
      <c r="D682" s="13" t="s">
        <v>913</v>
      </c>
      <c r="E682" s="1">
        <v>-1.40644586356351</v>
      </c>
      <c r="F682" s="1">
        <v>-3.2497669542812901</v>
      </c>
      <c r="G682">
        <f>VLOOKUP(C682,'[1]phenotypes-895'!$A$2:$G$896,7,FALSE)</f>
        <v>98</v>
      </c>
      <c r="H682" s="1">
        <v>1.9042282244111801E-2</v>
      </c>
      <c r="I682" s="1">
        <f>VLOOKUP(C682,'[1]phenotypes-895'!$A$2:$I$896,9,FALSE)</f>
        <v>0</v>
      </c>
      <c r="J682" s="1"/>
      <c r="K682" s="4">
        <v>0</v>
      </c>
      <c r="L682" s="1"/>
      <c r="M682" s="8">
        <v>0</v>
      </c>
      <c r="N682" s="1"/>
      <c r="O682">
        <v>1.0640000000000001</v>
      </c>
      <c r="P682" s="1"/>
      <c r="Q682" s="2">
        <v>0.02</v>
      </c>
    </row>
    <row r="683" spans="1:17" x14ac:dyDescent="0.2">
      <c r="A683">
        <v>398</v>
      </c>
      <c r="B683">
        <v>43</v>
      </c>
      <c r="C683" t="s">
        <v>397</v>
      </c>
      <c r="D683" s="13" t="s">
        <v>912</v>
      </c>
      <c r="E683" s="1">
        <v>-2.8566650237274498</v>
      </c>
      <c r="F683" s="1">
        <v>-3.2549043413465002</v>
      </c>
      <c r="G683">
        <f>VLOOKUP(C683,'[1]phenotypes-895'!$A$2:$G$896,7,FALSE)</f>
        <v>69</v>
      </c>
      <c r="H683" s="1">
        <v>8.2795021798432705E-2</v>
      </c>
      <c r="I683" s="1">
        <f>VLOOKUP(C683,'[1]phenotypes-895'!$A$2:$I$896,9,FALSE)</f>
        <v>0.5311977171190454</v>
      </c>
      <c r="J683" s="1"/>
      <c r="K683" s="4">
        <v>4.9663197721004488</v>
      </c>
      <c r="L683" s="1"/>
      <c r="M683" s="8">
        <v>1</v>
      </c>
      <c r="N683" s="1"/>
      <c r="O683">
        <v>1.1719999999999999</v>
      </c>
      <c r="P683" s="1"/>
      <c r="Q683" s="2">
        <v>0.05</v>
      </c>
    </row>
    <row r="684" spans="1:17" x14ac:dyDescent="0.2">
      <c r="A684">
        <v>182</v>
      </c>
      <c r="B684">
        <v>10</v>
      </c>
      <c r="C684" t="s">
        <v>181</v>
      </c>
      <c r="D684" s="12" t="s">
        <v>912</v>
      </c>
      <c r="E684" s="1">
        <v>-2.9051674263562601</v>
      </c>
      <c r="F684" s="1">
        <v>-3.2699277350207101</v>
      </c>
      <c r="G684">
        <f>VLOOKUP(C684,'[1]phenotypes-895'!$A$2:$G$896,7,FALSE)</f>
        <v>54</v>
      </c>
      <c r="H684" s="1">
        <v>6.3699369340314102E-2</v>
      </c>
      <c r="I684" s="1">
        <f>VLOOKUP(C684,'[1]phenotypes-895'!$A$2:$I$896,9,FALSE)</f>
        <v>0.71213141788172796</v>
      </c>
      <c r="J684" s="1"/>
      <c r="K684" s="4">
        <v>4.4018137006783382</v>
      </c>
      <c r="L684" s="1"/>
      <c r="M684" s="8">
        <v>1</v>
      </c>
      <c r="N684" s="1"/>
      <c r="O684" s="6">
        <v>1.05</v>
      </c>
      <c r="P684" s="1"/>
      <c r="Q684" s="7">
        <v>0.02</v>
      </c>
    </row>
    <row r="685" spans="1:17" x14ac:dyDescent="0.2">
      <c r="A685">
        <v>58</v>
      </c>
      <c r="B685">
        <v>4</v>
      </c>
      <c r="C685" t="s">
        <v>57</v>
      </c>
      <c r="D685" s="12" t="s">
        <v>913</v>
      </c>
      <c r="E685" s="1">
        <v>-0.68003370569853705</v>
      </c>
      <c r="F685" s="1">
        <v>-3.2887615381181998</v>
      </c>
      <c r="G685">
        <f>VLOOKUP(C685,'[1]phenotypes-895'!$A$2:$G$896,7,FALSE)</f>
        <v>56</v>
      </c>
      <c r="H685" s="1">
        <v>-2.5622369342157399E-2</v>
      </c>
      <c r="I685" s="1">
        <f>VLOOKUP(C685,'[1]phenotypes-895'!$A$2:$I$896,9,FALSE)</f>
        <v>0.4695089446210447</v>
      </c>
      <c r="J685" s="1"/>
      <c r="K685" s="4">
        <v>3.3324534051197183</v>
      </c>
      <c r="L685" s="1"/>
      <c r="M685" s="8">
        <v>1</v>
      </c>
      <c r="N685" s="1"/>
      <c r="O685" s="6">
        <v>0.91</v>
      </c>
      <c r="P685" s="1"/>
      <c r="Q685" s="7">
        <v>-0.03</v>
      </c>
    </row>
    <row r="686" spans="1:17" x14ac:dyDescent="0.2">
      <c r="A686">
        <v>812</v>
      </c>
      <c r="B686">
        <v>29</v>
      </c>
      <c r="C686" t="s">
        <v>811</v>
      </c>
      <c r="D686" s="13" t="s">
        <v>913</v>
      </c>
      <c r="E686" s="1">
        <v>-1.22736669602752</v>
      </c>
      <c r="F686" s="1">
        <v>-3.2938172168016102</v>
      </c>
      <c r="G686">
        <f>VLOOKUP(C686,'[1]phenotypes-895'!$A$2:$G$896,7,FALSE)</f>
        <v>65</v>
      </c>
      <c r="H686" s="1">
        <v>1.51464926453407E-2</v>
      </c>
      <c r="I686" s="1">
        <f>VLOOKUP(C686,'[1]phenotypes-895'!$A$2:$I$896,9,FALSE)</f>
        <v>0.57215883123604871</v>
      </c>
      <c r="J686" s="1"/>
      <c r="K686" s="4">
        <v>4.1484700048715473</v>
      </c>
      <c r="L686" s="1"/>
      <c r="M686" s="8">
        <v>1</v>
      </c>
      <c r="N686" s="1"/>
      <c r="O686">
        <v>0.94199999999999995</v>
      </c>
      <c r="P686" s="1"/>
      <c r="Q686" s="2">
        <v>-0.02</v>
      </c>
    </row>
    <row r="687" spans="1:17" x14ac:dyDescent="0.2">
      <c r="A687">
        <v>323</v>
      </c>
      <c r="B687">
        <v>4</v>
      </c>
      <c r="C687" t="s">
        <v>322</v>
      </c>
      <c r="D687" s="12" t="s">
        <v>913</v>
      </c>
      <c r="E687" s="1">
        <v>-1.4508864070426499</v>
      </c>
      <c r="F687" s="1">
        <v>-3.3197830291798001</v>
      </c>
      <c r="G687">
        <f>VLOOKUP(C687,'[1]phenotypes-895'!$A$2:$G$896,7,FALSE)</f>
        <v>98</v>
      </c>
      <c r="H687" s="1">
        <v>5.4290305746311801E-2</v>
      </c>
      <c r="I687" s="1">
        <f>VLOOKUP(C687,'[1]phenotypes-895'!$A$2:$I$896,9,FALSE)</f>
        <v>0</v>
      </c>
      <c r="J687" s="1"/>
      <c r="K687" s="4">
        <v>0</v>
      </c>
      <c r="L687" s="1"/>
      <c r="M687" s="8">
        <v>0</v>
      </c>
      <c r="N687" s="1"/>
      <c r="O687" s="6">
        <v>0.92900000000000005</v>
      </c>
      <c r="P687" s="1"/>
      <c r="Q687" s="7">
        <v>-0.02</v>
      </c>
    </row>
    <row r="688" spans="1:17" x14ac:dyDescent="0.2">
      <c r="A688">
        <v>447</v>
      </c>
      <c r="B688">
        <v>50</v>
      </c>
      <c r="C688" t="s">
        <v>446</v>
      </c>
      <c r="D688" s="13" t="s">
        <v>912</v>
      </c>
      <c r="E688" s="1">
        <v>-4.9372549670406602</v>
      </c>
      <c r="F688" s="1">
        <v>-3.3716506685216499</v>
      </c>
      <c r="G688">
        <f>VLOOKUP(C688,'[1]phenotypes-895'!$A$2:$G$896,7,FALSE)</f>
        <v>60</v>
      </c>
      <c r="H688" s="1">
        <v>2.9543840426186699E-2</v>
      </c>
      <c r="I688" s="1">
        <f>VLOOKUP(C688,'[1]phenotypes-895'!$A$2:$I$896,9,FALSE)</f>
        <v>0.53292449514216755</v>
      </c>
      <c r="J688" s="1"/>
      <c r="K688" s="4">
        <v>4.1092003034308666</v>
      </c>
      <c r="L688" s="1"/>
      <c r="M688" s="8">
        <v>1</v>
      </c>
      <c r="N688" s="1"/>
      <c r="O688">
        <v>0.58499999999999996</v>
      </c>
      <c r="P688" s="1"/>
      <c r="Q688" s="2">
        <v>-0.2</v>
      </c>
    </row>
    <row r="689" spans="1:17" x14ac:dyDescent="0.2">
      <c r="A689">
        <v>180</v>
      </c>
      <c r="B689">
        <v>11</v>
      </c>
      <c r="C689" t="s">
        <v>179</v>
      </c>
      <c r="D689" s="12" t="s">
        <v>912</v>
      </c>
      <c r="E689" s="1">
        <v>-4.1573061762636101</v>
      </c>
      <c r="F689" s="1">
        <v>-3.3960409217170402</v>
      </c>
      <c r="G689">
        <f>VLOOKUP(C689,'[1]phenotypes-895'!$A$2:$G$896,7,FALSE)</f>
        <v>66</v>
      </c>
      <c r="H689" s="1">
        <v>5.61488314584885E-2</v>
      </c>
      <c r="I689" s="1">
        <f>VLOOKUP(C689,'[1]phenotypes-895'!$A$2:$I$896,9,FALSE)</f>
        <v>0.69533963054544068</v>
      </c>
      <c r="J689" s="1"/>
      <c r="K689" s="4">
        <v>5.1085318606314161</v>
      </c>
      <c r="L689" s="1"/>
      <c r="M689" s="8">
        <v>1</v>
      </c>
      <c r="N689" s="1"/>
      <c r="O689" s="6">
        <v>1.06</v>
      </c>
      <c r="P689" s="1"/>
      <c r="Q689" s="7">
        <v>0.02</v>
      </c>
    </row>
    <row r="690" spans="1:17" x14ac:dyDescent="0.2">
      <c r="A690">
        <v>404</v>
      </c>
      <c r="B690">
        <v>49</v>
      </c>
      <c r="C690" t="s">
        <v>403</v>
      </c>
      <c r="D690" s="13" t="s">
        <v>912</v>
      </c>
      <c r="E690" s="1">
        <v>-1.9768914169879801</v>
      </c>
      <c r="F690" s="1">
        <v>-3.41048820778401</v>
      </c>
      <c r="G690">
        <f>VLOOKUP(C690,'[1]phenotypes-895'!$A$2:$G$896,7,FALSE)</f>
        <v>66</v>
      </c>
      <c r="H690" s="1">
        <v>3.8462302028752102E-2</v>
      </c>
      <c r="I690" s="1">
        <f>VLOOKUP(C690,'[1]phenotypes-895'!$A$2:$I$896,9,FALSE)</f>
        <v>0.49514226384138538</v>
      </c>
      <c r="J690" s="1"/>
      <c r="K690" s="4">
        <v>4.3678200899125361</v>
      </c>
      <c r="L690" s="1"/>
      <c r="M690" s="8">
        <v>1</v>
      </c>
      <c r="N690" s="1"/>
      <c r="O690">
        <v>0.98099999999999998</v>
      </c>
      <c r="P690" s="1"/>
      <c r="Q690" s="2">
        <v>-0.01</v>
      </c>
    </row>
    <row r="691" spans="1:17" x14ac:dyDescent="0.2">
      <c r="A691">
        <v>92</v>
      </c>
      <c r="B691">
        <v>6</v>
      </c>
      <c r="C691" t="s">
        <v>91</v>
      </c>
      <c r="D691" s="12" t="s">
        <v>913</v>
      </c>
      <c r="E691" s="1">
        <v>-1.2597349904556601</v>
      </c>
      <c r="F691" s="1">
        <v>-3.4393186893905998</v>
      </c>
      <c r="G691">
        <f>VLOOKUP(C691,'[1]phenotypes-895'!$A$2:$G$896,7,FALSE)</f>
        <v>81</v>
      </c>
      <c r="H691" s="1">
        <v>3.4910309207452999E-3</v>
      </c>
      <c r="I691" s="1">
        <f>VLOOKUP(C691,'[1]phenotypes-895'!$A$2:$I$896,9,FALSE)</f>
        <v>0.25195765927265013</v>
      </c>
      <c r="J691" s="1"/>
      <c r="K691" s="4">
        <v>3.5553084568537412</v>
      </c>
      <c r="L691" s="1"/>
      <c r="M691" s="8">
        <v>1</v>
      </c>
      <c r="N691" s="1"/>
      <c r="O691" s="6">
        <v>1.103</v>
      </c>
      <c r="P691" s="1"/>
      <c r="Q691" s="7">
        <v>0.03</v>
      </c>
    </row>
    <row r="692" spans="1:17" x14ac:dyDescent="0.2">
      <c r="A692">
        <v>764</v>
      </c>
      <c r="B692">
        <v>40</v>
      </c>
      <c r="C692" t="s">
        <v>763</v>
      </c>
      <c r="D692" s="13" t="s">
        <v>913</v>
      </c>
      <c r="E692" s="1">
        <v>-2.94170596147285</v>
      </c>
      <c r="F692" s="1">
        <v>-3.4445410161897798</v>
      </c>
      <c r="G692">
        <f>VLOOKUP(C692,'[1]phenotypes-895'!$A$2:$G$896,7,FALSE)</f>
        <v>64</v>
      </c>
      <c r="H692" s="1">
        <v>5.5713743311293702E-2</v>
      </c>
      <c r="I692" s="1">
        <f>VLOOKUP(C692,'[1]phenotypes-895'!$A$2:$I$896,9,FALSE)</f>
        <v>0.69623306878528635</v>
      </c>
      <c r="J692" s="1"/>
      <c r="K692" s="4">
        <v>4.4474406495622141</v>
      </c>
      <c r="L692" s="1"/>
      <c r="M692" s="8">
        <v>1</v>
      </c>
      <c r="N692" s="1"/>
      <c r="O692">
        <v>0.92700000000000005</v>
      </c>
      <c r="P692" s="1"/>
      <c r="Q692" s="2">
        <v>-0.02</v>
      </c>
    </row>
    <row r="693" spans="1:17" x14ac:dyDescent="0.2">
      <c r="A693">
        <v>284</v>
      </c>
      <c r="B693">
        <v>16</v>
      </c>
      <c r="C693" t="s">
        <v>283</v>
      </c>
      <c r="D693" s="12" t="s">
        <v>912</v>
      </c>
      <c r="E693" s="1">
        <v>-3.5782095605568802</v>
      </c>
      <c r="F693" s="1">
        <v>-3.44815347832286</v>
      </c>
      <c r="G693">
        <f>VLOOKUP(C693,'[1]phenotypes-895'!$A$2:$G$896,7,FALSE)</f>
        <v>66</v>
      </c>
      <c r="H693" s="1">
        <v>3.8802567085679203E-2</v>
      </c>
      <c r="I693" s="1">
        <f>VLOOKUP(C693,'[1]phenotypes-895'!$A$2:$I$896,9,FALSE)</f>
        <v>0.69574401436468014</v>
      </c>
      <c r="J693" s="1"/>
      <c r="K693" s="4">
        <v>4.4499955477703548</v>
      </c>
      <c r="L693" s="1"/>
      <c r="M693" s="8">
        <v>1</v>
      </c>
      <c r="N693" s="1"/>
      <c r="O693" s="6">
        <v>1.02</v>
      </c>
      <c r="P693" s="1"/>
      <c r="Q693" s="7">
        <v>0.01</v>
      </c>
    </row>
    <row r="694" spans="1:17" x14ac:dyDescent="0.2">
      <c r="A694">
        <v>187</v>
      </c>
      <c r="B694">
        <v>13</v>
      </c>
      <c r="C694" t="s">
        <v>186</v>
      </c>
      <c r="D694" s="12" t="s">
        <v>912</v>
      </c>
      <c r="E694" s="1">
        <v>-3.5489909104883899</v>
      </c>
      <c r="F694" s="1">
        <v>-3.4633959162306498</v>
      </c>
      <c r="G694">
        <f>VLOOKUP(C694,'[1]phenotypes-895'!$A$2:$G$896,7,FALSE)</f>
        <v>64</v>
      </c>
      <c r="H694" s="1">
        <v>8.1490713732134207E-2</v>
      </c>
      <c r="I694" s="1">
        <f>VLOOKUP(C694,'[1]phenotypes-895'!$A$2:$I$896,9,FALSE)</f>
        <v>0.67275585841447516</v>
      </c>
      <c r="J694" s="1"/>
      <c r="K694" s="4">
        <v>4.6764774883472322</v>
      </c>
      <c r="L694" s="1"/>
      <c r="M694" s="8">
        <v>1</v>
      </c>
      <c r="N694" s="1"/>
      <c r="O694" s="6">
        <v>1.0109999999999999</v>
      </c>
      <c r="P694" s="1"/>
      <c r="Q694" s="7">
        <v>0</v>
      </c>
    </row>
    <row r="695" spans="1:17" x14ac:dyDescent="0.2">
      <c r="A695">
        <v>133</v>
      </c>
      <c r="B695">
        <v>10</v>
      </c>
      <c r="C695" t="s">
        <v>132</v>
      </c>
      <c r="D695" s="12" t="s">
        <v>912</v>
      </c>
      <c r="E695" s="1">
        <v>-2.8551687075945802</v>
      </c>
      <c r="F695" s="1">
        <v>-3.4637318011414102</v>
      </c>
      <c r="G695">
        <f>VLOOKUP(C695,'[1]phenotypes-895'!$A$2:$G$896,7,FALSE)</f>
        <v>71</v>
      </c>
      <c r="H695" s="1">
        <v>8.3139798008763505E-2</v>
      </c>
      <c r="I695" s="1">
        <f>VLOOKUP(C695,'[1]phenotypes-895'!$A$2:$I$896,9,FALSE)</f>
        <v>0.85775221720956163</v>
      </c>
      <c r="J695" s="1"/>
      <c r="K695" s="4">
        <v>5.6101212541254517</v>
      </c>
      <c r="L695" s="1"/>
      <c r="M695" s="8">
        <v>1</v>
      </c>
      <c r="N695" s="1"/>
      <c r="O695" s="6">
        <v>1.048</v>
      </c>
      <c r="P695" s="1"/>
      <c r="Q695" s="7">
        <v>0.01</v>
      </c>
    </row>
    <row r="696" spans="1:17" x14ac:dyDescent="0.2">
      <c r="A696">
        <v>301</v>
      </c>
      <c r="B696">
        <v>24</v>
      </c>
      <c r="C696" t="s">
        <v>300</v>
      </c>
      <c r="D696" s="13" t="s">
        <v>913</v>
      </c>
      <c r="E696" s="1">
        <v>-1.67766597535364</v>
      </c>
      <c r="F696" s="1">
        <v>-3.4651871199589599</v>
      </c>
      <c r="G696">
        <f>VLOOKUP(C696,'[1]phenotypes-895'!$A$2:$G$896,7,FALSE)</f>
        <v>76</v>
      </c>
      <c r="H696" s="1">
        <v>2.82542959796722E-2</v>
      </c>
      <c r="I696" s="1">
        <f>VLOOKUP(C696,'[1]phenotypes-895'!$A$2:$I$896,9,FALSE)</f>
        <v>0.31330125540792497</v>
      </c>
      <c r="J696" s="1"/>
      <c r="K696" s="4">
        <v>3.6259242349436529</v>
      </c>
      <c r="L696" s="1"/>
      <c r="M696" s="8">
        <v>1</v>
      </c>
      <c r="N696" s="1"/>
      <c r="O696">
        <v>1.07</v>
      </c>
      <c r="P696" s="1"/>
      <c r="Q696" s="2">
        <v>0.02</v>
      </c>
    </row>
    <row r="697" spans="1:17" x14ac:dyDescent="0.2">
      <c r="A697">
        <v>525</v>
      </c>
      <c r="B697">
        <v>24</v>
      </c>
      <c r="C697" t="s">
        <v>524</v>
      </c>
      <c r="D697" s="13" t="s">
        <v>913</v>
      </c>
      <c r="E697" s="1">
        <v>-1.80149000436861</v>
      </c>
      <c r="F697" s="1">
        <v>-3.47927342433533</v>
      </c>
      <c r="G697">
        <f>VLOOKUP(C697,'[1]phenotypes-895'!$A$2:$G$896,7,FALSE)</f>
        <v>62</v>
      </c>
      <c r="H697" s="1">
        <v>2.9704384685633401E-2</v>
      </c>
      <c r="I697" s="1">
        <f>VLOOKUP(C697,'[1]phenotypes-895'!$A$2:$I$896,9,FALSE)</f>
        <v>0.41753379067693758</v>
      </c>
      <c r="J697" s="1"/>
      <c r="K697" s="4">
        <v>3.9623225796687711</v>
      </c>
      <c r="L697" s="1"/>
      <c r="M697" s="8">
        <v>1</v>
      </c>
      <c r="N697" s="1"/>
      <c r="O697">
        <v>1.0049999999999999</v>
      </c>
      <c r="P697" s="1"/>
      <c r="Q697" s="2">
        <v>0</v>
      </c>
    </row>
    <row r="698" spans="1:17" x14ac:dyDescent="0.2">
      <c r="A698">
        <v>43</v>
      </c>
      <c r="B698">
        <v>15</v>
      </c>
      <c r="C698" t="s">
        <v>42</v>
      </c>
      <c r="D698" s="12" t="s">
        <v>912</v>
      </c>
      <c r="E698" s="1">
        <v>-3.4535236846327799</v>
      </c>
      <c r="F698" s="1">
        <v>-3.4800547362574701</v>
      </c>
      <c r="G698">
        <f>VLOOKUP(C698,'[1]phenotypes-895'!$A$2:$G$896,7,FALSE)</f>
        <v>78</v>
      </c>
      <c r="H698" s="1">
        <v>1.45099451427795E-2</v>
      </c>
      <c r="I698" s="1">
        <f>VLOOKUP(C698,'[1]phenotypes-895'!$A$2:$I$896,9,FALSE)</f>
        <v>0.37620425382109091</v>
      </c>
      <c r="J698" s="1"/>
      <c r="K698" s="4">
        <v>4.6242131262286064</v>
      </c>
      <c r="L698" s="1"/>
      <c r="M698" s="8">
        <v>1</v>
      </c>
      <c r="N698" s="1"/>
      <c r="O698" s="6">
        <v>1.105</v>
      </c>
      <c r="P698" s="1"/>
      <c r="Q698" s="7">
        <v>0.03</v>
      </c>
    </row>
    <row r="699" spans="1:17" x14ac:dyDescent="0.2">
      <c r="A699">
        <v>122</v>
      </c>
      <c r="B699">
        <v>12</v>
      </c>
      <c r="C699" t="s">
        <v>121</v>
      </c>
      <c r="D699" s="12" t="s">
        <v>912</v>
      </c>
      <c r="E699" s="1">
        <v>-4.0615633237498399</v>
      </c>
      <c r="F699" s="1">
        <v>-3.4982518575512902</v>
      </c>
      <c r="G699">
        <f>VLOOKUP(C699,'[1]phenotypes-895'!$A$2:$G$896,7,FALSE)</f>
        <v>58</v>
      </c>
      <c r="H699" s="1">
        <v>4.1254158195247102E-2</v>
      </c>
      <c r="I699" s="1">
        <f>VLOOKUP(C699,'[1]phenotypes-895'!$A$2:$I$896,9,FALSE)</f>
        <v>0.7556240203986726</v>
      </c>
      <c r="J699" s="1"/>
      <c r="K699" s="4">
        <v>4.6636131293515044</v>
      </c>
      <c r="L699" s="1"/>
      <c r="M699" s="8">
        <v>1</v>
      </c>
      <c r="N699" s="1"/>
      <c r="O699" s="6">
        <v>1.1739999999999999</v>
      </c>
      <c r="P699" s="1"/>
      <c r="Q699" s="7">
        <v>0.05</v>
      </c>
    </row>
    <row r="700" spans="1:17" x14ac:dyDescent="0.2">
      <c r="A700">
        <v>811</v>
      </c>
      <c r="B700">
        <v>41</v>
      </c>
      <c r="C700" t="s">
        <v>810</v>
      </c>
      <c r="D700" s="13" t="s">
        <v>912</v>
      </c>
      <c r="E700" s="1">
        <v>-5.5476692396607303</v>
      </c>
      <c r="F700" s="1">
        <v>-3.49904667909879</v>
      </c>
      <c r="G700">
        <f>VLOOKUP(C700,'[1]phenotypes-895'!$A$2:$G$896,7,FALSE)</f>
        <v>58</v>
      </c>
      <c r="H700" s="1">
        <v>4.4971744780126902E-2</v>
      </c>
      <c r="I700" s="1">
        <f>VLOOKUP(C700,'[1]phenotypes-895'!$A$2:$I$896,9,FALSE)</f>
        <v>0.59078169161002925</v>
      </c>
      <c r="J700" s="1"/>
      <c r="K700" s="4">
        <v>4.1876521393361665</v>
      </c>
      <c r="L700" s="1"/>
      <c r="M700" s="8">
        <v>1</v>
      </c>
      <c r="N700" s="1"/>
      <c r="O700">
        <v>1.0309999999999999</v>
      </c>
      <c r="P700" s="1"/>
      <c r="Q700" s="2">
        <v>0.01</v>
      </c>
    </row>
    <row r="701" spans="1:17" x14ac:dyDescent="0.2">
      <c r="A701">
        <v>357</v>
      </c>
      <c r="B701">
        <v>6</v>
      </c>
      <c r="C701" t="s">
        <v>356</v>
      </c>
      <c r="D701" s="12" t="s">
        <v>913</v>
      </c>
      <c r="E701" s="1">
        <v>-1.43473890029942</v>
      </c>
      <c r="F701" s="1">
        <v>-3.5306283898019601</v>
      </c>
      <c r="G701">
        <f>VLOOKUP(C701,'[1]phenotypes-895'!$A$2:$G$896,7,FALSE)</f>
        <v>69</v>
      </c>
      <c r="H701" s="1">
        <v>2.8945769082044499E-2</v>
      </c>
      <c r="I701" s="1">
        <f>VLOOKUP(C701,'[1]phenotypes-895'!$A$2:$I$896,9,FALSE)</f>
        <v>0.7425631321857985</v>
      </c>
      <c r="J701" s="1"/>
      <c r="K701" s="4">
        <v>4.5821539149484405</v>
      </c>
      <c r="L701" s="1"/>
      <c r="M701" s="8">
        <v>1</v>
      </c>
      <c r="N701" s="1"/>
      <c r="O701" s="6">
        <v>0.871</v>
      </c>
      <c r="P701" s="1"/>
      <c r="Q701" s="7">
        <v>-0.04</v>
      </c>
    </row>
    <row r="702" spans="1:17" x14ac:dyDescent="0.2">
      <c r="A702">
        <v>448</v>
      </c>
      <c r="B702">
        <v>42</v>
      </c>
      <c r="C702" t="s">
        <v>447</v>
      </c>
      <c r="D702" s="13" t="s">
        <v>912</v>
      </c>
      <c r="E702" s="1">
        <v>-2.7465239669776098</v>
      </c>
      <c r="F702" s="1">
        <v>-3.5421439209751102</v>
      </c>
      <c r="G702">
        <f>VLOOKUP(C702,'[1]phenotypes-895'!$A$2:$G$896,7,FALSE)</f>
        <v>55</v>
      </c>
      <c r="H702" s="1">
        <v>7.2383398823260003E-2</v>
      </c>
      <c r="I702" s="1">
        <f>VLOOKUP(C702,'[1]phenotypes-895'!$A$2:$I$896,9,FALSE)</f>
        <v>1.0331257608294371</v>
      </c>
      <c r="J702" s="1"/>
      <c r="K702" s="4">
        <v>5.1153470476702685</v>
      </c>
      <c r="L702" s="1"/>
      <c r="M702" s="8">
        <v>1</v>
      </c>
      <c r="N702" s="1"/>
      <c r="O702">
        <v>0.93200000000000005</v>
      </c>
      <c r="P702" s="1"/>
      <c r="Q702" s="2">
        <v>-0.02</v>
      </c>
    </row>
    <row r="703" spans="1:17" x14ac:dyDescent="0.2">
      <c r="A703">
        <v>266</v>
      </c>
      <c r="B703">
        <v>10</v>
      </c>
      <c r="C703" t="s">
        <v>265</v>
      </c>
      <c r="D703" s="12" t="s">
        <v>912</v>
      </c>
      <c r="E703" s="1">
        <v>-3.6157544559087902</v>
      </c>
      <c r="F703" s="1">
        <v>-3.5536184614102999</v>
      </c>
      <c r="G703">
        <f>VLOOKUP(C703,'[1]phenotypes-895'!$A$2:$G$896,7,FALSE)</f>
        <v>50</v>
      </c>
      <c r="H703" s="1">
        <v>4.1433176111189803E-2</v>
      </c>
      <c r="I703" s="1">
        <f>VLOOKUP(C703,'[1]phenotypes-895'!$A$2:$I$896,9,FALSE)</f>
        <v>0.66806726144838735</v>
      </c>
      <c r="J703" s="1"/>
      <c r="K703" s="4">
        <v>4.6626185802130911</v>
      </c>
      <c r="L703" s="1"/>
      <c r="M703" s="8">
        <v>1</v>
      </c>
      <c r="N703" s="1"/>
      <c r="O703" s="6">
        <v>1.222</v>
      </c>
      <c r="P703" s="1"/>
      <c r="Q703" s="7">
        <v>0.06</v>
      </c>
    </row>
    <row r="704" spans="1:17" x14ac:dyDescent="0.2">
      <c r="A704">
        <v>158</v>
      </c>
      <c r="B704">
        <v>6</v>
      </c>
      <c r="C704" t="s">
        <v>157</v>
      </c>
      <c r="D704" s="12" t="s">
        <v>913</v>
      </c>
      <c r="E704" s="1">
        <v>-1.61129682227208</v>
      </c>
      <c r="F704" s="1">
        <v>-3.5551114123992198</v>
      </c>
      <c r="G704">
        <f>VLOOKUP(C704,'[1]phenotypes-895'!$A$2:$G$896,7,FALSE)</f>
        <v>53</v>
      </c>
      <c r="H704" s="1">
        <v>3.0009716070096101E-2</v>
      </c>
      <c r="I704" s="1">
        <f>VLOOKUP(C704,'[1]phenotypes-895'!$A$2:$I$896,9,FALSE)</f>
        <v>0.8541249592698581</v>
      </c>
      <c r="J704" s="1"/>
      <c r="K704" s="4">
        <v>4.7148226312538375</v>
      </c>
      <c r="L704" s="1"/>
      <c r="M704" s="8">
        <v>1</v>
      </c>
      <c r="N704" s="1"/>
      <c r="O704" s="6">
        <v>0.97499999999999998</v>
      </c>
      <c r="P704" s="1"/>
      <c r="Q704" s="7">
        <v>-0.01</v>
      </c>
    </row>
    <row r="705" spans="1:17" x14ac:dyDescent="0.2">
      <c r="A705">
        <v>94</v>
      </c>
      <c r="B705">
        <v>9</v>
      </c>
      <c r="C705" t="s">
        <v>93</v>
      </c>
      <c r="D705" s="12" t="s">
        <v>912</v>
      </c>
      <c r="E705" s="1">
        <v>-3.8841078724449201</v>
      </c>
      <c r="F705" s="1">
        <v>-3.5676870806943999</v>
      </c>
      <c r="G705">
        <f>VLOOKUP(C705,'[1]phenotypes-895'!$A$2:$G$896,7,FALSE)</f>
        <v>56</v>
      </c>
      <c r="H705" s="1">
        <v>3.3023727317084001E-2</v>
      </c>
      <c r="I705" s="1">
        <f>VLOOKUP(C705,'[1]phenotypes-895'!$A$2:$I$896,9,FALSE)</f>
        <v>0.92529456108382746</v>
      </c>
      <c r="J705" s="1"/>
      <c r="K705" s="4">
        <v>4.6107908716519761</v>
      </c>
      <c r="L705" s="1"/>
      <c r="M705" s="8">
        <v>1</v>
      </c>
      <c r="N705" s="1"/>
      <c r="O705" s="6">
        <v>0.78100000000000003</v>
      </c>
      <c r="P705" s="1"/>
      <c r="Q705" s="7">
        <v>-0.08</v>
      </c>
    </row>
    <row r="706" spans="1:17" x14ac:dyDescent="0.2">
      <c r="A706">
        <v>144</v>
      </c>
      <c r="B706">
        <v>9</v>
      </c>
      <c r="C706" t="s">
        <v>143</v>
      </c>
      <c r="D706" s="12" t="s">
        <v>912</v>
      </c>
      <c r="E706" s="1">
        <v>-3.5223570956005501</v>
      </c>
      <c r="F706" s="1">
        <v>-3.5872803465293002</v>
      </c>
      <c r="G706">
        <f>VLOOKUP(C706,'[1]phenotypes-895'!$A$2:$G$896,7,FALSE)</f>
        <v>49</v>
      </c>
      <c r="H706" s="1">
        <v>5.8756800073414004E-3</v>
      </c>
      <c r="I706" s="1">
        <f>VLOOKUP(C706,'[1]phenotypes-895'!$A$2:$I$896,9,FALSE)</f>
        <v>0.59848458582444208</v>
      </c>
      <c r="J706" s="1"/>
      <c r="K706" s="4">
        <v>3.5324806084123481</v>
      </c>
      <c r="L706" s="1"/>
      <c r="M706" s="8">
        <v>1</v>
      </c>
      <c r="N706" s="1"/>
      <c r="O706" s="6">
        <v>0.93500000000000005</v>
      </c>
      <c r="P706" s="1"/>
      <c r="Q706" s="7">
        <v>-0.02</v>
      </c>
    </row>
    <row r="707" spans="1:17" x14ac:dyDescent="0.2">
      <c r="A707">
        <v>138</v>
      </c>
      <c r="B707">
        <v>4</v>
      </c>
      <c r="C707" t="s">
        <v>137</v>
      </c>
      <c r="D707" s="12" t="s">
        <v>913</v>
      </c>
      <c r="E707" s="1">
        <v>-1.87528316607116</v>
      </c>
      <c r="F707" s="1">
        <v>-3.59474083047912</v>
      </c>
      <c r="G707">
        <f>VLOOKUP(C707,'[1]phenotypes-895'!$A$2:$G$896,7,FALSE)</f>
        <v>56</v>
      </c>
      <c r="H707" s="1">
        <v>5.2643710714865899E-2</v>
      </c>
      <c r="I707" s="1">
        <f>VLOOKUP(C707,'[1]phenotypes-895'!$A$2:$I$896,9,FALSE)</f>
        <v>0.75930149335588026</v>
      </c>
      <c r="J707" s="1"/>
      <c r="K707" s="4">
        <v>3.8728440774490371</v>
      </c>
      <c r="L707" s="1"/>
      <c r="M707" s="8">
        <v>1</v>
      </c>
      <c r="N707" s="1"/>
      <c r="O707" s="6">
        <v>0.88400000000000001</v>
      </c>
      <c r="P707" s="1"/>
      <c r="Q707" s="7">
        <v>-0.04</v>
      </c>
    </row>
    <row r="708" spans="1:17" x14ac:dyDescent="0.2">
      <c r="A708">
        <v>767</v>
      </c>
      <c r="B708">
        <v>33</v>
      </c>
      <c r="C708" t="s">
        <v>766</v>
      </c>
      <c r="D708" s="13" t="s">
        <v>913</v>
      </c>
      <c r="E708" s="1">
        <v>-3.4065150114404901</v>
      </c>
      <c r="F708" s="1">
        <v>-3.6183524717213502</v>
      </c>
      <c r="G708">
        <f>VLOOKUP(C708,'[1]phenotypes-895'!$A$2:$G$896,7,FALSE)</f>
        <v>51</v>
      </c>
      <c r="H708" s="1">
        <v>4.8958024735045201E-2</v>
      </c>
      <c r="I708" s="1">
        <f>VLOOKUP(C708,'[1]phenotypes-895'!$A$2:$I$896,9,FALSE)</f>
        <v>0.4964390639407435</v>
      </c>
      <c r="J708" s="1"/>
      <c r="K708" s="4">
        <v>4.1324766284008421</v>
      </c>
      <c r="L708" s="1"/>
      <c r="M708" s="8">
        <v>1</v>
      </c>
      <c r="N708" s="1"/>
      <c r="O708">
        <v>1.0249999999999999</v>
      </c>
      <c r="P708" s="1"/>
      <c r="Q708" s="2">
        <v>0.01</v>
      </c>
    </row>
    <row r="709" spans="1:17" x14ac:dyDescent="0.2">
      <c r="A709">
        <v>176</v>
      </c>
      <c r="B709">
        <v>4</v>
      </c>
      <c r="C709" t="s">
        <v>175</v>
      </c>
      <c r="D709" s="12" t="s">
        <v>913</v>
      </c>
      <c r="E709" s="1">
        <v>-0.86910896108024205</v>
      </c>
      <c r="F709" s="1">
        <v>-3.6443071632163599</v>
      </c>
      <c r="G709">
        <f>VLOOKUP(C709,'[1]phenotypes-895'!$A$2:$G$896,7,FALSE)</f>
        <v>98</v>
      </c>
      <c r="H709" s="1">
        <v>1.12783748919524E-2</v>
      </c>
      <c r="I709" s="1">
        <f>VLOOKUP(C709,'[1]phenotypes-895'!$A$2:$I$896,9,FALSE)</f>
        <v>0.15415137003496551</v>
      </c>
      <c r="J709" s="1"/>
      <c r="K709" s="4">
        <v>3.721914474319413</v>
      </c>
      <c r="L709" s="1"/>
      <c r="M709" s="8">
        <v>1</v>
      </c>
      <c r="N709" s="1"/>
      <c r="O709" s="6">
        <v>0.94499999999999995</v>
      </c>
      <c r="P709" s="1"/>
      <c r="Q709" s="7">
        <v>-0.02</v>
      </c>
    </row>
    <row r="710" spans="1:17" x14ac:dyDescent="0.2">
      <c r="A710">
        <v>277</v>
      </c>
      <c r="B710">
        <v>10</v>
      </c>
      <c r="C710" t="s">
        <v>276</v>
      </c>
      <c r="D710" s="12" t="s">
        <v>912</v>
      </c>
      <c r="E710" s="1">
        <v>-4.3584487329860204</v>
      </c>
      <c r="F710" s="1">
        <v>-3.6667358602351601</v>
      </c>
      <c r="G710">
        <f>VLOOKUP(C710,'[1]phenotypes-895'!$A$2:$G$896,7,FALSE)</f>
        <v>56</v>
      </c>
      <c r="H710" s="1">
        <v>0.131585337548288</v>
      </c>
      <c r="I710" s="1">
        <f>VLOOKUP(C710,'[1]phenotypes-895'!$A$2:$I$896,9,FALSE)</f>
        <v>1.330735699880909</v>
      </c>
      <c r="J710" s="1"/>
      <c r="K710" s="4">
        <v>4.322248660320346</v>
      </c>
      <c r="L710" s="1"/>
      <c r="M710" s="8">
        <v>1</v>
      </c>
      <c r="N710" s="1"/>
      <c r="O710" s="6">
        <v>0.98899999999999999</v>
      </c>
      <c r="P710" s="1"/>
      <c r="Q710" s="7">
        <v>0</v>
      </c>
    </row>
    <row r="711" spans="1:17" x14ac:dyDescent="0.2">
      <c r="A711">
        <v>523</v>
      </c>
      <c r="B711">
        <v>3</v>
      </c>
      <c r="C711" t="s">
        <v>522</v>
      </c>
      <c r="D711" s="12" t="s">
        <v>913</v>
      </c>
      <c r="E711" s="1">
        <v>-1.2105119789649501</v>
      </c>
      <c r="F711" s="1">
        <v>-3.6729505265884002</v>
      </c>
      <c r="G711">
        <f>VLOOKUP(C711,'[1]phenotypes-895'!$A$2:$G$896,7,FALSE)</f>
        <v>74</v>
      </c>
      <c r="H711" s="1">
        <v>2.2652170009223E-2</v>
      </c>
      <c r="I711" s="1">
        <f>VLOOKUP(C711,'[1]phenotypes-895'!$A$2:$I$896,9,FALSE)</f>
        <v>0.53039986528419802</v>
      </c>
      <c r="J711" s="1"/>
      <c r="K711" s="4">
        <v>3.9428447146815522</v>
      </c>
      <c r="L711" s="1"/>
      <c r="M711" s="8">
        <v>1</v>
      </c>
      <c r="N711" s="1"/>
      <c r="O711" s="6">
        <v>1.008</v>
      </c>
      <c r="P711" s="1"/>
      <c r="Q711" s="7">
        <v>0</v>
      </c>
    </row>
    <row r="712" spans="1:17" x14ac:dyDescent="0.2">
      <c r="A712">
        <v>612</v>
      </c>
      <c r="B712">
        <v>29</v>
      </c>
      <c r="C712" t="s">
        <v>611</v>
      </c>
      <c r="D712" s="13" t="s">
        <v>913</v>
      </c>
      <c r="E712" s="1">
        <v>-2.58045732637492</v>
      </c>
      <c r="F712" s="1">
        <v>-3.6812137118810702</v>
      </c>
      <c r="G712">
        <f>VLOOKUP(C712,'[1]phenotypes-895'!$A$2:$G$896,7,FALSE)</f>
        <v>76</v>
      </c>
      <c r="H712" s="1">
        <v>3.9043166421000502E-2</v>
      </c>
      <c r="I712" s="1">
        <f>VLOOKUP(C712,'[1]phenotypes-895'!$A$2:$I$896,9,FALSE)</f>
        <v>0.44927441816563768</v>
      </c>
      <c r="J712" s="1"/>
      <c r="K712" s="4">
        <v>3.9977070642660122</v>
      </c>
      <c r="L712" s="1"/>
      <c r="M712" s="8">
        <v>1</v>
      </c>
      <c r="N712" s="1"/>
      <c r="O712">
        <v>1.226</v>
      </c>
      <c r="P712" s="1"/>
      <c r="Q712" s="2">
        <v>0.06</v>
      </c>
    </row>
    <row r="713" spans="1:17" x14ac:dyDescent="0.2">
      <c r="A713">
        <v>245</v>
      </c>
      <c r="B713">
        <v>18</v>
      </c>
      <c r="C713" t="s">
        <v>244</v>
      </c>
      <c r="D713" s="12" t="s">
        <v>912</v>
      </c>
      <c r="E713" s="1">
        <v>-4.4746796791578003</v>
      </c>
      <c r="F713" s="1">
        <v>-3.69218419486843</v>
      </c>
      <c r="G713">
        <f>VLOOKUP(C713,'[1]phenotypes-895'!$A$2:$G$896,7,FALSE)</f>
        <v>63</v>
      </c>
      <c r="H713" s="1">
        <v>6.3900603341374707E-2</v>
      </c>
      <c r="I713" s="1">
        <f>VLOOKUP(C713,'[1]phenotypes-895'!$A$2:$I$896,9,FALSE)</f>
        <v>0.42373054936072457</v>
      </c>
      <c r="J713" s="1"/>
      <c r="K713" s="4">
        <v>4.0141689693115756</v>
      </c>
      <c r="L713" s="1"/>
      <c r="M713" s="8">
        <v>1</v>
      </c>
      <c r="N713" s="1"/>
      <c r="O713" s="6">
        <v>1.2050000000000001</v>
      </c>
      <c r="P713" s="1"/>
      <c r="Q713" s="7">
        <v>0.06</v>
      </c>
    </row>
    <row r="714" spans="1:17" x14ac:dyDescent="0.2">
      <c r="A714">
        <v>243</v>
      </c>
      <c r="B714">
        <v>2</v>
      </c>
      <c r="C714" t="s">
        <v>242</v>
      </c>
      <c r="D714" s="12" t="s">
        <v>913</v>
      </c>
      <c r="E714" s="1">
        <v>-1.4206069604932401</v>
      </c>
      <c r="F714" s="1">
        <v>-3.69930495385583</v>
      </c>
      <c r="G714">
        <f>VLOOKUP(C714,'[1]phenotypes-895'!$A$2:$G$896,7,FALSE)</f>
        <v>98</v>
      </c>
      <c r="H714" s="1">
        <v>-3.1661615722329102E-3</v>
      </c>
      <c r="I714" s="1">
        <f>VLOOKUP(C714,'[1]phenotypes-895'!$A$2:$I$896,9,FALSE)</f>
        <v>0.11706170685381841</v>
      </c>
      <c r="J714" s="1"/>
      <c r="K714" s="4">
        <v>2.2582448585365706</v>
      </c>
      <c r="L714" s="1"/>
      <c r="M714" s="8">
        <v>1</v>
      </c>
      <c r="N714" s="1"/>
      <c r="O714" s="6">
        <v>1.083</v>
      </c>
      <c r="P714" s="1"/>
      <c r="Q714" s="7">
        <v>0.03</v>
      </c>
    </row>
    <row r="715" spans="1:17" x14ac:dyDescent="0.2">
      <c r="A715">
        <v>39</v>
      </c>
      <c r="B715">
        <v>17</v>
      </c>
      <c r="C715" t="s">
        <v>38</v>
      </c>
      <c r="D715" s="12" t="s">
        <v>912</v>
      </c>
      <c r="E715" s="1">
        <v>-4.21292885659392</v>
      </c>
      <c r="F715" s="1">
        <v>-3.7071537666737902</v>
      </c>
      <c r="G715">
        <f>VLOOKUP(C715,'[1]phenotypes-895'!$A$2:$G$896,7,FALSE)</f>
        <v>76</v>
      </c>
      <c r="H715" s="1">
        <v>4.4421586788775801E-2</v>
      </c>
      <c r="I715" s="1">
        <f>VLOOKUP(C715,'[1]phenotypes-895'!$A$2:$I$896,9,FALSE)</f>
        <v>0.32750185794187608</v>
      </c>
      <c r="J715" s="1"/>
      <c r="K715" s="4">
        <v>4.0573427164502922</v>
      </c>
      <c r="L715" s="1"/>
      <c r="M715" s="8">
        <v>1</v>
      </c>
      <c r="N715" s="1"/>
      <c r="O715" s="6">
        <v>1.0429999999999999</v>
      </c>
      <c r="P715" s="1"/>
      <c r="Q715" s="7">
        <v>0.01</v>
      </c>
    </row>
    <row r="716" spans="1:17" x14ac:dyDescent="0.2">
      <c r="A716">
        <v>244</v>
      </c>
      <c r="B716">
        <v>5</v>
      </c>
      <c r="C716" t="s">
        <v>243</v>
      </c>
      <c r="D716" s="12" t="s">
        <v>913</v>
      </c>
      <c r="E716" s="1">
        <v>-2.15172858856217</v>
      </c>
      <c r="F716" s="1">
        <v>-3.7551611725455301</v>
      </c>
      <c r="G716">
        <f>VLOOKUP(C716,'[1]phenotypes-895'!$A$2:$G$896,7,FALSE)</f>
        <v>98</v>
      </c>
      <c r="H716" s="1">
        <v>3.7273792446936099E-2</v>
      </c>
      <c r="I716" s="1">
        <f>VLOOKUP(C716,'[1]phenotypes-895'!$A$2:$I$896,9,FALSE)</f>
        <v>0</v>
      </c>
      <c r="J716" s="1"/>
      <c r="K716" s="4">
        <v>0</v>
      </c>
      <c r="L716" s="1"/>
      <c r="M716" s="8">
        <v>0</v>
      </c>
      <c r="N716" s="1"/>
      <c r="O716" s="6">
        <v>1.113</v>
      </c>
      <c r="P716" s="1"/>
      <c r="Q716" s="7">
        <v>0.03</v>
      </c>
    </row>
    <row r="717" spans="1:17" x14ac:dyDescent="0.2">
      <c r="A717">
        <v>56</v>
      </c>
      <c r="B717">
        <v>12</v>
      </c>
      <c r="C717" t="s">
        <v>55</v>
      </c>
      <c r="D717" s="12" t="s">
        <v>912</v>
      </c>
      <c r="E717" s="1">
        <v>-4.3441251504150298</v>
      </c>
      <c r="F717" s="1">
        <v>-3.7591304500541902</v>
      </c>
      <c r="G717">
        <f>VLOOKUP(C717,'[1]phenotypes-895'!$A$2:$G$896,7,FALSE)</f>
        <v>48</v>
      </c>
      <c r="H717" s="1">
        <v>3.7258713450577601E-3</v>
      </c>
      <c r="I717" s="1">
        <f>VLOOKUP(C717,'[1]phenotypes-895'!$A$2:$I$896,9,FALSE)</f>
        <v>0.15858733705519409</v>
      </c>
      <c r="J717" s="1"/>
      <c r="K717" s="4">
        <v>2.8282087869742591</v>
      </c>
      <c r="L717" s="1"/>
      <c r="M717" s="8">
        <v>1</v>
      </c>
      <c r="N717" s="1"/>
      <c r="O717" s="6">
        <v>0.871</v>
      </c>
      <c r="P717" s="1"/>
      <c r="Q717" s="7">
        <v>-0.04</v>
      </c>
    </row>
    <row r="718" spans="1:17" x14ac:dyDescent="0.2">
      <c r="A718">
        <v>531</v>
      </c>
      <c r="B718">
        <v>34</v>
      </c>
      <c r="C718" t="s">
        <v>530</v>
      </c>
      <c r="D718" s="13" t="s">
        <v>913</v>
      </c>
      <c r="E718" s="1">
        <v>-3.67184674720249</v>
      </c>
      <c r="F718" s="1">
        <v>-3.7837424141395699</v>
      </c>
      <c r="G718">
        <f>VLOOKUP(C718,'[1]phenotypes-895'!$A$2:$G$896,7,FALSE)</f>
        <v>58</v>
      </c>
      <c r="H718" s="1">
        <v>0.114707797530822</v>
      </c>
      <c r="I718" s="1">
        <f>VLOOKUP(C718,'[1]phenotypes-895'!$A$2:$I$896,9,FALSE)</f>
        <v>1.227401315433529</v>
      </c>
      <c r="J718" s="1"/>
      <c r="K718" s="4">
        <v>5.2508890661997709</v>
      </c>
      <c r="L718" s="1"/>
      <c r="M718" s="8">
        <v>1</v>
      </c>
      <c r="N718" s="1"/>
      <c r="O718">
        <v>1.018</v>
      </c>
      <c r="P718" s="1"/>
      <c r="Q718" s="2">
        <v>0.01</v>
      </c>
    </row>
    <row r="719" spans="1:17" x14ac:dyDescent="0.2">
      <c r="A719">
        <v>80</v>
      </c>
      <c r="B719">
        <v>44</v>
      </c>
      <c r="C719" t="s">
        <v>79</v>
      </c>
      <c r="D719" s="13" t="s">
        <v>912</v>
      </c>
      <c r="E719" s="1">
        <v>-5.0673430801100601</v>
      </c>
      <c r="F719" s="1">
        <v>-3.8283574340144799</v>
      </c>
      <c r="G719">
        <f>VLOOKUP(C719,'[1]phenotypes-895'!$A$2:$G$896,7,FALSE)</f>
        <v>58</v>
      </c>
      <c r="H719" s="1">
        <v>6.1842346329310603E-3</v>
      </c>
      <c r="I719" s="1">
        <f>VLOOKUP(C719,'[1]phenotypes-895'!$A$2:$I$896,9,FALSE)</f>
        <v>0.66500374408442009</v>
      </c>
      <c r="J719" s="1"/>
      <c r="K719" s="4">
        <v>4.9620136343602139</v>
      </c>
      <c r="L719" s="1"/>
      <c r="M719" s="8">
        <v>1</v>
      </c>
      <c r="N719" s="1"/>
      <c r="O719">
        <v>0.81499999999999995</v>
      </c>
      <c r="P719" s="1"/>
      <c r="Q719" s="2">
        <v>-7.0000000000000007E-2</v>
      </c>
    </row>
    <row r="720" spans="1:17" x14ac:dyDescent="0.2">
      <c r="A720">
        <v>35</v>
      </c>
      <c r="B720">
        <v>14</v>
      </c>
      <c r="C720" t="s">
        <v>34</v>
      </c>
      <c r="D720" s="12" t="s">
        <v>912</v>
      </c>
      <c r="E720" s="1">
        <v>-4.8835317633984996</v>
      </c>
      <c r="F720" s="1">
        <v>-3.8423057074316298</v>
      </c>
      <c r="G720">
        <f>VLOOKUP(C720,'[1]phenotypes-895'!$A$2:$G$896,7,FALSE)</f>
        <v>65</v>
      </c>
      <c r="H720" s="1">
        <v>8.1838360133495505E-2</v>
      </c>
      <c r="I720" s="1">
        <f>VLOOKUP(C720,'[1]phenotypes-895'!$A$2:$I$896,9,FALSE)</f>
        <v>0.59130634211188182</v>
      </c>
      <c r="J720" s="1"/>
      <c r="K720" s="4">
        <v>3.9205865910002298</v>
      </c>
      <c r="L720" s="1"/>
      <c r="M720" s="8">
        <v>1</v>
      </c>
      <c r="N720" s="1"/>
      <c r="O720" s="6">
        <v>0.96599999999999997</v>
      </c>
      <c r="P720" s="1"/>
      <c r="Q720" s="7">
        <v>-0.01</v>
      </c>
    </row>
    <row r="721" spans="1:17" x14ac:dyDescent="0.2">
      <c r="A721">
        <v>823</v>
      </c>
      <c r="B721">
        <v>29</v>
      </c>
      <c r="C721" t="s">
        <v>822</v>
      </c>
      <c r="D721" s="13" t="s">
        <v>913</v>
      </c>
      <c r="E721" s="1">
        <v>-1.5529346552160701</v>
      </c>
      <c r="F721" s="1">
        <v>-3.8698625994893199</v>
      </c>
      <c r="G721">
        <f>VLOOKUP(C721,'[1]phenotypes-895'!$A$2:$G$896,7,FALSE)</f>
        <v>64</v>
      </c>
      <c r="H721" s="1">
        <v>8.8528464978177308E-3</v>
      </c>
      <c r="I721" s="1">
        <f>VLOOKUP(C721,'[1]phenotypes-895'!$A$2:$I$896,9,FALSE)</f>
        <v>0.37156333852063839</v>
      </c>
      <c r="J721" s="1"/>
      <c r="K721" s="4">
        <v>3.8017893139894712</v>
      </c>
      <c r="L721" s="1"/>
      <c r="M721" s="8">
        <v>1</v>
      </c>
      <c r="N721" s="1"/>
      <c r="O721">
        <v>1.069</v>
      </c>
      <c r="P721" s="1"/>
      <c r="Q721" s="2">
        <v>0.02</v>
      </c>
    </row>
    <row r="722" spans="1:17" x14ac:dyDescent="0.2">
      <c r="A722">
        <v>234</v>
      </c>
      <c r="B722">
        <v>17</v>
      </c>
      <c r="C722" t="s">
        <v>233</v>
      </c>
      <c r="D722" s="12" t="s">
        <v>912</v>
      </c>
      <c r="E722" s="1">
        <v>-4.44319261887654</v>
      </c>
      <c r="F722" s="1">
        <v>-3.9117490902908001</v>
      </c>
      <c r="G722">
        <f>VLOOKUP(C722,'[1]phenotypes-895'!$A$2:$G$896,7,FALSE)</f>
        <v>98</v>
      </c>
      <c r="H722" s="1">
        <v>5.1424781357632003E-2</v>
      </c>
      <c r="I722" s="1">
        <f>VLOOKUP(C722,'[1]phenotypes-895'!$A$2:$I$896,9,FALSE)</f>
        <v>0</v>
      </c>
      <c r="J722" s="1"/>
      <c r="K722" s="4">
        <v>0</v>
      </c>
      <c r="L722" s="1"/>
      <c r="M722" s="8">
        <v>0</v>
      </c>
      <c r="N722" s="1"/>
      <c r="O722" s="6">
        <v>0.97599999999999998</v>
      </c>
      <c r="P722" s="1"/>
      <c r="Q722" s="7">
        <v>-0.01</v>
      </c>
    </row>
    <row r="723" spans="1:17" x14ac:dyDescent="0.2">
      <c r="A723">
        <v>551</v>
      </c>
      <c r="B723">
        <v>33</v>
      </c>
      <c r="C723" t="s">
        <v>550</v>
      </c>
      <c r="D723" s="13" t="s">
        <v>913</v>
      </c>
      <c r="E723" s="1">
        <v>-3.8671705248054602</v>
      </c>
      <c r="F723" s="1">
        <v>-3.9601241446543098</v>
      </c>
      <c r="G723">
        <f>VLOOKUP(C723,'[1]phenotypes-895'!$A$2:$G$896,7,FALSE)</f>
        <v>63</v>
      </c>
      <c r="H723" s="1">
        <v>3.03859302586043E-2</v>
      </c>
      <c r="I723" s="1">
        <f>VLOOKUP(C723,'[1]phenotypes-895'!$A$2:$I$896,9,FALSE)</f>
        <v>0.51266580993662769</v>
      </c>
      <c r="J723" s="1"/>
      <c r="K723" s="4">
        <v>3.9948070288339257</v>
      </c>
      <c r="L723" s="1"/>
      <c r="M723" s="8">
        <v>1</v>
      </c>
      <c r="N723" s="1"/>
      <c r="O723">
        <v>1.0209999999999999</v>
      </c>
      <c r="P723" s="1"/>
      <c r="Q723" s="2">
        <v>0.01</v>
      </c>
    </row>
    <row r="724" spans="1:17" x14ac:dyDescent="0.2">
      <c r="A724">
        <v>239</v>
      </c>
      <c r="B724">
        <v>2</v>
      </c>
      <c r="C724" t="s">
        <v>238</v>
      </c>
      <c r="D724" s="12" t="s">
        <v>913</v>
      </c>
      <c r="E724" s="1">
        <v>-2.4015107815121302</v>
      </c>
      <c r="F724" s="1">
        <v>-3.9686444775744798</v>
      </c>
      <c r="G724">
        <f>VLOOKUP(C724,'[1]phenotypes-895'!$A$2:$G$896,7,FALSE)</f>
        <v>53</v>
      </c>
      <c r="H724" s="1">
        <v>5.9331491682561001E-2</v>
      </c>
      <c r="I724" s="1">
        <f>VLOOKUP(C724,'[1]phenotypes-895'!$A$2:$I$896,9,FALSE)</f>
        <v>0.89489157359405158</v>
      </c>
      <c r="J724" s="1"/>
      <c r="K724" s="4">
        <v>4.4861456801611688</v>
      </c>
      <c r="L724" s="1"/>
      <c r="M724" s="8">
        <v>1</v>
      </c>
      <c r="N724" s="1"/>
      <c r="O724" s="6">
        <v>0.93200000000000005</v>
      </c>
      <c r="P724" s="1"/>
      <c r="Q724" s="7">
        <v>-0.02</v>
      </c>
    </row>
    <row r="725" spans="1:17" x14ac:dyDescent="0.2">
      <c r="A725">
        <v>744</v>
      </c>
      <c r="B725">
        <v>24</v>
      </c>
      <c r="C725" t="s">
        <v>743</v>
      </c>
      <c r="D725" s="13" t="s">
        <v>913</v>
      </c>
      <c r="E725" s="1">
        <v>-2.6946768665553398</v>
      </c>
      <c r="F725" s="1">
        <v>-4.0218585575396197</v>
      </c>
      <c r="G725">
        <f>VLOOKUP(C725,'[1]phenotypes-895'!$A$2:$G$896,7,FALSE)</f>
        <v>69</v>
      </c>
      <c r="H725" s="1">
        <v>8.5343754682480594E-2</v>
      </c>
      <c r="I725" s="1">
        <f>VLOOKUP(C725,'[1]phenotypes-895'!$A$2:$I$896,9,FALSE)</f>
        <v>0.3227983999936081</v>
      </c>
      <c r="J725" s="1"/>
      <c r="K725" s="4">
        <v>4.1126368056140485</v>
      </c>
      <c r="L725" s="1"/>
      <c r="M725" s="8">
        <v>1</v>
      </c>
      <c r="N725" s="1"/>
      <c r="O725">
        <v>1.1879999999999999</v>
      </c>
      <c r="P725" s="1"/>
      <c r="Q725" s="2">
        <v>0.05</v>
      </c>
    </row>
    <row r="726" spans="1:17" x14ac:dyDescent="0.2">
      <c r="A726">
        <v>809</v>
      </c>
      <c r="B726">
        <v>24</v>
      </c>
      <c r="C726" t="s">
        <v>808</v>
      </c>
      <c r="D726" s="13" t="s">
        <v>913</v>
      </c>
      <c r="E726" s="1">
        <v>-2.3417526244030999</v>
      </c>
      <c r="F726" s="1">
        <v>-4.0268783050465604</v>
      </c>
      <c r="G726">
        <f>VLOOKUP(C726,'[1]phenotypes-895'!$A$2:$G$896,7,FALSE)</f>
        <v>52</v>
      </c>
      <c r="H726" s="1">
        <v>2.25944028974852E-2</v>
      </c>
      <c r="I726" s="1">
        <f>VLOOKUP(C726,'[1]phenotypes-895'!$A$2:$I$896,9,FALSE)</f>
        <v>0.73424835186170923</v>
      </c>
      <c r="J726" s="1"/>
      <c r="K726" s="4">
        <v>4.5486055752982253</v>
      </c>
      <c r="L726" s="1"/>
      <c r="M726" s="8">
        <v>1</v>
      </c>
      <c r="N726" s="1"/>
      <c r="O726">
        <v>1.139</v>
      </c>
      <c r="P726" s="1"/>
      <c r="Q726" s="2">
        <v>0.04</v>
      </c>
    </row>
    <row r="727" spans="1:17" x14ac:dyDescent="0.2">
      <c r="A727">
        <v>54</v>
      </c>
      <c r="B727">
        <v>7</v>
      </c>
      <c r="C727" t="s">
        <v>53</v>
      </c>
      <c r="D727" s="12" t="s">
        <v>913</v>
      </c>
      <c r="E727" s="1">
        <v>-3.61747148541395</v>
      </c>
      <c r="F727" s="1">
        <v>-4.0321804372616796</v>
      </c>
      <c r="G727">
        <f>VLOOKUP(C727,'[1]phenotypes-895'!$A$2:$G$896,7,FALSE)</f>
        <v>61</v>
      </c>
      <c r="H727" s="1">
        <v>6.42398219847823E-2</v>
      </c>
      <c r="I727" s="1">
        <f>VLOOKUP(C727,'[1]phenotypes-895'!$A$2:$I$896,9,FALSE)</f>
        <v>0.62277543621105924</v>
      </c>
      <c r="J727" s="1"/>
      <c r="K727" s="4">
        <v>4.8934824478902144</v>
      </c>
      <c r="L727" s="1"/>
      <c r="M727" s="8">
        <v>1</v>
      </c>
      <c r="N727" s="1"/>
      <c r="O727" s="6">
        <v>0.98799999999999999</v>
      </c>
      <c r="P727" s="1"/>
      <c r="Q727" s="7">
        <v>0</v>
      </c>
    </row>
    <row r="728" spans="1:17" x14ac:dyDescent="0.2">
      <c r="A728">
        <v>431</v>
      </c>
      <c r="B728">
        <v>42</v>
      </c>
      <c r="C728" t="s">
        <v>430</v>
      </c>
      <c r="D728" s="13" t="s">
        <v>912</v>
      </c>
      <c r="E728" s="1">
        <v>-2.0667891525827198</v>
      </c>
      <c r="F728" s="1">
        <v>-4.04520457010935</v>
      </c>
      <c r="G728">
        <f>VLOOKUP(C728,'[1]phenotypes-895'!$A$2:$G$896,7,FALSE)</f>
        <v>65</v>
      </c>
      <c r="H728" s="1">
        <v>3.6905863270799699E-2</v>
      </c>
      <c r="I728" s="1">
        <f>VLOOKUP(C728,'[1]phenotypes-895'!$A$2:$I$896,9,FALSE)</f>
        <v>0.68762767900822208</v>
      </c>
      <c r="J728" s="1"/>
      <c r="K728" s="4">
        <v>4.3573235131248298</v>
      </c>
      <c r="L728" s="1"/>
      <c r="M728" s="8">
        <v>1</v>
      </c>
      <c r="N728" s="1"/>
      <c r="O728">
        <v>0.90400000000000003</v>
      </c>
      <c r="P728" s="1"/>
      <c r="Q728" s="2">
        <v>-0.03</v>
      </c>
    </row>
    <row r="729" spans="1:17" x14ac:dyDescent="0.2">
      <c r="A729">
        <v>684</v>
      </c>
      <c r="B729">
        <v>24</v>
      </c>
      <c r="C729" t="s">
        <v>683</v>
      </c>
      <c r="D729" s="13" t="s">
        <v>913</v>
      </c>
      <c r="E729" s="1">
        <v>-2.6149871904331601</v>
      </c>
      <c r="F729" s="1">
        <v>-4.0576977196269297</v>
      </c>
      <c r="G729">
        <f>VLOOKUP(C729,'[1]phenotypes-895'!$A$2:$G$896,7,FALSE)</f>
        <v>65</v>
      </c>
      <c r="H729" s="1">
        <v>2.9696365943763001E-2</v>
      </c>
      <c r="I729" s="1">
        <f>VLOOKUP(C729,'[1]phenotypes-895'!$A$2:$I$896,9,FALSE)</f>
        <v>0.56882008681956131</v>
      </c>
      <c r="J729" s="1"/>
      <c r="K729" s="4">
        <v>4.0324194023783217</v>
      </c>
      <c r="L729" s="1"/>
      <c r="M729" s="8">
        <v>1</v>
      </c>
      <c r="N729" s="1"/>
      <c r="O729">
        <v>1.1060000000000001</v>
      </c>
      <c r="P729" s="1"/>
      <c r="Q729" s="2">
        <v>0.03</v>
      </c>
    </row>
    <row r="730" spans="1:17" x14ac:dyDescent="0.2">
      <c r="A730">
        <v>236</v>
      </c>
      <c r="B730">
        <v>14</v>
      </c>
      <c r="C730" t="s">
        <v>235</v>
      </c>
      <c r="D730" s="12" t="s">
        <v>912</v>
      </c>
      <c r="E730" s="1">
        <v>-3.2604054808129801</v>
      </c>
      <c r="F730" s="1">
        <v>-4.1395715571668896</v>
      </c>
      <c r="G730">
        <f>VLOOKUP(C730,'[1]phenotypes-895'!$A$2:$G$896,7,FALSE)</f>
        <v>72</v>
      </c>
      <c r="H730" s="1">
        <v>6.9986420629215604E-2</v>
      </c>
      <c r="I730" s="1">
        <f>VLOOKUP(C730,'[1]phenotypes-895'!$A$2:$I$896,9,FALSE)</f>
        <v>0.46949732501741182</v>
      </c>
      <c r="J730" s="1"/>
      <c r="K730" s="4">
        <v>3.9782207074692262</v>
      </c>
      <c r="L730" s="1"/>
      <c r="M730" s="8">
        <v>1</v>
      </c>
      <c r="N730" s="1"/>
      <c r="O730" s="6">
        <v>0.93300000000000005</v>
      </c>
      <c r="P730" s="1"/>
      <c r="Q730" s="7">
        <v>-0.02</v>
      </c>
    </row>
    <row r="731" spans="1:17" x14ac:dyDescent="0.2">
      <c r="A731">
        <v>52</v>
      </c>
      <c r="B731">
        <v>14</v>
      </c>
      <c r="C731" t="s">
        <v>51</v>
      </c>
      <c r="D731" s="12" t="s">
        <v>912</v>
      </c>
      <c r="E731" s="1">
        <v>-5.3167153675305903</v>
      </c>
      <c r="F731" s="1">
        <v>-4.14177955814157</v>
      </c>
      <c r="G731">
        <f>VLOOKUP(C731,'[1]phenotypes-895'!$A$2:$G$896,7,FALSE)</f>
        <v>53</v>
      </c>
      <c r="H731" s="1">
        <v>9.9399198211419196E-2</v>
      </c>
      <c r="I731" s="1">
        <f>VLOOKUP(C731,'[1]phenotypes-895'!$A$2:$I$896,9,FALSE)</f>
        <v>0.617581363785628</v>
      </c>
      <c r="J731" s="1"/>
      <c r="K731" s="4">
        <v>4.4418077904845878</v>
      </c>
      <c r="L731" s="1"/>
      <c r="M731" s="8">
        <v>1</v>
      </c>
      <c r="N731" s="1"/>
      <c r="O731" s="6">
        <v>1.0589999999999999</v>
      </c>
      <c r="P731" s="1"/>
      <c r="Q731" s="7">
        <v>0.02</v>
      </c>
    </row>
    <row r="732" spans="1:17" x14ac:dyDescent="0.2">
      <c r="A732">
        <v>278</v>
      </c>
      <c r="B732">
        <v>5</v>
      </c>
      <c r="C732" t="s">
        <v>277</v>
      </c>
      <c r="D732" s="12" t="s">
        <v>913</v>
      </c>
      <c r="E732" s="1">
        <v>-2.0949382230900602</v>
      </c>
      <c r="F732" s="1">
        <v>-4.1434630644826598</v>
      </c>
      <c r="G732">
        <f>VLOOKUP(C732,'[1]phenotypes-895'!$A$2:$G$896,7,FALSE)</f>
        <v>70</v>
      </c>
      <c r="H732" s="1">
        <v>3.4995985602625602E-2</v>
      </c>
      <c r="I732" s="1">
        <f>VLOOKUP(C732,'[1]phenotypes-895'!$A$2:$I$896,9,FALSE)</f>
        <v>0.48615090252016407</v>
      </c>
      <c r="J732" s="1"/>
      <c r="K732" s="4">
        <v>4.0011783568524759</v>
      </c>
      <c r="L732" s="1"/>
      <c r="M732" s="8">
        <v>1</v>
      </c>
      <c r="N732" s="1"/>
      <c r="O732" s="6">
        <v>1.123</v>
      </c>
      <c r="P732" s="1"/>
      <c r="Q732" s="7">
        <v>0.04</v>
      </c>
    </row>
    <row r="733" spans="1:17" x14ac:dyDescent="0.2">
      <c r="A733">
        <v>385</v>
      </c>
      <c r="B733">
        <v>49</v>
      </c>
      <c r="C733" t="s">
        <v>384</v>
      </c>
      <c r="D733" s="13" t="s">
        <v>912</v>
      </c>
      <c r="E733" s="1">
        <v>-4.4369668320327902</v>
      </c>
      <c r="F733" s="1">
        <v>-4.1565717966769302</v>
      </c>
      <c r="G733">
        <f>VLOOKUP(C733,'[1]phenotypes-895'!$A$2:$G$896,7,FALSE)</f>
        <v>51</v>
      </c>
      <c r="H733" s="1">
        <v>7.8502534588302406E-2</v>
      </c>
      <c r="I733" s="1">
        <f>VLOOKUP(C733,'[1]phenotypes-895'!$A$2:$I$896,9,FALSE)</f>
        <v>0.47706729141631071</v>
      </c>
      <c r="J733" s="1"/>
      <c r="K733" s="4">
        <v>4.1235118800184365</v>
      </c>
      <c r="L733" s="1"/>
      <c r="M733" s="8">
        <v>1</v>
      </c>
      <c r="N733" s="1"/>
      <c r="O733">
        <v>0.70899999999999996</v>
      </c>
      <c r="P733" s="1"/>
      <c r="Q733" s="2">
        <v>-0.11</v>
      </c>
    </row>
    <row r="734" spans="1:17" x14ac:dyDescent="0.2">
      <c r="A734">
        <v>324</v>
      </c>
      <c r="B734">
        <v>8</v>
      </c>
      <c r="C734" t="s">
        <v>323</v>
      </c>
      <c r="D734" s="12" t="s">
        <v>913</v>
      </c>
      <c r="E734" s="1">
        <v>-2.9044815654875298</v>
      </c>
      <c r="F734" s="1">
        <v>-4.1593547766130303</v>
      </c>
      <c r="G734">
        <f>VLOOKUP(C734,'[1]phenotypes-895'!$A$2:$G$896,7,FALSE)</f>
        <v>53</v>
      </c>
      <c r="H734" s="1">
        <v>2.15623768496674E-2</v>
      </c>
      <c r="I734" s="1">
        <f>VLOOKUP(C734,'[1]phenotypes-895'!$A$2:$I$896,9,FALSE)</f>
        <v>0.43929368558964349</v>
      </c>
      <c r="J734" s="1"/>
      <c r="K734" s="4">
        <v>4.0626938418592458</v>
      </c>
      <c r="L734" s="1"/>
      <c r="M734" s="8">
        <v>1</v>
      </c>
      <c r="N734" s="1"/>
      <c r="O734" s="6">
        <v>1.093</v>
      </c>
      <c r="P734" s="1"/>
      <c r="Q734" s="7">
        <v>0.03</v>
      </c>
    </row>
    <row r="735" spans="1:17" x14ac:dyDescent="0.2">
      <c r="A735">
        <v>15</v>
      </c>
      <c r="B735">
        <v>9</v>
      </c>
      <c r="C735" t="s">
        <v>14</v>
      </c>
      <c r="D735" s="12" t="s">
        <v>912</v>
      </c>
      <c r="E735" s="1">
        <v>-3.7569217402513502</v>
      </c>
      <c r="F735" s="1">
        <v>-4.1722462339659598</v>
      </c>
      <c r="G735">
        <f>VLOOKUP(C735,'[1]phenotypes-895'!$A$2:$G$896,7,FALSE)</f>
        <v>53</v>
      </c>
      <c r="H735" s="1">
        <v>4.8173744336189803E-2</v>
      </c>
      <c r="I735" s="1">
        <f>VLOOKUP(C735,'[1]phenotypes-895'!$A$2:$I$896,9,FALSE)</f>
        <v>0.71721434386483363</v>
      </c>
      <c r="J735" s="1"/>
      <c r="K735" s="4">
        <v>3.9740413603464422</v>
      </c>
      <c r="L735" s="1"/>
      <c r="M735" s="8">
        <v>1</v>
      </c>
      <c r="N735" s="1"/>
      <c r="O735" s="6">
        <v>1.1060000000000001</v>
      </c>
      <c r="P735" s="1"/>
      <c r="Q735" s="7">
        <v>0.03</v>
      </c>
    </row>
    <row r="736" spans="1:17" x14ac:dyDescent="0.2">
      <c r="A736">
        <v>70</v>
      </c>
      <c r="B736">
        <v>13</v>
      </c>
      <c r="C736" t="s">
        <v>69</v>
      </c>
      <c r="D736" s="12" t="s">
        <v>912</v>
      </c>
      <c r="E736" s="1">
        <v>-4.4643142166333396</v>
      </c>
      <c r="F736" s="1">
        <v>-4.2135398042652099</v>
      </c>
      <c r="G736">
        <f>VLOOKUP(C736,'[1]phenotypes-895'!$A$2:$G$896,7,FALSE)</f>
        <v>54</v>
      </c>
      <c r="H736" s="1">
        <v>0.11468987858188601</v>
      </c>
      <c r="I736" s="1">
        <f>VLOOKUP(C736,'[1]phenotypes-895'!$A$2:$I$896,9,FALSE)</f>
        <v>0.70139043492104369</v>
      </c>
      <c r="J736" s="1"/>
      <c r="K736" s="4">
        <v>4.3262697436606823</v>
      </c>
      <c r="L736" s="1"/>
      <c r="M736" s="8">
        <v>1</v>
      </c>
      <c r="N736" s="1"/>
      <c r="O736" s="6">
        <v>0.878</v>
      </c>
      <c r="P736" s="1"/>
      <c r="Q736" s="7">
        <v>-0.04</v>
      </c>
    </row>
    <row r="737" spans="1:17" x14ac:dyDescent="0.2">
      <c r="A737">
        <v>83</v>
      </c>
      <c r="B737">
        <v>10</v>
      </c>
      <c r="C737" t="s">
        <v>82</v>
      </c>
      <c r="D737" s="12" t="s">
        <v>912</v>
      </c>
      <c r="E737" s="1">
        <v>-4.5951309144919597</v>
      </c>
      <c r="F737" s="1">
        <v>-4.2156058327931998</v>
      </c>
      <c r="G737">
        <f>VLOOKUP(C737,'[1]phenotypes-895'!$A$2:$G$896,7,FALSE)</f>
        <v>54</v>
      </c>
      <c r="H737" s="1">
        <v>6.6039226518317201E-2</v>
      </c>
      <c r="I737" s="1">
        <f>VLOOKUP(C737,'[1]phenotypes-895'!$A$2:$I$896,9,FALSE)</f>
        <v>0.69853593937428582</v>
      </c>
      <c r="J737" s="1"/>
      <c r="K737" s="4">
        <v>4.1832573352255364</v>
      </c>
      <c r="L737" s="1"/>
      <c r="M737" s="8">
        <v>1</v>
      </c>
      <c r="N737" s="1"/>
      <c r="O737" s="6">
        <v>1.1120000000000001</v>
      </c>
      <c r="P737" s="1"/>
      <c r="Q737" s="7">
        <v>0.03</v>
      </c>
    </row>
    <row r="738" spans="1:17" x14ac:dyDescent="0.2">
      <c r="A738">
        <v>334</v>
      </c>
      <c r="B738">
        <v>4</v>
      </c>
      <c r="C738" t="s">
        <v>333</v>
      </c>
      <c r="D738" s="12" t="s">
        <v>913</v>
      </c>
      <c r="E738" s="1">
        <v>-2.01268149394055</v>
      </c>
      <c r="F738" s="1">
        <v>-4.2218148035761702</v>
      </c>
      <c r="G738">
        <f>VLOOKUP(C738,'[1]phenotypes-895'!$A$2:$G$896,7,FALSE)</f>
        <v>80</v>
      </c>
      <c r="H738" s="1">
        <v>9.5069505192475201E-2</v>
      </c>
      <c r="I738" s="1">
        <f>VLOOKUP(C738,'[1]phenotypes-895'!$A$2:$I$896,9,FALSE)</f>
        <v>0.537522350885279</v>
      </c>
      <c r="J738" s="1"/>
      <c r="K738" s="4">
        <v>4.324941480949466</v>
      </c>
      <c r="L738" s="1"/>
      <c r="M738" s="8">
        <v>1</v>
      </c>
      <c r="N738" s="1"/>
      <c r="O738" s="6">
        <v>1.024</v>
      </c>
      <c r="P738" s="1"/>
      <c r="Q738" s="7">
        <v>0.01</v>
      </c>
    </row>
    <row r="739" spans="1:17" x14ac:dyDescent="0.2">
      <c r="A739">
        <v>302</v>
      </c>
      <c r="B739">
        <v>13</v>
      </c>
      <c r="C739" t="s">
        <v>301</v>
      </c>
      <c r="D739" s="12" t="s">
        <v>912</v>
      </c>
      <c r="E739" s="1">
        <v>-4.3815987990796499</v>
      </c>
      <c r="F739" s="1">
        <v>-4.2267138261585204</v>
      </c>
      <c r="G739">
        <f>VLOOKUP(C739,'[1]phenotypes-895'!$A$2:$G$896,7,FALSE)</f>
        <v>98</v>
      </c>
      <c r="H739" s="1">
        <v>8.270120837554E-2</v>
      </c>
      <c r="I739" s="1">
        <f>VLOOKUP(C739,'[1]phenotypes-895'!$A$2:$I$896,9,FALSE)</f>
        <v>0</v>
      </c>
      <c r="J739" s="1"/>
      <c r="K739" s="4">
        <v>0</v>
      </c>
      <c r="L739" s="1"/>
      <c r="M739" s="8">
        <v>0</v>
      </c>
      <c r="N739" s="1"/>
      <c r="O739" s="6">
        <v>1.0409999999999999</v>
      </c>
      <c r="P739" s="1"/>
      <c r="Q739" s="7">
        <v>0.01</v>
      </c>
    </row>
    <row r="740" spans="1:17" x14ac:dyDescent="0.2">
      <c r="A740">
        <v>259</v>
      </c>
      <c r="B740">
        <v>24</v>
      </c>
      <c r="C740" t="s">
        <v>258</v>
      </c>
      <c r="D740" s="13" t="s">
        <v>913</v>
      </c>
      <c r="E740" s="1">
        <v>-2.5937976148825701</v>
      </c>
      <c r="F740" s="1">
        <v>-4.23272187309058</v>
      </c>
      <c r="G740">
        <f>VLOOKUP(C740,'[1]phenotypes-895'!$A$2:$G$896,7,FALSE)</f>
        <v>84</v>
      </c>
      <c r="H740" s="1">
        <v>6.2324272658325103E-2</v>
      </c>
      <c r="I740" s="1">
        <f>VLOOKUP(C740,'[1]phenotypes-895'!$A$2:$I$896,9,FALSE)</f>
        <v>0.38393768946419782</v>
      </c>
      <c r="J740" s="1"/>
      <c r="K740" s="4">
        <v>4.6221647730549771</v>
      </c>
      <c r="L740" s="1"/>
      <c r="M740" s="8">
        <v>1</v>
      </c>
      <c r="N740" s="1"/>
      <c r="O740">
        <v>1.1870000000000001</v>
      </c>
      <c r="P740" s="1"/>
      <c r="Q740" s="2">
        <v>0.05</v>
      </c>
    </row>
    <row r="741" spans="1:17" x14ac:dyDescent="0.2">
      <c r="A741">
        <v>149</v>
      </c>
      <c r="B741">
        <v>9</v>
      </c>
      <c r="C741" t="s">
        <v>148</v>
      </c>
      <c r="D741" s="12" t="s">
        <v>912</v>
      </c>
      <c r="E741" s="1">
        <v>-3.8969849381498198</v>
      </c>
      <c r="F741" s="1">
        <v>-4.2624175858320896</v>
      </c>
      <c r="G741">
        <f>VLOOKUP(C741,'[1]phenotypes-895'!$A$2:$G$896,7,FALSE)</f>
        <v>62</v>
      </c>
      <c r="H741" s="1">
        <v>5.0242805678489502E-2</v>
      </c>
      <c r="I741" s="1">
        <f>VLOOKUP(C741,'[1]phenotypes-895'!$A$2:$I$896,9,FALSE)</f>
        <v>0.35852083900042242</v>
      </c>
      <c r="J741" s="1"/>
      <c r="K741" s="4">
        <v>4.0342200769207111</v>
      </c>
      <c r="L741" s="1"/>
      <c r="M741" s="8">
        <v>1</v>
      </c>
      <c r="N741" s="1"/>
      <c r="O741" s="6">
        <v>0.94799999999999995</v>
      </c>
      <c r="P741" s="1"/>
      <c r="Q741" s="7">
        <v>-0.02</v>
      </c>
    </row>
    <row r="742" spans="1:17" x14ac:dyDescent="0.2">
      <c r="A742">
        <v>422</v>
      </c>
      <c r="B742">
        <v>31</v>
      </c>
      <c r="C742" t="s">
        <v>421</v>
      </c>
      <c r="D742" s="13" t="s">
        <v>913</v>
      </c>
      <c r="E742" s="1">
        <v>-2.0324411775077702</v>
      </c>
      <c r="F742" s="1">
        <v>-4.2834191576376899</v>
      </c>
      <c r="G742">
        <f>VLOOKUP(C742,'[1]phenotypes-895'!$A$2:$G$896,7,FALSE)</f>
        <v>64</v>
      </c>
      <c r="H742" s="1">
        <v>4.0313716375130197E-2</v>
      </c>
      <c r="I742" s="1">
        <f>VLOOKUP(C742,'[1]phenotypes-895'!$A$2:$I$896,9,FALSE)</f>
        <v>0.52242804952731026</v>
      </c>
      <c r="J742" s="1"/>
      <c r="K742" s="4">
        <v>3.7847732763733335</v>
      </c>
      <c r="L742" s="1"/>
      <c r="M742" s="8">
        <v>1</v>
      </c>
      <c r="N742" s="1"/>
      <c r="O742">
        <v>1.137</v>
      </c>
      <c r="P742" s="1"/>
      <c r="Q742" s="2">
        <v>0.04</v>
      </c>
    </row>
    <row r="743" spans="1:17" x14ac:dyDescent="0.2">
      <c r="A743">
        <v>125</v>
      </c>
      <c r="B743">
        <v>29</v>
      </c>
      <c r="C743" t="s">
        <v>124</v>
      </c>
      <c r="D743" s="13" t="s">
        <v>913</v>
      </c>
      <c r="E743" s="1">
        <v>-2.6500416921833798</v>
      </c>
      <c r="F743" s="1">
        <v>-4.30980803747675</v>
      </c>
      <c r="G743">
        <f>VLOOKUP(C743,'[1]phenotypes-895'!$A$2:$G$896,7,FALSE)</f>
        <v>66</v>
      </c>
      <c r="H743" s="1">
        <v>3.9785786600088802E-2</v>
      </c>
      <c r="I743" s="1">
        <f>VLOOKUP(C743,'[1]phenotypes-895'!$A$2:$I$896,9,FALSE)</f>
        <v>0.62725244726354012</v>
      </c>
      <c r="J743" s="1"/>
      <c r="K743" s="4">
        <v>4.2068719898485414</v>
      </c>
      <c r="L743" s="1"/>
      <c r="M743" s="8">
        <v>1</v>
      </c>
      <c r="N743" s="1"/>
      <c r="O743">
        <v>1.1399999999999999</v>
      </c>
      <c r="P743" s="1"/>
      <c r="Q743" s="2">
        <v>0.04</v>
      </c>
    </row>
    <row r="744" spans="1:17" x14ac:dyDescent="0.2">
      <c r="A744">
        <v>815</v>
      </c>
      <c r="B744">
        <v>33</v>
      </c>
      <c r="C744" t="s">
        <v>814</v>
      </c>
      <c r="D744" s="13" t="s">
        <v>913</v>
      </c>
      <c r="E744" s="1">
        <v>-4.0193599856567799</v>
      </c>
      <c r="F744" s="1">
        <v>-4.3330896930102298</v>
      </c>
      <c r="G744">
        <f>VLOOKUP(C744,'[1]phenotypes-895'!$A$2:$G$896,7,FALSE)</f>
        <v>44</v>
      </c>
      <c r="H744" s="1">
        <v>5.2771660989235199E-2</v>
      </c>
      <c r="I744" s="1">
        <f>VLOOKUP(C744,'[1]phenotypes-895'!$A$2:$I$896,9,FALSE)</f>
        <v>0.46912997103070908</v>
      </c>
      <c r="J744" s="1"/>
      <c r="K744" s="4">
        <v>5.1036222701149532</v>
      </c>
      <c r="L744" s="1"/>
      <c r="M744" s="8">
        <v>1</v>
      </c>
      <c r="N744" s="1"/>
      <c r="O744">
        <v>0.98</v>
      </c>
      <c r="P744" s="1"/>
      <c r="Q744" s="2">
        <v>-0.01</v>
      </c>
    </row>
    <row r="745" spans="1:17" x14ac:dyDescent="0.2">
      <c r="A745">
        <v>110</v>
      </c>
      <c r="B745">
        <v>1</v>
      </c>
      <c r="C745" t="s">
        <v>109</v>
      </c>
      <c r="D745" s="12" t="s">
        <v>913</v>
      </c>
      <c r="E745" s="1">
        <v>-2.68533906058371</v>
      </c>
      <c r="F745" s="1">
        <v>-4.3331157425559796</v>
      </c>
      <c r="G745">
        <f>VLOOKUP(C745,'[1]phenotypes-895'!$A$2:$G$896,7,FALSE)</f>
        <v>76</v>
      </c>
      <c r="H745" s="1">
        <v>2.3601965321090601E-2</v>
      </c>
      <c r="I745" s="1">
        <f>VLOOKUP(C745,'[1]phenotypes-895'!$A$2:$I$896,9,FALSE)</f>
        <v>0.3361838786892325</v>
      </c>
      <c r="J745" s="1"/>
      <c r="K745" s="4">
        <v>3.3228351472317454</v>
      </c>
      <c r="L745" s="1"/>
      <c r="M745" s="8">
        <v>1</v>
      </c>
      <c r="N745" s="1"/>
      <c r="O745" s="6">
        <v>1.1000000000000001</v>
      </c>
      <c r="P745" s="1"/>
      <c r="Q745" s="7">
        <v>0.03</v>
      </c>
    </row>
    <row r="746" spans="1:17" x14ac:dyDescent="0.2">
      <c r="A746">
        <v>349</v>
      </c>
      <c r="B746">
        <v>15</v>
      </c>
      <c r="C746" t="s">
        <v>348</v>
      </c>
      <c r="D746" s="12" t="s">
        <v>912</v>
      </c>
      <c r="E746" s="1">
        <v>-3.9456643437717198</v>
      </c>
      <c r="F746" s="1">
        <v>-4.3654422600538103</v>
      </c>
      <c r="G746">
        <f>VLOOKUP(C746,'[1]phenotypes-895'!$A$2:$G$896,7,FALSE)</f>
        <v>64</v>
      </c>
      <c r="H746" s="1">
        <v>2.4158864078206801E-2</v>
      </c>
      <c r="I746" s="1">
        <f>VLOOKUP(C746,'[1]phenotypes-895'!$A$2:$I$896,9,FALSE)</f>
        <v>0.34330930334171861</v>
      </c>
      <c r="J746" s="1"/>
      <c r="K746" s="4">
        <v>3.6752852936406781</v>
      </c>
      <c r="L746" s="1"/>
      <c r="M746" s="8">
        <v>1</v>
      </c>
      <c r="N746" s="1"/>
      <c r="O746" s="6">
        <v>0.94799999999999995</v>
      </c>
      <c r="P746" s="1"/>
      <c r="Q746" s="7">
        <v>-0.02</v>
      </c>
    </row>
    <row r="747" spans="1:17" x14ac:dyDescent="0.2">
      <c r="A747">
        <v>520</v>
      </c>
      <c r="B747">
        <v>3</v>
      </c>
      <c r="C747" t="s">
        <v>519</v>
      </c>
      <c r="D747" s="12" t="s">
        <v>913</v>
      </c>
      <c r="E747" s="1">
        <v>-1.5398924414126101</v>
      </c>
      <c r="F747" s="1">
        <v>-4.3833542048599599</v>
      </c>
      <c r="G747">
        <f>VLOOKUP(C747,'[1]phenotypes-895'!$A$2:$G$896,7,FALSE)</f>
        <v>72</v>
      </c>
      <c r="H747" s="1">
        <v>4.2802845595456003E-2</v>
      </c>
      <c r="I747" s="1">
        <f>VLOOKUP(C747,'[1]phenotypes-895'!$A$2:$I$896,9,FALSE)</f>
        <v>0.48648053766222882</v>
      </c>
      <c r="J747" s="1"/>
      <c r="K747" s="4">
        <v>4.4521553074391118</v>
      </c>
      <c r="L747" s="1"/>
      <c r="M747" s="8">
        <v>1</v>
      </c>
      <c r="N747" s="1"/>
      <c r="O747" s="6">
        <v>0.90100000000000002</v>
      </c>
      <c r="P747" s="1"/>
      <c r="Q747" s="7">
        <v>-0.03</v>
      </c>
    </row>
    <row r="748" spans="1:17" x14ac:dyDescent="0.2">
      <c r="A748">
        <v>230</v>
      </c>
      <c r="B748">
        <v>13</v>
      </c>
      <c r="C748" t="s">
        <v>229</v>
      </c>
      <c r="D748" s="12" t="s">
        <v>912</v>
      </c>
      <c r="E748" s="1">
        <v>-4.7126477792256098</v>
      </c>
      <c r="F748" s="1">
        <v>-4.3921277615260204</v>
      </c>
      <c r="G748">
        <f>VLOOKUP(C748,'[1]phenotypes-895'!$A$2:$G$896,7,FALSE)</f>
        <v>98</v>
      </c>
      <c r="H748" s="1">
        <v>7.3012278915441306E-2</v>
      </c>
      <c r="I748" s="1">
        <f>VLOOKUP(C748,'[1]phenotypes-895'!$A$2:$I$896,9,FALSE)</f>
        <v>0</v>
      </c>
      <c r="J748" s="1"/>
      <c r="K748" s="4">
        <v>0</v>
      </c>
      <c r="L748" s="1"/>
      <c r="M748" s="8">
        <v>0</v>
      </c>
      <c r="N748" s="1"/>
      <c r="O748" s="6">
        <v>0.54400000000000004</v>
      </c>
      <c r="P748" s="1"/>
      <c r="Q748" s="7">
        <v>-0.21</v>
      </c>
    </row>
    <row r="749" spans="1:17" x14ac:dyDescent="0.2">
      <c r="A749">
        <v>640</v>
      </c>
      <c r="B749">
        <v>40</v>
      </c>
      <c r="C749" t="s">
        <v>639</v>
      </c>
      <c r="D749" s="13" t="s">
        <v>913</v>
      </c>
      <c r="E749" s="1">
        <v>-3.1322646892197898</v>
      </c>
      <c r="F749" s="1">
        <v>-4.3970119822444396</v>
      </c>
      <c r="G749">
        <f>VLOOKUP(C749,'[1]phenotypes-895'!$A$2:$G$896,7,FALSE)</f>
        <v>65</v>
      </c>
      <c r="H749" s="1">
        <v>8.5494458855393904E-2</v>
      </c>
      <c r="I749" s="1">
        <f>VLOOKUP(C749,'[1]phenotypes-895'!$A$2:$I$896,9,FALSE)</f>
        <v>0.75407371425281433</v>
      </c>
      <c r="J749" s="1"/>
      <c r="K749" s="4">
        <v>4.3662185880922424</v>
      </c>
      <c r="L749" s="1"/>
      <c r="M749" s="8">
        <v>1</v>
      </c>
      <c r="N749" s="1"/>
      <c r="O749">
        <v>0.96299999999999997</v>
      </c>
      <c r="P749" s="1"/>
      <c r="Q749" s="2">
        <v>-0.01</v>
      </c>
    </row>
    <row r="750" spans="1:17" x14ac:dyDescent="0.2">
      <c r="A750">
        <v>238</v>
      </c>
      <c r="B750">
        <v>17</v>
      </c>
      <c r="C750" t="s">
        <v>237</v>
      </c>
      <c r="D750" s="12" t="s">
        <v>912</v>
      </c>
      <c r="E750" s="1">
        <v>-4.5952363778929799</v>
      </c>
      <c r="F750" s="1">
        <v>-4.4130511556292999</v>
      </c>
      <c r="G750">
        <f>VLOOKUP(C750,'[1]phenotypes-895'!$A$2:$G$896,7,FALSE)</f>
        <v>63</v>
      </c>
      <c r="H750" s="1">
        <v>7.9862731782893201E-2</v>
      </c>
      <c r="I750" s="1">
        <f>VLOOKUP(C750,'[1]phenotypes-895'!$A$2:$I$896,9,FALSE)</f>
        <v>0.57482991442699716</v>
      </c>
      <c r="J750" s="1"/>
      <c r="K750" s="4">
        <v>3.951673328289226</v>
      </c>
      <c r="L750" s="1"/>
      <c r="M750" s="8">
        <v>1</v>
      </c>
      <c r="N750" s="1"/>
      <c r="O750" s="6">
        <v>1.0089999999999999</v>
      </c>
      <c r="P750" s="1"/>
      <c r="Q750" s="7">
        <v>0</v>
      </c>
    </row>
    <row r="751" spans="1:17" x14ac:dyDescent="0.2">
      <c r="A751">
        <v>479</v>
      </c>
      <c r="B751">
        <v>54</v>
      </c>
      <c r="C751" t="s">
        <v>478</v>
      </c>
      <c r="D751" s="13" t="s">
        <v>912</v>
      </c>
      <c r="E751" s="1">
        <v>-2.9622518851397199</v>
      </c>
      <c r="F751" s="1">
        <v>-4.4132350176000701</v>
      </c>
      <c r="G751">
        <f>VLOOKUP(C751,'[1]phenotypes-895'!$A$2:$G$896,7,FALSE)</f>
        <v>62</v>
      </c>
      <c r="H751" s="1">
        <v>1.7763596726346201E-2</v>
      </c>
      <c r="I751" s="1">
        <f>VLOOKUP(C751,'[1]phenotypes-895'!$A$2:$I$896,9,FALSE)</f>
        <v>0.48273821698342489</v>
      </c>
      <c r="J751" s="1"/>
      <c r="K751" s="4">
        <v>4.4944603472203273</v>
      </c>
      <c r="L751" s="1"/>
      <c r="M751" s="8">
        <v>1</v>
      </c>
      <c r="N751" s="1"/>
      <c r="O751">
        <v>0.63700000000000001</v>
      </c>
      <c r="P751" s="1"/>
      <c r="Q751" s="2">
        <v>-0.15</v>
      </c>
    </row>
    <row r="752" spans="1:17" x14ac:dyDescent="0.2">
      <c r="A752">
        <v>71</v>
      </c>
      <c r="B752">
        <v>16</v>
      </c>
      <c r="C752" t="s">
        <v>70</v>
      </c>
      <c r="D752" s="12" t="s">
        <v>912</v>
      </c>
      <c r="E752" s="1">
        <v>-4.5231874647300696</v>
      </c>
      <c r="F752" s="1">
        <v>-4.4289432766297603</v>
      </c>
      <c r="G752">
        <f>VLOOKUP(C752,'[1]phenotypes-895'!$A$2:$G$896,7,FALSE)</f>
        <v>98</v>
      </c>
      <c r="H752" s="1">
        <v>4.3631369316014003E-2</v>
      </c>
      <c r="I752" s="1">
        <f>VLOOKUP(C752,'[1]phenotypes-895'!$A$2:$I$896,9,FALSE)</f>
        <v>0</v>
      </c>
      <c r="J752" s="1"/>
      <c r="K752" s="4">
        <v>0</v>
      </c>
      <c r="L752" s="1"/>
      <c r="M752" s="8">
        <v>0</v>
      </c>
      <c r="N752" s="1"/>
      <c r="O752" s="6">
        <v>0.85599999999999998</v>
      </c>
      <c r="P752" s="1"/>
      <c r="Q752" s="7">
        <v>-0.05</v>
      </c>
    </row>
    <row r="753" spans="1:17" x14ac:dyDescent="0.2">
      <c r="A753">
        <v>147</v>
      </c>
      <c r="B753">
        <v>10</v>
      </c>
      <c r="C753" t="s">
        <v>146</v>
      </c>
      <c r="D753" s="12" t="s">
        <v>912</v>
      </c>
      <c r="E753" s="1">
        <v>-4.9534618046925898</v>
      </c>
      <c r="F753" s="1">
        <v>-4.4732814610616298</v>
      </c>
      <c r="G753">
        <f>VLOOKUP(C753,'[1]phenotypes-895'!$A$2:$G$896,7,FALSE)</f>
        <v>61</v>
      </c>
      <c r="H753" s="1">
        <v>6.6042392833940894E-2</v>
      </c>
      <c r="I753" s="1">
        <f>VLOOKUP(C753,'[1]phenotypes-895'!$A$2:$I$896,9,FALSE)</f>
        <v>0.55712136389412936</v>
      </c>
      <c r="J753" s="1"/>
      <c r="K753" s="4">
        <v>3.9603629239525344</v>
      </c>
      <c r="L753" s="1"/>
      <c r="M753" s="8">
        <v>1</v>
      </c>
      <c r="N753" s="1"/>
      <c r="O753" s="6">
        <v>1.1830000000000001</v>
      </c>
      <c r="P753" s="1"/>
      <c r="Q753" s="7">
        <v>0.05</v>
      </c>
    </row>
    <row r="754" spans="1:17" x14ac:dyDescent="0.2">
      <c r="A754">
        <v>341</v>
      </c>
      <c r="B754">
        <v>3</v>
      </c>
      <c r="C754" t="s">
        <v>340</v>
      </c>
      <c r="D754" s="12" t="s">
        <v>913</v>
      </c>
      <c r="E754" s="1">
        <v>-2.0277591588627599</v>
      </c>
      <c r="F754" s="1">
        <v>-4.5001264191092396</v>
      </c>
      <c r="G754">
        <f>VLOOKUP(C754,'[1]phenotypes-895'!$A$2:$G$896,7,FALSE)</f>
        <v>57</v>
      </c>
      <c r="H754" s="1">
        <v>8.1463027590093995E-2</v>
      </c>
      <c r="I754" s="1">
        <f>VLOOKUP(C754,'[1]phenotypes-895'!$A$2:$I$896,9,FALSE)</f>
        <v>0.86479627211175369</v>
      </c>
      <c r="J754" s="1"/>
      <c r="K754" s="4">
        <v>4.1385510208323053</v>
      </c>
      <c r="L754" s="1"/>
      <c r="M754" s="8">
        <v>1</v>
      </c>
      <c r="N754" s="1"/>
      <c r="O754" s="6">
        <v>0.92600000000000005</v>
      </c>
      <c r="P754" s="1"/>
      <c r="Q754" s="7">
        <v>-0.02</v>
      </c>
    </row>
    <row r="755" spans="1:17" x14ac:dyDescent="0.2">
      <c r="A755">
        <v>63</v>
      </c>
      <c r="B755">
        <v>11</v>
      </c>
      <c r="C755" t="s">
        <v>62</v>
      </c>
      <c r="D755" s="12" t="s">
        <v>912</v>
      </c>
      <c r="E755" s="1">
        <v>-5.0692217565235103</v>
      </c>
      <c r="F755" s="1">
        <v>-4.5330986099237096</v>
      </c>
      <c r="G755">
        <f>VLOOKUP(C755,'[1]phenotypes-895'!$A$2:$G$896,7,FALSE)</f>
        <v>53</v>
      </c>
      <c r="H755" s="1">
        <v>6.8253527238787901E-2</v>
      </c>
      <c r="I755" s="1">
        <f>VLOOKUP(C755,'[1]phenotypes-895'!$A$2:$I$896,9,FALSE)</f>
        <v>0.66109492525625735</v>
      </c>
      <c r="J755" s="1"/>
      <c r="K755" s="4">
        <v>4.1629015259201196</v>
      </c>
      <c r="L755" s="1"/>
      <c r="M755" s="8">
        <v>1</v>
      </c>
      <c r="N755" s="1"/>
      <c r="O755" s="6">
        <v>0.95099999999999996</v>
      </c>
      <c r="P755" s="1"/>
      <c r="Q755" s="7">
        <v>-0.02</v>
      </c>
    </row>
    <row r="756" spans="1:17" x14ac:dyDescent="0.2">
      <c r="A756">
        <v>397</v>
      </c>
      <c r="B756">
        <v>50</v>
      </c>
      <c r="C756" t="s">
        <v>396</v>
      </c>
      <c r="D756" s="13" t="s">
        <v>912</v>
      </c>
      <c r="E756" s="1">
        <v>-2.5854951541707298</v>
      </c>
      <c r="F756" s="1">
        <v>-4.5495419539091797</v>
      </c>
      <c r="G756">
        <f>VLOOKUP(C756,'[1]phenotypes-895'!$A$2:$G$896,7,FALSE)</f>
        <v>61</v>
      </c>
      <c r="H756" s="1">
        <v>2.6735411539779499E-2</v>
      </c>
      <c r="I756" s="1">
        <f>VLOOKUP(C756,'[1]phenotypes-895'!$A$2:$I$896,9,FALSE)</f>
        <v>0.5347646244119485</v>
      </c>
      <c r="J756" s="1"/>
      <c r="K756" s="4">
        <v>4.0549211886717806</v>
      </c>
      <c r="L756" s="1"/>
      <c r="M756" s="8">
        <v>1</v>
      </c>
      <c r="N756" s="1"/>
      <c r="O756">
        <v>0.80700000000000005</v>
      </c>
      <c r="P756" s="1"/>
      <c r="Q756" s="2">
        <v>-7.0000000000000007E-2</v>
      </c>
    </row>
    <row r="757" spans="1:17" x14ac:dyDescent="0.2">
      <c r="A757">
        <v>704</v>
      </c>
      <c r="B757">
        <v>26</v>
      </c>
      <c r="C757" t="s">
        <v>703</v>
      </c>
      <c r="D757" s="13" t="s">
        <v>913</v>
      </c>
      <c r="E757" s="1">
        <v>-2.0745963757585701</v>
      </c>
      <c r="F757" s="1">
        <v>-4.5642801930798997</v>
      </c>
      <c r="G757">
        <f>VLOOKUP(C757,'[1]phenotypes-895'!$A$2:$G$896,7,FALSE)</f>
        <v>83</v>
      </c>
      <c r="H757" s="1">
        <v>4.2538309283016398E-2</v>
      </c>
      <c r="I757" s="1">
        <f>VLOOKUP(C757,'[1]phenotypes-895'!$A$2:$I$896,9,FALSE)</f>
        <v>0.5714956919199623</v>
      </c>
      <c r="J757" s="1"/>
      <c r="K757" s="4">
        <v>4.2455747184847139</v>
      </c>
      <c r="L757" s="1"/>
      <c r="M757" s="8">
        <v>1</v>
      </c>
      <c r="N757" s="1"/>
      <c r="O757">
        <v>1.3380000000000001</v>
      </c>
      <c r="P757" s="1"/>
      <c r="Q757" s="2">
        <v>0.09</v>
      </c>
    </row>
    <row r="758" spans="1:17" x14ac:dyDescent="0.2">
      <c r="A758">
        <v>184</v>
      </c>
      <c r="B758">
        <v>6</v>
      </c>
      <c r="C758" t="s">
        <v>183</v>
      </c>
      <c r="D758" s="12" t="s">
        <v>913</v>
      </c>
      <c r="E758" s="1">
        <v>-2.1353180312781599</v>
      </c>
      <c r="F758" s="1">
        <v>-4.6323074090826104</v>
      </c>
      <c r="G758">
        <f>VLOOKUP(C758,'[1]phenotypes-895'!$A$2:$G$896,7,FALSE)</f>
        <v>62</v>
      </c>
      <c r="H758" s="1">
        <v>6.4545530040817506E-2</v>
      </c>
      <c r="I758" s="1">
        <f>VLOOKUP(C758,'[1]phenotypes-895'!$A$2:$I$896,9,FALSE)</f>
        <v>0.83068484773323059</v>
      </c>
      <c r="J758" s="1"/>
      <c r="K758" s="4">
        <v>4.0462115534705569</v>
      </c>
      <c r="L758" s="1"/>
      <c r="M758" s="8">
        <v>1</v>
      </c>
      <c r="N758" s="1"/>
      <c r="O758" s="6">
        <v>1.1539999999999999</v>
      </c>
      <c r="P758" s="1"/>
      <c r="Q758" s="7">
        <v>0.05</v>
      </c>
    </row>
    <row r="759" spans="1:17" x14ac:dyDescent="0.2">
      <c r="A759">
        <v>169</v>
      </c>
      <c r="B759">
        <v>24</v>
      </c>
      <c r="C759" t="s">
        <v>168</v>
      </c>
      <c r="D759" s="13" t="s">
        <v>913</v>
      </c>
      <c r="E759" s="1">
        <v>-2.85725471424055</v>
      </c>
      <c r="F759" s="1">
        <v>-4.6325059984937296</v>
      </c>
      <c r="G759">
        <f>VLOOKUP(C759,'[1]phenotypes-895'!$A$2:$G$896,7,FALSE)</f>
        <v>63</v>
      </c>
      <c r="H759" s="1">
        <v>-3.7576794737466798E-3</v>
      </c>
      <c r="I759" s="1">
        <f>VLOOKUP(C759,'[1]phenotypes-895'!$A$2:$I$896,9,FALSE)</f>
        <v>0.42024864010366958</v>
      </c>
      <c r="J759" s="1"/>
      <c r="K759" s="4">
        <v>4.0875201940440569</v>
      </c>
      <c r="L759" s="1"/>
      <c r="M759" s="8">
        <v>1</v>
      </c>
      <c r="N759" s="1"/>
      <c r="O759">
        <v>1.0980000000000001</v>
      </c>
      <c r="P759" s="1"/>
      <c r="Q759" s="2">
        <v>0.03</v>
      </c>
    </row>
    <row r="760" spans="1:17" x14ac:dyDescent="0.2">
      <c r="A760">
        <v>115</v>
      </c>
      <c r="B760">
        <v>1</v>
      </c>
      <c r="C760" t="s">
        <v>114</v>
      </c>
      <c r="D760" s="12" t="s">
        <v>913</v>
      </c>
      <c r="E760" s="1">
        <v>-3.0959830422949901</v>
      </c>
      <c r="F760" s="1">
        <v>-4.8379113913415104</v>
      </c>
      <c r="G760">
        <f>VLOOKUP(C760,'[1]phenotypes-895'!$A$2:$G$896,7,FALSE)</f>
        <v>98</v>
      </c>
      <c r="H760" s="1">
        <v>3.4884573398127103E-2</v>
      </c>
      <c r="I760" s="1">
        <f>VLOOKUP(C760,'[1]phenotypes-895'!$A$2:$I$896,9,FALSE)</f>
        <v>0</v>
      </c>
      <c r="J760" s="1"/>
      <c r="K760" s="4">
        <v>0</v>
      </c>
      <c r="L760" s="1"/>
      <c r="M760" s="8">
        <v>0</v>
      </c>
      <c r="N760" s="1"/>
      <c r="O760" s="6">
        <v>1.177</v>
      </c>
      <c r="P760" s="1"/>
      <c r="Q760" s="7">
        <v>0.05</v>
      </c>
    </row>
    <row r="761" spans="1:17" x14ac:dyDescent="0.2">
      <c r="A761">
        <v>207</v>
      </c>
      <c r="B761">
        <v>3</v>
      </c>
      <c r="C761" t="s">
        <v>206</v>
      </c>
      <c r="D761" s="12" t="s">
        <v>913</v>
      </c>
      <c r="E761" s="1">
        <v>-2.4771073766674001</v>
      </c>
      <c r="F761" s="1">
        <v>-4.8439167564618</v>
      </c>
      <c r="G761">
        <f>VLOOKUP(C761,'[1]phenotypes-895'!$A$2:$G$896,7,FALSE)</f>
        <v>65</v>
      </c>
      <c r="H761" s="1">
        <v>4.6061611200024E-2</v>
      </c>
      <c r="I761" s="1">
        <f>VLOOKUP(C761,'[1]phenotypes-895'!$A$2:$I$896,9,FALSE)</f>
        <v>0.60866268922610522</v>
      </c>
      <c r="J761" s="1"/>
      <c r="K761" s="4">
        <v>3.8334839306363024</v>
      </c>
      <c r="L761" s="1"/>
      <c r="M761" s="8">
        <v>1</v>
      </c>
      <c r="N761" s="1"/>
      <c r="O761" s="6">
        <v>1.103</v>
      </c>
      <c r="P761" s="1"/>
      <c r="Q761" s="7">
        <v>0.03</v>
      </c>
    </row>
    <row r="762" spans="1:17" x14ac:dyDescent="0.2">
      <c r="A762">
        <v>97</v>
      </c>
      <c r="B762">
        <v>14</v>
      </c>
      <c r="C762" t="s">
        <v>96</v>
      </c>
      <c r="D762" s="12" t="s">
        <v>912</v>
      </c>
      <c r="E762" s="1">
        <v>-4.3106490015685699</v>
      </c>
      <c r="F762" s="1">
        <v>-4.8486827688199696</v>
      </c>
      <c r="G762">
        <f>VLOOKUP(C762,'[1]phenotypes-895'!$A$2:$G$896,7,FALSE)</f>
        <v>56</v>
      </c>
      <c r="H762" s="1">
        <v>0.11027953618726</v>
      </c>
      <c r="I762" s="1">
        <f>VLOOKUP(C762,'[1]phenotypes-895'!$A$2:$I$896,9,FALSE)</f>
        <v>0.78697133263899322</v>
      </c>
      <c r="J762" s="1"/>
      <c r="K762" s="4">
        <v>4.8522985085487171</v>
      </c>
      <c r="L762" s="1"/>
      <c r="M762" s="8">
        <v>1</v>
      </c>
      <c r="N762" s="1"/>
      <c r="O762" s="6">
        <v>0.99</v>
      </c>
      <c r="P762" s="1"/>
      <c r="Q762" s="7">
        <v>0</v>
      </c>
    </row>
    <row r="763" spans="1:17" x14ac:dyDescent="0.2">
      <c r="A763">
        <v>759</v>
      </c>
      <c r="B763">
        <v>24</v>
      </c>
      <c r="C763" t="s">
        <v>758</v>
      </c>
      <c r="D763" s="13" t="s">
        <v>913</v>
      </c>
      <c r="E763" s="1">
        <v>-2.5913541563654601</v>
      </c>
      <c r="F763" s="1">
        <v>-4.8853107608525601</v>
      </c>
      <c r="G763">
        <f>VLOOKUP(C763,'[1]phenotypes-895'!$A$2:$G$896,7,FALSE)</f>
        <v>98</v>
      </c>
      <c r="H763" s="1">
        <v>3.24909638937236E-2</v>
      </c>
      <c r="I763" s="1">
        <f>VLOOKUP(C763,'[1]phenotypes-895'!$A$2:$I$896,9,FALSE)</f>
        <v>0</v>
      </c>
      <c r="J763" s="1"/>
      <c r="K763" s="4">
        <v>0</v>
      </c>
      <c r="L763" s="1"/>
      <c r="M763" s="8">
        <v>0</v>
      </c>
      <c r="N763" s="1"/>
      <c r="O763">
        <v>1.0489999999999999</v>
      </c>
      <c r="P763" s="1"/>
      <c r="Q763" s="2">
        <v>0.02</v>
      </c>
    </row>
    <row r="764" spans="1:17" x14ac:dyDescent="0.2">
      <c r="A764">
        <v>232</v>
      </c>
      <c r="B764">
        <v>2</v>
      </c>
      <c r="C764" t="s">
        <v>231</v>
      </c>
      <c r="D764" s="12" t="s">
        <v>913</v>
      </c>
      <c r="E764" s="1">
        <v>-2.8632834176173998</v>
      </c>
      <c r="F764" s="1">
        <v>-4.9735927674770304</v>
      </c>
      <c r="G764">
        <f>VLOOKUP(C764,'[1]phenotypes-895'!$A$2:$G$896,7,FALSE)</f>
        <v>63</v>
      </c>
      <c r="H764" s="1">
        <v>2.96668109663249E-2</v>
      </c>
      <c r="I764" s="1">
        <f>VLOOKUP(C764,'[1]phenotypes-895'!$A$2:$I$896,9,FALSE)</f>
        <v>0.66339835064417807</v>
      </c>
      <c r="J764" s="1"/>
      <c r="K764" s="4">
        <v>4.190031630297093</v>
      </c>
      <c r="L764" s="1"/>
      <c r="M764" s="8">
        <v>1</v>
      </c>
      <c r="N764" s="1"/>
      <c r="O764" s="6">
        <v>1.1279999999999999</v>
      </c>
      <c r="P764" s="1"/>
      <c r="Q764" s="7">
        <v>0.04</v>
      </c>
    </row>
    <row r="765" spans="1:17" x14ac:dyDescent="0.2">
      <c r="A765">
        <v>162</v>
      </c>
      <c r="B765">
        <v>3</v>
      </c>
      <c r="C765" t="s">
        <v>161</v>
      </c>
      <c r="D765" s="12" t="s">
        <v>913</v>
      </c>
      <c r="E765" s="1">
        <v>-2.7009348955097998</v>
      </c>
      <c r="F765" s="1">
        <v>-5.0101168616556198</v>
      </c>
      <c r="G765">
        <f>VLOOKUP(C765,'[1]phenotypes-895'!$A$2:$G$896,7,FALSE)</f>
        <v>76</v>
      </c>
      <c r="H765" s="1">
        <v>5.7516159689555098E-2</v>
      </c>
      <c r="I765" s="1">
        <f>VLOOKUP(C765,'[1]phenotypes-895'!$A$2:$I$896,9,FALSE)</f>
        <v>0.52569144514061839</v>
      </c>
      <c r="J765" s="1"/>
      <c r="K765" s="4">
        <v>4.7326862713147806</v>
      </c>
      <c r="L765" s="1"/>
      <c r="M765" s="8">
        <v>1</v>
      </c>
      <c r="N765" s="1"/>
      <c r="O765" s="6">
        <v>0.95499999999999996</v>
      </c>
      <c r="P765" s="1"/>
      <c r="Q765" s="7">
        <v>-0.01</v>
      </c>
    </row>
    <row r="766" spans="1:17" x14ac:dyDescent="0.2">
      <c r="A766">
        <v>291</v>
      </c>
      <c r="B766">
        <v>16</v>
      </c>
      <c r="C766" t="s">
        <v>290</v>
      </c>
      <c r="D766" s="12" t="s">
        <v>912</v>
      </c>
      <c r="E766" s="1">
        <v>-5.2815548437605102</v>
      </c>
      <c r="F766" s="1">
        <v>-5.0432421095009401</v>
      </c>
      <c r="G766">
        <f>VLOOKUP(C766,'[1]phenotypes-895'!$A$2:$G$896,7,FALSE)</f>
        <v>98</v>
      </c>
      <c r="H766" s="1">
        <v>3.4572841809171202E-2</v>
      </c>
      <c r="I766" s="1">
        <f>VLOOKUP(C766,'[1]phenotypes-895'!$A$2:$I$896,9,FALSE)</f>
        <v>0</v>
      </c>
      <c r="J766" s="1"/>
      <c r="K766" s="4">
        <v>0</v>
      </c>
      <c r="L766" s="1"/>
      <c r="M766" s="8">
        <v>0</v>
      </c>
      <c r="N766" s="1"/>
      <c r="O766" s="6">
        <v>1.0669999999999999</v>
      </c>
      <c r="P766" s="1"/>
      <c r="Q766" s="7">
        <v>0.02</v>
      </c>
    </row>
    <row r="767" spans="1:17" x14ac:dyDescent="0.2">
      <c r="A767">
        <v>313</v>
      </c>
      <c r="B767">
        <v>3</v>
      </c>
      <c r="C767" t="s">
        <v>312</v>
      </c>
      <c r="D767" s="12" t="s">
        <v>913</v>
      </c>
      <c r="E767" s="1">
        <v>-2.5664778594406799</v>
      </c>
      <c r="F767" s="1">
        <v>-5.0744291866684499</v>
      </c>
      <c r="G767">
        <f>VLOOKUP(C767,'[1]phenotypes-895'!$A$2:$G$896,7,FALSE)</f>
        <v>50</v>
      </c>
      <c r="H767" s="1">
        <v>2.9102974038241101E-2</v>
      </c>
      <c r="I767" s="1">
        <f>VLOOKUP(C767,'[1]phenotypes-895'!$A$2:$I$896,9,FALSE)</f>
        <v>0.82672457465486371</v>
      </c>
      <c r="J767" s="1"/>
      <c r="K767" s="4">
        <v>4.1850034463305628</v>
      </c>
      <c r="L767" s="1"/>
      <c r="M767" s="8">
        <v>1</v>
      </c>
      <c r="N767" s="1"/>
      <c r="O767" s="6">
        <v>0.75600000000000001</v>
      </c>
      <c r="P767" s="1"/>
      <c r="Q767" s="7">
        <v>-0.09</v>
      </c>
    </row>
    <row r="768" spans="1:17" x14ac:dyDescent="0.2">
      <c r="A768">
        <v>674</v>
      </c>
      <c r="B768">
        <v>40</v>
      </c>
      <c r="C768" t="s">
        <v>673</v>
      </c>
      <c r="D768" s="13" t="s">
        <v>913</v>
      </c>
      <c r="E768" s="1">
        <v>-4.5574875925115403</v>
      </c>
      <c r="F768" s="1">
        <v>-5.1676515718999596</v>
      </c>
      <c r="G768">
        <f>VLOOKUP(C768,'[1]phenotypes-895'!$A$2:$G$896,7,FALSE)</f>
        <v>63</v>
      </c>
      <c r="H768" s="1">
        <v>7.0698499440512999E-2</v>
      </c>
      <c r="I768" s="1">
        <f>VLOOKUP(C768,'[1]phenotypes-895'!$A$2:$I$896,9,FALSE)</f>
        <v>0.49733915390151368</v>
      </c>
      <c r="J768" s="1"/>
      <c r="K768" s="4">
        <v>4.3877369739218848</v>
      </c>
      <c r="L768" s="1"/>
      <c r="M768" s="8">
        <v>1</v>
      </c>
      <c r="N768" s="1"/>
      <c r="O768">
        <v>1.0620000000000001</v>
      </c>
      <c r="P768" s="1"/>
      <c r="Q768" s="2">
        <v>0.02</v>
      </c>
    </row>
    <row r="769" spans="1:17" x14ac:dyDescent="0.2">
      <c r="A769">
        <v>330</v>
      </c>
      <c r="B769">
        <v>1</v>
      </c>
      <c r="C769" t="s">
        <v>329</v>
      </c>
      <c r="D769" s="12" t="s">
        <v>913</v>
      </c>
      <c r="E769" s="1">
        <v>-3.52538893567568</v>
      </c>
      <c r="F769" s="1">
        <v>-5.2136560022460703</v>
      </c>
      <c r="G769">
        <f>VLOOKUP(C769,'[1]phenotypes-895'!$A$2:$G$896,7,FALSE)</f>
        <v>48</v>
      </c>
      <c r="H769" s="1">
        <v>6.1360958616271999E-2</v>
      </c>
      <c r="I769" s="1">
        <f>VLOOKUP(C769,'[1]phenotypes-895'!$A$2:$I$896,9,FALSE)</f>
        <v>1.0710173662461711</v>
      </c>
      <c r="J769" s="1"/>
      <c r="K769" s="4">
        <v>4.5597463900913473</v>
      </c>
      <c r="L769" s="1"/>
      <c r="M769" s="8">
        <v>1</v>
      </c>
      <c r="N769" s="1"/>
      <c r="O769" s="6">
        <v>1.0589999999999999</v>
      </c>
      <c r="P769" s="1"/>
      <c r="Q769" s="7">
        <v>0.02</v>
      </c>
    </row>
    <row r="770" spans="1:17" x14ac:dyDescent="0.2">
      <c r="A770">
        <v>280</v>
      </c>
      <c r="B770">
        <v>6</v>
      </c>
      <c r="C770" t="s">
        <v>279</v>
      </c>
      <c r="D770" s="12" t="s">
        <v>913</v>
      </c>
      <c r="E770" s="1">
        <v>-3.0034022852551301</v>
      </c>
      <c r="F770" s="1">
        <v>-5.2219688432900204</v>
      </c>
      <c r="G770">
        <f>VLOOKUP(C770,'[1]phenotypes-895'!$A$2:$G$896,7,FALSE)</f>
        <v>57</v>
      </c>
      <c r="H770" s="1">
        <v>4.8802171110340797E-2</v>
      </c>
      <c r="I770" s="1">
        <f>VLOOKUP(C770,'[1]phenotypes-895'!$A$2:$I$896,9,FALSE)</f>
        <v>0.8333522836363757</v>
      </c>
      <c r="J770" s="1"/>
      <c r="K770" s="4">
        <v>5.4306602492711127</v>
      </c>
      <c r="L770" s="1"/>
      <c r="M770" s="8">
        <v>1</v>
      </c>
      <c r="N770" s="1"/>
      <c r="O770" s="6">
        <v>1.107</v>
      </c>
      <c r="P770" s="1"/>
      <c r="Q770" s="7">
        <v>0.03</v>
      </c>
    </row>
    <row r="771" spans="1:17" x14ac:dyDescent="0.2">
      <c r="A771">
        <v>194</v>
      </c>
      <c r="B771">
        <v>4</v>
      </c>
      <c r="C771" t="s">
        <v>193</v>
      </c>
      <c r="D771" s="12" t="s">
        <v>913</v>
      </c>
      <c r="E771" s="1">
        <v>-2.5878310804501901</v>
      </c>
      <c r="F771" s="1">
        <v>-5.2788545536049503</v>
      </c>
      <c r="G771">
        <f>VLOOKUP(C771,'[1]phenotypes-895'!$A$2:$G$896,7,FALSE)</f>
        <v>61</v>
      </c>
      <c r="H771" s="1">
        <v>5.3391295600430197E-2</v>
      </c>
      <c r="I771" s="1">
        <f>VLOOKUP(C771,'[1]phenotypes-895'!$A$2:$I$896,9,FALSE)</f>
        <v>0.4811223625587262</v>
      </c>
      <c r="J771" s="1"/>
      <c r="K771" s="4">
        <v>3.8264119856297349</v>
      </c>
      <c r="L771" s="1"/>
      <c r="M771" s="8">
        <v>1</v>
      </c>
      <c r="N771" s="1"/>
      <c r="O771" s="6">
        <v>0.92800000000000005</v>
      </c>
      <c r="P771" s="1"/>
      <c r="Q771" s="7">
        <v>-0.02</v>
      </c>
    </row>
    <row r="772" spans="1:17" x14ac:dyDescent="0.2">
      <c r="A772">
        <v>339</v>
      </c>
      <c r="B772">
        <v>4</v>
      </c>
      <c r="C772" t="s">
        <v>338</v>
      </c>
      <c r="D772" s="12" t="s">
        <v>913</v>
      </c>
      <c r="E772" s="1">
        <v>-2.7871460829435799</v>
      </c>
      <c r="F772" s="1">
        <v>-5.2970022415440798</v>
      </c>
      <c r="G772">
        <f>VLOOKUP(C772,'[1]phenotypes-895'!$A$2:$G$896,7,FALSE)</f>
        <v>62</v>
      </c>
      <c r="H772" s="1">
        <v>3.3891997251535598E-2</v>
      </c>
      <c r="I772" s="1">
        <f>VLOOKUP(C772,'[1]phenotypes-895'!$A$2:$I$896,9,FALSE)</f>
        <v>0.41425091534577269</v>
      </c>
      <c r="J772" s="1"/>
      <c r="K772" s="4">
        <v>3.795917788413596</v>
      </c>
      <c r="L772" s="1"/>
      <c r="M772" s="8">
        <v>1</v>
      </c>
      <c r="N772" s="1"/>
      <c r="O772" s="6">
        <v>0.871</v>
      </c>
      <c r="P772" s="1"/>
      <c r="Q772" s="7">
        <v>-0.04</v>
      </c>
    </row>
    <row r="773" spans="1:17" x14ac:dyDescent="0.2">
      <c r="A773">
        <v>5</v>
      </c>
      <c r="B773">
        <v>13</v>
      </c>
      <c r="C773" t="s">
        <v>4</v>
      </c>
      <c r="D773" s="12" t="s">
        <v>912</v>
      </c>
      <c r="E773" s="1">
        <v>-5.7425925862139904</v>
      </c>
      <c r="F773" s="1">
        <v>-5.4339637937580001</v>
      </c>
      <c r="G773">
        <f>VLOOKUP(C773,'[1]phenotypes-895'!$A$2:$G$896,7,FALSE)</f>
        <v>62</v>
      </c>
      <c r="H773" s="1">
        <v>0.106206194833654</v>
      </c>
      <c r="I773" s="1">
        <f>VLOOKUP(C773,'[1]phenotypes-895'!$A$2:$I$896,9,FALSE)</f>
        <v>0.81238212241432295</v>
      </c>
      <c r="J773" s="1"/>
      <c r="K773" s="4">
        <v>4.5081785225390352</v>
      </c>
      <c r="L773" s="1"/>
      <c r="M773" s="8">
        <v>1</v>
      </c>
      <c r="N773" s="1"/>
      <c r="O773" s="6">
        <v>1</v>
      </c>
      <c r="P773" s="1"/>
      <c r="Q773" s="7">
        <v>0</v>
      </c>
    </row>
    <row r="774" spans="1:17" x14ac:dyDescent="0.2">
      <c r="A774">
        <v>260</v>
      </c>
      <c r="B774">
        <v>11</v>
      </c>
      <c r="C774" t="s">
        <v>259</v>
      </c>
      <c r="D774" s="12" t="s">
        <v>912</v>
      </c>
      <c r="E774" s="1">
        <v>-5.5508209635489703</v>
      </c>
      <c r="F774" s="1">
        <v>-5.4393037740793302</v>
      </c>
      <c r="G774">
        <f>VLOOKUP(C774,'[1]phenotypes-895'!$A$2:$G$896,7,FALSE)</f>
        <v>59</v>
      </c>
      <c r="H774" s="1">
        <v>5.7381015220219697E-2</v>
      </c>
      <c r="I774" s="1">
        <f>VLOOKUP(C774,'[1]phenotypes-895'!$A$2:$I$896,9,FALSE)</f>
        <v>0.59548673170893951</v>
      </c>
      <c r="J774" s="1"/>
      <c r="K774" s="4">
        <v>4.1979255498694323</v>
      </c>
      <c r="L774" s="1"/>
      <c r="M774" s="8">
        <v>1</v>
      </c>
      <c r="N774" s="1"/>
      <c r="O774" s="6">
        <v>0.96299999999999997</v>
      </c>
      <c r="P774" s="1"/>
      <c r="Q774" s="7">
        <v>-0.01</v>
      </c>
    </row>
    <row r="775" spans="1:17" x14ac:dyDescent="0.2">
      <c r="A775">
        <v>772</v>
      </c>
      <c r="B775">
        <v>29</v>
      </c>
      <c r="C775" t="s">
        <v>771</v>
      </c>
      <c r="D775" s="13" t="s">
        <v>913</v>
      </c>
      <c r="E775" s="1">
        <v>-3.6120556246322599</v>
      </c>
      <c r="F775" s="1">
        <v>-5.4471860536375596</v>
      </c>
      <c r="G775">
        <f>VLOOKUP(C775,'[1]phenotypes-895'!$A$2:$G$896,7,FALSE)</f>
        <v>60</v>
      </c>
      <c r="H775" s="1">
        <v>6.6855099447063193E-2</v>
      </c>
      <c r="I775" s="1">
        <f>VLOOKUP(C775,'[1]phenotypes-895'!$A$2:$I$896,9,FALSE)</f>
        <v>0.73845291193495122</v>
      </c>
      <c r="J775" s="1"/>
      <c r="K775" s="4">
        <v>4.792384301949447</v>
      </c>
      <c r="L775" s="1"/>
      <c r="M775" s="8">
        <v>1</v>
      </c>
      <c r="N775" s="1"/>
      <c r="O775">
        <v>1.125</v>
      </c>
      <c r="P775" s="1"/>
      <c r="Q775" s="2">
        <v>0.04</v>
      </c>
    </row>
    <row r="776" spans="1:17" x14ac:dyDescent="0.2">
      <c r="A776">
        <v>95</v>
      </c>
      <c r="B776">
        <v>4</v>
      </c>
      <c r="C776" t="s">
        <v>94</v>
      </c>
      <c r="D776" s="12" t="s">
        <v>913</v>
      </c>
      <c r="E776" s="1">
        <v>-3.4677736218798398</v>
      </c>
      <c r="F776" s="1">
        <v>-5.4680368022490704</v>
      </c>
      <c r="G776">
        <f>VLOOKUP(C776,'[1]phenotypes-895'!$A$2:$G$896,7,FALSE)</f>
        <v>71</v>
      </c>
      <c r="H776" s="1">
        <v>8.6788834854979693E-2</v>
      </c>
      <c r="I776" s="1">
        <f>VLOOKUP(C776,'[1]phenotypes-895'!$A$2:$I$896,9,FALSE)</f>
        <v>0.46480075863663167</v>
      </c>
      <c r="J776" s="1"/>
      <c r="K776" s="4">
        <v>4.5158906378107693</v>
      </c>
      <c r="L776" s="1"/>
      <c r="M776" s="8">
        <v>1</v>
      </c>
      <c r="N776" s="1"/>
      <c r="O776" s="6">
        <v>0.82</v>
      </c>
      <c r="P776" s="1"/>
      <c r="Q776" s="7">
        <v>-0.06</v>
      </c>
    </row>
    <row r="777" spans="1:17" x14ac:dyDescent="0.2">
      <c r="A777">
        <v>48</v>
      </c>
      <c r="B777">
        <v>16</v>
      </c>
      <c r="C777" t="s">
        <v>47</v>
      </c>
      <c r="D777" s="12" t="s">
        <v>912</v>
      </c>
      <c r="E777" s="1">
        <v>-5.7956682241730002</v>
      </c>
      <c r="F777" s="1">
        <v>-5.4741160269088702</v>
      </c>
      <c r="G777">
        <f>VLOOKUP(C777,'[1]phenotypes-895'!$A$2:$G$896,7,FALSE)</f>
        <v>61</v>
      </c>
      <c r="H777" s="1">
        <v>3.1127791984858499E-2</v>
      </c>
      <c r="I777" s="1">
        <f>VLOOKUP(C777,'[1]phenotypes-895'!$A$2:$I$896,9,FALSE)</f>
        <v>0.63783437068837801</v>
      </c>
      <c r="J777" s="1"/>
      <c r="K777" s="4">
        <v>4.6345741351707366</v>
      </c>
      <c r="L777" s="1"/>
      <c r="M777" s="8">
        <v>1</v>
      </c>
      <c r="N777" s="1"/>
      <c r="O777" s="6">
        <v>1.1559999999999999</v>
      </c>
      <c r="P777" s="1"/>
      <c r="Q777" s="7">
        <v>0.05</v>
      </c>
    </row>
    <row r="778" spans="1:17" x14ac:dyDescent="0.2">
      <c r="A778">
        <v>632</v>
      </c>
      <c r="B778">
        <v>29</v>
      </c>
      <c r="C778" t="s">
        <v>631</v>
      </c>
      <c r="D778" s="13" t="s">
        <v>913</v>
      </c>
      <c r="E778" s="1">
        <v>-3.6902216879554399</v>
      </c>
      <c r="F778" s="1">
        <v>-5.4907373581129999</v>
      </c>
      <c r="G778">
        <f>VLOOKUP(C778,'[1]phenotypes-895'!$A$2:$G$896,7,FALSE)</f>
        <v>44</v>
      </c>
      <c r="H778" s="1">
        <v>4.1920799912852399E-2</v>
      </c>
      <c r="I778" s="1">
        <f>VLOOKUP(C778,'[1]phenotypes-895'!$A$2:$I$896,9,FALSE)</f>
        <v>0.52887660557033356</v>
      </c>
      <c r="J778" s="1"/>
      <c r="K778" s="4">
        <v>4.3100436491441769</v>
      </c>
      <c r="L778" s="1"/>
      <c r="M778" s="8">
        <v>1</v>
      </c>
      <c r="N778" s="1"/>
      <c r="O778">
        <v>0.96499999999999997</v>
      </c>
      <c r="P778" s="1"/>
      <c r="Q778" s="2">
        <v>-0.01</v>
      </c>
    </row>
    <row r="779" spans="1:17" x14ac:dyDescent="0.2">
      <c r="A779">
        <v>11</v>
      </c>
      <c r="B779">
        <v>1</v>
      </c>
      <c r="C779" t="s">
        <v>10</v>
      </c>
      <c r="D779" s="12" t="s">
        <v>913</v>
      </c>
      <c r="E779" s="1">
        <v>-3.7444373288908102</v>
      </c>
      <c r="F779" s="1">
        <v>-5.5303321966281</v>
      </c>
      <c r="G779">
        <f>VLOOKUP(C779,'[1]phenotypes-895'!$A$2:$G$896,7,FALSE)</f>
        <v>50</v>
      </c>
      <c r="H779" s="1">
        <v>4.0554223459050499E-2</v>
      </c>
      <c r="I779" s="1">
        <f>VLOOKUP(C779,'[1]phenotypes-895'!$A$2:$I$896,9,FALSE)</f>
        <v>0.67107592117519688</v>
      </c>
      <c r="J779" s="1"/>
      <c r="K779" s="4">
        <v>4.8135148884110075</v>
      </c>
      <c r="L779" s="1"/>
      <c r="M779" s="8">
        <v>1</v>
      </c>
      <c r="N779" s="1"/>
      <c r="O779" s="6">
        <v>1.149</v>
      </c>
      <c r="P779" s="1"/>
      <c r="Q779" s="7">
        <v>0.04</v>
      </c>
    </row>
    <row r="780" spans="1:17" x14ac:dyDescent="0.2">
      <c r="A780">
        <v>343</v>
      </c>
      <c r="B780">
        <v>2</v>
      </c>
      <c r="C780" t="s">
        <v>342</v>
      </c>
      <c r="D780" s="12" t="s">
        <v>913</v>
      </c>
      <c r="E780" s="1">
        <v>-3.4901200816115199</v>
      </c>
      <c r="F780" s="1">
        <v>-5.5834252473666997</v>
      </c>
      <c r="G780">
        <f>VLOOKUP(C780,'[1]phenotypes-895'!$A$2:$G$896,7,FALSE)</f>
        <v>98</v>
      </c>
      <c r="H780" s="1">
        <v>1.6523664923133698E-2</v>
      </c>
      <c r="I780" s="1">
        <f>VLOOKUP(C780,'[1]phenotypes-895'!$A$2:$I$896,9,FALSE)</f>
        <v>0</v>
      </c>
      <c r="J780" s="1"/>
      <c r="K780" s="4">
        <v>0</v>
      </c>
      <c r="L780" s="9"/>
      <c r="M780" s="8">
        <v>0</v>
      </c>
      <c r="N780" s="1"/>
      <c r="O780" s="6">
        <v>1.1559999999999999</v>
      </c>
      <c r="P780" s="1"/>
      <c r="Q780" s="7">
        <v>0.05</v>
      </c>
    </row>
    <row r="781" spans="1:17" x14ac:dyDescent="0.2">
      <c r="A781">
        <v>511</v>
      </c>
      <c r="B781">
        <v>54</v>
      </c>
      <c r="C781" t="s">
        <v>510</v>
      </c>
      <c r="D781" s="13" t="s">
        <v>912</v>
      </c>
      <c r="E781" s="1">
        <v>-3.42968072757566</v>
      </c>
      <c r="F781" s="1">
        <v>-5.6281027763256999</v>
      </c>
      <c r="G781">
        <f>VLOOKUP(C781,'[1]phenotypes-895'!$A$2:$G$896,7,FALSE)</f>
        <v>98</v>
      </c>
      <c r="H781" s="1">
        <v>4.4633992228833401E-2</v>
      </c>
      <c r="I781" s="1">
        <f>VLOOKUP(C781,'[1]phenotypes-895'!$A$2:$I$896,9,FALSE)</f>
        <v>7.8209320067116256E-2</v>
      </c>
      <c r="J781" s="1"/>
      <c r="K781" s="4">
        <v>2.9578979702970285</v>
      </c>
      <c r="L781" s="1"/>
      <c r="M781" s="8">
        <v>1</v>
      </c>
      <c r="N781" s="1"/>
      <c r="O781">
        <v>0.751</v>
      </c>
      <c r="P781" s="1"/>
      <c r="Q781" s="2">
        <v>-0.09</v>
      </c>
    </row>
    <row r="782" spans="1:17" x14ac:dyDescent="0.2">
      <c r="A782">
        <v>246</v>
      </c>
      <c r="B782">
        <v>6</v>
      </c>
      <c r="C782" t="s">
        <v>245</v>
      </c>
      <c r="D782" s="12" t="s">
        <v>913</v>
      </c>
      <c r="E782" s="1">
        <v>-3.1186907957860899</v>
      </c>
      <c r="F782" s="1">
        <v>-5.6364842336098704</v>
      </c>
      <c r="G782">
        <f>VLOOKUP(C782,'[1]phenotypes-895'!$A$2:$G$896,7,FALSE)</f>
        <v>60</v>
      </c>
      <c r="H782" s="1">
        <v>4.1255643500462999E-2</v>
      </c>
      <c r="I782" s="1">
        <f>VLOOKUP(C782,'[1]phenotypes-895'!$A$2:$I$896,9,FALSE)</f>
        <v>0.71843523625025318</v>
      </c>
      <c r="J782" s="1"/>
      <c r="K782" s="4">
        <v>3.7283492512140408</v>
      </c>
      <c r="L782" s="1"/>
      <c r="M782" s="8">
        <v>1</v>
      </c>
      <c r="N782" s="1"/>
      <c r="O782" s="6">
        <v>1.0649999999999999</v>
      </c>
      <c r="P782" s="1"/>
      <c r="Q782" s="7">
        <v>0.02</v>
      </c>
    </row>
    <row r="783" spans="1:17" x14ac:dyDescent="0.2">
      <c r="A783">
        <v>153</v>
      </c>
      <c r="B783">
        <v>15</v>
      </c>
      <c r="C783" t="s">
        <v>152</v>
      </c>
      <c r="D783" s="12" t="s">
        <v>912</v>
      </c>
      <c r="E783" s="1">
        <v>-5.1980857947300496</v>
      </c>
      <c r="F783" s="1">
        <v>-5.6823414072163398</v>
      </c>
      <c r="G783">
        <f>VLOOKUP(C783,'[1]phenotypes-895'!$A$2:$G$896,7,FALSE)</f>
        <v>98</v>
      </c>
      <c r="H783" s="1">
        <v>3.7133493412043798E-2</v>
      </c>
      <c r="I783" s="1">
        <f>VLOOKUP(C783,'[1]phenotypes-895'!$A$2:$I$896,9,FALSE)</f>
        <v>0</v>
      </c>
      <c r="J783" s="1"/>
      <c r="K783" s="4">
        <v>0</v>
      </c>
      <c r="L783" s="1"/>
      <c r="M783" s="8">
        <v>0</v>
      </c>
      <c r="N783" s="1"/>
      <c r="O783" s="6">
        <v>0.93100000000000005</v>
      </c>
      <c r="P783" s="1"/>
      <c r="Q783" s="7">
        <v>-0.02</v>
      </c>
    </row>
    <row r="784" spans="1:17" x14ac:dyDescent="0.2">
      <c r="A784">
        <v>181</v>
      </c>
      <c r="B784">
        <v>3</v>
      </c>
      <c r="C784" t="s">
        <v>180</v>
      </c>
      <c r="D784" s="12" t="s">
        <v>913</v>
      </c>
      <c r="E784" s="1">
        <v>-3.2957257702345499</v>
      </c>
      <c r="F784" s="1">
        <v>-5.7237931489069798</v>
      </c>
      <c r="G784">
        <f>VLOOKUP(C784,'[1]phenotypes-895'!$A$2:$G$896,7,FALSE)</f>
        <v>66</v>
      </c>
      <c r="H784" s="1">
        <v>5.02151933998079E-2</v>
      </c>
      <c r="I784" s="1">
        <f>VLOOKUP(C784,'[1]phenotypes-895'!$A$2:$I$896,9,FALSE)</f>
        <v>0.64360113518564455</v>
      </c>
      <c r="J784" s="1"/>
      <c r="K784" s="4">
        <v>4.156644458588266</v>
      </c>
      <c r="L784" s="1"/>
      <c r="M784" s="8">
        <v>1</v>
      </c>
      <c r="N784" s="1"/>
      <c r="O784" s="6">
        <v>1.077</v>
      </c>
      <c r="P784" s="1"/>
      <c r="Q784" s="7">
        <v>0.02</v>
      </c>
    </row>
    <row r="785" spans="1:17" x14ac:dyDescent="0.2">
      <c r="A785">
        <v>351</v>
      </c>
      <c r="B785">
        <v>13</v>
      </c>
      <c r="C785" t="s">
        <v>350</v>
      </c>
      <c r="D785" s="12" t="s">
        <v>912</v>
      </c>
      <c r="E785" s="1">
        <v>-6.5300736868106997</v>
      </c>
      <c r="F785" s="1">
        <v>-5.7665885167103204</v>
      </c>
      <c r="G785">
        <f>VLOOKUP(C785,'[1]phenotypes-895'!$A$2:$G$896,7,FALSE)</f>
        <v>71</v>
      </c>
      <c r="H785" s="1">
        <v>0.11325644282368499</v>
      </c>
      <c r="I785" s="1">
        <f>VLOOKUP(C785,'[1]phenotypes-895'!$A$2:$I$896,9,FALSE)</f>
        <v>0.69498003061479674</v>
      </c>
      <c r="J785" s="1"/>
      <c r="K785" s="4">
        <v>4.6162340935733122</v>
      </c>
      <c r="L785" s="1"/>
      <c r="M785" s="8">
        <v>1</v>
      </c>
      <c r="N785" s="1"/>
      <c r="O785" s="6">
        <v>1.012</v>
      </c>
      <c r="P785" s="1"/>
      <c r="Q785" s="7">
        <v>0</v>
      </c>
    </row>
    <row r="786" spans="1:17" x14ac:dyDescent="0.2">
      <c r="A786">
        <v>556</v>
      </c>
      <c r="B786">
        <v>42</v>
      </c>
      <c r="C786" t="s">
        <v>555</v>
      </c>
      <c r="D786" s="13" t="s">
        <v>912</v>
      </c>
      <c r="E786" s="1">
        <v>-7.5073363097677897</v>
      </c>
      <c r="F786" s="1">
        <v>-5.8267324715167303</v>
      </c>
      <c r="G786">
        <f>VLOOKUP(C786,'[1]phenotypes-895'!$A$2:$G$896,7,FALSE)</f>
        <v>62</v>
      </c>
      <c r="H786" s="1">
        <v>0.13885633825808</v>
      </c>
      <c r="I786" s="1">
        <f>VLOOKUP(C786,'[1]phenotypes-895'!$A$2:$I$896,9,FALSE)</f>
        <v>0.80072438469310359</v>
      </c>
      <c r="J786" s="1"/>
      <c r="K786" s="4">
        <v>3.8421649351339959</v>
      </c>
      <c r="L786" s="1"/>
      <c r="M786" s="8">
        <v>1</v>
      </c>
      <c r="N786" s="1"/>
      <c r="O786">
        <v>0.65100000000000002</v>
      </c>
      <c r="P786" s="1"/>
      <c r="Q786" s="2">
        <v>-0.14000000000000001</v>
      </c>
    </row>
    <row r="787" spans="1:17" x14ac:dyDescent="0.2">
      <c r="A787">
        <v>126</v>
      </c>
      <c r="B787">
        <v>13</v>
      </c>
      <c r="C787" t="s">
        <v>125</v>
      </c>
      <c r="D787" s="12" t="s">
        <v>912</v>
      </c>
      <c r="E787" s="1">
        <v>-6.2599765352470902</v>
      </c>
      <c r="F787" s="1">
        <v>-5.9250859155483298</v>
      </c>
      <c r="G787">
        <f>VLOOKUP(C787,'[1]phenotypes-895'!$A$2:$G$896,7,FALSE)</f>
        <v>51</v>
      </c>
      <c r="H787" s="1">
        <v>0.14507300131366299</v>
      </c>
      <c r="I787" s="1">
        <f>VLOOKUP(C787,'[1]phenotypes-895'!$A$2:$I$896,9,FALSE)</f>
        <v>1.025740934306592</v>
      </c>
      <c r="J787" s="1"/>
      <c r="K787" s="4">
        <v>4.5088023302412061</v>
      </c>
      <c r="L787" s="1"/>
      <c r="M787" s="8">
        <v>1</v>
      </c>
      <c r="N787" s="1"/>
      <c r="O787" s="6">
        <v>0.93600000000000005</v>
      </c>
      <c r="P787" s="1"/>
      <c r="Q787" s="7">
        <v>-0.02</v>
      </c>
    </row>
    <row r="788" spans="1:17" x14ac:dyDescent="0.2">
      <c r="A788">
        <v>258</v>
      </c>
      <c r="B788">
        <v>17</v>
      </c>
      <c r="C788" t="s">
        <v>257</v>
      </c>
      <c r="D788" s="12" t="s">
        <v>912</v>
      </c>
      <c r="E788" s="1">
        <v>-6.1923278060953004</v>
      </c>
      <c r="F788" s="1">
        <v>-5.9251179351509604</v>
      </c>
      <c r="G788">
        <f>VLOOKUP(C788,'[1]phenotypes-895'!$A$2:$G$896,7,FALSE)</f>
        <v>67</v>
      </c>
      <c r="H788" s="1">
        <v>0.101063716972162</v>
      </c>
      <c r="I788" s="1">
        <f>VLOOKUP(C788,'[1]phenotypes-895'!$A$2:$I$896,9,FALSE)</f>
        <v>0.55020075004894831</v>
      </c>
      <c r="J788" s="1"/>
      <c r="K788" s="4">
        <v>4.3072275102755286</v>
      </c>
      <c r="L788" s="1"/>
      <c r="M788" s="8">
        <v>1</v>
      </c>
      <c r="N788" s="1"/>
      <c r="O788" s="6">
        <v>1.135</v>
      </c>
      <c r="P788" s="1"/>
      <c r="Q788" s="7">
        <v>0.04</v>
      </c>
    </row>
    <row r="789" spans="1:17" x14ac:dyDescent="0.2">
      <c r="A789">
        <v>183</v>
      </c>
      <c r="B789">
        <v>3</v>
      </c>
      <c r="C789" t="s">
        <v>182</v>
      </c>
      <c r="D789" s="12" t="s">
        <v>913</v>
      </c>
      <c r="E789" s="1">
        <v>-2.9262794902818898</v>
      </c>
      <c r="F789" s="1">
        <v>-5.9562006603098601</v>
      </c>
      <c r="G789">
        <f>VLOOKUP(C789,'[1]phenotypes-895'!$A$2:$G$896,7,FALSE)</f>
        <v>53</v>
      </c>
      <c r="H789" s="1">
        <v>1.9144137345670699E-2</v>
      </c>
      <c r="I789" s="1">
        <f>VLOOKUP(C789,'[1]phenotypes-895'!$A$2:$I$896,9,FALSE)</f>
        <v>0.46977258590345861</v>
      </c>
      <c r="J789" s="1"/>
      <c r="K789" s="4">
        <v>3.6851801518261875</v>
      </c>
      <c r="L789" s="1"/>
      <c r="M789" s="8">
        <v>1</v>
      </c>
      <c r="N789" s="1"/>
      <c r="O789" s="6">
        <v>1.004</v>
      </c>
      <c r="P789" s="1"/>
      <c r="Q789" s="7">
        <v>0</v>
      </c>
    </row>
    <row r="790" spans="1:17" x14ac:dyDescent="0.2">
      <c r="A790">
        <v>346</v>
      </c>
      <c r="B790">
        <v>13</v>
      </c>
      <c r="C790" t="s">
        <v>345</v>
      </c>
      <c r="D790" s="12" t="s">
        <v>912</v>
      </c>
      <c r="E790" s="1">
        <v>-6.2893618453939402</v>
      </c>
      <c r="F790" s="1">
        <v>-6.0543146805802497</v>
      </c>
      <c r="G790">
        <f>VLOOKUP(C790,'[1]phenotypes-895'!$A$2:$G$896,7,FALSE)</f>
        <v>91</v>
      </c>
      <c r="H790" s="1">
        <v>0.177963959874648</v>
      </c>
      <c r="I790" s="1">
        <f>VLOOKUP(C790,'[1]phenotypes-895'!$A$2:$I$896,9,FALSE)</f>
        <v>1.1932585995025251</v>
      </c>
      <c r="J790" s="1"/>
      <c r="K790" s="4">
        <v>5.1861226363540851</v>
      </c>
      <c r="L790" s="1"/>
      <c r="M790" s="8">
        <v>1</v>
      </c>
      <c r="N790" s="1"/>
      <c r="O790" s="6">
        <v>0.91300000000000003</v>
      </c>
      <c r="P790" s="1"/>
      <c r="Q790" s="7">
        <v>-0.03</v>
      </c>
    </row>
    <row r="791" spans="1:17" x14ac:dyDescent="0.2">
      <c r="A791">
        <v>251</v>
      </c>
      <c r="B791">
        <v>34</v>
      </c>
      <c r="C791" t="s">
        <v>250</v>
      </c>
      <c r="D791" s="13" t="s">
        <v>913</v>
      </c>
      <c r="E791" s="1">
        <v>-5.2564145990798696</v>
      </c>
      <c r="F791" s="1">
        <v>-6.0575339480665598</v>
      </c>
      <c r="G791">
        <f>VLOOKUP(C791,'[1]phenotypes-895'!$A$2:$G$896,7,FALSE)</f>
        <v>47</v>
      </c>
      <c r="H791" s="1">
        <v>6.6594755983010803E-2</v>
      </c>
      <c r="I791" s="1">
        <f>VLOOKUP(C791,'[1]phenotypes-895'!$A$2:$I$896,9,FALSE)</f>
        <v>0.52658517556608109</v>
      </c>
      <c r="J791" s="1"/>
      <c r="K791" s="4">
        <v>4.1465042487279158</v>
      </c>
      <c r="L791" s="1"/>
      <c r="M791" s="8">
        <v>1</v>
      </c>
      <c r="N791" s="1"/>
      <c r="O791">
        <v>1.0469999999999999</v>
      </c>
      <c r="P791" s="1"/>
      <c r="Q791" s="2">
        <v>0.01</v>
      </c>
    </row>
    <row r="792" spans="1:17" x14ac:dyDescent="0.2">
      <c r="A792">
        <v>287</v>
      </c>
      <c r="B792">
        <v>1</v>
      </c>
      <c r="C792" t="s">
        <v>286</v>
      </c>
      <c r="D792" s="12" t="s">
        <v>913</v>
      </c>
      <c r="E792" s="1">
        <v>-4.1429339439666597</v>
      </c>
      <c r="F792" s="1">
        <v>-6.0759721539542602</v>
      </c>
      <c r="G792">
        <f>VLOOKUP(C792,'[1]phenotypes-895'!$A$2:$G$896,7,FALSE)</f>
        <v>49</v>
      </c>
      <c r="H792" s="1">
        <v>7.5157962678913198E-2</v>
      </c>
      <c r="I792" s="1">
        <f>VLOOKUP(C792,'[1]phenotypes-895'!$A$2:$I$896,9,FALSE)</f>
        <v>0.97213710893449101</v>
      </c>
      <c r="J792" s="1"/>
      <c r="K792" s="4">
        <v>3.8781691748811413</v>
      </c>
      <c r="L792" s="1"/>
      <c r="M792" s="8">
        <v>1</v>
      </c>
      <c r="N792" s="1"/>
      <c r="O792" s="6">
        <v>0.99399999999999999</v>
      </c>
      <c r="P792" s="1"/>
      <c r="Q792" s="7">
        <v>0</v>
      </c>
    </row>
    <row r="793" spans="1:17" x14ac:dyDescent="0.2">
      <c r="A793">
        <v>191</v>
      </c>
      <c r="B793">
        <v>6</v>
      </c>
      <c r="C793" t="s">
        <v>190</v>
      </c>
      <c r="D793" s="12" t="s">
        <v>913</v>
      </c>
      <c r="E793" s="1">
        <v>-3.9988202485955999</v>
      </c>
      <c r="F793" s="1">
        <v>-6.1139181417801103</v>
      </c>
      <c r="G793">
        <f>VLOOKUP(C793,'[1]phenotypes-895'!$A$2:$G$896,7,FALSE)</f>
        <v>56</v>
      </c>
      <c r="H793" s="1">
        <v>4.3550222959917798E-2</v>
      </c>
      <c r="I793" s="1">
        <f>VLOOKUP(C793,'[1]phenotypes-895'!$A$2:$I$896,9,FALSE)</f>
        <v>0.40089330164004228</v>
      </c>
      <c r="J793" s="1"/>
      <c r="K793" s="4">
        <v>3.4144365539119703</v>
      </c>
      <c r="L793" s="1"/>
      <c r="M793" s="8">
        <v>1</v>
      </c>
      <c r="N793" s="1"/>
      <c r="O793" s="6">
        <v>0.88</v>
      </c>
      <c r="P793" s="1"/>
      <c r="Q793" s="7">
        <v>-0.04</v>
      </c>
    </row>
    <row r="794" spans="1:17" x14ac:dyDescent="0.2">
      <c r="A794">
        <v>279</v>
      </c>
      <c r="B794">
        <v>17</v>
      </c>
      <c r="C794" t="s">
        <v>278</v>
      </c>
      <c r="D794" s="12" t="s">
        <v>912</v>
      </c>
      <c r="E794" s="1">
        <v>-6.4319196429330798</v>
      </c>
      <c r="F794" s="1">
        <v>-6.1287265030964502</v>
      </c>
      <c r="G794">
        <f>VLOOKUP(C794,'[1]phenotypes-895'!$A$2:$G$896,7,FALSE)</f>
        <v>68</v>
      </c>
      <c r="H794" s="1">
        <v>0.104967045102524</v>
      </c>
      <c r="I794" s="1">
        <f>VLOOKUP(C794,'[1]phenotypes-895'!$A$2:$I$896,9,FALSE)</f>
        <v>0.58479368088096073</v>
      </c>
      <c r="J794" s="1"/>
      <c r="K794" s="4">
        <v>4.8056295982136383</v>
      </c>
      <c r="L794" s="1"/>
      <c r="M794" s="8">
        <v>1</v>
      </c>
      <c r="N794" s="1"/>
      <c r="O794" s="6">
        <v>1.026</v>
      </c>
      <c r="P794" s="1"/>
      <c r="Q794" s="7">
        <v>0.01</v>
      </c>
    </row>
    <row r="795" spans="1:17" x14ac:dyDescent="0.2">
      <c r="A795">
        <v>353</v>
      </c>
      <c r="B795">
        <v>6</v>
      </c>
      <c r="C795" t="s">
        <v>352</v>
      </c>
      <c r="D795" s="12" t="s">
        <v>913</v>
      </c>
      <c r="E795" s="1">
        <v>-3.8120751409193998</v>
      </c>
      <c r="F795" s="1">
        <v>-6.1413415033992296</v>
      </c>
      <c r="G795">
        <f>VLOOKUP(C795,'[1]phenotypes-895'!$A$2:$G$896,7,FALSE)</f>
        <v>53</v>
      </c>
      <c r="H795" s="1">
        <v>7.0783817767837098E-2</v>
      </c>
      <c r="I795" s="1">
        <f>VLOOKUP(C795,'[1]phenotypes-895'!$A$2:$I$896,9,FALSE)</f>
        <v>0.77088649508646234</v>
      </c>
      <c r="J795" s="1"/>
      <c r="K795" s="4">
        <v>4.1718040528418454</v>
      </c>
      <c r="L795" s="1"/>
      <c r="M795" s="8">
        <v>1</v>
      </c>
      <c r="N795" s="1"/>
      <c r="O795" s="6">
        <v>1.0409999999999999</v>
      </c>
      <c r="P795" s="1"/>
      <c r="Q795" s="7">
        <v>0.01</v>
      </c>
    </row>
    <row r="796" spans="1:17" x14ac:dyDescent="0.2">
      <c r="A796">
        <v>311</v>
      </c>
      <c r="B796">
        <v>1</v>
      </c>
      <c r="C796" t="s">
        <v>310</v>
      </c>
      <c r="D796" s="12" t="s">
        <v>913</v>
      </c>
      <c r="E796" s="1">
        <v>-4.3732637907260496</v>
      </c>
      <c r="F796" s="1">
        <v>-6.1843349171220297</v>
      </c>
      <c r="G796">
        <f>VLOOKUP(C796,'[1]phenotypes-895'!$A$2:$G$896,7,FALSE)</f>
        <v>37</v>
      </c>
      <c r="H796" s="1">
        <v>9.3133413027763998E-2</v>
      </c>
      <c r="I796" s="1">
        <f>VLOOKUP(C796,'[1]phenotypes-895'!$A$2:$I$896,9,FALSE)</f>
        <v>1.100893570923599</v>
      </c>
      <c r="J796" s="1"/>
      <c r="K796" s="4">
        <v>3.887363815099091</v>
      </c>
      <c r="L796" s="1"/>
      <c r="M796" s="8">
        <v>1</v>
      </c>
      <c r="N796" s="1"/>
      <c r="O796" s="6">
        <v>1.1970000000000001</v>
      </c>
      <c r="P796" s="1"/>
      <c r="Q796" s="7">
        <v>0.06</v>
      </c>
    </row>
    <row r="797" spans="1:17" x14ac:dyDescent="0.2">
      <c r="A797">
        <v>512</v>
      </c>
      <c r="B797">
        <v>50</v>
      </c>
      <c r="C797" t="s">
        <v>511</v>
      </c>
      <c r="D797" s="13" t="s">
        <v>912</v>
      </c>
      <c r="E797" s="1">
        <v>-7.6233397526601001</v>
      </c>
      <c r="F797" s="1">
        <v>-6.2783689344140496</v>
      </c>
      <c r="G797">
        <f>VLOOKUP(C797,'[1]phenotypes-895'!$A$2:$G$896,7,FALSE)</f>
        <v>44</v>
      </c>
      <c r="H797" s="1">
        <v>0.150441650237507</v>
      </c>
      <c r="I797" s="1">
        <f>VLOOKUP(C797,'[1]phenotypes-895'!$A$2:$I$896,9,FALSE)</f>
        <v>1.0246960631572031</v>
      </c>
      <c r="J797" s="1"/>
      <c r="K797" s="4">
        <v>4.9427386735518306</v>
      </c>
      <c r="L797" s="1"/>
      <c r="M797" s="8">
        <v>1</v>
      </c>
      <c r="N797" s="1"/>
      <c r="O797">
        <v>0.70499999999999996</v>
      </c>
      <c r="P797" s="1"/>
      <c r="Q797" s="2">
        <v>-0.11</v>
      </c>
    </row>
    <row r="798" spans="1:17" x14ac:dyDescent="0.2">
      <c r="A798">
        <v>335</v>
      </c>
      <c r="B798">
        <v>4</v>
      </c>
      <c r="C798" t="s">
        <v>334</v>
      </c>
      <c r="D798" s="12" t="s">
        <v>913</v>
      </c>
      <c r="E798" s="1">
        <v>-4.2412533144518303</v>
      </c>
      <c r="F798" s="1">
        <v>-6.3043474564004498</v>
      </c>
      <c r="G798">
        <f>VLOOKUP(C798,'[1]phenotypes-895'!$A$2:$G$896,7,FALSE)</f>
        <v>63</v>
      </c>
      <c r="H798" s="1">
        <v>9.3531283029100798E-2</v>
      </c>
      <c r="I798" s="1">
        <f>VLOOKUP(C798,'[1]phenotypes-895'!$A$2:$I$896,9,FALSE)</f>
        <v>0.53417939535017722</v>
      </c>
      <c r="J798" s="1"/>
      <c r="K798" s="4">
        <v>3.8401142924977605</v>
      </c>
      <c r="L798" s="1"/>
      <c r="M798" s="8">
        <v>1</v>
      </c>
      <c r="N798" s="1"/>
      <c r="O798" s="6">
        <v>0.77200000000000002</v>
      </c>
      <c r="P798" s="1"/>
      <c r="Q798" s="7">
        <v>-0.09</v>
      </c>
    </row>
    <row r="799" spans="1:17" x14ac:dyDescent="0.2">
      <c r="A799">
        <v>68</v>
      </c>
      <c r="B799">
        <v>2</v>
      </c>
      <c r="C799" t="s">
        <v>67</v>
      </c>
      <c r="D799" s="12" t="s">
        <v>913</v>
      </c>
      <c r="E799" s="1">
        <v>-3.8639127633027899</v>
      </c>
      <c r="F799" s="1">
        <v>-6.3340409593153204</v>
      </c>
      <c r="G799">
        <f>VLOOKUP(C799,'[1]phenotypes-895'!$A$2:$G$896,7,FALSE)</f>
        <v>74</v>
      </c>
      <c r="H799" s="1">
        <v>5.4774650487666901E-2</v>
      </c>
      <c r="I799" s="1">
        <f>VLOOKUP(C799,'[1]phenotypes-895'!$A$2:$I$896,9,FALSE)</f>
        <v>0.67087147133961611</v>
      </c>
      <c r="J799" s="1"/>
      <c r="K799" s="4">
        <v>4.1869286824103851</v>
      </c>
      <c r="L799" s="1"/>
      <c r="M799" s="8">
        <v>1</v>
      </c>
      <c r="N799" s="1"/>
      <c r="O799" s="6">
        <v>1.1399999999999999</v>
      </c>
      <c r="P799" s="1"/>
      <c r="Q799" s="7">
        <v>0.04</v>
      </c>
    </row>
    <row r="800" spans="1:17" x14ac:dyDescent="0.2">
      <c r="A800">
        <v>103</v>
      </c>
      <c r="B800">
        <v>11</v>
      </c>
      <c r="C800" t="s">
        <v>102</v>
      </c>
      <c r="D800" s="12" t="s">
        <v>912</v>
      </c>
      <c r="E800" s="1">
        <v>-6.5270908244383099</v>
      </c>
      <c r="F800" s="1">
        <v>-6.3938251759734301</v>
      </c>
      <c r="G800">
        <f>VLOOKUP(C800,'[1]phenotypes-895'!$A$2:$G$896,7,FALSE)</f>
        <v>58</v>
      </c>
      <c r="H800" s="1">
        <v>7.0364063726812004E-2</v>
      </c>
      <c r="I800" s="1">
        <f>VLOOKUP(C800,'[1]phenotypes-895'!$A$2:$I$896,9,FALSE)</f>
        <v>0.37900188933105272</v>
      </c>
      <c r="J800" s="1"/>
      <c r="K800" s="4">
        <v>3.9832971294714175</v>
      </c>
      <c r="L800" s="1"/>
      <c r="M800" s="8">
        <v>1</v>
      </c>
      <c r="N800" s="1"/>
      <c r="O800" s="6">
        <v>1.1739999999999999</v>
      </c>
      <c r="P800" s="1"/>
      <c r="Q800" s="7">
        <v>0.05</v>
      </c>
    </row>
    <row r="801" spans="1:17" x14ac:dyDescent="0.2">
      <c r="A801">
        <v>250</v>
      </c>
      <c r="B801">
        <v>16</v>
      </c>
      <c r="C801" t="s">
        <v>249</v>
      </c>
      <c r="D801" s="12" t="s">
        <v>912</v>
      </c>
      <c r="E801" s="1">
        <v>-6.4104430939534902</v>
      </c>
      <c r="F801" s="1">
        <v>-6.45728631043559</v>
      </c>
      <c r="G801">
        <f>VLOOKUP(C801,'[1]phenotypes-895'!$A$2:$G$896,7,FALSE)</f>
        <v>64</v>
      </c>
      <c r="H801" s="1">
        <v>3.8270719211565399E-2</v>
      </c>
      <c r="I801" s="1">
        <f>VLOOKUP(C801,'[1]phenotypes-895'!$A$2:$I$896,9,FALSE)</f>
        <v>0.28997610319978723</v>
      </c>
      <c r="J801" s="1"/>
      <c r="K801" s="4">
        <v>3.514889881511801</v>
      </c>
      <c r="L801" s="1"/>
      <c r="M801" s="8">
        <v>1</v>
      </c>
      <c r="N801" s="1"/>
      <c r="O801" s="6">
        <v>1.073</v>
      </c>
      <c r="P801" s="1"/>
      <c r="Q801" s="7">
        <v>0.02</v>
      </c>
    </row>
    <row r="802" spans="1:17" x14ac:dyDescent="0.2">
      <c r="A802">
        <v>254</v>
      </c>
      <c r="B802">
        <v>11</v>
      </c>
      <c r="C802" t="s">
        <v>253</v>
      </c>
      <c r="D802" s="12" t="s">
        <v>912</v>
      </c>
      <c r="E802" s="1">
        <v>-7.1455743662116404</v>
      </c>
      <c r="F802" s="1">
        <v>-6.4973635768927904</v>
      </c>
      <c r="G802">
        <f>VLOOKUP(C802,'[1]phenotypes-895'!$A$2:$G$896,7,FALSE)</f>
        <v>51</v>
      </c>
      <c r="H802" s="1">
        <v>9.7690081282723995E-2</v>
      </c>
      <c r="I802" s="1">
        <f>VLOOKUP(C802,'[1]phenotypes-895'!$A$2:$I$896,9,FALSE)</f>
        <v>1.025104350006776</v>
      </c>
      <c r="J802" s="1"/>
      <c r="K802" s="4">
        <v>4.3617041713735354</v>
      </c>
      <c r="L802" s="1"/>
      <c r="M802" s="8">
        <v>1</v>
      </c>
      <c r="N802" s="1"/>
      <c r="O802" s="6">
        <v>0.94499999999999995</v>
      </c>
      <c r="P802" s="1"/>
      <c r="Q802" s="7">
        <v>-0.02</v>
      </c>
    </row>
    <row r="803" spans="1:17" x14ac:dyDescent="0.2">
      <c r="A803">
        <v>894</v>
      </c>
      <c r="B803">
        <v>33</v>
      </c>
      <c r="C803" t="s">
        <v>893</v>
      </c>
      <c r="D803" s="13" t="s">
        <v>913</v>
      </c>
      <c r="E803" s="1">
        <v>-4.1204646674709497</v>
      </c>
      <c r="F803" s="1">
        <v>-6.5633772376321797</v>
      </c>
      <c r="G803">
        <f>VLOOKUP(C803,'[1]phenotypes-895'!$A$2:$G$896,7,FALSE)</f>
        <v>98</v>
      </c>
      <c r="H803" s="1">
        <v>1.53304730308358E-2</v>
      </c>
      <c r="I803" s="1">
        <f>VLOOKUP(C803,'[1]phenotypes-895'!$A$2:$I$896,9,FALSE)</f>
        <v>0</v>
      </c>
      <c r="J803" s="1"/>
      <c r="K803" s="4">
        <v>0</v>
      </c>
      <c r="L803" s="1"/>
      <c r="M803" s="8">
        <v>0</v>
      </c>
      <c r="N803" s="1"/>
      <c r="O803">
        <v>1.0389999999999999</v>
      </c>
      <c r="P803" s="1"/>
      <c r="Q803" s="2">
        <v>0.01</v>
      </c>
    </row>
    <row r="804" spans="1:17" x14ac:dyDescent="0.2">
      <c r="A804">
        <v>195</v>
      </c>
      <c r="B804">
        <v>16</v>
      </c>
      <c r="C804" t="s">
        <v>194</v>
      </c>
      <c r="D804" s="12" t="s">
        <v>912</v>
      </c>
      <c r="E804" s="1">
        <v>-5.9806084868468803</v>
      </c>
      <c r="F804" s="1">
        <v>-6.5848074261404896</v>
      </c>
      <c r="G804">
        <f>VLOOKUP(C804,'[1]phenotypes-895'!$A$2:$G$896,7,FALSE)</f>
        <v>76</v>
      </c>
      <c r="H804" s="1">
        <v>5.89705301027608E-2</v>
      </c>
      <c r="I804" s="1">
        <f>VLOOKUP(C804,'[1]phenotypes-895'!$A$2:$I$896,9,FALSE)</f>
        <v>0.45640119186613021</v>
      </c>
      <c r="J804" s="1"/>
      <c r="K804" s="4">
        <v>4.3582319621970962</v>
      </c>
      <c r="L804" s="1"/>
      <c r="M804" s="8">
        <v>1</v>
      </c>
      <c r="N804" s="1"/>
      <c r="O804" s="6">
        <v>1.038</v>
      </c>
      <c r="P804" s="1"/>
      <c r="Q804" s="7">
        <v>0.01</v>
      </c>
    </row>
    <row r="805" spans="1:17" x14ac:dyDescent="0.2">
      <c r="A805">
        <v>296</v>
      </c>
      <c r="B805">
        <v>14</v>
      </c>
      <c r="C805" t="s">
        <v>295</v>
      </c>
      <c r="D805" s="12" t="s">
        <v>912</v>
      </c>
      <c r="E805" s="1">
        <v>-5.3129169209934703</v>
      </c>
      <c r="F805" s="1">
        <v>-6.6222607230496804</v>
      </c>
      <c r="G805">
        <f>VLOOKUP(C805,'[1]phenotypes-895'!$A$2:$G$896,7,FALSE)</f>
        <v>43</v>
      </c>
      <c r="H805" s="1">
        <v>9.3706195528340294E-2</v>
      </c>
      <c r="I805" s="1">
        <f>VLOOKUP(C805,'[1]phenotypes-895'!$A$2:$I$896,9,FALSE)</f>
        <v>0.7379126414265067</v>
      </c>
      <c r="J805" s="1"/>
      <c r="K805" s="4">
        <v>4.1135190810458084</v>
      </c>
      <c r="L805" s="1"/>
      <c r="M805" s="8">
        <v>1</v>
      </c>
      <c r="N805" s="1"/>
      <c r="O805" s="6">
        <v>0.85</v>
      </c>
      <c r="P805" s="1"/>
      <c r="Q805" s="7">
        <v>-0.05</v>
      </c>
    </row>
    <row r="806" spans="1:17" x14ac:dyDescent="0.2">
      <c r="A806">
        <v>29</v>
      </c>
      <c r="B806">
        <v>4</v>
      </c>
      <c r="C806" t="s">
        <v>28</v>
      </c>
      <c r="D806" s="12" t="s">
        <v>913</v>
      </c>
      <c r="E806" s="1">
        <v>-4.4585721432533703</v>
      </c>
      <c r="F806" s="1">
        <v>-6.6615678093573703</v>
      </c>
      <c r="G806">
        <f>VLOOKUP(C806,'[1]phenotypes-895'!$A$2:$G$896,7,FALSE)</f>
        <v>49</v>
      </c>
      <c r="H806" s="1">
        <v>4.9205129504071299E-2</v>
      </c>
      <c r="I806" s="1">
        <f>VLOOKUP(C806,'[1]phenotypes-895'!$A$2:$I$896,9,FALSE)</f>
        <v>0.55289486269766575</v>
      </c>
      <c r="J806" s="1"/>
      <c r="K806" s="4">
        <v>4.0031464623593198</v>
      </c>
      <c r="L806" s="1"/>
      <c r="M806" s="8">
        <v>1</v>
      </c>
      <c r="N806" s="1"/>
      <c r="O806" s="6">
        <v>1.177</v>
      </c>
      <c r="P806" s="1"/>
      <c r="Q806" s="7">
        <v>0.05</v>
      </c>
    </row>
    <row r="807" spans="1:17" x14ac:dyDescent="0.2">
      <c r="A807">
        <v>37</v>
      </c>
      <c r="B807">
        <v>11</v>
      </c>
      <c r="C807" t="s">
        <v>36</v>
      </c>
      <c r="D807" s="12" t="s">
        <v>912</v>
      </c>
      <c r="E807" s="1">
        <v>-6.9633225195934498</v>
      </c>
      <c r="F807" s="1">
        <v>-6.6820191520542203</v>
      </c>
      <c r="G807">
        <f>VLOOKUP(C807,'[1]phenotypes-895'!$A$2:$G$896,7,FALSE)</f>
        <v>63</v>
      </c>
      <c r="H807" s="1">
        <v>5.82745497192163E-2</v>
      </c>
      <c r="I807" s="1">
        <f>VLOOKUP(C807,'[1]phenotypes-895'!$A$2:$I$896,9,FALSE)</f>
        <v>0.53490725040789722</v>
      </c>
      <c r="J807" s="1"/>
      <c r="K807" s="4">
        <v>4.0143562998121256</v>
      </c>
      <c r="L807" s="1"/>
      <c r="M807" s="8">
        <v>1</v>
      </c>
      <c r="N807" s="1"/>
      <c r="O807" s="6">
        <v>1.028</v>
      </c>
      <c r="P807" s="1"/>
      <c r="Q807" s="7">
        <v>0.01</v>
      </c>
    </row>
    <row r="808" spans="1:17" x14ac:dyDescent="0.2">
      <c r="A808">
        <v>801</v>
      </c>
      <c r="B808">
        <v>24</v>
      </c>
      <c r="C808" t="s">
        <v>800</v>
      </c>
      <c r="D808" s="13" t="s">
        <v>913</v>
      </c>
      <c r="E808" s="1">
        <v>-4.3283444874845296</v>
      </c>
      <c r="F808" s="1">
        <v>-6.7080067871265197</v>
      </c>
      <c r="G808">
        <f>VLOOKUP(C808,'[1]phenotypes-895'!$A$2:$G$896,7,FALSE)</f>
        <v>60</v>
      </c>
      <c r="H808" s="1">
        <v>2.4343822098023198E-2</v>
      </c>
      <c r="I808" s="1">
        <f>VLOOKUP(C808,'[1]phenotypes-895'!$A$2:$I$896,9,FALSE)</f>
        <v>0.30628505247234428</v>
      </c>
      <c r="J808" s="1"/>
      <c r="K808" s="4">
        <v>4.0246952535589671</v>
      </c>
      <c r="L808" s="1"/>
      <c r="M808" s="8">
        <v>1</v>
      </c>
      <c r="N808" s="1"/>
      <c r="O808">
        <v>1.2969999999999999</v>
      </c>
      <c r="P808" s="1"/>
      <c r="Q808" s="2">
        <v>0.08</v>
      </c>
    </row>
    <row r="809" spans="1:17" x14ac:dyDescent="0.2">
      <c r="A809">
        <v>288</v>
      </c>
      <c r="B809">
        <v>6</v>
      </c>
      <c r="C809" t="s">
        <v>287</v>
      </c>
      <c r="D809" s="12" t="s">
        <v>913</v>
      </c>
      <c r="E809" s="1">
        <v>-4.4524972021187104</v>
      </c>
      <c r="F809" s="1">
        <v>-6.7116005449388396</v>
      </c>
      <c r="G809">
        <f>VLOOKUP(C809,'[1]phenotypes-895'!$A$2:$G$896,7,FALSE)</f>
        <v>57</v>
      </c>
      <c r="H809" s="1">
        <v>8.0618720230535595E-2</v>
      </c>
      <c r="I809" s="1">
        <f>VLOOKUP(C809,'[1]phenotypes-895'!$A$2:$I$896,9,FALSE)</f>
        <v>0.75169597272059152</v>
      </c>
      <c r="J809" s="1"/>
      <c r="K809" s="4">
        <v>3.7377029477095292</v>
      </c>
      <c r="L809" s="1"/>
      <c r="M809" s="8">
        <v>1</v>
      </c>
      <c r="N809" s="1"/>
      <c r="O809" s="6">
        <v>1.0289999999999999</v>
      </c>
      <c r="P809" s="1"/>
      <c r="Q809" s="7">
        <v>0.01</v>
      </c>
    </row>
    <row r="810" spans="1:17" x14ac:dyDescent="0.2">
      <c r="A810">
        <v>773</v>
      </c>
      <c r="B810">
        <v>30</v>
      </c>
      <c r="C810" t="s">
        <v>772</v>
      </c>
      <c r="D810" s="13" t="s">
        <v>913</v>
      </c>
      <c r="E810" s="1">
        <v>-4.6108448605442396</v>
      </c>
      <c r="F810" s="1">
        <v>-6.7976793104608202</v>
      </c>
      <c r="G810">
        <f>VLOOKUP(C810,'[1]phenotypes-895'!$A$2:$G$896,7,FALSE)</f>
        <v>70</v>
      </c>
      <c r="H810" s="1">
        <v>7.1851114149682399E-2</v>
      </c>
      <c r="I810" s="1">
        <f>VLOOKUP(C810,'[1]phenotypes-895'!$A$2:$I$896,9,FALSE)</f>
        <v>0.46896334535393641</v>
      </c>
      <c r="J810" s="1"/>
      <c r="K810" s="4">
        <v>4.640423016030609</v>
      </c>
      <c r="L810" s="1"/>
      <c r="M810" s="8">
        <v>1</v>
      </c>
      <c r="N810" s="1"/>
      <c r="O810">
        <v>1.2150000000000001</v>
      </c>
      <c r="P810" s="1"/>
      <c r="Q810" s="2">
        <v>0.06</v>
      </c>
    </row>
    <row r="811" spans="1:17" x14ac:dyDescent="0.2">
      <c r="A811">
        <v>6</v>
      </c>
      <c r="B811">
        <v>3</v>
      </c>
      <c r="C811" t="s">
        <v>5</v>
      </c>
      <c r="D811" s="12" t="s">
        <v>913</v>
      </c>
      <c r="E811" s="1">
        <v>-4.4106253651324003</v>
      </c>
      <c r="F811" s="1">
        <v>-6.8681574845300801</v>
      </c>
      <c r="G811">
        <f>VLOOKUP(C811,'[1]phenotypes-895'!$A$2:$G$896,7,FALSE)</f>
        <v>64</v>
      </c>
      <c r="H811" s="1">
        <v>0.104577971879542</v>
      </c>
      <c r="I811" s="1">
        <f>VLOOKUP(C811,'[1]phenotypes-895'!$A$2:$I$896,9,FALSE)</f>
        <v>0.62049004308728328</v>
      </c>
      <c r="J811" s="1"/>
      <c r="K811" s="4">
        <v>5.1086190411573824</v>
      </c>
      <c r="L811" s="1"/>
      <c r="M811" s="8">
        <v>1</v>
      </c>
      <c r="N811" s="1"/>
      <c r="O811" s="6">
        <v>0.79600000000000004</v>
      </c>
      <c r="P811" s="1"/>
      <c r="Q811" s="7">
        <v>-7.0000000000000007E-2</v>
      </c>
    </row>
    <row r="812" spans="1:17" x14ac:dyDescent="0.2">
      <c r="A812">
        <v>154</v>
      </c>
      <c r="B812">
        <v>1</v>
      </c>
      <c r="C812" t="s">
        <v>153</v>
      </c>
      <c r="D812" s="12" t="s">
        <v>913</v>
      </c>
      <c r="E812" s="1">
        <v>-4.99594818317241</v>
      </c>
      <c r="F812" s="1">
        <v>-6.8829021532618899</v>
      </c>
      <c r="G812">
        <f>VLOOKUP(C812,'[1]phenotypes-895'!$A$2:$G$896,7,FALSE)</f>
        <v>57</v>
      </c>
      <c r="H812" s="1">
        <v>4.4584385583276702E-2</v>
      </c>
      <c r="I812" s="1">
        <f>VLOOKUP(C812,'[1]phenotypes-895'!$A$2:$I$896,9,FALSE)</f>
        <v>0.5035731514677666</v>
      </c>
      <c r="J812" s="1"/>
      <c r="K812" s="4">
        <v>4.0039979359815412</v>
      </c>
      <c r="L812" s="1"/>
      <c r="M812" s="8">
        <v>1</v>
      </c>
      <c r="N812" s="1"/>
      <c r="O812" s="6">
        <v>1.284</v>
      </c>
      <c r="P812" s="1"/>
      <c r="Q812" s="7">
        <v>0.08</v>
      </c>
    </row>
    <row r="813" spans="1:17" x14ac:dyDescent="0.2">
      <c r="A813">
        <v>200</v>
      </c>
      <c r="B813">
        <v>13</v>
      </c>
      <c r="C813" t="s">
        <v>199</v>
      </c>
      <c r="D813" s="12" t="s">
        <v>912</v>
      </c>
      <c r="E813" s="1">
        <v>-6.8532648190852399</v>
      </c>
      <c r="F813" s="1">
        <v>-6.9407866102229896</v>
      </c>
      <c r="G813">
        <f>VLOOKUP(C813,'[1]phenotypes-895'!$A$2:$G$896,7,FALSE)</f>
        <v>50</v>
      </c>
      <c r="H813" s="1">
        <v>0.120521648318841</v>
      </c>
      <c r="I813" s="1">
        <f>VLOOKUP(C813,'[1]phenotypes-895'!$A$2:$I$896,9,FALSE)</f>
        <v>0.47868223191367992</v>
      </c>
      <c r="J813" s="1"/>
      <c r="K813" s="4">
        <v>3.7804845282920487</v>
      </c>
      <c r="L813" s="1"/>
      <c r="M813" s="8">
        <v>1</v>
      </c>
      <c r="N813" s="1"/>
      <c r="O813" s="6">
        <v>0.92</v>
      </c>
      <c r="P813" s="1"/>
      <c r="Q813" s="7">
        <v>-0.03</v>
      </c>
    </row>
    <row r="814" spans="1:17" x14ac:dyDescent="0.2">
      <c r="A814">
        <v>67</v>
      </c>
      <c r="B814">
        <v>13</v>
      </c>
      <c r="C814" t="s">
        <v>66</v>
      </c>
      <c r="D814" s="12" t="s">
        <v>912</v>
      </c>
      <c r="E814" s="1">
        <v>-7.2561588596947804</v>
      </c>
      <c r="F814" s="1">
        <v>-6.973435685109</v>
      </c>
      <c r="G814">
        <f>VLOOKUP(C814,'[1]phenotypes-895'!$A$2:$G$896,7,FALSE)</f>
        <v>46</v>
      </c>
      <c r="H814" s="1">
        <v>0.113013266068445</v>
      </c>
      <c r="I814" s="1">
        <f>VLOOKUP(C814,'[1]phenotypes-895'!$A$2:$I$896,9,FALSE)</f>
        <v>0.66137559614251251</v>
      </c>
      <c r="J814" s="1"/>
      <c r="K814" s="4">
        <v>4.0125365931110739</v>
      </c>
      <c r="L814" s="1"/>
      <c r="M814" s="8">
        <v>1</v>
      </c>
      <c r="N814" s="1"/>
      <c r="O814" s="6">
        <v>0.97599999999999998</v>
      </c>
      <c r="P814" s="1"/>
      <c r="Q814" s="7">
        <v>-0.01</v>
      </c>
    </row>
    <row r="815" spans="1:17" x14ac:dyDescent="0.2">
      <c r="A815">
        <v>190</v>
      </c>
      <c r="B815">
        <v>3</v>
      </c>
      <c r="C815" t="s">
        <v>189</v>
      </c>
      <c r="D815" s="12" t="s">
        <v>913</v>
      </c>
      <c r="E815" s="1">
        <v>-4.5817984211304603</v>
      </c>
      <c r="F815" s="1">
        <v>-7.08313182598053</v>
      </c>
      <c r="G815">
        <f>VLOOKUP(C815,'[1]phenotypes-895'!$A$2:$G$896,7,FALSE)</f>
        <v>62</v>
      </c>
      <c r="H815" s="1">
        <v>0.11987287420340401</v>
      </c>
      <c r="I815" s="1">
        <f>VLOOKUP(C815,'[1]phenotypes-895'!$A$2:$I$896,9,FALSE)</f>
        <v>0.80825010197047331</v>
      </c>
      <c r="J815" s="1"/>
      <c r="K815" s="4">
        <v>5.1151288641044195</v>
      </c>
      <c r="L815" s="1"/>
      <c r="M815" s="8">
        <v>1</v>
      </c>
      <c r="N815" s="1"/>
      <c r="O815" s="6">
        <v>0.94899999999999995</v>
      </c>
      <c r="P815" s="1"/>
      <c r="Q815" s="7">
        <v>-0.02</v>
      </c>
    </row>
    <row r="816" spans="1:17" x14ac:dyDescent="0.2">
      <c r="A816">
        <v>55</v>
      </c>
      <c r="B816">
        <v>3</v>
      </c>
      <c r="C816" t="s">
        <v>54</v>
      </c>
      <c r="D816" s="12" t="s">
        <v>913</v>
      </c>
      <c r="E816" s="1">
        <v>-4.1384733788730399</v>
      </c>
      <c r="F816" s="1">
        <v>-7.1030167634175196</v>
      </c>
      <c r="G816">
        <f>VLOOKUP(C816,'[1]phenotypes-895'!$A$2:$G$896,7,FALSE)</f>
        <v>55</v>
      </c>
      <c r="H816" s="1">
        <v>7.3632479920906699E-2</v>
      </c>
      <c r="I816" s="1">
        <f>VLOOKUP(C816,'[1]phenotypes-895'!$A$2:$I$896,9,FALSE)</f>
        <v>0.77851569949699806</v>
      </c>
      <c r="J816" s="1"/>
      <c r="K816" s="4">
        <v>3.4560968216750374</v>
      </c>
      <c r="L816" s="1"/>
      <c r="M816" s="8">
        <v>1</v>
      </c>
      <c r="N816" s="1"/>
      <c r="O816" s="6">
        <v>0.97799999999999998</v>
      </c>
      <c r="P816" s="1"/>
      <c r="Q816" s="7">
        <v>-0.01</v>
      </c>
    </row>
    <row r="817" spans="1:17" x14ac:dyDescent="0.2">
      <c r="A817">
        <v>100</v>
      </c>
      <c r="B817">
        <v>13</v>
      </c>
      <c r="C817" t="s">
        <v>99</v>
      </c>
      <c r="D817" s="12" t="s">
        <v>912</v>
      </c>
      <c r="E817" s="1">
        <v>-6.8663408016603702</v>
      </c>
      <c r="F817" s="1">
        <v>-7.1192777450070297</v>
      </c>
      <c r="G817">
        <f>VLOOKUP(C817,'[1]phenotypes-895'!$A$2:$G$896,7,FALSE)</f>
        <v>46</v>
      </c>
      <c r="H817" s="1">
        <v>0.136384266036846</v>
      </c>
      <c r="I817" s="1">
        <f>VLOOKUP(C817,'[1]phenotypes-895'!$A$2:$I$896,9,FALSE)</f>
        <v>0.79054348451110024</v>
      </c>
      <c r="J817" s="1"/>
      <c r="K817" s="4">
        <v>3.7867595564268139</v>
      </c>
      <c r="L817" s="1"/>
      <c r="M817" s="8">
        <v>1</v>
      </c>
      <c r="N817" s="1"/>
      <c r="O817" s="6">
        <v>0.98099999999999998</v>
      </c>
      <c r="P817" s="1"/>
      <c r="Q817" s="7">
        <v>-0.01</v>
      </c>
    </row>
    <row r="818" spans="1:17" x14ac:dyDescent="0.2">
      <c r="A818">
        <v>333</v>
      </c>
      <c r="B818">
        <v>4</v>
      </c>
      <c r="C818" t="s">
        <v>332</v>
      </c>
      <c r="D818" s="12" t="s">
        <v>913</v>
      </c>
      <c r="E818" s="1">
        <v>-4.5332131951600099</v>
      </c>
      <c r="F818" s="1">
        <v>-7.1263139102674904</v>
      </c>
      <c r="G818">
        <f>VLOOKUP(C818,'[1]phenotypes-895'!$A$2:$G$896,7,FALSE)</f>
        <v>62</v>
      </c>
      <c r="H818" s="1">
        <v>0.11810302262441701</v>
      </c>
      <c r="I818" s="1">
        <f>VLOOKUP(C818,'[1]phenotypes-895'!$A$2:$I$896,9,FALSE)</f>
        <v>0.67764593981273813</v>
      </c>
      <c r="J818" s="1"/>
      <c r="K818" s="4">
        <v>4.6061319773132894</v>
      </c>
      <c r="L818" s="1"/>
      <c r="M818" s="8">
        <v>1</v>
      </c>
      <c r="N818" s="1"/>
      <c r="O818" s="6">
        <v>0.86699999999999999</v>
      </c>
      <c r="P818" s="1"/>
      <c r="Q818" s="7">
        <v>-0.05</v>
      </c>
    </row>
    <row r="819" spans="1:17" x14ac:dyDescent="0.2">
      <c r="A819">
        <v>13</v>
      </c>
      <c r="B819">
        <v>5</v>
      </c>
      <c r="C819" t="s">
        <v>12</v>
      </c>
      <c r="D819" s="12" t="s">
        <v>913</v>
      </c>
      <c r="E819" s="1">
        <v>-4.8596753080778798</v>
      </c>
      <c r="F819" s="1">
        <v>-7.127405695567</v>
      </c>
      <c r="G819">
        <f>VLOOKUP(C819,'[1]phenotypes-895'!$A$2:$G$896,7,FALSE)</f>
        <v>98</v>
      </c>
      <c r="H819" s="1">
        <v>5.1810799157540798E-2</v>
      </c>
      <c r="I819" s="1">
        <f>VLOOKUP(C819,'[1]phenotypes-895'!$A$2:$I$896,9,FALSE)</f>
        <v>0</v>
      </c>
      <c r="J819" s="1"/>
      <c r="K819" s="4">
        <v>0</v>
      </c>
      <c r="L819" s="1"/>
      <c r="M819" s="8">
        <v>0</v>
      </c>
      <c r="N819" s="1"/>
      <c r="O819" s="6">
        <v>1.0820000000000001</v>
      </c>
      <c r="P819" s="1"/>
      <c r="Q819" s="7">
        <v>0.02</v>
      </c>
    </row>
    <row r="820" spans="1:17" x14ac:dyDescent="0.2">
      <c r="A820">
        <v>131</v>
      </c>
      <c r="B820">
        <v>11</v>
      </c>
      <c r="C820" t="s">
        <v>130</v>
      </c>
      <c r="D820" s="12" t="s">
        <v>912</v>
      </c>
      <c r="E820" s="1">
        <v>-7.5098245402179504</v>
      </c>
      <c r="F820" s="1">
        <v>-7.2334927963014897</v>
      </c>
      <c r="G820">
        <f>VLOOKUP(C820,'[1]phenotypes-895'!$A$2:$G$896,7,FALSE)</f>
        <v>64</v>
      </c>
      <c r="H820" s="1">
        <v>9.3580619875238497E-2</v>
      </c>
      <c r="I820" s="1">
        <f>VLOOKUP(C820,'[1]phenotypes-895'!$A$2:$I$896,9,FALSE)</f>
        <v>0.53988884348835542</v>
      </c>
      <c r="J820" s="1"/>
      <c r="K820" s="4">
        <v>4.0825516464877847</v>
      </c>
      <c r="L820" s="1"/>
      <c r="M820" s="8">
        <v>1</v>
      </c>
      <c r="N820" s="1"/>
      <c r="O820" s="6">
        <v>1.149</v>
      </c>
      <c r="P820" s="1"/>
      <c r="Q820" s="7">
        <v>0.04</v>
      </c>
    </row>
    <row r="821" spans="1:17" x14ac:dyDescent="0.2">
      <c r="A821">
        <v>179</v>
      </c>
      <c r="B821">
        <v>28</v>
      </c>
      <c r="C821" t="s">
        <v>178</v>
      </c>
      <c r="D821" s="13" t="s">
        <v>913</v>
      </c>
      <c r="E821" s="1">
        <v>-4.9937224676829697</v>
      </c>
      <c r="F821" s="1">
        <v>-7.2436372865992702</v>
      </c>
      <c r="G821">
        <f>VLOOKUP(C821,'[1]phenotypes-895'!$A$2:$G$896,7,FALSE)</f>
        <v>98</v>
      </c>
      <c r="H821" s="1">
        <v>7.0051364389484699E-2</v>
      </c>
      <c r="I821" s="1">
        <f>VLOOKUP(C821,'[1]phenotypes-895'!$A$2:$I$896,9,FALSE)</f>
        <v>0</v>
      </c>
      <c r="J821" s="1"/>
      <c r="K821" s="4">
        <v>0</v>
      </c>
      <c r="L821" s="1"/>
      <c r="M821" s="8">
        <v>0</v>
      </c>
      <c r="N821" s="1"/>
      <c r="O821">
        <v>1.149</v>
      </c>
      <c r="P821" s="1"/>
      <c r="Q821" s="2">
        <v>0.04</v>
      </c>
    </row>
    <row r="822" spans="1:17" x14ac:dyDescent="0.2">
      <c r="A822">
        <v>12</v>
      </c>
      <c r="B822">
        <v>5</v>
      </c>
      <c r="C822" t="s">
        <v>11</v>
      </c>
      <c r="D822" s="12" t="s">
        <v>913</v>
      </c>
      <c r="E822" s="1">
        <v>-4.4528542202766399</v>
      </c>
      <c r="F822" s="1">
        <v>-7.2515961778776896</v>
      </c>
      <c r="G822">
        <f>VLOOKUP(C822,'[1]phenotypes-895'!$A$2:$G$896,7,FALSE)</f>
        <v>60</v>
      </c>
      <c r="H822" s="1">
        <v>8.3590197717985704E-2</v>
      </c>
      <c r="I822" s="1">
        <f>VLOOKUP(C822,'[1]phenotypes-895'!$A$2:$I$896,9,FALSE)</f>
        <v>0.74277738159844742</v>
      </c>
      <c r="J822" s="1"/>
      <c r="K822" s="4">
        <v>4.5580684641215159</v>
      </c>
      <c r="L822" s="1"/>
      <c r="M822" s="8">
        <v>1</v>
      </c>
      <c r="N822" s="1"/>
      <c r="O822" s="6">
        <v>1.0309999999999999</v>
      </c>
      <c r="P822" s="1"/>
      <c r="Q822" s="7">
        <v>0.01</v>
      </c>
    </row>
    <row r="823" spans="1:17" x14ac:dyDescent="0.2">
      <c r="A823">
        <v>185</v>
      </c>
      <c r="B823">
        <v>11</v>
      </c>
      <c r="C823" t="s">
        <v>184</v>
      </c>
      <c r="D823" s="12" t="s">
        <v>912</v>
      </c>
      <c r="E823" s="1">
        <v>-7.1333966927816403</v>
      </c>
      <c r="F823" s="1">
        <v>-7.2568778469574902</v>
      </c>
      <c r="G823">
        <f>VLOOKUP(C823,'[1]phenotypes-895'!$A$2:$G$896,7,FALSE)</f>
        <v>66</v>
      </c>
      <c r="H823" s="1">
        <v>8.5985050830930304E-2</v>
      </c>
      <c r="I823" s="1">
        <f>VLOOKUP(C823,'[1]phenotypes-895'!$A$2:$I$896,9,FALSE)</f>
        <v>0.35530055812993111</v>
      </c>
      <c r="J823" s="1"/>
      <c r="K823" s="4">
        <v>4.3927061839127051</v>
      </c>
      <c r="L823" s="1"/>
      <c r="M823" s="8">
        <v>1</v>
      </c>
      <c r="N823" s="1"/>
      <c r="O823" s="6">
        <v>1</v>
      </c>
      <c r="P823" s="1"/>
      <c r="Q823" s="7">
        <v>0</v>
      </c>
    </row>
    <row r="824" spans="1:17" x14ac:dyDescent="0.2">
      <c r="A824">
        <v>143</v>
      </c>
      <c r="B824">
        <v>14</v>
      </c>
      <c r="C824" t="s">
        <v>142</v>
      </c>
      <c r="D824" s="12" t="s">
        <v>912</v>
      </c>
      <c r="E824" s="1">
        <v>-6.7170139976778804</v>
      </c>
      <c r="F824" s="1">
        <v>-7.2774475088331503</v>
      </c>
      <c r="G824">
        <f>VLOOKUP(C824,'[1]phenotypes-895'!$A$2:$G$896,7,FALSE)</f>
        <v>56</v>
      </c>
      <c r="H824" s="1">
        <v>0.121991390154142</v>
      </c>
      <c r="I824" s="1">
        <f>VLOOKUP(C824,'[1]phenotypes-895'!$A$2:$I$896,9,FALSE)</f>
        <v>0.66194170661746199</v>
      </c>
      <c r="J824" s="1"/>
      <c r="K824" s="4">
        <v>3.3382473712876117</v>
      </c>
      <c r="L824" s="1"/>
      <c r="M824" s="8">
        <v>1</v>
      </c>
      <c r="N824" s="1"/>
      <c r="O824" s="6">
        <v>1.03</v>
      </c>
      <c r="P824" s="1"/>
      <c r="Q824" s="7">
        <v>0.01</v>
      </c>
    </row>
    <row r="825" spans="1:17" x14ac:dyDescent="0.2">
      <c r="A825">
        <v>1</v>
      </c>
      <c r="B825">
        <v>13</v>
      </c>
      <c r="C825" t="s">
        <v>0</v>
      </c>
      <c r="D825" s="12" t="s">
        <v>912</v>
      </c>
      <c r="E825" s="1">
        <v>-7.4691425745525599</v>
      </c>
      <c r="F825" s="1">
        <v>-7.2808866625886104</v>
      </c>
      <c r="G825">
        <f>VLOOKUP(C825,'[1]phenotypes-895'!$A$2:$G$896,7,FALSE)</f>
        <v>56</v>
      </c>
      <c r="H825" s="1">
        <v>0.15366900813075701</v>
      </c>
      <c r="I825" s="1">
        <f>VLOOKUP(C825,'[1]phenotypes-895'!$A$2:$I$896,9,FALSE)</f>
        <v>0.77439726300663869</v>
      </c>
      <c r="J825" s="1"/>
      <c r="K825" s="4">
        <v>4.0094592513362208</v>
      </c>
      <c r="L825" s="1"/>
      <c r="M825" s="8">
        <v>1</v>
      </c>
      <c r="N825" s="1"/>
      <c r="O825" s="6">
        <v>0.97099999999999997</v>
      </c>
      <c r="P825" s="1"/>
      <c r="Q825" s="7">
        <v>-0.01</v>
      </c>
    </row>
    <row r="826" spans="1:17" x14ac:dyDescent="0.2">
      <c r="A826">
        <v>327</v>
      </c>
      <c r="B826">
        <v>17</v>
      </c>
      <c r="C826" t="s">
        <v>326</v>
      </c>
      <c r="D826" s="12" t="s">
        <v>912</v>
      </c>
      <c r="E826" s="1">
        <v>-7.4506457635752303</v>
      </c>
      <c r="F826" s="1">
        <v>-7.31687681413747</v>
      </c>
      <c r="G826">
        <f>VLOOKUP(C826,'[1]phenotypes-895'!$A$2:$G$896,7,FALSE)</f>
        <v>53</v>
      </c>
      <c r="H826" s="1">
        <v>9.1776711572615605E-2</v>
      </c>
      <c r="I826" s="1">
        <f>VLOOKUP(C826,'[1]phenotypes-895'!$A$2:$I$896,9,FALSE)</f>
        <v>0.72993978729152365</v>
      </c>
      <c r="J826" s="1"/>
      <c r="K826" s="4">
        <v>3.9340582819575016</v>
      </c>
      <c r="L826" s="1"/>
      <c r="M826" s="8">
        <v>1</v>
      </c>
      <c r="N826" s="1"/>
      <c r="O826" s="6">
        <v>1.0920000000000001</v>
      </c>
      <c r="P826" s="1"/>
      <c r="Q826" s="7">
        <v>0.03</v>
      </c>
    </row>
    <row r="827" spans="1:17" x14ac:dyDescent="0.2">
      <c r="A827">
        <v>62</v>
      </c>
      <c r="B827">
        <v>14</v>
      </c>
      <c r="C827" t="s">
        <v>61</v>
      </c>
      <c r="D827" s="12" t="s">
        <v>912</v>
      </c>
      <c r="E827" s="1">
        <v>-8.3564485030610207</v>
      </c>
      <c r="F827" s="1">
        <v>-7.3169403523848304</v>
      </c>
      <c r="G827">
        <f>VLOOKUP(C827,'[1]phenotypes-895'!$A$2:$G$896,7,FALSE)</f>
        <v>68</v>
      </c>
      <c r="H827" s="1">
        <v>0.13975220786255099</v>
      </c>
      <c r="I827" s="1">
        <f>VLOOKUP(C827,'[1]phenotypes-895'!$A$2:$I$896,9,FALSE)</f>
        <v>0.73619269938075327</v>
      </c>
      <c r="J827" s="1"/>
      <c r="K827" s="4">
        <v>4.5417285696889262</v>
      </c>
      <c r="L827" s="1"/>
      <c r="M827" s="8">
        <v>1</v>
      </c>
      <c r="N827" s="1"/>
      <c r="O827" s="6">
        <v>1.286</v>
      </c>
      <c r="P827" s="1"/>
      <c r="Q827" s="7">
        <v>0.08</v>
      </c>
    </row>
    <row r="828" spans="1:17" x14ac:dyDescent="0.2">
      <c r="A828">
        <v>299</v>
      </c>
      <c r="B828">
        <v>10</v>
      </c>
      <c r="C828" t="s">
        <v>298</v>
      </c>
      <c r="D828" s="12" t="s">
        <v>912</v>
      </c>
      <c r="E828" s="1">
        <v>-7.8654186364234899</v>
      </c>
      <c r="F828" s="1">
        <v>-7.3512841157772897</v>
      </c>
      <c r="G828">
        <f>VLOOKUP(C828,'[1]phenotypes-895'!$A$2:$G$896,7,FALSE)</f>
        <v>45</v>
      </c>
      <c r="H828" s="1">
        <v>0.12169256079282501</v>
      </c>
      <c r="I828" s="1">
        <f>VLOOKUP(C828,'[1]phenotypes-895'!$A$2:$I$896,9,FALSE)</f>
        <v>0.70931451044688476</v>
      </c>
      <c r="J828" s="1"/>
      <c r="K828" s="4">
        <v>4.255450236852508</v>
      </c>
      <c r="L828" s="1"/>
      <c r="M828" s="8">
        <v>1</v>
      </c>
      <c r="N828" s="1"/>
      <c r="O828" s="6">
        <v>1.06</v>
      </c>
      <c r="P828" s="1"/>
      <c r="Q828" s="7">
        <v>0.02</v>
      </c>
    </row>
    <row r="829" spans="1:17" x14ac:dyDescent="0.2">
      <c r="A829">
        <v>107</v>
      </c>
      <c r="B829">
        <v>17</v>
      </c>
      <c r="C829" t="s">
        <v>106</v>
      </c>
      <c r="D829" s="12" t="s">
        <v>912</v>
      </c>
      <c r="E829" s="1">
        <v>-7.7359396920399197</v>
      </c>
      <c r="F829" s="1">
        <v>-7.4281461475909802</v>
      </c>
      <c r="G829">
        <f>VLOOKUP(C829,'[1]phenotypes-895'!$A$2:$G$896,7,FALSE)</f>
        <v>44</v>
      </c>
      <c r="H829" s="1">
        <v>9.1537018869510794E-2</v>
      </c>
      <c r="I829" s="1">
        <f>VLOOKUP(C829,'[1]phenotypes-895'!$A$2:$I$896,9,FALSE)</f>
        <v>0.67979602158903207</v>
      </c>
      <c r="J829" s="1"/>
      <c r="K829" s="4">
        <v>3.4148253246667379</v>
      </c>
      <c r="L829" s="1"/>
      <c r="M829" s="8">
        <v>1</v>
      </c>
      <c r="N829" s="1"/>
      <c r="O829" s="6">
        <v>1.264</v>
      </c>
      <c r="P829" s="1"/>
      <c r="Q829" s="7">
        <v>7.0000000000000007E-2</v>
      </c>
    </row>
    <row r="830" spans="1:17" x14ac:dyDescent="0.2">
      <c r="A830">
        <v>317</v>
      </c>
      <c r="B830">
        <v>16</v>
      </c>
      <c r="C830" t="s">
        <v>316</v>
      </c>
      <c r="D830" s="12" t="s">
        <v>912</v>
      </c>
      <c r="E830" s="1">
        <v>-7.5943394849981098</v>
      </c>
      <c r="F830" s="1">
        <v>-7.54335571136206</v>
      </c>
      <c r="G830">
        <f>VLOOKUP(C830,'[1]phenotypes-895'!$A$2:$G$896,7,FALSE)</f>
        <v>49</v>
      </c>
      <c r="H830" s="1">
        <v>4.8646963006021803E-2</v>
      </c>
      <c r="I830" s="1">
        <f>VLOOKUP(C830,'[1]phenotypes-895'!$A$2:$I$896,9,FALSE)</f>
        <v>0.62137223526769214</v>
      </c>
      <c r="J830" s="1"/>
      <c r="K830" s="4">
        <v>4.0673316041270278</v>
      </c>
      <c r="L830" s="1"/>
      <c r="M830" s="8">
        <v>1</v>
      </c>
      <c r="N830" s="1"/>
      <c r="O830" s="6">
        <v>0.83099999999999996</v>
      </c>
      <c r="P830" s="1"/>
      <c r="Q830" s="7">
        <v>-0.06</v>
      </c>
    </row>
    <row r="831" spans="1:17" x14ac:dyDescent="0.2">
      <c r="A831">
        <v>204</v>
      </c>
      <c r="B831">
        <v>17</v>
      </c>
      <c r="C831" t="s">
        <v>203</v>
      </c>
      <c r="D831" s="12" t="s">
        <v>912</v>
      </c>
      <c r="E831" s="1">
        <v>-7.5126636403011604</v>
      </c>
      <c r="F831" s="1">
        <v>-7.5679348336816599</v>
      </c>
      <c r="G831">
        <f>VLOOKUP(C831,'[1]phenotypes-895'!$A$2:$G$896,7,FALSE)</f>
        <v>43</v>
      </c>
      <c r="H831" s="1">
        <v>0.13485008142607399</v>
      </c>
      <c r="I831" s="1">
        <f>VLOOKUP(C831,'[1]phenotypes-895'!$A$2:$I$896,9,FALSE)</f>
        <v>1.3150984457736561</v>
      </c>
      <c r="J831" s="1"/>
      <c r="K831" s="4">
        <v>4.3105338809322626</v>
      </c>
      <c r="L831" s="1"/>
      <c r="M831" s="8">
        <v>1</v>
      </c>
      <c r="N831" s="1"/>
      <c r="O831" s="6">
        <v>1.0820000000000001</v>
      </c>
      <c r="P831" s="1"/>
      <c r="Q831" s="7">
        <v>0.02</v>
      </c>
    </row>
    <row r="832" spans="1:17" x14ac:dyDescent="0.2">
      <c r="A832">
        <v>290</v>
      </c>
      <c r="B832">
        <v>5</v>
      </c>
      <c r="C832" t="s">
        <v>289</v>
      </c>
      <c r="D832" s="12" t="s">
        <v>913</v>
      </c>
      <c r="E832" s="1">
        <v>-4.9142329826167099</v>
      </c>
      <c r="F832" s="1">
        <v>-7.6513942092702196</v>
      </c>
      <c r="G832">
        <f>VLOOKUP(C832,'[1]phenotypes-895'!$A$2:$G$896,7,FALSE)</f>
        <v>66</v>
      </c>
      <c r="H832" s="1">
        <v>7.2257441614247103E-2</v>
      </c>
      <c r="I832" s="1">
        <f>VLOOKUP(C832,'[1]phenotypes-895'!$A$2:$I$896,9,FALSE)</f>
        <v>0.58362553787209381</v>
      </c>
      <c r="J832" s="1"/>
      <c r="K832" s="4">
        <v>4.5908707299988416</v>
      </c>
      <c r="L832" s="1"/>
      <c r="M832" s="8">
        <v>1</v>
      </c>
      <c r="N832" s="1"/>
      <c r="O832" s="6">
        <v>1.0409999999999999</v>
      </c>
      <c r="P832" s="1"/>
      <c r="Q832" s="7">
        <v>0.01</v>
      </c>
    </row>
    <row r="833" spans="1:17" x14ac:dyDescent="0.2">
      <c r="A833">
        <v>283</v>
      </c>
      <c r="B833">
        <v>17</v>
      </c>
      <c r="C833" t="s">
        <v>282</v>
      </c>
      <c r="D833" s="12" t="s">
        <v>912</v>
      </c>
      <c r="E833" s="1">
        <v>-7.9611871554605198</v>
      </c>
      <c r="F833" s="1">
        <v>-7.6541617875165304</v>
      </c>
      <c r="G833">
        <f>VLOOKUP(C833,'[1]phenotypes-895'!$A$2:$G$896,7,FALSE)</f>
        <v>53</v>
      </c>
      <c r="H833" s="1">
        <v>8.5700324448886298E-2</v>
      </c>
      <c r="I833" s="1">
        <f>VLOOKUP(C833,'[1]phenotypes-895'!$A$2:$I$896,9,FALSE)</f>
        <v>0.63881363650217138</v>
      </c>
      <c r="J833" s="1"/>
      <c r="K833" s="4">
        <v>4.3390907966779357</v>
      </c>
      <c r="L833" s="1"/>
      <c r="M833" s="8">
        <v>1</v>
      </c>
      <c r="N833" s="1"/>
      <c r="O833" s="6">
        <v>1.004</v>
      </c>
      <c r="P833" s="1"/>
      <c r="Q833" s="7">
        <v>0</v>
      </c>
    </row>
    <row r="834" spans="1:17" x14ac:dyDescent="0.2">
      <c r="A834">
        <v>461</v>
      </c>
      <c r="B834">
        <v>51</v>
      </c>
      <c r="C834" t="s">
        <v>460</v>
      </c>
      <c r="D834" s="13" t="s">
        <v>912</v>
      </c>
      <c r="E834" s="1">
        <v>-5.3496746229883696</v>
      </c>
      <c r="F834" s="1">
        <v>-7.6719491574502197</v>
      </c>
      <c r="G834">
        <f>VLOOKUP(C834,'[1]phenotypes-895'!$A$2:$G$896,7,FALSE)</f>
        <v>86</v>
      </c>
      <c r="H834" s="1">
        <v>0.12658434751514899</v>
      </c>
      <c r="I834" s="1">
        <f>VLOOKUP(C834,'[1]phenotypes-895'!$A$2:$I$896,9,FALSE)</f>
        <v>0.67488361160730048</v>
      </c>
      <c r="J834" s="1"/>
      <c r="K834" s="4">
        <v>3.6060515878742647</v>
      </c>
      <c r="L834" s="1"/>
      <c r="M834" s="8">
        <v>1</v>
      </c>
      <c r="N834" s="1"/>
      <c r="O834">
        <v>1.036</v>
      </c>
      <c r="P834" s="1"/>
      <c r="Q834" s="2">
        <v>0.01</v>
      </c>
    </row>
    <row r="835" spans="1:17" x14ac:dyDescent="0.2">
      <c r="A835">
        <v>129</v>
      </c>
      <c r="B835">
        <v>16</v>
      </c>
      <c r="C835" t="s">
        <v>128</v>
      </c>
      <c r="D835" s="12" t="s">
        <v>912</v>
      </c>
      <c r="E835" s="1">
        <v>-7.7434953687654202</v>
      </c>
      <c r="F835" s="1">
        <v>-7.6744201070561697</v>
      </c>
      <c r="G835">
        <f>VLOOKUP(C835,'[1]phenotypes-895'!$A$2:$G$896,7,FALSE)</f>
        <v>98</v>
      </c>
      <c r="H835" s="1">
        <v>6.5841934653835102E-2</v>
      </c>
      <c r="I835" s="1">
        <f>VLOOKUP(C835,'[1]phenotypes-895'!$A$2:$I$896,9,FALSE)</f>
        <v>0</v>
      </c>
      <c r="J835" s="1"/>
      <c r="K835" s="4">
        <v>0</v>
      </c>
      <c r="L835" s="1"/>
      <c r="M835" s="8">
        <v>0</v>
      </c>
      <c r="N835" s="1"/>
      <c r="O835" s="6">
        <v>1.1930000000000001</v>
      </c>
      <c r="P835" s="1"/>
      <c r="Q835" s="7">
        <v>0.06</v>
      </c>
    </row>
    <row r="836" spans="1:17" x14ac:dyDescent="0.2">
      <c r="A836">
        <v>275</v>
      </c>
      <c r="B836">
        <v>2</v>
      </c>
      <c r="C836" t="s">
        <v>274</v>
      </c>
      <c r="D836" s="12" t="s">
        <v>913</v>
      </c>
      <c r="E836" s="1">
        <v>-5.5888342762949197</v>
      </c>
      <c r="F836" s="1">
        <v>-7.7381294013557396</v>
      </c>
      <c r="G836">
        <f>VLOOKUP(C836,'[1]phenotypes-895'!$A$2:$G$896,7,FALSE)</f>
        <v>56</v>
      </c>
      <c r="H836" s="1">
        <v>6.56101002455559E-2</v>
      </c>
      <c r="I836" s="1">
        <f>VLOOKUP(C836,'[1]phenotypes-895'!$A$2:$I$896,9,FALSE)</f>
        <v>0.65878464627212963</v>
      </c>
      <c r="J836" s="1"/>
      <c r="K836" s="4">
        <v>4.1156782699486891</v>
      </c>
      <c r="L836" s="1"/>
      <c r="M836" s="8">
        <v>1</v>
      </c>
      <c r="N836" s="1"/>
      <c r="O836" s="6">
        <v>1.1539999999999999</v>
      </c>
      <c r="P836" s="1"/>
      <c r="Q836" s="7">
        <v>0.05</v>
      </c>
    </row>
    <row r="837" spans="1:17" x14ac:dyDescent="0.2">
      <c r="A837">
        <v>211</v>
      </c>
      <c r="B837">
        <v>9</v>
      </c>
      <c r="C837" t="s">
        <v>210</v>
      </c>
      <c r="D837" s="12" t="s">
        <v>912</v>
      </c>
      <c r="E837" s="1">
        <v>-6.7487626982017597</v>
      </c>
      <c r="F837" s="1">
        <v>-7.7965027821703101</v>
      </c>
      <c r="G837">
        <f>VLOOKUP(C837,'[1]phenotypes-895'!$A$2:$G$896,7,FALSE)</f>
        <v>56</v>
      </c>
      <c r="H837" s="1">
        <v>8.3477219323667098E-2</v>
      </c>
      <c r="I837" s="1">
        <f>VLOOKUP(C837,'[1]phenotypes-895'!$A$2:$I$896,9,FALSE)</f>
        <v>0.67204845375246147</v>
      </c>
      <c r="J837" s="1"/>
      <c r="K837" s="4">
        <v>4.2039137820753218</v>
      </c>
      <c r="L837" s="1"/>
      <c r="M837" s="8">
        <v>1</v>
      </c>
      <c r="N837" s="1"/>
      <c r="O837" s="6">
        <v>0.88100000000000001</v>
      </c>
      <c r="P837" s="1"/>
      <c r="Q837" s="7">
        <v>-0.04</v>
      </c>
    </row>
    <row r="838" spans="1:17" x14ac:dyDescent="0.2">
      <c r="A838">
        <v>322</v>
      </c>
      <c r="B838">
        <v>11</v>
      </c>
      <c r="C838" t="s">
        <v>321</v>
      </c>
      <c r="D838" s="12" t="s">
        <v>912</v>
      </c>
      <c r="E838" s="1">
        <v>-8.0427826473516308</v>
      </c>
      <c r="F838" s="1">
        <v>-7.8748929741171896</v>
      </c>
      <c r="G838">
        <f>VLOOKUP(C838,'[1]phenotypes-895'!$A$2:$G$896,7,FALSE)</f>
        <v>53</v>
      </c>
      <c r="H838" s="1">
        <v>4.3840254540214403E-2</v>
      </c>
      <c r="I838" s="1">
        <f>VLOOKUP(C838,'[1]phenotypes-895'!$A$2:$I$896,9,FALSE)</f>
        <v>9.8324846625533993E-2</v>
      </c>
      <c r="J838" s="1"/>
      <c r="K838" s="4">
        <v>3.0660281761986035</v>
      </c>
      <c r="L838" s="1"/>
      <c r="M838" s="8">
        <v>1</v>
      </c>
      <c r="N838" s="1"/>
      <c r="O838" s="6">
        <v>0.94299999999999995</v>
      </c>
      <c r="P838" s="1"/>
      <c r="Q838" s="7">
        <v>-0.02</v>
      </c>
    </row>
    <row r="839" spans="1:17" x14ac:dyDescent="0.2">
      <c r="A839">
        <v>26</v>
      </c>
      <c r="B839">
        <v>6</v>
      </c>
      <c r="C839" t="s">
        <v>25</v>
      </c>
      <c r="D839" s="12" t="s">
        <v>913</v>
      </c>
      <c r="E839" s="1">
        <v>-5.7277995231110497</v>
      </c>
      <c r="F839" s="1">
        <v>-7.9714464236918099</v>
      </c>
      <c r="G839">
        <f>VLOOKUP(C839,'[1]phenotypes-895'!$A$2:$G$896,7,FALSE)</f>
        <v>58</v>
      </c>
      <c r="H839" s="1">
        <v>7.6507389749169694E-2</v>
      </c>
      <c r="I839" s="1">
        <f>VLOOKUP(C839,'[1]phenotypes-895'!$A$2:$I$896,9,FALSE)</f>
        <v>0.37372472541365409</v>
      </c>
      <c r="J839" s="1"/>
      <c r="K839" s="4">
        <v>3.1657750595793037</v>
      </c>
      <c r="L839" s="1"/>
      <c r="M839" s="8">
        <v>1</v>
      </c>
      <c r="N839" s="1"/>
      <c r="O839" s="6">
        <v>0.94199999999999995</v>
      </c>
      <c r="P839" s="1"/>
      <c r="Q839" s="7">
        <v>-0.02</v>
      </c>
    </row>
    <row r="840" spans="1:17" x14ac:dyDescent="0.2">
      <c r="A840">
        <v>31</v>
      </c>
      <c r="B840">
        <v>17</v>
      </c>
      <c r="C840" t="s">
        <v>30</v>
      </c>
      <c r="D840" s="12" t="s">
        <v>912</v>
      </c>
      <c r="E840" s="1">
        <v>-8.6051417375638906</v>
      </c>
      <c r="F840" s="1">
        <v>-8.3554538257917503</v>
      </c>
      <c r="G840">
        <f>VLOOKUP(C840,'[1]phenotypes-895'!$A$2:$G$896,7,FALSE)</f>
        <v>52</v>
      </c>
      <c r="H840" s="1">
        <v>0.11367672551803799</v>
      </c>
      <c r="I840" s="1">
        <f>VLOOKUP(C840,'[1]phenotypes-895'!$A$2:$I$896,9,FALSE)</f>
        <v>0.66095354723561628</v>
      </c>
      <c r="J840" s="1"/>
      <c r="K840" s="4">
        <v>3.9110749926068715</v>
      </c>
      <c r="L840" s="1"/>
      <c r="M840" s="8">
        <v>1</v>
      </c>
      <c r="N840" s="1"/>
      <c r="O840" s="6">
        <v>0.94099999999999995</v>
      </c>
      <c r="P840" s="1"/>
      <c r="Q840" s="7">
        <v>-0.02</v>
      </c>
    </row>
    <row r="841" spans="1:17" x14ac:dyDescent="0.2">
      <c r="A841">
        <v>252</v>
      </c>
      <c r="B841">
        <v>1</v>
      </c>
      <c r="C841" t="s">
        <v>251</v>
      </c>
      <c r="D841" s="12" t="s">
        <v>913</v>
      </c>
      <c r="E841" s="1">
        <v>-6.2227208691402698</v>
      </c>
      <c r="F841" s="1">
        <v>-8.3822512566553993</v>
      </c>
      <c r="G841">
        <f>VLOOKUP(C841,'[1]phenotypes-895'!$A$2:$G$896,7,FALSE)</f>
        <v>63</v>
      </c>
      <c r="H841" s="1">
        <v>9.5958629666818396E-2</v>
      </c>
      <c r="I841" s="1">
        <f>VLOOKUP(C841,'[1]phenotypes-895'!$A$2:$I$896,9,FALSE)</f>
        <v>0.46377998181136831</v>
      </c>
      <c r="J841" s="1"/>
      <c r="K841" s="4">
        <v>3.903426373044891</v>
      </c>
      <c r="L841" s="1"/>
      <c r="M841" s="8">
        <v>1</v>
      </c>
      <c r="N841" s="1"/>
      <c r="O841" s="6">
        <v>1.044</v>
      </c>
      <c r="P841" s="1"/>
      <c r="Q841" s="7">
        <v>0.01</v>
      </c>
    </row>
    <row r="842" spans="1:17" x14ac:dyDescent="0.2">
      <c r="A842">
        <v>289</v>
      </c>
      <c r="B842">
        <v>2</v>
      </c>
      <c r="C842" t="s">
        <v>288</v>
      </c>
      <c r="D842" s="12" t="s">
        <v>913</v>
      </c>
      <c r="E842" s="1">
        <v>-5.6709912045665103</v>
      </c>
      <c r="F842" s="1">
        <v>-8.4244078978257999</v>
      </c>
      <c r="G842">
        <f>VLOOKUP(C842,'[1]phenotypes-895'!$A$2:$G$896,7,FALSE)</f>
        <v>53</v>
      </c>
      <c r="H842" s="1">
        <v>1.91154778782218E-2</v>
      </c>
      <c r="I842" s="1">
        <f>VLOOKUP(C842,'[1]phenotypes-895'!$A$2:$I$896,9,FALSE)</f>
        <v>0.1138967568041892</v>
      </c>
      <c r="J842" s="1"/>
      <c r="K842" s="4">
        <v>3.5373679176271282</v>
      </c>
      <c r="L842" s="1"/>
      <c r="M842" s="8">
        <v>1</v>
      </c>
      <c r="N842" s="1"/>
      <c r="O842" s="6">
        <v>1.2270000000000001</v>
      </c>
      <c r="P842" s="1"/>
      <c r="Q842" s="7">
        <v>0.06</v>
      </c>
    </row>
    <row r="843" spans="1:17" x14ac:dyDescent="0.2">
      <c r="A843">
        <v>256</v>
      </c>
      <c r="B843">
        <v>2</v>
      </c>
      <c r="C843" t="s">
        <v>255</v>
      </c>
      <c r="D843" s="12" t="s">
        <v>913</v>
      </c>
      <c r="E843" s="1">
        <v>-5.7987850858252701</v>
      </c>
      <c r="F843" s="1">
        <v>-8.4321965479020307</v>
      </c>
      <c r="G843">
        <f>VLOOKUP(C843,'[1]phenotypes-895'!$A$2:$G$896,7,FALSE)</f>
        <v>62</v>
      </c>
      <c r="H843" s="1">
        <v>6.06829267174449E-2</v>
      </c>
      <c r="I843" s="1">
        <f>VLOOKUP(C843,'[1]phenotypes-895'!$A$2:$I$896,9,FALSE)</f>
        <v>0.42146495464343858</v>
      </c>
      <c r="J843" s="1"/>
      <c r="K843" s="4">
        <v>5.0227567844407597</v>
      </c>
      <c r="L843" s="1"/>
      <c r="M843" s="8">
        <v>1</v>
      </c>
      <c r="N843" s="1"/>
      <c r="O843" s="6">
        <v>1.095</v>
      </c>
      <c r="P843" s="1"/>
      <c r="Q843" s="7">
        <v>0.03</v>
      </c>
    </row>
    <row r="844" spans="1:17" x14ac:dyDescent="0.2">
      <c r="A844">
        <v>483</v>
      </c>
      <c r="B844">
        <v>36</v>
      </c>
      <c r="C844" t="s">
        <v>482</v>
      </c>
      <c r="D844" s="13" t="s">
        <v>913</v>
      </c>
      <c r="E844" s="1">
        <v>-5.9444924109360304</v>
      </c>
      <c r="F844" s="1">
        <v>-8.5799010593173204</v>
      </c>
      <c r="G844">
        <f>VLOOKUP(C844,'[1]phenotypes-895'!$A$2:$G$896,7,FALSE)</f>
        <v>57</v>
      </c>
      <c r="H844" s="1">
        <v>5.3287979220704898E-2</v>
      </c>
      <c r="I844" s="1">
        <f>VLOOKUP(C844,'[1]phenotypes-895'!$A$2:$I$896,9,FALSE)</f>
        <v>0.57215239015916219</v>
      </c>
      <c r="J844" s="1"/>
      <c r="K844" s="4">
        <v>5.2991568167103926</v>
      </c>
      <c r="L844" s="1"/>
      <c r="M844" s="8">
        <v>1</v>
      </c>
      <c r="N844" s="1"/>
      <c r="O844">
        <v>0.61199999999999999</v>
      </c>
      <c r="P844" s="1"/>
      <c r="Q844" s="2">
        <v>-0.16</v>
      </c>
    </row>
    <row r="845" spans="1:17" x14ac:dyDescent="0.2">
      <c r="A845">
        <v>779</v>
      </c>
      <c r="B845">
        <v>28</v>
      </c>
      <c r="C845" t="s">
        <v>778</v>
      </c>
      <c r="D845" s="13" t="s">
        <v>913</v>
      </c>
      <c r="E845" s="1">
        <v>-6.1736690373643599</v>
      </c>
      <c r="F845" s="1">
        <v>-8.6865011706803603</v>
      </c>
      <c r="G845">
        <f>VLOOKUP(C845,'[1]phenotypes-895'!$A$2:$G$896,7,FALSE)</f>
        <v>63</v>
      </c>
      <c r="H845" s="1">
        <v>4.8252236179986002E-2</v>
      </c>
      <c r="I845" s="1">
        <f>VLOOKUP(C845,'[1]phenotypes-895'!$A$2:$I$896,9,FALSE)</f>
        <v>0.35996469176303242</v>
      </c>
      <c r="J845" s="1"/>
      <c r="K845" s="4">
        <v>3.7569624714567853</v>
      </c>
      <c r="L845" s="1"/>
      <c r="M845" s="8">
        <v>1</v>
      </c>
      <c r="N845" s="1"/>
      <c r="O845">
        <v>1.272</v>
      </c>
      <c r="P845" s="1"/>
      <c r="Q845" s="2">
        <v>7.0000000000000007E-2</v>
      </c>
    </row>
    <row r="846" spans="1:17" x14ac:dyDescent="0.2">
      <c r="A846">
        <v>326</v>
      </c>
      <c r="B846">
        <v>16</v>
      </c>
      <c r="C846" t="s">
        <v>325</v>
      </c>
      <c r="D846" s="12" t="s">
        <v>912</v>
      </c>
      <c r="E846" s="1">
        <v>-8.8585123311067004</v>
      </c>
      <c r="F846" s="1">
        <v>-8.7249637936794606</v>
      </c>
      <c r="G846">
        <f>VLOOKUP(C846,'[1]phenotypes-895'!$A$2:$G$896,7,FALSE)</f>
        <v>61</v>
      </c>
      <c r="H846" s="1">
        <v>6.7692909816489497E-2</v>
      </c>
      <c r="I846" s="1">
        <f>VLOOKUP(C846,'[1]phenotypes-895'!$A$2:$I$896,9,FALSE)</f>
        <v>0.4228228987715944</v>
      </c>
      <c r="J846" s="1"/>
      <c r="K846" s="4">
        <v>3.9445120153030615</v>
      </c>
      <c r="L846" s="1"/>
      <c r="M846" s="8">
        <v>1</v>
      </c>
      <c r="N846" s="1"/>
      <c r="O846" s="6">
        <v>1.2110000000000001</v>
      </c>
      <c r="P846" s="1"/>
      <c r="Q846" s="7">
        <v>0.06</v>
      </c>
    </row>
    <row r="847" spans="1:17" x14ac:dyDescent="0.2">
      <c r="A847">
        <v>273</v>
      </c>
      <c r="B847">
        <v>5</v>
      </c>
      <c r="C847" t="s">
        <v>272</v>
      </c>
      <c r="D847" s="12" t="s">
        <v>913</v>
      </c>
      <c r="E847" s="1">
        <v>-6.5459978608795799</v>
      </c>
      <c r="F847" s="1">
        <v>-8.7365482568296002</v>
      </c>
      <c r="G847">
        <f>VLOOKUP(C847,'[1]phenotypes-895'!$A$2:$G$896,7,FALSE)</f>
        <v>50</v>
      </c>
      <c r="H847" s="1">
        <v>4.7491625140231801E-2</v>
      </c>
      <c r="I847" s="1">
        <f>VLOOKUP(C847,'[1]phenotypes-895'!$A$2:$I$896,9,FALSE)</f>
        <v>0.47431674025472531</v>
      </c>
      <c r="J847" s="1"/>
      <c r="K847" s="4">
        <v>3.8228070412506345</v>
      </c>
      <c r="L847" s="1"/>
      <c r="M847" s="8">
        <v>1</v>
      </c>
      <c r="N847" s="1"/>
      <c r="O847" s="6">
        <v>0.97799999999999998</v>
      </c>
      <c r="P847" s="1"/>
      <c r="Q847" s="7">
        <v>-0.01</v>
      </c>
    </row>
    <row r="848" spans="1:17" x14ac:dyDescent="0.2">
      <c r="A848">
        <v>49</v>
      </c>
      <c r="B848">
        <v>17</v>
      </c>
      <c r="C848" t="s">
        <v>48</v>
      </c>
      <c r="D848" s="12" t="s">
        <v>912</v>
      </c>
      <c r="E848" s="1">
        <v>-8.8591471689410195</v>
      </c>
      <c r="F848" s="1">
        <v>-8.8014426148947305</v>
      </c>
      <c r="G848">
        <f>VLOOKUP(C848,'[1]phenotypes-895'!$A$2:$G$896,7,FALSE)</f>
        <v>64</v>
      </c>
      <c r="H848" s="1">
        <v>0.112795538852566</v>
      </c>
      <c r="I848" s="1">
        <f>VLOOKUP(C848,'[1]phenotypes-895'!$A$2:$I$896,9,FALSE)</f>
        <v>0.41851628470226632</v>
      </c>
      <c r="J848" s="1"/>
      <c r="K848" s="4">
        <v>4.3316092225488685</v>
      </c>
      <c r="L848" s="1"/>
      <c r="M848" s="8">
        <v>1</v>
      </c>
      <c r="N848" s="1"/>
      <c r="O848" s="6">
        <v>1.0009999999999999</v>
      </c>
      <c r="P848" s="1"/>
      <c r="Q848" s="7">
        <v>0</v>
      </c>
    </row>
    <row r="849" spans="1:17" x14ac:dyDescent="0.2">
      <c r="A849">
        <v>304</v>
      </c>
      <c r="B849">
        <v>13</v>
      </c>
      <c r="C849" t="s">
        <v>303</v>
      </c>
      <c r="D849" s="12" t="s">
        <v>912</v>
      </c>
      <c r="E849" s="1">
        <v>-8.9247514107861008</v>
      </c>
      <c r="F849" s="1">
        <v>-8.8788279091257198</v>
      </c>
      <c r="G849">
        <f>VLOOKUP(C849,'[1]phenotypes-895'!$A$2:$G$896,7,FALSE)</f>
        <v>49</v>
      </c>
      <c r="H849" s="1">
        <v>0.13631747545012199</v>
      </c>
      <c r="I849" s="1">
        <f>VLOOKUP(C849,'[1]phenotypes-895'!$A$2:$I$896,9,FALSE)</f>
        <v>0.2422044093016861</v>
      </c>
      <c r="J849" s="1"/>
      <c r="K849" s="4">
        <v>3.7568888189294243</v>
      </c>
      <c r="L849" s="1"/>
      <c r="M849" s="8">
        <v>1</v>
      </c>
      <c r="N849" s="1"/>
      <c r="O849" s="6">
        <v>1.0109999999999999</v>
      </c>
      <c r="P849" s="1"/>
      <c r="Q849" s="7">
        <v>0</v>
      </c>
    </row>
    <row r="850" spans="1:17" x14ac:dyDescent="0.2">
      <c r="A850">
        <v>241</v>
      </c>
      <c r="B850">
        <v>19</v>
      </c>
      <c r="C850" t="s">
        <v>240</v>
      </c>
      <c r="D850" s="12" t="s">
        <v>912</v>
      </c>
      <c r="E850" s="1">
        <v>-8.5409705214620306</v>
      </c>
      <c r="F850" s="1">
        <v>-8.8927172049235104</v>
      </c>
      <c r="G850">
        <f>VLOOKUP(C850,'[1]phenotypes-895'!$A$2:$G$896,7,FALSE)</f>
        <v>71</v>
      </c>
      <c r="H850" s="1">
        <v>0.18491189707103101</v>
      </c>
      <c r="I850" s="1">
        <f>VLOOKUP(C850,'[1]phenotypes-895'!$A$2:$I$896,9,FALSE)</f>
        <v>0.66152435613078975</v>
      </c>
      <c r="J850" s="1"/>
      <c r="K850" s="4">
        <v>4.4827054853955666</v>
      </c>
      <c r="L850" s="1"/>
      <c r="M850" s="8">
        <v>1</v>
      </c>
      <c r="N850" s="1"/>
      <c r="O850" s="6">
        <v>1.071</v>
      </c>
      <c r="P850" s="1"/>
      <c r="Q850" s="7">
        <v>0.02</v>
      </c>
    </row>
    <row r="851" spans="1:17" x14ac:dyDescent="0.2">
      <c r="A851">
        <v>24</v>
      </c>
      <c r="B851">
        <v>1</v>
      </c>
      <c r="C851" t="s">
        <v>23</v>
      </c>
      <c r="D851" s="12" t="s">
        <v>913</v>
      </c>
      <c r="E851" s="1">
        <v>-6.7635042995881198</v>
      </c>
      <c r="F851" s="1">
        <v>-8.9127847945386094</v>
      </c>
      <c r="G851">
        <f>VLOOKUP(C851,'[1]phenotypes-895'!$A$2:$G$896,7,FALSE)</f>
        <v>50</v>
      </c>
      <c r="H851" s="1">
        <v>0.11699840893324601</v>
      </c>
      <c r="I851" s="1">
        <f>VLOOKUP(C851,'[1]phenotypes-895'!$A$2:$I$896,9,FALSE)</f>
        <v>1.1181101591097711</v>
      </c>
      <c r="J851" s="1"/>
      <c r="K851" s="4">
        <v>4.3917578615708566</v>
      </c>
      <c r="L851" s="1"/>
      <c r="M851" s="8">
        <v>1</v>
      </c>
      <c r="N851" s="1"/>
      <c r="O851" s="6">
        <v>1.1599999999999999</v>
      </c>
      <c r="P851" s="1"/>
      <c r="Q851" s="7">
        <v>0.05</v>
      </c>
    </row>
    <row r="852" spans="1:17" x14ac:dyDescent="0.2">
      <c r="A852">
        <v>150</v>
      </c>
      <c r="B852">
        <v>15</v>
      </c>
      <c r="C852" t="s">
        <v>149</v>
      </c>
      <c r="D852" s="12" t="s">
        <v>912</v>
      </c>
      <c r="E852" s="1">
        <v>-8.3088883047821795</v>
      </c>
      <c r="F852" s="1">
        <v>-9.1120235342014606</v>
      </c>
      <c r="G852">
        <f>VLOOKUP(C852,'[1]phenotypes-895'!$A$2:$G$896,7,FALSE)</f>
        <v>56</v>
      </c>
      <c r="H852" s="1">
        <v>3.80476890002742E-2</v>
      </c>
      <c r="I852" s="1">
        <f>VLOOKUP(C852,'[1]phenotypes-895'!$A$2:$I$896,9,FALSE)</f>
        <v>9.1427884652714911E-2</v>
      </c>
      <c r="J852" s="1"/>
      <c r="K852" s="4">
        <v>3.0729137323705928</v>
      </c>
      <c r="L852" s="1"/>
      <c r="M852" s="8">
        <v>1</v>
      </c>
      <c r="N852" s="1"/>
      <c r="O852" s="6">
        <v>0.90200000000000002</v>
      </c>
      <c r="P852" s="1"/>
      <c r="Q852" s="7">
        <v>-0.03</v>
      </c>
    </row>
    <row r="853" spans="1:17" x14ac:dyDescent="0.2">
      <c r="A853">
        <v>325</v>
      </c>
      <c r="B853">
        <v>5</v>
      </c>
      <c r="C853" t="s">
        <v>324</v>
      </c>
      <c r="D853" s="12" t="s">
        <v>913</v>
      </c>
      <c r="E853" s="1">
        <v>-6.7858545393817797</v>
      </c>
      <c r="F853" s="1">
        <v>-9.1272354917631606</v>
      </c>
      <c r="G853">
        <f>VLOOKUP(C853,'[1]phenotypes-895'!$A$2:$G$896,7,FALSE)</f>
        <v>57</v>
      </c>
      <c r="H853" s="1">
        <v>0.13541305274212401</v>
      </c>
      <c r="I853" s="1">
        <f>VLOOKUP(C853,'[1]phenotypes-895'!$A$2:$I$896,9,FALSE)</f>
        <v>0.86795962397042892</v>
      </c>
      <c r="J853" s="1"/>
      <c r="K853" s="4">
        <v>4.734265920573705</v>
      </c>
      <c r="L853" s="1"/>
      <c r="M853" s="8">
        <v>1</v>
      </c>
      <c r="N853" s="1"/>
      <c r="O853" s="6">
        <v>1.137</v>
      </c>
      <c r="P853" s="1"/>
      <c r="Q853" s="7">
        <v>0.04</v>
      </c>
    </row>
    <row r="854" spans="1:17" x14ac:dyDescent="0.2">
      <c r="A854">
        <v>59</v>
      </c>
      <c r="B854">
        <v>17</v>
      </c>
      <c r="C854" t="s">
        <v>58</v>
      </c>
      <c r="D854" s="12" t="s">
        <v>912</v>
      </c>
      <c r="E854" s="1">
        <v>-9.1767259561584407</v>
      </c>
      <c r="F854" s="1">
        <v>-9.1978720123195199</v>
      </c>
      <c r="G854">
        <f>VLOOKUP(C854,'[1]phenotypes-895'!$A$2:$G$896,7,FALSE)</f>
        <v>51</v>
      </c>
      <c r="H854" s="1">
        <v>0.111361918293693</v>
      </c>
      <c r="I854" s="1">
        <f>VLOOKUP(C854,'[1]phenotypes-895'!$A$2:$I$896,9,FALSE)</f>
        <v>0.55472764630679017</v>
      </c>
      <c r="J854" s="1"/>
      <c r="K854" s="4">
        <v>3.8533148897410454</v>
      </c>
      <c r="L854" s="1"/>
      <c r="M854" s="8">
        <v>1</v>
      </c>
      <c r="N854" s="1"/>
      <c r="O854" s="6">
        <v>0.89400000000000002</v>
      </c>
      <c r="P854" s="1"/>
      <c r="Q854" s="7">
        <v>-0.04</v>
      </c>
    </row>
    <row r="855" spans="1:17" x14ac:dyDescent="0.2">
      <c r="A855">
        <v>20</v>
      </c>
      <c r="B855">
        <v>15</v>
      </c>
      <c r="C855" t="s">
        <v>19</v>
      </c>
      <c r="D855" s="12" t="s">
        <v>912</v>
      </c>
      <c r="E855" s="1">
        <v>-8.2882056966382507</v>
      </c>
      <c r="F855" s="1">
        <v>-9.2118049977541805</v>
      </c>
      <c r="G855">
        <f>VLOOKUP(C855,'[1]phenotypes-895'!$A$2:$G$896,7,FALSE)</f>
        <v>61</v>
      </c>
      <c r="H855" s="1">
        <v>0.104778873536069</v>
      </c>
      <c r="I855" s="1">
        <f>VLOOKUP(C855,'[1]phenotypes-895'!$A$2:$I$896,9,FALSE)</f>
        <v>0.62803426529259021</v>
      </c>
      <c r="J855" s="1"/>
      <c r="K855" s="4">
        <v>4.7254678662735312</v>
      </c>
      <c r="L855" s="1"/>
      <c r="M855" s="8">
        <v>1</v>
      </c>
      <c r="N855" s="1"/>
      <c r="O855" s="6">
        <v>1.0720000000000001</v>
      </c>
      <c r="P855" s="1"/>
      <c r="Q855" s="7">
        <v>0.02</v>
      </c>
    </row>
    <row r="856" spans="1:17" x14ac:dyDescent="0.2">
      <c r="A856">
        <v>315</v>
      </c>
      <c r="B856">
        <v>5</v>
      </c>
      <c r="C856" t="s">
        <v>314</v>
      </c>
      <c r="D856" s="12" t="s">
        <v>913</v>
      </c>
      <c r="E856" s="1">
        <v>-6.5719667006471303</v>
      </c>
      <c r="F856" s="1">
        <v>-9.3344704636122202</v>
      </c>
      <c r="G856">
        <f>VLOOKUP(C856,'[1]phenotypes-895'!$A$2:$G$896,7,FALSE)</f>
        <v>98</v>
      </c>
      <c r="H856" s="1">
        <v>7.9924289070138002E-2</v>
      </c>
      <c r="I856" s="1">
        <f>VLOOKUP(C856,'[1]phenotypes-895'!$A$2:$I$896,9,FALSE)</f>
        <v>0</v>
      </c>
      <c r="J856" s="1"/>
      <c r="K856" s="4">
        <v>0</v>
      </c>
      <c r="L856" s="1"/>
      <c r="M856" s="8">
        <v>0</v>
      </c>
      <c r="N856" s="1"/>
      <c r="O856" s="6">
        <v>6.4000000000000001E-2</v>
      </c>
      <c r="P856" s="1"/>
      <c r="Q856" s="7">
        <v>-0.9</v>
      </c>
    </row>
    <row r="857" spans="1:17" x14ac:dyDescent="0.2">
      <c r="A857">
        <v>186</v>
      </c>
      <c r="B857">
        <v>5</v>
      </c>
      <c r="C857" t="s">
        <v>185</v>
      </c>
      <c r="D857" s="12" t="s">
        <v>913</v>
      </c>
      <c r="E857" s="1">
        <v>-6.4462316325381304</v>
      </c>
      <c r="F857" s="1">
        <v>-9.3369103770697706</v>
      </c>
      <c r="G857">
        <f>VLOOKUP(C857,'[1]phenotypes-895'!$A$2:$G$896,7,FALSE)</f>
        <v>55</v>
      </c>
      <c r="H857" s="1">
        <v>9.1064390541456694E-2</v>
      </c>
      <c r="I857" s="1">
        <f>VLOOKUP(C857,'[1]phenotypes-895'!$A$2:$I$896,9,FALSE)</f>
        <v>0.39796718731070962</v>
      </c>
      <c r="J857" s="1"/>
      <c r="K857" s="4">
        <v>3.5974393900202228</v>
      </c>
      <c r="L857" s="1"/>
      <c r="M857" s="8">
        <v>1</v>
      </c>
      <c r="N857" s="1"/>
      <c r="O857" s="6">
        <v>1.123</v>
      </c>
      <c r="P857" s="1"/>
      <c r="Q857" s="7">
        <v>0.04</v>
      </c>
    </row>
    <row r="858" spans="1:17" x14ac:dyDescent="0.2">
      <c r="A858">
        <v>359</v>
      </c>
      <c r="B858">
        <v>2</v>
      </c>
      <c r="C858" t="s">
        <v>358</v>
      </c>
      <c r="D858" s="12" t="s">
        <v>913</v>
      </c>
      <c r="E858" s="1">
        <v>-6.90437225799303</v>
      </c>
      <c r="F858" s="1">
        <v>-9.4596759860478308</v>
      </c>
      <c r="G858">
        <f>VLOOKUP(C858,'[1]phenotypes-895'!$A$2:$G$896,7,FALSE)</f>
        <v>42</v>
      </c>
      <c r="H858" s="1">
        <v>8.57250527715573E-2</v>
      </c>
      <c r="I858" s="1">
        <f>VLOOKUP(C858,'[1]phenotypes-895'!$A$2:$I$896,9,FALSE)</f>
        <v>0.77294805650484089</v>
      </c>
      <c r="J858" s="1"/>
      <c r="K858" s="4">
        <v>4.4439419325297811</v>
      </c>
      <c r="L858" s="1"/>
      <c r="M858" s="8">
        <v>1</v>
      </c>
      <c r="N858" s="1"/>
      <c r="O858" s="6">
        <v>0.95299999999999996</v>
      </c>
      <c r="P858" s="1"/>
      <c r="Q858" s="7">
        <v>-0.02</v>
      </c>
    </row>
    <row r="859" spans="1:17" x14ac:dyDescent="0.2">
      <c r="A859">
        <v>152</v>
      </c>
      <c r="B859">
        <v>5</v>
      </c>
      <c r="C859" t="s">
        <v>151</v>
      </c>
      <c r="D859" s="12" t="s">
        <v>913</v>
      </c>
      <c r="E859" s="1">
        <v>-7.1434419327022098</v>
      </c>
      <c r="F859" s="1">
        <v>-9.7047726355697197</v>
      </c>
      <c r="G859">
        <f>VLOOKUP(C859,'[1]phenotypes-895'!$A$2:$G$896,7,FALSE)</f>
        <v>72</v>
      </c>
      <c r="H859" s="1">
        <v>0.120902436470764</v>
      </c>
      <c r="I859" s="1">
        <f>VLOOKUP(C859,'[1]phenotypes-895'!$A$2:$I$896,9,FALSE)</f>
        <v>0.54847298287713875</v>
      </c>
      <c r="J859" s="1"/>
      <c r="K859" s="4">
        <v>4.8880881710901445</v>
      </c>
      <c r="L859" s="1"/>
      <c r="M859" s="8">
        <v>1</v>
      </c>
      <c r="N859" s="1"/>
      <c r="O859" s="6">
        <v>1.0029999999999999</v>
      </c>
      <c r="P859" s="1"/>
      <c r="Q859" s="7">
        <v>0</v>
      </c>
    </row>
    <row r="860" spans="1:17" x14ac:dyDescent="0.2">
      <c r="A860">
        <v>112</v>
      </c>
      <c r="B860">
        <v>19</v>
      </c>
      <c r="C860" t="s">
        <v>111</v>
      </c>
      <c r="D860" s="12" t="s">
        <v>912</v>
      </c>
      <c r="E860" s="1">
        <v>-9.7282557802196692</v>
      </c>
      <c r="F860" s="1">
        <v>-9.7393119599659901</v>
      </c>
      <c r="G860">
        <f>VLOOKUP(C860,'[1]phenotypes-895'!$A$2:$G$896,7,FALSE)</f>
        <v>61</v>
      </c>
      <c r="H860" s="1">
        <v>0.17491679957943901</v>
      </c>
      <c r="I860" s="1">
        <f>VLOOKUP(C860,'[1]phenotypes-895'!$A$2:$I$896,9,FALSE)</f>
        <v>0.51129721426340724</v>
      </c>
      <c r="J860" s="1"/>
      <c r="K860" s="4">
        <v>4.2866425020160808</v>
      </c>
      <c r="L860" s="1"/>
      <c r="M860" s="8">
        <v>1</v>
      </c>
      <c r="N860" s="1"/>
      <c r="O860" s="6">
        <v>1.107</v>
      </c>
      <c r="P860" s="1"/>
      <c r="Q860" s="7">
        <v>0.03</v>
      </c>
    </row>
    <row r="861" spans="1:17" x14ac:dyDescent="0.2">
      <c r="A861">
        <v>135</v>
      </c>
      <c r="B861">
        <v>16</v>
      </c>
      <c r="C861" t="s">
        <v>134</v>
      </c>
      <c r="D861" s="12" t="s">
        <v>912</v>
      </c>
      <c r="E861" s="1">
        <v>-10.100020015284301</v>
      </c>
      <c r="F861" s="1">
        <v>-9.8777346975271403</v>
      </c>
      <c r="G861">
        <f>VLOOKUP(C861,'[1]phenotypes-895'!$A$2:$G$896,7,FALSE)</f>
        <v>46</v>
      </c>
      <c r="H861" s="1">
        <v>9.7346393585330399E-2</v>
      </c>
      <c r="I861" s="1">
        <f>VLOOKUP(C861,'[1]phenotypes-895'!$A$2:$I$896,9,FALSE)</f>
        <v>0.65761219145372096</v>
      </c>
      <c r="J861" s="1"/>
      <c r="K861" s="4">
        <v>3.9421529204626764</v>
      </c>
      <c r="L861" s="1"/>
      <c r="M861" s="8">
        <v>1</v>
      </c>
      <c r="N861" s="1"/>
      <c r="O861" s="6">
        <v>1.1559999999999999</v>
      </c>
      <c r="P861" s="1"/>
      <c r="Q861" s="7">
        <v>0.05</v>
      </c>
    </row>
    <row r="862" spans="1:17" x14ac:dyDescent="0.2">
      <c r="A862">
        <v>235</v>
      </c>
      <c r="B862">
        <v>19</v>
      </c>
      <c r="C862" t="s">
        <v>234</v>
      </c>
      <c r="D862" s="12" t="s">
        <v>912</v>
      </c>
      <c r="E862" s="1">
        <v>-9.9703562698708996</v>
      </c>
      <c r="F862" s="1">
        <v>-9.9011937187595507</v>
      </c>
      <c r="G862">
        <f>VLOOKUP(C862,'[1]phenotypes-895'!$A$2:$G$896,7,FALSE)</f>
        <v>61</v>
      </c>
      <c r="H862" s="1">
        <v>0.17695435275063401</v>
      </c>
      <c r="I862" s="1">
        <f>VLOOKUP(C862,'[1]phenotypes-895'!$A$2:$I$896,9,FALSE)</f>
        <v>0.66369570974112091</v>
      </c>
      <c r="J862" s="1"/>
      <c r="K862" s="4">
        <v>4.329150878389167</v>
      </c>
      <c r="L862" s="1"/>
      <c r="M862" s="8">
        <v>1</v>
      </c>
      <c r="N862" s="1"/>
      <c r="O862" s="6">
        <v>1.298</v>
      </c>
      <c r="P862" s="1"/>
      <c r="Q862" s="7">
        <v>0.08</v>
      </c>
    </row>
    <row r="863" spans="1:17" x14ac:dyDescent="0.2">
      <c r="A863">
        <v>213</v>
      </c>
      <c r="B863">
        <v>5</v>
      </c>
      <c r="C863" t="s">
        <v>212</v>
      </c>
      <c r="D863" s="12" t="s">
        <v>913</v>
      </c>
      <c r="E863" s="1">
        <v>-7.2657962800628599</v>
      </c>
      <c r="F863" s="1">
        <v>-9.9603945426447602</v>
      </c>
      <c r="G863">
        <f>VLOOKUP(C863,'[1]phenotypes-895'!$A$2:$G$896,7,FALSE)</f>
        <v>65</v>
      </c>
      <c r="H863" s="1">
        <v>9.8224290814817997E-2</v>
      </c>
      <c r="I863" s="1">
        <f>VLOOKUP(C863,'[1]phenotypes-895'!$A$2:$I$896,9,FALSE)</f>
        <v>0.68609735157297924</v>
      </c>
      <c r="J863" s="1"/>
      <c r="K863" s="4">
        <v>4.5405543660175605</v>
      </c>
      <c r="L863" s="1"/>
      <c r="M863" s="8">
        <v>1</v>
      </c>
      <c r="N863" s="1"/>
      <c r="O863" s="6">
        <v>0.84499999999999997</v>
      </c>
      <c r="P863" s="1"/>
      <c r="Q863" s="7">
        <v>-0.05</v>
      </c>
    </row>
    <row r="864" spans="1:17" x14ac:dyDescent="0.2">
      <c r="A864">
        <v>545</v>
      </c>
      <c r="B864">
        <v>28</v>
      </c>
      <c r="C864" t="s">
        <v>544</v>
      </c>
      <c r="D864" s="13" t="s">
        <v>913</v>
      </c>
      <c r="E864" s="1">
        <v>-7.6130127268063896</v>
      </c>
      <c r="F864" s="1">
        <v>-9.97579027624937</v>
      </c>
      <c r="G864">
        <f>VLOOKUP(C864,'[1]phenotypes-895'!$A$2:$G$896,7,FALSE)</f>
        <v>62</v>
      </c>
      <c r="H864" s="1">
        <v>9.5443262569875995E-2</v>
      </c>
      <c r="I864" s="1">
        <f>VLOOKUP(C864,'[1]phenotypes-895'!$A$2:$I$896,9,FALSE)</f>
        <v>0.55241002264314154</v>
      </c>
      <c r="J864" s="1"/>
      <c r="K864" s="4">
        <v>4.6347907976973266</v>
      </c>
      <c r="L864" s="1"/>
      <c r="M864" s="8">
        <v>1</v>
      </c>
      <c r="N864" s="1"/>
      <c r="O864">
        <v>1.2230000000000001</v>
      </c>
      <c r="P864" s="1"/>
      <c r="Q864" s="2">
        <v>0.06</v>
      </c>
    </row>
    <row r="865" spans="1:17" x14ac:dyDescent="0.2">
      <c r="A865">
        <v>109</v>
      </c>
      <c r="B865">
        <v>16</v>
      </c>
      <c r="C865" t="s">
        <v>108</v>
      </c>
      <c r="D865" s="12" t="s">
        <v>912</v>
      </c>
      <c r="E865" s="1">
        <v>-9.9829837942069002</v>
      </c>
      <c r="F865" s="1">
        <v>-10.0447670935527</v>
      </c>
      <c r="G865">
        <f>VLOOKUP(C865,'[1]phenotypes-895'!$A$2:$G$896,7,FALSE)</f>
        <v>73</v>
      </c>
      <c r="H865" s="1">
        <v>9.9730958307173198E-2</v>
      </c>
      <c r="I865" s="1">
        <f>VLOOKUP(C865,'[1]phenotypes-895'!$A$2:$I$896,9,FALSE)</f>
        <v>0.53792836389130605</v>
      </c>
      <c r="J865" s="1"/>
      <c r="K865" s="4">
        <v>4.2325081809300444</v>
      </c>
      <c r="L865" s="1"/>
      <c r="M865" s="8">
        <v>1</v>
      </c>
      <c r="N865" s="1"/>
      <c r="O865" s="6">
        <v>1.3360000000000001</v>
      </c>
      <c r="P865" s="1"/>
      <c r="Q865" s="7">
        <v>0.09</v>
      </c>
    </row>
    <row r="866" spans="1:17" x14ac:dyDescent="0.2">
      <c r="A866">
        <v>64</v>
      </c>
      <c r="B866">
        <v>5</v>
      </c>
      <c r="C866" t="s">
        <v>63</v>
      </c>
      <c r="D866" s="12" t="s">
        <v>913</v>
      </c>
      <c r="E866" s="1">
        <v>-7.1788810147934399</v>
      </c>
      <c r="F866" s="1">
        <v>-10.055572658599299</v>
      </c>
      <c r="G866">
        <f>VLOOKUP(C866,'[1]phenotypes-895'!$A$2:$G$896,7,FALSE)</f>
        <v>98</v>
      </c>
      <c r="H866" s="1">
        <v>0.12776808093752001</v>
      </c>
      <c r="I866" s="1">
        <f>VLOOKUP(C866,'[1]phenotypes-895'!$A$2:$I$896,9,FALSE)</f>
        <v>0.41321824859754669</v>
      </c>
      <c r="J866" s="1"/>
      <c r="K866" s="4">
        <v>4.5015858015907497</v>
      </c>
      <c r="L866" s="1"/>
      <c r="M866" s="8">
        <v>1</v>
      </c>
      <c r="N866" s="1"/>
      <c r="O866" s="6">
        <v>0.95</v>
      </c>
      <c r="P866" s="1"/>
      <c r="Q866" s="7">
        <v>-0.02</v>
      </c>
    </row>
    <row r="867" spans="1:17" x14ac:dyDescent="0.2">
      <c r="A867">
        <v>78</v>
      </c>
      <c r="B867">
        <v>28</v>
      </c>
      <c r="C867" t="s">
        <v>77</v>
      </c>
      <c r="D867" s="13" t="s">
        <v>913</v>
      </c>
      <c r="E867" s="1">
        <v>-7.3789525762155801</v>
      </c>
      <c r="F867" s="1">
        <v>-10.184509414623401</v>
      </c>
      <c r="G867">
        <f>VLOOKUP(C867,'[1]phenotypes-895'!$A$2:$G$896,7,FALSE)</f>
        <v>67</v>
      </c>
      <c r="H867" s="1">
        <v>9.8286294402235394E-2</v>
      </c>
      <c r="I867" s="1">
        <f>VLOOKUP(C867,'[1]phenotypes-895'!$A$2:$I$896,9,FALSE)</f>
        <v>0.36051233755760348</v>
      </c>
      <c r="J867" s="1"/>
      <c r="K867" s="4">
        <v>4.3135863776650245</v>
      </c>
      <c r="L867" s="1"/>
      <c r="M867" s="8">
        <v>1</v>
      </c>
      <c r="N867" s="1"/>
      <c r="O867">
        <v>1.194</v>
      </c>
      <c r="P867" s="1"/>
      <c r="Q867" s="2">
        <v>0.05</v>
      </c>
    </row>
    <row r="868" spans="1:17" x14ac:dyDescent="0.2">
      <c r="A868">
        <v>519</v>
      </c>
      <c r="B868">
        <v>16</v>
      </c>
      <c r="C868" t="s">
        <v>518</v>
      </c>
      <c r="D868" s="12" t="s">
        <v>912</v>
      </c>
      <c r="E868" s="1">
        <v>-9.9362592678821304</v>
      </c>
      <c r="F868" s="1">
        <v>-10.2663625564514</v>
      </c>
      <c r="G868">
        <f>VLOOKUP(C868,'[1]phenotypes-895'!$A$2:$G$896,7,FALSE)</f>
        <v>44</v>
      </c>
      <c r="H868" s="1">
        <v>8.9153225626591406E-2</v>
      </c>
      <c r="I868" s="1">
        <f>VLOOKUP(C868,'[1]phenotypes-895'!$A$2:$I$896,9,FALSE)</f>
        <v>0.86362896203480544</v>
      </c>
      <c r="J868" s="1"/>
      <c r="K868" s="4">
        <v>4.4055845455784945</v>
      </c>
      <c r="L868" s="1"/>
      <c r="M868" s="8">
        <v>1</v>
      </c>
      <c r="N868" s="1"/>
      <c r="O868" s="6">
        <v>1.2589999999999999</v>
      </c>
      <c r="P868" s="1"/>
      <c r="Q868" s="7">
        <v>7.0000000000000007E-2</v>
      </c>
    </row>
    <row r="869" spans="1:17" x14ac:dyDescent="0.2">
      <c r="A869">
        <v>155</v>
      </c>
      <c r="B869">
        <v>5</v>
      </c>
      <c r="C869" t="s">
        <v>154</v>
      </c>
      <c r="D869" s="12" t="s">
        <v>913</v>
      </c>
      <c r="E869" s="1">
        <v>-7.5041335212462998</v>
      </c>
      <c r="F869" s="1">
        <v>-10.2896113768553</v>
      </c>
      <c r="G869">
        <f>VLOOKUP(C869,'[1]phenotypes-895'!$A$2:$G$896,7,FALSE)</f>
        <v>56</v>
      </c>
      <c r="H869" s="1">
        <v>9.6373072204407703E-2</v>
      </c>
      <c r="I869" s="1">
        <f>VLOOKUP(C869,'[1]phenotypes-895'!$A$2:$I$896,9,FALSE)</f>
        <v>0.57201737743233916</v>
      </c>
      <c r="J869" s="1"/>
      <c r="K869" s="4">
        <v>3.6114182637988828</v>
      </c>
      <c r="L869" s="1"/>
      <c r="M869" s="8">
        <v>1</v>
      </c>
      <c r="N869" s="1"/>
      <c r="O869" s="6">
        <v>0.92600000000000005</v>
      </c>
      <c r="P869" s="1"/>
      <c r="Q869" s="7">
        <v>-0.02</v>
      </c>
    </row>
    <row r="870" spans="1:17" x14ac:dyDescent="0.2">
      <c r="A870">
        <v>294</v>
      </c>
      <c r="B870">
        <v>15</v>
      </c>
      <c r="C870" t="s">
        <v>293</v>
      </c>
      <c r="D870" s="12" t="s">
        <v>912</v>
      </c>
      <c r="E870" s="1">
        <v>-9.3874575378984009</v>
      </c>
      <c r="F870" s="1">
        <v>-10.3131466879921</v>
      </c>
      <c r="G870">
        <f>VLOOKUP(C870,'[1]phenotypes-895'!$A$2:$G$896,7,FALSE)</f>
        <v>58</v>
      </c>
      <c r="H870" s="1">
        <v>0.118864986167527</v>
      </c>
      <c r="I870" s="1">
        <f>VLOOKUP(C870,'[1]phenotypes-895'!$A$2:$I$896,9,FALSE)</f>
        <v>0.45297007794661193</v>
      </c>
      <c r="J870" s="1"/>
      <c r="K870" s="4">
        <v>3.7321554880635306</v>
      </c>
      <c r="L870" s="1"/>
      <c r="M870" s="8">
        <v>1</v>
      </c>
      <c r="N870" s="1"/>
      <c r="O870" s="6">
        <v>1.1040000000000001</v>
      </c>
      <c r="P870" s="1"/>
      <c r="Q870" s="7">
        <v>0.03</v>
      </c>
    </row>
    <row r="871" spans="1:17" x14ac:dyDescent="0.2">
      <c r="A871">
        <v>141</v>
      </c>
      <c r="B871">
        <v>5</v>
      </c>
      <c r="C871" t="s">
        <v>140</v>
      </c>
      <c r="D871" s="12" t="s">
        <v>913</v>
      </c>
      <c r="E871" s="1">
        <v>-7.2281155794034202</v>
      </c>
      <c r="F871" s="1">
        <v>-10.364855629618001</v>
      </c>
      <c r="G871">
        <f>VLOOKUP(C871,'[1]phenotypes-895'!$A$2:$G$896,7,FALSE)</f>
        <v>51</v>
      </c>
      <c r="H871" s="1">
        <v>0.128795809809677</v>
      </c>
      <c r="I871" s="1">
        <f>VLOOKUP(C871,'[1]phenotypes-895'!$A$2:$I$896,9,FALSE)</f>
        <v>0.71214496479996525</v>
      </c>
      <c r="J871" s="1"/>
      <c r="K871" s="4">
        <v>4.9815904061333383</v>
      </c>
      <c r="L871" s="1"/>
      <c r="M871" s="8">
        <v>1</v>
      </c>
      <c r="N871" s="1"/>
      <c r="O871" s="6">
        <v>0.877</v>
      </c>
      <c r="P871" s="1"/>
      <c r="Q871" s="7">
        <v>-0.04</v>
      </c>
    </row>
    <row r="872" spans="1:17" x14ac:dyDescent="0.2">
      <c r="A872">
        <v>66</v>
      </c>
      <c r="B872">
        <v>19</v>
      </c>
      <c r="C872" t="s">
        <v>65</v>
      </c>
      <c r="D872" s="12" t="s">
        <v>912</v>
      </c>
      <c r="E872" s="1">
        <v>-10.518092507916901</v>
      </c>
      <c r="F872" s="1">
        <v>-10.394763858082801</v>
      </c>
      <c r="G872">
        <f>VLOOKUP(C872,'[1]phenotypes-895'!$A$2:$G$896,7,FALSE)</f>
        <v>72</v>
      </c>
      <c r="H872" s="1">
        <v>0.19924316523918201</v>
      </c>
      <c r="I872" s="1">
        <f>VLOOKUP(C872,'[1]phenotypes-895'!$A$2:$I$896,9,FALSE)</f>
        <v>0.56023602146200746</v>
      </c>
      <c r="J872" s="1"/>
      <c r="K872" s="4">
        <v>4.2423351203368815</v>
      </c>
      <c r="L872" s="1"/>
      <c r="M872" s="8">
        <v>1</v>
      </c>
      <c r="N872" s="1"/>
      <c r="O872" s="6">
        <v>0.86799999999999999</v>
      </c>
      <c r="P872" s="1"/>
      <c r="Q872" s="7">
        <v>-0.04</v>
      </c>
    </row>
    <row r="873" spans="1:17" x14ac:dyDescent="0.2">
      <c r="A873">
        <v>270</v>
      </c>
      <c r="B873">
        <v>19</v>
      </c>
      <c r="C873" t="s">
        <v>269</v>
      </c>
      <c r="D873" s="12" t="s">
        <v>912</v>
      </c>
      <c r="E873" s="1">
        <v>-9.3363189621670397</v>
      </c>
      <c r="F873" s="1">
        <v>-10.395342504274099</v>
      </c>
      <c r="G873">
        <f>VLOOKUP(C873,'[1]phenotypes-895'!$A$2:$G$896,7,FALSE)</f>
        <v>56</v>
      </c>
      <c r="H873" s="1">
        <v>0.17648236581931001</v>
      </c>
      <c r="I873" s="1">
        <f>VLOOKUP(C873,'[1]phenotypes-895'!$A$2:$I$896,9,FALSE)</f>
        <v>0.66582769620079896</v>
      </c>
      <c r="J873" s="1"/>
      <c r="K873" s="4">
        <v>3.8708542913199371</v>
      </c>
      <c r="L873" s="1"/>
      <c r="M873" s="8">
        <v>1</v>
      </c>
      <c r="N873" s="1"/>
      <c r="O873" s="6">
        <v>1.0109999999999999</v>
      </c>
      <c r="P873" s="1"/>
      <c r="Q873" s="7">
        <v>0</v>
      </c>
    </row>
    <row r="874" spans="1:17" x14ac:dyDescent="0.2">
      <c r="A874">
        <v>61</v>
      </c>
      <c r="B874">
        <v>19</v>
      </c>
      <c r="C874" t="s">
        <v>60</v>
      </c>
      <c r="D874" s="12" t="s">
        <v>912</v>
      </c>
      <c r="E874" s="1">
        <v>-10.674335989126099</v>
      </c>
      <c r="F874" s="1">
        <v>-10.456807951901901</v>
      </c>
      <c r="G874">
        <f>VLOOKUP(C874,'[1]phenotypes-895'!$A$2:$G$896,7,FALSE)</f>
        <v>74</v>
      </c>
      <c r="H874" s="1">
        <v>0.19480034730742299</v>
      </c>
      <c r="I874" s="1">
        <f>VLOOKUP(C874,'[1]phenotypes-895'!$A$2:$I$896,9,FALSE)</f>
        <v>0.48210567158959361</v>
      </c>
      <c r="J874" s="1"/>
      <c r="K874" s="4">
        <v>4.9317642468089744</v>
      </c>
      <c r="L874" s="1"/>
      <c r="M874" s="8">
        <v>1</v>
      </c>
      <c r="N874" s="1"/>
      <c r="O874" s="6">
        <v>0.96399999999999997</v>
      </c>
      <c r="P874" s="1"/>
      <c r="Q874" s="7">
        <v>-0.01</v>
      </c>
    </row>
    <row r="875" spans="1:17" x14ac:dyDescent="0.2">
      <c r="A875">
        <v>7</v>
      </c>
      <c r="B875">
        <v>16</v>
      </c>
      <c r="C875" t="s">
        <v>6</v>
      </c>
      <c r="D875" s="12" t="s">
        <v>912</v>
      </c>
      <c r="E875" s="1">
        <v>-10.1998445319604</v>
      </c>
      <c r="F875" s="1">
        <v>-10.461524947411901</v>
      </c>
      <c r="G875">
        <f>VLOOKUP(C875,'[1]phenotypes-895'!$A$2:$G$896,7,FALSE)</f>
        <v>53</v>
      </c>
      <c r="H875" s="1">
        <v>7.8903608598011293E-2</v>
      </c>
      <c r="I875" s="1">
        <f>VLOOKUP(C875,'[1]phenotypes-895'!$A$2:$I$896,9,FALSE)</f>
        <v>0.64836246768186168</v>
      </c>
      <c r="J875" s="1"/>
      <c r="K875" s="4">
        <v>4.407258445505577</v>
      </c>
      <c r="L875" s="1"/>
      <c r="M875" s="8">
        <v>1</v>
      </c>
      <c r="N875" s="1"/>
      <c r="O875" s="6">
        <v>1.0229999999999999</v>
      </c>
      <c r="P875" s="1"/>
      <c r="Q875" s="7">
        <v>0.01</v>
      </c>
    </row>
    <row r="876" spans="1:17" x14ac:dyDescent="0.2">
      <c r="A876">
        <v>328</v>
      </c>
      <c r="B876">
        <v>5</v>
      </c>
      <c r="C876" t="s">
        <v>327</v>
      </c>
      <c r="D876" s="12" t="s">
        <v>913</v>
      </c>
      <c r="E876" s="1">
        <v>-7.6707948997212299</v>
      </c>
      <c r="F876" s="1">
        <v>-10.522486401954501</v>
      </c>
      <c r="G876">
        <f>VLOOKUP(C876,'[1]phenotypes-895'!$A$2:$G$896,7,FALSE)</f>
        <v>62</v>
      </c>
      <c r="H876" s="1">
        <v>9.5501784434657594E-2</v>
      </c>
      <c r="I876" s="1">
        <f>VLOOKUP(C876,'[1]phenotypes-895'!$A$2:$I$896,9,FALSE)</f>
        <v>0.5703746497584119</v>
      </c>
      <c r="J876" s="1"/>
      <c r="K876" s="4">
        <v>4.1485417543356098</v>
      </c>
      <c r="L876" s="1"/>
      <c r="M876" s="8">
        <v>1</v>
      </c>
      <c r="N876" s="1"/>
      <c r="O876" s="6">
        <v>0.85</v>
      </c>
      <c r="P876" s="1"/>
      <c r="Q876" s="7">
        <v>-0.05</v>
      </c>
    </row>
    <row r="877" spans="1:17" x14ac:dyDescent="0.2">
      <c r="A877">
        <v>268</v>
      </c>
      <c r="B877">
        <v>19</v>
      </c>
      <c r="C877" t="s">
        <v>267</v>
      </c>
      <c r="D877" s="12" t="s">
        <v>912</v>
      </c>
      <c r="E877" s="1">
        <v>-10.4057163780721</v>
      </c>
      <c r="F877" s="1">
        <v>-10.558461223201</v>
      </c>
      <c r="G877">
        <f>VLOOKUP(C877,'[1]phenotypes-895'!$A$2:$G$896,7,FALSE)</f>
        <v>50</v>
      </c>
      <c r="H877" s="1">
        <v>0.170932758032844</v>
      </c>
      <c r="I877" s="1">
        <f>VLOOKUP(C877,'[1]phenotypes-895'!$A$2:$I$896,9,FALSE)</f>
        <v>0.68452788146554511</v>
      </c>
      <c r="J877" s="1"/>
      <c r="K877" s="4">
        <v>3.8040418727904499</v>
      </c>
      <c r="L877" s="1"/>
      <c r="M877" s="8">
        <v>1</v>
      </c>
      <c r="N877" s="1"/>
      <c r="O877" s="6">
        <v>0.96499999999999997</v>
      </c>
      <c r="P877" s="1"/>
      <c r="Q877" s="7">
        <v>-0.01</v>
      </c>
    </row>
    <row r="878" spans="1:17" x14ac:dyDescent="0.2">
      <c r="A878">
        <v>198</v>
      </c>
      <c r="B878">
        <v>19</v>
      </c>
      <c r="C878" t="s">
        <v>197</v>
      </c>
      <c r="D878" s="12" t="s">
        <v>912</v>
      </c>
      <c r="E878" s="1">
        <v>-10.4581553848332</v>
      </c>
      <c r="F878" s="1">
        <v>-10.565097944035299</v>
      </c>
      <c r="G878">
        <f>VLOOKUP(C878,'[1]phenotypes-895'!$A$2:$G$896,7,FALSE)</f>
        <v>51</v>
      </c>
      <c r="H878" s="1">
        <v>0.194125949092088</v>
      </c>
      <c r="I878" s="1">
        <f>VLOOKUP(C878,'[1]phenotypes-895'!$A$2:$I$896,9,FALSE)</f>
        <v>0.75940997917832842</v>
      </c>
      <c r="J878" s="1"/>
      <c r="K878" s="4">
        <v>4.4315911004529225</v>
      </c>
      <c r="L878" s="1"/>
      <c r="M878" s="8">
        <v>1</v>
      </c>
      <c r="N878" s="1"/>
      <c r="O878" s="6">
        <v>1.042</v>
      </c>
      <c r="P878" s="1"/>
      <c r="Q878" s="7">
        <v>0.01</v>
      </c>
    </row>
    <row r="879" spans="1:17" x14ac:dyDescent="0.2">
      <c r="A879">
        <v>272</v>
      </c>
      <c r="B879">
        <v>19</v>
      </c>
      <c r="C879" t="s">
        <v>271</v>
      </c>
      <c r="D879" s="12" t="s">
        <v>912</v>
      </c>
      <c r="E879" s="1">
        <v>-10.694252747541499</v>
      </c>
      <c r="F879" s="1">
        <v>-10.817016846422399</v>
      </c>
      <c r="G879">
        <f>VLOOKUP(C879,'[1]phenotypes-895'!$A$2:$G$896,7,FALSE)</f>
        <v>60</v>
      </c>
      <c r="H879" s="1">
        <v>0.20825241487881299</v>
      </c>
      <c r="I879" s="1">
        <f>VLOOKUP(C879,'[1]phenotypes-895'!$A$2:$I$896,9,FALSE)</f>
        <v>0.71254982300451652</v>
      </c>
      <c r="J879" s="1"/>
      <c r="K879" s="4">
        <v>4.0871209387280834</v>
      </c>
      <c r="L879" s="1"/>
      <c r="M879" s="8">
        <v>1</v>
      </c>
      <c r="N879" s="1"/>
      <c r="O879" s="6">
        <v>1.034</v>
      </c>
      <c r="P879" s="1"/>
      <c r="Q879" s="7">
        <v>0.01</v>
      </c>
    </row>
    <row r="880" spans="1:17" x14ac:dyDescent="0.2">
      <c r="A880">
        <v>57</v>
      </c>
      <c r="B880">
        <v>15</v>
      </c>
      <c r="C880" t="s">
        <v>56</v>
      </c>
      <c r="D880" s="12" t="s">
        <v>912</v>
      </c>
      <c r="E880" s="1">
        <v>-9.5429588321056507</v>
      </c>
      <c r="F880" s="1">
        <v>-10.906655660471699</v>
      </c>
      <c r="G880">
        <f>VLOOKUP(C880,'[1]phenotypes-895'!$A$2:$G$896,7,FALSE)</f>
        <v>45</v>
      </c>
      <c r="H880" s="1">
        <v>0.131834590369903</v>
      </c>
      <c r="I880" s="1">
        <f>VLOOKUP(C880,'[1]phenotypes-895'!$A$2:$I$896,9,FALSE)</f>
        <v>0.95604867272690219</v>
      </c>
      <c r="J880" s="1"/>
      <c r="K880" s="4">
        <v>4.5322300013828807</v>
      </c>
      <c r="L880" s="1"/>
      <c r="M880" s="8">
        <v>1</v>
      </c>
      <c r="N880" s="1"/>
      <c r="O880" s="6">
        <v>1.006</v>
      </c>
      <c r="P880" s="1"/>
      <c r="Q880" s="7">
        <v>0</v>
      </c>
    </row>
    <row r="881" spans="1:17" x14ac:dyDescent="0.2">
      <c r="A881">
        <v>124</v>
      </c>
      <c r="B881">
        <v>16</v>
      </c>
      <c r="C881" t="s">
        <v>123</v>
      </c>
      <c r="D881" s="12" t="s">
        <v>912</v>
      </c>
      <c r="E881" s="1">
        <v>-10.776253486963</v>
      </c>
      <c r="F881" s="1">
        <v>-11.032130779917001</v>
      </c>
      <c r="G881">
        <f>VLOOKUP(C881,'[1]phenotypes-895'!$A$2:$G$896,7,FALSE)</f>
        <v>53</v>
      </c>
      <c r="H881" s="1">
        <v>9.7175398776904495E-2</v>
      </c>
      <c r="I881" s="1">
        <f>VLOOKUP(C881,'[1]phenotypes-895'!$A$2:$I$896,9,FALSE)</f>
        <v>0.59079346660221232</v>
      </c>
      <c r="J881" s="1"/>
      <c r="K881" s="4">
        <v>4.4073507019583795</v>
      </c>
      <c r="L881" s="1"/>
      <c r="M881" s="8">
        <v>1</v>
      </c>
      <c r="N881" s="1"/>
      <c r="O881" s="6">
        <v>1.07</v>
      </c>
      <c r="P881" s="1"/>
      <c r="Q881" s="7">
        <v>0.02</v>
      </c>
    </row>
    <row r="882" spans="1:17" x14ac:dyDescent="0.2">
      <c r="A882">
        <v>105</v>
      </c>
      <c r="B882">
        <v>19</v>
      </c>
      <c r="C882" t="s">
        <v>104</v>
      </c>
      <c r="D882" s="12" t="s">
        <v>912</v>
      </c>
      <c r="E882" s="1">
        <v>-11.075767630651701</v>
      </c>
      <c r="F882" s="1">
        <v>-11.1901053506227</v>
      </c>
      <c r="G882">
        <f>VLOOKUP(C882,'[1]phenotypes-895'!$A$2:$G$896,7,FALSE)</f>
        <v>56</v>
      </c>
      <c r="H882" s="1">
        <v>0.17655853652370801</v>
      </c>
      <c r="I882" s="1">
        <f>VLOOKUP(C882,'[1]phenotypes-895'!$A$2:$I$896,9,FALSE)</f>
        <v>0.60103254221443381</v>
      </c>
      <c r="J882" s="1"/>
      <c r="K882" s="4">
        <v>4.190471553333226</v>
      </c>
      <c r="L882" s="1"/>
      <c r="M882" s="8">
        <v>1</v>
      </c>
      <c r="N882" s="1"/>
      <c r="O882" s="6">
        <v>0.751</v>
      </c>
      <c r="P882" s="1"/>
      <c r="Q882" s="7">
        <v>-0.09</v>
      </c>
    </row>
    <row r="883" spans="1:17" x14ac:dyDescent="0.2">
      <c r="A883">
        <v>73</v>
      </c>
      <c r="B883">
        <v>19</v>
      </c>
      <c r="C883" t="s">
        <v>72</v>
      </c>
      <c r="D883" s="12" t="s">
        <v>912</v>
      </c>
      <c r="E883" s="1">
        <v>-11.110775031547499</v>
      </c>
      <c r="F883" s="1">
        <v>-11.2927466363251</v>
      </c>
      <c r="G883">
        <f>VLOOKUP(C883,'[1]phenotypes-895'!$A$2:$G$896,7,FALSE)</f>
        <v>48</v>
      </c>
      <c r="H883" s="1">
        <v>0.22801625537646</v>
      </c>
      <c r="I883" s="1">
        <f>VLOOKUP(C883,'[1]phenotypes-895'!$A$2:$I$896,9,FALSE)</f>
        <v>1.109851524755191</v>
      </c>
      <c r="J883" s="1"/>
      <c r="K883" s="4">
        <v>4.2661380581592985</v>
      </c>
      <c r="L883" s="1"/>
      <c r="M883" s="8">
        <v>1</v>
      </c>
      <c r="N883" s="1"/>
      <c r="O883" s="6">
        <v>1.0920000000000001</v>
      </c>
      <c r="P883" s="1"/>
      <c r="Q883" s="7">
        <v>0.03</v>
      </c>
    </row>
    <row r="884" spans="1:17" x14ac:dyDescent="0.2">
      <c r="A884">
        <v>229</v>
      </c>
      <c r="B884">
        <v>15</v>
      </c>
      <c r="C884" t="s">
        <v>228</v>
      </c>
      <c r="D884" s="12" t="s">
        <v>912</v>
      </c>
      <c r="E884" s="1">
        <v>-10.441750307938999</v>
      </c>
      <c r="F884" s="1">
        <v>-11.5111141998443</v>
      </c>
      <c r="G884">
        <f>VLOOKUP(C884,'[1]phenotypes-895'!$A$2:$G$896,7,FALSE)</f>
        <v>58</v>
      </c>
      <c r="H884" s="1">
        <v>0.11657340589876</v>
      </c>
      <c r="I884" s="1">
        <f>VLOOKUP(C884,'[1]phenotypes-895'!$A$2:$I$896,9,FALSE)</f>
        <v>0.58560218401414244</v>
      </c>
      <c r="J884" s="1"/>
      <c r="K884" s="4">
        <v>5.121529187246697</v>
      </c>
      <c r="L884" s="1"/>
      <c r="M884" s="8">
        <v>1</v>
      </c>
      <c r="N884" s="1"/>
      <c r="O884" s="6">
        <v>0.877</v>
      </c>
      <c r="P884" s="1"/>
      <c r="Q884" s="7">
        <v>-0.04</v>
      </c>
    </row>
    <row r="885" spans="1:17" x14ac:dyDescent="0.2">
      <c r="A885">
        <v>19</v>
      </c>
      <c r="B885">
        <v>19</v>
      </c>
      <c r="C885" t="s">
        <v>18</v>
      </c>
      <c r="D885" s="12" t="s">
        <v>912</v>
      </c>
      <c r="E885" s="1">
        <v>-11.986935130675</v>
      </c>
      <c r="F885" s="1">
        <v>-11.8138724022985</v>
      </c>
      <c r="G885">
        <f>VLOOKUP(C885,'[1]phenotypes-895'!$A$2:$G$896,7,FALSE)</f>
        <v>61</v>
      </c>
      <c r="H885" s="1">
        <v>0.221287521271857</v>
      </c>
      <c r="I885" s="1">
        <f>VLOOKUP(C885,'[1]phenotypes-895'!$A$2:$I$896,9,FALSE)</f>
        <v>0.69943134771958115</v>
      </c>
      <c r="J885" s="1"/>
      <c r="K885" s="4">
        <v>4.542221514611251</v>
      </c>
      <c r="L885" s="1"/>
      <c r="M885" s="8">
        <v>1</v>
      </c>
      <c r="N885" s="1"/>
      <c r="O885" s="6">
        <v>1.097</v>
      </c>
      <c r="P885" s="1"/>
      <c r="Q885" s="7">
        <v>0.03</v>
      </c>
    </row>
    <row r="886" spans="1:17" x14ac:dyDescent="0.2">
      <c r="A886">
        <v>4</v>
      </c>
      <c r="B886">
        <v>15</v>
      </c>
      <c r="C886" t="s">
        <v>3</v>
      </c>
      <c r="D886" s="12" t="s">
        <v>912</v>
      </c>
      <c r="E886" s="1">
        <v>-10.8304973045135</v>
      </c>
      <c r="F886" s="1">
        <v>-11.817503256592801</v>
      </c>
      <c r="G886">
        <f>VLOOKUP(C886,'[1]phenotypes-895'!$A$2:$G$896,7,FALSE)</f>
        <v>63</v>
      </c>
      <c r="H886" s="1">
        <v>0.14271181134696301</v>
      </c>
      <c r="I886" s="1">
        <f>VLOOKUP(C886,'[1]phenotypes-895'!$A$2:$I$896,9,FALSE)</f>
        <v>0.52285575481076052</v>
      </c>
      <c r="J886" s="1"/>
      <c r="K886" s="4">
        <v>4.7699527004036453</v>
      </c>
      <c r="L886" s="1"/>
      <c r="M886" s="8">
        <v>1</v>
      </c>
      <c r="N886" s="1"/>
      <c r="O886" s="6">
        <v>1.105</v>
      </c>
      <c r="P886" s="1"/>
      <c r="Q886" s="7">
        <v>0.03</v>
      </c>
    </row>
    <row r="887" spans="1:17" x14ac:dyDescent="0.2">
      <c r="A887">
        <v>145</v>
      </c>
      <c r="B887">
        <v>15</v>
      </c>
      <c r="C887" t="s">
        <v>144</v>
      </c>
      <c r="D887" s="12" t="s">
        <v>912</v>
      </c>
      <c r="E887" s="1">
        <v>-10.5708410141805</v>
      </c>
      <c r="F887" s="1">
        <v>-11.959428113945</v>
      </c>
      <c r="G887">
        <f>VLOOKUP(C887,'[1]phenotypes-895'!$A$2:$G$896,7,FALSE)</f>
        <v>61</v>
      </c>
      <c r="H887" s="1">
        <v>0.139886750586315</v>
      </c>
      <c r="I887" s="1">
        <f>VLOOKUP(C887,'[1]phenotypes-895'!$A$2:$I$896,9,FALSE)</f>
        <v>0.73445195047834488</v>
      </c>
      <c r="J887" s="1"/>
      <c r="K887" s="4">
        <v>4.8899519184524802</v>
      </c>
      <c r="L887" s="1"/>
      <c r="M887" s="8">
        <v>1</v>
      </c>
      <c r="N887" s="1"/>
      <c r="O887" s="6">
        <v>0.95499999999999996</v>
      </c>
      <c r="P887" s="1"/>
      <c r="Q887" s="7">
        <v>-0.01</v>
      </c>
    </row>
    <row r="888" spans="1:17" x14ac:dyDescent="0.2">
      <c r="A888">
        <v>264</v>
      </c>
      <c r="B888">
        <v>15</v>
      </c>
      <c r="C888" t="s">
        <v>263</v>
      </c>
      <c r="D888" s="12" t="s">
        <v>912</v>
      </c>
      <c r="E888" s="1">
        <v>-10.759152654088799</v>
      </c>
      <c r="F888" s="1">
        <v>-11.988002366701499</v>
      </c>
      <c r="G888">
        <f>VLOOKUP(C888,'[1]phenotypes-895'!$A$2:$G$896,7,FALSE)</f>
        <v>53</v>
      </c>
      <c r="H888" s="1">
        <v>0.12565128122018401</v>
      </c>
      <c r="I888" s="1">
        <f>VLOOKUP(C888,'[1]phenotypes-895'!$A$2:$I$896,9,FALSE)</f>
        <v>0.61783577930092148</v>
      </c>
      <c r="J888" s="1"/>
      <c r="K888" s="4">
        <v>4.1750728080910271</v>
      </c>
      <c r="L888" s="1"/>
      <c r="M888" s="8">
        <v>1</v>
      </c>
      <c r="N888" s="1"/>
      <c r="O888" s="6">
        <v>0.96099999999999997</v>
      </c>
      <c r="P888" s="1"/>
      <c r="Q888" s="7">
        <v>-0.01</v>
      </c>
    </row>
    <row r="889" spans="1:17" x14ac:dyDescent="0.2">
      <c r="A889">
        <v>189</v>
      </c>
      <c r="B889">
        <v>16</v>
      </c>
      <c r="C889" t="s">
        <v>188</v>
      </c>
      <c r="D889" s="12" t="s">
        <v>912</v>
      </c>
      <c r="E889" s="1">
        <v>-11.909958140818301</v>
      </c>
      <c r="F889" s="1">
        <v>-12.0442913914397</v>
      </c>
      <c r="G889">
        <f>VLOOKUP(C889,'[1]phenotypes-895'!$A$2:$G$896,7,FALSE)</f>
        <v>49</v>
      </c>
      <c r="H889" s="1">
        <v>9.8963465235077694E-2</v>
      </c>
      <c r="I889" s="1">
        <f>VLOOKUP(C889,'[1]phenotypes-895'!$A$2:$I$896,9,FALSE)</f>
        <v>0.41439098272489489</v>
      </c>
      <c r="J889" s="1"/>
      <c r="K889" s="4">
        <v>3.0842218190192812</v>
      </c>
      <c r="L889" s="1"/>
      <c r="M889" s="8">
        <v>1</v>
      </c>
      <c r="N889" s="1"/>
      <c r="O889" s="6">
        <v>1.04</v>
      </c>
      <c r="P889" s="1"/>
      <c r="Q889" s="7">
        <v>0.01</v>
      </c>
    </row>
    <row r="890" spans="1:17" x14ac:dyDescent="0.2">
      <c r="A890">
        <v>332</v>
      </c>
      <c r="B890">
        <v>5</v>
      </c>
      <c r="C890" t="s">
        <v>331</v>
      </c>
      <c r="D890" s="12" t="s">
        <v>913</v>
      </c>
      <c r="E890" s="1">
        <v>-9.3295795308114595</v>
      </c>
      <c r="F890" s="1">
        <v>-12.5644024185432</v>
      </c>
      <c r="G890">
        <f>VLOOKUP(C890,'[1]phenotypes-895'!$A$2:$G$896,7,FALSE)</f>
        <v>51</v>
      </c>
      <c r="H890" s="1">
        <v>0.15506458823524399</v>
      </c>
      <c r="I890" s="1">
        <f>VLOOKUP(C890,'[1]phenotypes-895'!$A$2:$I$896,9,FALSE)</f>
        <v>1.0324640095030371</v>
      </c>
      <c r="J890" s="1"/>
      <c r="K890" s="4">
        <v>4.9822712916924647</v>
      </c>
      <c r="L890" s="1"/>
      <c r="M890" s="8">
        <v>1</v>
      </c>
      <c r="N890" s="1"/>
      <c r="O890" s="6">
        <v>0.94599999999999995</v>
      </c>
      <c r="P890" s="1"/>
      <c r="Q890" s="7">
        <v>-0.02</v>
      </c>
    </row>
    <row r="891" spans="1:17" x14ac:dyDescent="0.2">
      <c r="A891">
        <v>69</v>
      </c>
      <c r="B891">
        <v>19</v>
      </c>
      <c r="C891" t="s">
        <v>68</v>
      </c>
      <c r="D891" s="12" t="s">
        <v>912</v>
      </c>
      <c r="E891" s="1">
        <v>-12.4609389289728</v>
      </c>
      <c r="F891" s="1">
        <v>-12.573469912594501</v>
      </c>
      <c r="G891">
        <f>VLOOKUP(C891,'[1]phenotypes-895'!$A$2:$G$896,7,FALSE)</f>
        <v>48</v>
      </c>
      <c r="H891" s="1">
        <v>0.23082567163374601</v>
      </c>
      <c r="I891" s="1">
        <f>VLOOKUP(C891,'[1]phenotypes-895'!$A$2:$I$896,9,FALSE)</f>
        <v>0.83059492705629911</v>
      </c>
      <c r="J891" s="1"/>
      <c r="K891" s="4">
        <v>4.4310735901355782</v>
      </c>
      <c r="L891" s="1"/>
      <c r="M891" s="8">
        <v>1</v>
      </c>
      <c r="N891" s="1"/>
      <c r="O891" s="6">
        <v>1.0189999999999999</v>
      </c>
      <c r="P891" s="1"/>
      <c r="Q891" s="7">
        <v>0.01</v>
      </c>
    </row>
    <row r="892" spans="1:17" x14ac:dyDescent="0.2">
      <c r="A892">
        <v>23</v>
      </c>
      <c r="B892">
        <v>19</v>
      </c>
      <c r="C892" t="s">
        <v>22</v>
      </c>
      <c r="D892" s="12" t="s">
        <v>912</v>
      </c>
      <c r="E892" s="1">
        <v>-11.570048655413199</v>
      </c>
      <c r="F892" s="1">
        <v>-12.825642314401501</v>
      </c>
      <c r="G892">
        <f>VLOOKUP(C892,'[1]phenotypes-895'!$A$2:$G$896,7,FALSE)</f>
        <v>51</v>
      </c>
      <c r="H892" s="1">
        <v>0.26507998869268701</v>
      </c>
      <c r="I892" s="1">
        <f>VLOOKUP(C892,'[1]phenotypes-895'!$A$2:$I$896,9,FALSE)</f>
        <v>1.349871520344176</v>
      </c>
      <c r="J892" s="1"/>
      <c r="K892" s="4">
        <v>5.1616698103675676</v>
      </c>
      <c r="L892" s="1"/>
      <c r="M892" s="8">
        <v>1</v>
      </c>
      <c r="N892" s="1"/>
      <c r="O892" s="6">
        <v>1.048</v>
      </c>
      <c r="P892" s="1"/>
      <c r="Q892" s="7">
        <v>0.01</v>
      </c>
    </row>
    <row r="893" spans="1:17" x14ac:dyDescent="0.2">
      <c r="A893">
        <v>114</v>
      </c>
      <c r="B893">
        <v>5</v>
      </c>
      <c r="C893" t="s">
        <v>113</v>
      </c>
      <c r="D893" s="12" t="s">
        <v>913</v>
      </c>
      <c r="E893" s="1">
        <v>-9.8630701986425002</v>
      </c>
      <c r="F893" s="1">
        <v>-12.880627949125801</v>
      </c>
      <c r="G893">
        <f>VLOOKUP(C893,'[1]phenotypes-895'!$A$2:$G$896,7,FALSE)</f>
        <v>56</v>
      </c>
      <c r="H893" s="1">
        <v>0.100228372083785</v>
      </c>
      <c r="I893" s="1">
        <f>VLOOKUP(C893,'[1]phenotypes-895'!$A$2:$I$896,9,FALSE)</f>
        <v>0.46124236057327911</v>
      </c>
      <c r="J893" s="1"/>
      <c r="K893" s="4">
        <v>4.0031464623593198</v>
      </c>
      <c r="L893" s="1"/>
      <c r="M893" s="8">
        <v>1</v>
      </c>
      <c r="N893" s="1"/>
      <c r="O893" s="6">
        <v>0.92500000000000004</v>
      </c>
      <c r="P893" s="1"/>
      <c r="Q893" s="7">
        <v>-0.02</v>
      </c>
    </row>
    <row r="894" spans="1:17" x14ac:dyDescent="0.2">
      <c r="A894">
        <v>196</v>
      </c>
      <c r="B894">
        <v>5</v>
      </c>
      <c r="C894" t="s">
        <v>195</v>
      </c>
      <c r="D894" s="12" t="s">
        <v>913</v>
      </c>
      <c r="E894" s="1">
        <v>-9.6379303317110594</v>
      </c>
      <c r="F894" s="1">
        <v>-12.932592100325399</v>
      </c>
      <c r="G894">
        <f>VLOOKUP(C894,'[1]phenotypes-895'!$A$2:$G$896,7,FALSE)</f>
        <v>55</v>
      </c>
      <c r="H894" s="1">
        <v>0.102368919247115</v>
      </c>
      <c r="I894" s="1">
        <f>VLOOKUP(C894,'[1]phenotypes-895'!$A$2:$I$896,9,FALSE)</f>
        <v>0.36356569107383502</v>
      </c>
      <c r="J894" s="1"/>
      <c r="K894" s="4">
        <v>4.0944957934041932</v>
      </c>
      <c r="L894" s="1"/>
      <c r="M894" s="8">
        <v>1</v>
      </c>
      <c r="N894" s="1"/>
      <c r="O894" s="6">
        <v>1.0089999999999999</v>
      </c>
      <c r="P894" s="1"/>
      <c r="Q894" s="7">
        <v>0</v>
      </c>
    </row>
    <row r="895" spans="1:17" x14ac:dyDescent="0.2">
      <c r="A895">
        <v>33</v>
      </c>
      <c r="B895">
        <v>15</v>
      </c>
      <c r="C895" t="s">
        <v>32</v>
      </c>
      <c r="D895" s="12" t="s">
        <v>912</v>
      </c>
      <c r="E895" s="1">
        <v>-11.9851634704952</v>
      </c>
      <c r="F895" s="1">
        <v>-13.099553023043001</v>
      </c>
      <c r="G895">
        <f>VLOOKUP(C895,'[1]phenotypes-895'!$A$2:$G$896,7,FALSE)</f>
        <v>46</v>
      </c>
      <c r="H895" s="1">
        <v>0.13441656060701199</v>
      </c>
      <c r="I895" s="1">
        <f>VLOOKUP(C895,'[1]phenotypes-895'!$A$2:$I$896,9,FALSE)</f>
        <v>0.58547340714470253</v>
      </c>
      <c r="J895" s="1"/>
      <c r="K895" s="4">
        <v>4.7343217871352126</v>
      </c>
      <c r="L895" s="1"/>
      <c r="M895" s="8">
        <v>1</v>
      </c>
      <c r="N895" s="1"/>
      <c r="O895" s="6">
        <v>1.081</v>
      </c>
      <c r="P895" s="1"/>
      <c r="Q895" s="7">
        <v>0.02</v>
      </c>
    </row>
    <row r="896" spans="1:17" x14ac:dyDescent="0.2">
      <c r="A896">
        <v>835</v>
      </c>
      <c r="B896">
        <v>27</v>
      </c>
      <c r="C896" t="s">
        <v>834</v>
      </c>
      <c r="D896" s="13" t="s">
        <v>913</v>
      </c>
      <c r="E896" s="1">
        <v>-9.9343812583524596</v>
      </c>
      <c r="F896" s="1">
        <v>-13.4071161422061</v>
      </c>
      <c r="G896">
        <f>VLOOKUP(C896,'[1]phenotypes-895'!$A$2:$G$896,7,FALSE)</f>
        <v>58</v>
      </c>
      <c r="H896" s="1">
        <v>9.3899307963498102E-2</v>
      </c>
      <c r="I896" s="1">
        <f>VLOOKUP(C896,'[1]phenotypes-895'!$A$2:$I$896,9,FALSE)</f>
        <v>0.27409287985137343</v>
      </c>
      <c r="J896" s="1"/>
      <c r="K896" s="4">
        <v>3.8523664317636497</v>
      </c>
      <c r="L896" s="1"/>
      <c r="M896" s="8">
        <v>1</v>
      </c>
      <c r="N896" s="1"/>
      <c r="O896">
        <v>1.125</v>
      </c>
      <c r="P896" s="1"/>
      <c r="Q896" s="2">
        <v>0.04</v>
      </c>
    </row>
  </sheetData>
  <sortState xmlns:xlrd2="http://schemas.microsoft.com/office/spreadsheetml/2017/richdata2" ref="A2:Q896">
    <sortCondition descending="1" ref="F2:F89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EC38-67A7-FE49-93C6-3DA23FE8A7E3}">
  <dimension ref="A1:K896"/>
  <sheetViews>
    <sheetView zoomScale="110" zoomScaleNormal="110" workbookViewId="0">
      <selection activeCell="G2" sqref="G2"/>
    </sheetView>
  </sheetViews>
  <sheetFormatPr baseColWidth="10" defaultColWidth="11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4" max="4" width="4" style="12" bestFit="1" customWidth="1"/>
    <col min="5" max="5" width="17.6640625" customWidth="1"/>
    <col min="6" max="6" width="12.6640625" bestFit="1" customWidth="1"/>
    <col min="7" max="7" width="10.83203125"/>
  </cols>
  <sheetData>
    <row r="1" spans="1:11" s="10" customFormat="1" x14ac:dyDescent="0.2">
      <c r="A1" s="10" t="s">
        <v>897</v>
      </c>
      <c r="B1" s="10" t="s">
        <v>914</v>
      </c>
      <c r="C1" s="10" t="s">
        <v>895</v>
      </c>
      <c r="D1" s="11" t="s">
        <v>911</v>
      </c>
      <c r="E1" s="10" t="s">
        <v>896</v>
      </c>
      <c r="F1" s="10" t="s">
        <v>898</v>
      </c>
      <c r="G1" t="s">
        <v>930</v>
      </c>
      <c r="I1" s="3"/>
      <c r="J1" s="3"/>
      <c r="K1" s="3"/>
    </row>
    <row r="2" spans="1:11" x14ac:dyDescent="0.2">
      <c r="A2">
        <v>1</v>
      </c>
      <c r="B2">
        <v>13</v>
      </c>
      <c r="C2" t="s">
        <v>0</v>
      </c>
      <c r="D2" s="12" t="s">
        <v>912</v>
      </c>
      <c r="E2" s="1">
        <v>-7.2808866625886104</v>
      </c>
      <c r="F2">
        <f>VLOOKUP(C2,'[1]phenotypes-895'!$A$2:$G$896,7,FALSE)</f>
        <v>56</v>
      </c>
      <c r="G2">
        <v>289</v>
      </c>
      <c r="I2" s="3"/>
      <c r="J2" s="1"/>
    </row>
    <row r="3" spans="1:11" x14ac:dyDescent="0.2">
      <c r="A3">
        <v>2</v>
      </c>
      <c r="B3">
        <v>8</v>
      </c>
      <c r="C3" t="s">
        <v>1</v>
      </c>
      <c r="D3" s="12" t="s">
        <v>913</v>
      </c>
      <c r="E3" s="1">
        <v>2.5085230224527102</v>
      </c>
      <c r="F3">
        <f>VLOOKUP(C3,'[1]phenotypes-895'!$A$2:$G$896,7,FALSE)</f>
        <v>98</v>
      </c>
      <c r="G3">
        <v>271</v>
      </c>
      <c r="I3" s="3"/>
      <c r="J3" s="1"/>
    </row>
    <row r="4" spans="1:11" x14ac:dyDescent="0.2">
      <c r="A4">
        <v>3</v>
      </c>
      <c r="B4">
        <v>8</v>
      </c>
      <c r="C4" t="s">
        <v>2</v>
      </c>
      <c r="D4" s="12" t="s">
        <v>913</v>
      </c>
      <c r="E4" s="1">
        <v>1.5252055550029799</v>
      </c>
      <c r="F4">
        <f>VLOOKUP(C4,'[1]phenotypes-895'!$A$2:$G$896,7,FALSE)</f>
        <v>76</v>
      </c>
      <c r="G4">
        <v>271</v>
      </c>
      <c r="I4" s="3"/>
      <c r="J4" s="1"/>
    </row>
    <row r="5" spans="1:11" x14ac:dyDescent="0.2">
      <c r="A5">
        <v>4</v>
      </c>
      <c r="B5">
        <v>15</v>
      </c>
      <c r="C5" t="s">
        <v>3</v>
      </c>
      <c r="D5" s="12" t="s">
        <v>912</v>
      </c>
      <c r="E5" s="1">
        <v>-11.817503256592801</v>
      </c>
      <c r="F5">
        <f>VLOOKUP(C5,'[1]phenotypes-895'!$A$2:$G$896,7,FALSE)</f>
        <v>63</v>
      </c>
      <c r="G5">
        <v>299</v>
      </c>
      <c r="I5" s="3"/>
      <c r="J5" s="1"/>
    </row>
    <row r="6" spans="1:11" x14ac:dyDescent="0.2">
      <c r="A6">
        <v>5</v>
      </c>
      <c r="B6">
        <v>13</v>
      </c>
      <c r="C6" t="s">
        <v>4</v>
      </c>
      <c r="D6" s="12" t="s">
        <v>912</v>
      </c>
      <c r="E6" s="1">
        <v>-5.4339637937580001</v>
      </c>
      <c r="F6">
        <f>VLOOKUP(C6,'[1]phenotypes-895'!$A$2:$G$896,7,FALSE)</f>
        <v>62</v>
      </c>
      <c r="G6">
        <v>289</v>
      </c>
      <c r="I6" s="3"/>
      <c r="J6" s="1"/>
    </row>
    <row r="7" spans="1:11" x14ac:dyDescent="0.2">
      <c r="A7">
        <v>6</v>
      </c>
      <c r="B7">
        <v>3</v>
      </c>
      <c r="C7" t="s">
        <v>5</v>
      </c>
      <c r="D7" s="12" t="s">
        <v>913</v>
      </c>
      <c r="E7" s="1">
        <v>-6.8681574845300801</v>
      </c>
      <c r="F7">
        <f>VLOOKUP(C7,'[1]phenotypes-895'!$A$2:$G$896,7,FALSE)</f>
        <v>64</v>
      </c>
      <c r="G7">
        <v>284</v>
      </c>
      <c r="I7" s="3"/>
      <c r="J7" s="1"/>
    </row>
    <row r="8" spans="1:11" x14ac:dyDescent="0.2">
      <c r="A8">
        <v>7</v>
      </c>
      <c r="B8">
        <v>16</v>
      </c>
      <c r="C8" t="s">
        <v>6</v>
      </c>
      <c r="D8" s="12" t="s">
        <v>912</v>
      </c>
      <c r="E8" s="1">
        <v>-10.461524947411901</v>
      </c>
      <c r="F8">
        <f>VLOOKUP(C8,'[1]phenotypes-895'!$A$2:$G$896,7,FALSE)</f>
        <v>53</v>
      </c>
      <c r="G8">
        <v>291</v>
      </c>
      <c r="I8" s="3"/>
      <c r="J8" s="1"/>
    </row>
    <row r="9" spans="1:11" x14ac:dyDescent="0.2">
      <c r="A9">
        <v>8</v>
      </c>
      <c r="B9">
        <v>6</v>
      </c>
      <c r="C9" t="s">
        <v>7</v>
      </c>
      <c r="D9" s="12" t="s">
        <v>913</v>
      </c>
      <c r="E9" s="1">
        <v>-0.452748383920271</v>
      </c>
      <c r="F9">
        <f>VLOOKUP(C9,'[1]phenotypes-895'!$A$2:$G$896,7,FALSE)</f>
        <v>98</v>
      </c>
      <c r="G9">
        <v>278</v>
      </c>
      <c r="I9" s="3"/>
      <c r="J9" s="1"/>
    </row>
    <row r="10" spans="1:11" x14ac:dyDescent="0.2">
      <c r="A10">
        <v>9</v>
      </c>
      <c r="B10">
        <v>12</v>
      </c>
      <c r="C10" t="s">
        <v>8</v>
      </c>
      <c r="D10" s="12" t="s">
        <v>912</v>
      </c>
      <c r="E10" s="1">
        <v>-1.3225028984109499</v>
      </c>
      <c r="F10">
        <f>VLOOKUP(C10,'[1]phenotypes-895'!$A$2:$G$896,7,FALSE)</f>
        <v>98</v>
      </c>
      <c r="G10">
        <v>296</v>
      </c>
      <c r="I10" s="3"/>
      <c r="J10" s="1"/>
    </row>
    <row r="11" spans="1:11" x14ac:dyDescent="0.2">
      <c r="A11">
        <v>10</v>
      </c>
      <c r="B11">
        <v>12</v>
      </c>
      <c r="C11" t="s">
        <v>9</v>
      </c>
      <c r="D11" s="12" t="s">
        <v>912</v>
      </c>
      <c r="E11" s="1">
        <v>5.8106509351567297E-2</v>
      </c>
      <c r="F11">
        <f>VLOOKUP(C11,'[1]phenotypes-895'!$A$2:$G$896,7,FALSE)</f>
        <v>62</v>
      </c>
      <c r="G11">
        <v>296</v>
      </c>
      <c r="I11" s="3"/>
      <c r="J11" s="1"/>
    </row>
    <row r="12" spans="1:11" x14ac:dyDescent="0.2">
      <c r="A12">
        <v>11</v>
      </c>
      <c r="B12">
        <v>1</v>
      </c>
      <c r="C12" t="s">
        <v>10</v>
      </c>
      <c r="D12" s="12" t="s">
        <v>913</v>
      </c>
      <c r="E12" s="1">
        <v>-5.5303321966281</v>
      </c>
      <c r="F12">
        <f>VLOOKUP(C12,'[1]phenotypes-895'!$A$2:$G$896,7,FALSE)</f>
        <v>50</v>
      </c>
      <c r="G12">
        <v>269</v>
      </c>
      <c r="I12" s="3"/>
      <c r="J12" s="1"/>
    </row>
    <row r="13" spans="1:11" x14ac:dyDescent="0.2">
      <c r="A13">
        <v>12</v>
      </c>
      <c r="B13">
        <v>5</v>
      </c>
      <c r="C13" t="s">
        <v>11</v>
      </c>
      <c r="D13" s="12" t="s">
        <v>913</v>
      </c>
      <c r="E13" s="1">
        <v>-7.2515961778776896</v>
      </c>
      <c r="F13">
        <f>VLOOKUP(C13,'[1]phenotypes-895'!$A$2:$G$896,7,FALSE)</f>
        <v>60</v>
      </c>
      <c r="G13">
        <v>275</v>
      </c>
      <c r="I13" s="3"/>
      <c r="J13" s="1"/>
    </row>
    <row r="14" spans="1:11" x14ac:dyDescent="0.2">
      <c r="A14">
        <v>13</v>
      </c>
      <c r="B14">
        <v>5</v>
      </c>
      <c r="C14" t="s">
        <v>12</v>
      </c>
      <c r="D14" s="12" t="s">
        <v>913</v>
      </c>
      <c r="E14" s="1">
        <v>-7.127405695567</v>
      </c>
      <c r="F14">
        <f>VLOOKUP(C14,'[1]phenotypes-895'!$A$2:$G$896,7,FALSE)</f>
        <v>98</v>
      </c>
      <c r="G14">
        <v>275</v>
      </c>
      <c r="I14" s="3"/>
      <c r="J14" s="1"/>
    </row>
    <row r="15" spans="1:11" x14ac:dyDescent="0.2">
      <c r="A15">
        <v>14</v>
      </c>
      <c r="B15">
        <v>8</v>
      </c>
      <c r="C15" t="s">
        <v>13</v>
      </c>
      <c r="D15" s="12" t="s">
        <v>913</v>
      </c>
      <c r="E15" s="1">
        <v>3.06513670417388</v>
      </c>
      <c r="F15">
        <f>VLOOKUP(C15,'[1]phenotypes-895'!$A$2:$G$896,7,FALSE)</f>
        <v>72</v>
      </c>
      <c r="G15">
        <v>271</v>
      </c>
      <c r="I15" s="3"/>
      <c r="J15" s="1"/>
    </row>
    <row r="16" spans="1:11" x14ac:dyDescent="0.2">
      <c r="A16">
        <v>15</v>
      </c>
      <c r="B16">
        <v>9</v>
      </c>
      <c r="C16" t="s">
        <v>14</v>
      </c>
      <c r="D16" s="12" t="s">
        <v>912</v>
      </c>
      <c r="E16" s="1">
        <v>-4.1722462339659598</v>
      </c>
      <c r="F16">
        <f>VLOOKUP(C16,'[1]phenotypes-895'!$A$2:$G$896,7,FALSE)</f>
        <v>53</v>
      </c>
      <c r="G16">
        <v>296</v>
      </c>
      <c r="I16" s="3"/>
    </row>
    <row r="17" spans="1:9" x14ac:dyDescent="0.2">
      <c r="A17">
        <v>16</v>
      </c>
      <c r="B17">
        <v>3</v>
      </c>
      <c r="C17" t="s">
        <v>15</v>
      </c>
      <c r="D17" s="12" t="s">
        <v>913</v>
      </c>
      <c r="E17" s="1">
        <v>-2.3904293538682899</v>
      </c>
      <c r="F17">
        <f>VLOOKUP(C17,'[1]phenotypes-895'!$A$2:$G$896,7,FALSE)</f>
        <v>98</v>
      </c>
      <c r="G17">
        <v>284</v>
      </c>
    </row>
    <row r="18" spans="1:9" x14ac:dyDescent="0.2">
      <c r="A18">
        <v>17</v>
      </c>
      <c r="B18">
        <v>6</v>
      </c>
      <c r="C18" t="s">
        <v>16</v>
      </c>
      <c r="D18" s="12" t="s">
        <v>913</v>
      </c>
      <c r="E18" s="1">
        <v>1.2354146154802901</v>
      </c>
      <c r="F18">
        <f>VLOOKUP(C18,'[1]phenotypes-895'!$A$2:$G$896,7,FALSE)</f>
        <v>91</v>
      </c>
      <c r="G18">
        <v>278</v>
      </c>
      <c r="I18" s="3"/>
    </row>
    <row r="19" spans="1:9" x14ac:dyDescent="0.2">
      <c r="A19">
        <v>18</v>
      </c>
      <c r="B19">
        <v>9</v>
      </c>
      <c r="C19" t="s">
        <v>17</v>
      </c>
      <c r="D19" s="12" t="s">
        <v>912</v>
      </c>
      <c r="E19" s="1">
        <v>-1.16657181381845</v>
      </c>
      <c r="F19">
        <f>VLOOKUP(C19,'[1]phenotypes-895'!$A$2:$G$896,7,FALSE)</f>
        <v>46</v>
      </c>
      <c r="G19">
        <v>296</v>
      </c>
    </row>
    <row r="20" spans="1:9" x14ac:dyDescent="0.2">
      <c r="A20">
        <v>19</v>
      </c>
      <c r="B20">
        <v>19</v>
      </c>
      <c r="C20" t="s">
        <v>18</v>
      </c>
      <c r="D20" s="12" t="s">
        <v>912</v>
      </c>
      <c r="E20" s="1">
        <v>-11.8138724022985</v>
      </c>
      <c r="F20">
        <f>VLOOKUP(C20,'[1]phenotypes-895'!$A$2:$G$896,7,FALSE)</f>
        <v>61</v>
      </c>
      <c r="G20">
        <v>276</v>
      </c>
    </row>
    <row r="21" spans="1:9" x14ac:dyDescent="0.2">
      <c r="A21">
        <v>20</v>
      </c>
      <c r="B21">
        <v>15</v>
      </c>
      <c r="C21" t="s">
        <v>19</v>
      </c>
      <c r="D21" s="12" t="s">
        <v>912</v>
      </c>
      <c r="E21" s="1">
        <v>-9.2118049977541805</v>
      </c>
      <c r="F21">
        <f>VLOOKUP(C21,'[1]phenotypes-895'!$A$2:$G$896,7,FALSE)</f>
        <v>61</v>
      </c>
      <c r="G21">
        <v>299</v>
      </c>
    </row>
    <row r="22" spans="1:9" x14ac:dyDescent="0.2">
      <c r="A22">
        <v>21</v>
      </c>
      <c r="B22">
        <v>9</v>
      </c>
      <c r="C22" t="s">
        <v>20</v>
      </c>
      <c r="D22" s="12" t="s">
        <v>912</v>
      </c>
      <c r="E22" s="1">
        <v>1.1629788597152699</v>
      </c>
      <c r="F22">
        <f>VLOOKUP(C22,'[1]phenotypes-895'!$A$2:$G$896,7,FALSE)</f>
        <v>98</v>
      </c>
      <c r="G22">
        <v>296</v>
      </c>
    </row>
    <row r="23" spans="1:9" x14ac:dyDescent="0.2">
      <c r="A23">
        <v>22</v>
      </c>
      <c r="B23">
        <v>4</v>
      </c>
      <c r="C23" t="s">
        <v>21</v>
      </c>
      <c r="D23" s="12" t="s">
        <v>913</v>
      </c>
      <c r="E23" s="1">
        <v>-1.0612976836907899</v>
      </c>
      <c r="F23">
        <f>VLOOKUP(C23,'[1]phenotypes-895'!$A$2:$G$896,7,FALSE)</f>
        <v>74</v>
      </c>
      <c r="G23">
        <v>271</v>
      </c>
    </row>
    <row r="24" spans="1:9" x14ac:dyDescent="0.2">
      <c r="A24">
        <v>23</v>
      </c>
      <c r="B24">
        <v>19</v>
      </c>
      <c r="C24" t="s">
        <v>22</v>
      </c>
      <c r="D24" s="12" t="s">
        <v>912</v>
      </c>
      <c r="E24" s="1">
        <v>-12.825642314401501</v>
      </c>
      <c r="F24">
        <f>VLOOKUP(C24,'[1]phenotypes-895'!$A$2:$G$896,7,FALSE)</f>
        <v>51</v>
      </c>
      <c r="G24">
        <v>276</v>
      </c>
    </row>
    <row r="25" spans="1:9" x14ac:dyDescent="0.2">
      <c r="A25">
        <v>24</v>
      </c>
      <c r="B25">
        <v>1</v>
      </c>
      <c r="C25" t="s">
        <v>23</v>
      </c>
      <c r="D25" s="12" t="s">
        <v>913</v>
      </c>
      <c r="E25" s="1">
        <v>-8.9127847945386094</v>
      </c>
      <c r="F25">
        <f>VLOOKUP(C25,'[1]phenotypes-895'!$A$2:$G$896,7,FALSE)</f>
        <v>50</v>
      </c>
      <c r="G25">
        <v>269</v>
      </c>
    </row>
    <row r="26" spans="1:9" x14ac:dyDescent="0.2">
      <c r="A26">
        <v>25</v>
      </c>
      <c r="B26">
        <v>10</v>
      </c>
      <c r="C26" t="s">
        <v>24</v>
      </c>
      <c r="D26" s="12" t="s">
        <v>912</v>
      </c>
      <c r="E26" s="1">
        <v>-1.28635635643275</v>
      </c>
      <c r="F26">
        <f>VLOOKUP(C26,'[1]phenotypes-895'!$A$2:$G$896,7,FALSE)</f>
        <v>81</v>
      </c>
      <c r="G26">
        <v>292</v>
      </c>
    </row>
    <row r="27" spans="1:9" x14ac:dyDescent="0.2">
      <c r="A27">
        <v>26</v>
      </c>
      <c r="B27">
        <v>6</v>
      </c>
      <c r="C27" t="s">
        <v>25</v>
      </c>
      <c r="D27" s="12" t="s">
        <v>913</v>
      </c>
      <c r="E27" s="1">
        <v>-7.9714464236918099</v>
      </c>
      <c r="F27">
        <f>VLOOKUP(C27,'[1]phenotypes-895'!$A$2:$G$896,7,FALSE)</f>
        <v>58</v>
      </c>
      <c r="G27">
        <v>278</v>
      </c>
    </row>
    <row r="28" spans="1:9" x14ac:dyDescent="0.2">
      <c r="A28">
        <v>27</v>
      </c>
      <c r="B28">
        <v>12</v>
      </c>
      <c r="C28" t="s">
        <v>26</v>
      </c>
      <c r="D28" s="12" t="s">
        <v>912</v>
      </c>
      <c r="E28" s="1">
        <v>3.5843891451609902</v>
      </c>
      <c r="F28">
        <f>VLOOKUP(C28,'[1]phenotypes-895'!$A$2:$G$896,7,FALSE)</f>
        <v>98</v>
      </c>
      <c r="G28">
        <v>296</v>
      </c>
    </row>
    <row r="29" spans="1:9" x14ac:dyDescent="0.2">
      <c r="A29">
        <v>28</v>
      </c>
      <c r="B29">
        <v>30</v>
      </c>
      <c r="C29" t="s">
        <v>27</v>
      </c>
      <c r="D29" s="13" t="s">
        <v>913</v>
      </c>
      <c r="E29" s="1">
        <v>-0.76749293266382301</v>
      </c>
      <c r="F29">
        <f>VLOOKUP(C29,'[1]phenotypes-895'!$A$2:$G$896,7,FALSE)</f>
        <v>98</v>
      </c>
      <c r="G29">
        <v>202</v>
      </c>
    </row>
    <row r="30" spans="1:9" x14ac:dyDescent="0.2">
      <c r="A30">
        <v>29</v>
      </c>
      <c r="B30">
        <v>4</v>
      </c>
      <c r="C30" t="s">
        <v>28</v>
      </c>
      <c r="D30" s="12" t="s">
        <v>913</v>
      </c>
      <c r="E30" s="1">
        <v>-6.6615678093573703</v>
      </c>
      <c r="F30">
        <f>VLOOKUP(C30,'[1]phenotypes-895'!$A$2:$G$896,7,FALSE)</f>
        <v>49</v>
      </c>
      <c r="G30">
        <v>271</v>
      </c>
    </row>
    <row r="31" spans="1:9" x14ac:dyDescent="0.2">
      <c r="A31">
        <v>30</v>
      </c>
      <c r="B31">
        <v>24</v>
      </c>
      <c r="C31" t="s">
        <v>29</v>
      </c>
      <c r="D31" s="13" t="s">
        <v>913</v>
      </c>
      <c r="E31" s="1">
        <v>-2.9114954666219202</v>
      </c>
      <c r="F31">
        <f>VLOOKUP(C31,'[1]phenotypes-895'!$A$2:$G$896,7,FALSE)</f>
        <v>76</v>
      </c>
      <c r="G31">
        <v>239</v>
      </c>
    </row>
    <row r="32" spans="1:9" x14ac:dyDescent="0.2">
      <c r="A32">
        <v>31</v>
      </c>
      <c r="B32">
        <v>17</v>
      </c>
      <c r="C32" t="s">
        <v>30</v>
      </c>
      <c r="D32" s="12" t="s">
        <v>912</v>
      </c>
      <c r="E32" s="1">
        <v>-8.3554538257917503</v>
      </c>
      <c r="F32">
        <f>VLOOKUP(C32,'[1]phenotypes-895'!$A$2:$G$896,7,FALSE)</f>
        <v>52</v>
      </c>
      <c r="G32">
        <v>276</v>
      </c>
    </row>
    <row r="33" spans="1:7" x14ac:dyDescent="0.2">
      <c r="A33">
        <v>32</v>
      </c>
      <c r="B33">
        <v>21</v>
      </c>
      <c r="C33" t="s">
        <v>31</v>
      </c>
      <c r="D33" s="13" t="s">
        <v>913</v>
      </c>
      <c r="E33" s="1">
        <v>-0.91644761732591795</v>
      </c>
      <c r="F33">
        <f>VLOOKUP(C33,'[1]phenotypes-895'!$A$2:$G$896,7,FALSE)</f>
        <v>70</v>
      </c>
      <c r="G33">
        <v>218</v>
      </c>
    </row>
    <row r="34" spans="1:7" x14ac:dyDescent="0.2">
      <c r="A34">
        <v>33</v>
      </c>
      <c r="B34">
        <v>15</v>
      </c>
      <c r="C34" t="s">
        <v>32</v>
      </c>
      <c r="D34" s="12" t="s">
        <v>912</v>
      </c>
      <c r="E34" s="1">
        <v>-13.099553023043001</v>
      </c>
      <c r="F34">
        <f>VLOOKUP(C34,'[1]phenotypes-895'!$A$2:$G$896,7,FALSE)</f>
        <v>46</v>
      </c>
      <c r="G34">
        <v>299</v>
      </c>
    </row>
    <row r="35" spans="1:7" x14ac:dyDescent="0.2">
      <c r="A35">
        <v>34</v>
      </c>
      <c r="B35">
        <v>50</v>
      </c>
      <c r="C35" t="s">
        <v>33</v>
      </c>
      <c r="D35" s="13" t="s">
        <v>912</v>
      </c>
      <c r="E35" s="1">
        <v>-1.1074686985400499</v>
      </c>
      <c r="F35">
        <f>VLOOKUP(C35,'[1]phenotypes-895'!$A$2:$G$896,7,FALSE)</f>
        <v>62</v>
      </c>
      <c r="G35">
        <v>172</v>
      </c>
    </row>
    <row r="36" spans="1:7" x14ac:dyDescent="0.2">
      <c r="A36">
        <v>35</v>
      </c>
      <c r="B36">
        <v>14</v>
      </c>
      <c r="C36" t="s">
        <v>34</v>
      </c>
      <c r="D36" s="12" t="s">
        <v>912</v>
      </c>
      <c r="E36" s="1">
        <v>-3.8423057074316298</v>
      </c>
      <c r="F36">
        <f>VLOOKUP(C36,'[1]phenotypes-895'!$A$2:$G$896,7,FALSE)</f>
        <v>65</v>
      </c>
      <c r="G36">
        <v>292</v>
      </c>
    </row>
    <row r="37" spans="1:7" x14ac:dyDescent="0.2">
      <c r="A37">
        <v>36</v>
      </c>
      <c r="B37">
        <v>44</v>
      </c>
      <c r="C37" t="s">
        <v>35</v>
      </c>
      <c r="D37" s="13" t="s">
        <v>912</v>
      </c>
      <c r="E37" s="1">
        <v>5.5601854995383997</v>
      </c>
      <c r="F37">
        <f>VLOOKUP(C37,'[1]phenotypes-895'!$A$2:$G$896,7,FALSE)</f>
        <v>98</v>
      </c>
      <c r="G37">
        <v>173</v>
      </c>
    </row>
    <row r="38" spans="1:7" x14ac:dyDescent="0.2">
      <c r="A38">
        <v>37</v>
      </c>
      <c r="B38">
        <v>11</v>
      </c>
      <c r="C38" t="s">
        <v>36</v>
      </c>
      <c r="D38" s="12" t="s">
        <v>912</v>
      </c>
      <c r="E38" s="1">
        <v>-6.6820191520542203</v>
      </c>
      <c r="F38">
        <f>VLOOKUP(C38,'[1]phenotypes-895'!$A$2:$G$896,7,FALSE)</f>
        <v>63</v>
      </c>
      <c r="G38">
        <v>303</v>
      </c>
    </row>
    <row r="39" spans="1:7" x14ac:dyDescent="0.2">
      <c r="A39">
        <v>38</v>
      </c>
      <c r="B39">
        <v>43</v>
      </c>
      <c r="C39" t="s">
        <v>37</v>
      </c>
      <c r="D39" s="13" t="s">
        <v>912</v>
      </c>
      <c r="E39" s="1">
        <v>-2.39820695675111</v>
      </c>
      <c r="F39">
        <f>VLOOKUP(C39,'[1]phenotypes-895'!$A$2:$G$896,7,FALSE)</f>
        <v>70</v>
      </c>
      <c r="G39">
        <v>175</v>
      </c>
    </row>
    <row r="40" spans="1:7" x14ac:dyDescent="0.2">
      <c r="A40">
        <v>39</v>
      </c>
      <c r="B40">
        <v>17</v>
      </c>
      <c r="C40" t="s">
        <v>38</v>
      </c>
      <c r="D40" s="12" t="s">
        <v>912</v>
      </c>
      <c r="E40" s="1">
        <v>-3.7071537666737902</v>
      </c>
      <c r="F40">
        <f>VLOOKUP(C40,'[1]phenotypes-895'!$A$2:$G$896,7,FALSE)</f>
        <v>76</v>
      </c>
      <c r="G40">
        <v>276</v>
      </c>
    </row>
    <row r="41" spans="1:7" x14ac:dyDescent="0.2">
      <c r="A41">
        <v>40</v>
      </c>
      <c r="B41">
        <v>37</v>
      </c>
      <c r="C41" t="s">
        <v>39</v>
      </c>
      <c r="D41" s="13" t="s">
        <v>913</v>
      </c>
      <c r="E41" s="1">
        <v>-2.3885133976938402</v>
      </c>
      <c r="F41">
        <f>VLOOKUP(C41,'[1]phenotypes-895'!$A$2:$G$896,7,FALSE)</f>
        <v>49</v>
      </c>
      <c r="G41">
        <v>200</v>
      </c>
    </row>
    <row r="42" spans="1:7" x14ac:dyDescent="0.2">
      <c r="A42">
        <v>41</v>
      </c>
      <c r="B42">
        <v>6</v>
      </c>
      <c r="C42" t="s">
        <v>40</v>
      </c>
      <c r="D42" s="12" t="s">
        <v>913</v>
      </c>
      <c r="E42" s="1">
        <v>-3.1900364896286901</v>
      </c>
      <c r="F42">
        <f>VLOOKUP(C42,'[1]phenotypes-895'!$A$2:$G$896,7,FALSE)</f>
        <v>60</v>
      </c>
      <c r="G42">
        <v>278</v>
      </c>
    </row>
    <row r="43" spans="1:7" x14ac:dyDescent="0.2">
      <c r="A43">
        <v>42</v>
      </c>
      <c r="B43">
        <v>23</v>
      </c>
      <c r="C43" t="s">
        <v>41</v>
      </c>
      <c r="D43" s="13" t="s">
        <v>913</v>
      </c>
      <c r="E43" s="1">
        <v>0.49256847786123098</v>
      </c>
      <c r="F43">
        <f>VLOOKUP(C43,'[1]phenotypes-895'!$A$2:$G$896,7,FALSE)</f>
        <v>56</v>
      </c>
      <c r="G43">
        <v>189</v>
      </c>
    </row>
    <row r="44" spans="1:7" x14ac:dyDescent="0.2">
      <c r="A44">
        <v>43</v>
      </c>
      <c r="B44">
        <v>15</v>
      </c>
      <c r="C44" t="s">
        <v>42</v>
      </c>
      <c r="D44" s="12" t="s">
        <v>912</v>
      </c>
      <c r="E44" s="1">
        <v>-3.4800547362574701</v>
      </c>
      <c r="F44">
        <f>VLOOKUP(C44,'[1]phenotypes-895'!$A$2:$G$896,7,FALSE)</f>
        <v>78</v>
      </c>
      <c r="G44">
        <v>299</v>
      </c>
    </row>
    <row r="45" spans="1:7" x14ac:dyDescent="0.2">
      <c r="A45">
        <v>44</v>
      </c>
      <c r="B45">
        <v>32</v>
      </c>
      <c r="C45" t="s">
        <v>43</v>
      </c>
      <c r="D45" s="13" t="s">
        <v>913</v>
      </c>
      <c r="E45" s="1">
        <v>-0.53339333183000004</v>
      </c>
      <c r="F45">
        <f>VLOOKUP(C45,'[1]phenotypes-895'!$A$2:$G$896,7,FALSE)</f>
        <v>67</v>
      </c>
      <c r="G45">
        <v>199</v>
      </c>
    </row>
    <row r="46" spans="1:7" x14ac:dyDescent="0.2">
      <c r="A46">
        <v>45</v>
      </c>
      <c r="B46">
        <v>20</v>
      </c>
      <c r="C46" t="s">
        <v>44</v>
      </c>
      <c r="D46" s="12" t="s">
        <v>912</v>
      </c>
      <c r="E46" s="1">
        <v>4.0574794056141004</v>
      </c>
      <c r="F46">
        <f>VLOOKUP(C46,'[1]phenotypes-895'!$A$2:$G$896,7,FALSE)</f>
        <v>98</v>
      </c>
      <c r="G46">
        <v>289</v>
      </c>
    </row>
    <row r="47" spans="1:7" x14ac:dyDescent="0.2">
      <c r="A47">
        <v>46</v>
      </c>
      <c r="B47">
        <v>48</v>
      </c>
      <c r="C47" t="s">
        <v>45</v>
      </c>
      <c r="D47" s="13" t="s">
        <v>912</v>
      </c>
      <c r="E47" s="1">
        <v>3.33769675021178</v>
      </c>
      <c r="F47">
        <f>VLOOKUP(C47,'[1]phenotypes-895'!$A$2:$G$896,7,FALSE)</f>
        <v>67</v>
      </c>
      <c r="G47">
        <v>173</v>
      </c>
    </row>
    <row r="48" spans="1:7" x14ac:dyDescent="0.2">
      <c r="A48">
        <v>47</v>
      </c>
      <c r="B48">
        <v>6</v>
      </c>
      <c r="C48" t="s">
        <v>46</v>
      </c>
      <c r="D48" s="12" t="s">
        <v>913</v>
      </c>
      <c r="E48" s="1">
        <v>-1.8130239631837901</v>
      </c>
      <c r="F48">
        <f>VLOOKUP(C48,'[1]phenotypes-895'!$A$2:$G$896,7,FALSE)</f>
        <v>56</v>
      </c>
      <c r="G48">
        <v>278</v>
      </c>
    </row>
    <row r="49" spans="1:7" x14ac:dyDescent="0.2">
      <c r="A49">
        <v>48</v>
      </c>
      <c r="B49">
        <v>16</v>
      </c>
      <c r="C49" t="s">
        <v>47</v>
      </c>
      <c r="D49" s="12" t="s">
        <v>912</v>
      </c>
      <c r="E49" s="1">
        <v>-5.4741160269088702</v>
      </c>
      <c r="F49">
        <f>VLOOKUP(C49,'[1]phenotypes-895'!$A$2:$G$896,7,FALSE)</f>
        <v>61</v>
      </c>
      <c r="G49">
        <v>291</v>
      </c>
    </row>
    <row r="50" spans="1:7" x14ac:dyDescent="0.2">
      <c r="A50">
        <v>49</v>
      </c>
      <c r="B50">
        <v>17</v>
      </c>
      <c r="C50" t="s">
        <v>48</v>
      </c>
      <c r="D50" s="12" t="s">
        <v>912</v>
      </c>
      <c r="E50" s="1">
        <v>-8.8014426148947305</v>
      </c>
      <c r="F50">
        <f>VLOOKUP(C50,'[1]phenotypes-895'!$A$2:$G$896,7,FALSE)</f>
        <v>64</v>
      </c>
      <c r="G50">
        <v>276</v>
      </c>
    </row>
    <row r="51" spans="1:7" x14ac:dyDescent="0.2">
      <c r="A51">
        <v>50</v>
      </c>
      <c r="B51">
        <v>6</v>
      </c>
      <c r="C51" t="s">
        <v>49</v>
      </c>
      <c r="D51" s="12" t="s">
        <v>913</v>
      </c>
      <c r="E51" s="1">
        <v>-1.8521143261353501</v>
      </c>
      <c r="F51">
        <f>VLOOKUP(C51,'[1]phenotypes-895'!$A$2:$G$896,7,FALSE)</f>
        <v>98</v>
      </c>
      <c r="G51">
        <v>278</v>
      </c>
    </row>
    <row r="52" spans="1:7" x14ac:dyDescent="0.2">
      <c r="A52">
        <v>51</v>
      </c>
      <c r="B52">
        <v>11</v>
      </c>
      <c r="C52" t="s">
        <v>50</v>
      </c>
      <c r="D52" s="12" t="s">
        <v>912</v>
      </c>
      <c r="E52" s="1">
        <v>-0.71494569191741897</v>
      </c>
      <c r="F52">
        <f>VLOOKUP(C52,'[1]phenotypes-895'!$A$2:$G$896,7,FALSE)</f>
        <v>98</v>
      </c>
      <c r="G52">
        <v>303</v>
      </c>
    </row>
    <row r="53" spans="1:7" x14ac:dyDescent="0.2">
      <c r="A53">
        <v>52</v>
      </c>
      <c r="B53">
        <v>14</v>
      </c>
      <c r="C53" t="s">
        <v>51</v>
      </c>
      <c r="D53" s="12" t="s">
        <v>912</v>
      </c>
      <c r="E53" s="1">
        <v>-4.14177955814157</v>
      </c>
      <c r="F53">
        <f>VLOOKUP(C53,'[1]phenotypes-895'!$A$2:$G$896,7,FALSE)</f>
        <v>53</v>
      </c>
      <c r="G53">
        <v>292</v>
      </c>
    </row>
    <row r="54" spans="1:7" x14ac:dyDescent="0.2">
      <c r="A54">
        <v>53</v>
      </c>
      <c r="B54">
        <v>10</v>
      </c>
      <c r="C54" t="s">
        <v>52</v>
      </c>
      <c r="D54" s="12" t="s">
        <v>912</v>
      </c>
      <c r="E54" s="1">
        <v>2.7617983815607299</v>
      </c>
      <c r="F54">
        <f>VLOOKUP(C54,'[1]phenotypes-895'!$A$2:$G$896,7,FALSE)</f>
        <v>98</v>
      </c>
      <c r="G54">
        <v>292</v>
      </c>
    </row>
    <row r="55" spans="1:7" x14ac:dyDescent="0.2">
      <c r="A55">
        <v>54</v>
      </c>
      <c r="B55">
        <v>7</v>
      </c>
      <c r="C55" t="s">
        <v>53</v>
      </c>
      <c r="D55" s="12" t="s">
        <v>913</v>
      </c>
      <c r="E55" s="1">
        <v>-4.0321804372616796</v>
      </c>
      <c r="F55">
        <f>VLOOKUP(C55,'[1]phenotypes-895'!$A$2:$G$896,7,FALSE)</f>
        <v>61</v>
      </c>
      <c r="G55">
        <v>278</v>
      </c>
    </row>
    <row r="56" spans="1:7" x14ac:dyDescent="0.2">
      <c r="A56">
        <v>55</v>
      </c>
      <c r="B56">
        <v>3</v>
      </c>
      <c r="C56" t="s">
        <v>54</v>
      </c>
      <c r="D56" s="12" t="s">
        <v>913</v>
      </c>
      <c r="E56" s="1">
        <v>-7.1030167634175196</v>
      </c>
      <c r="F56">
        <f>VLOOKUP(C56,'[1]phenotypes-895'!$A$2:$G$896,7,FALSE)</f>
        <v>55</v>
      </c>
      <c r="G56">
        <v>284</v>
      </c>
    </row>
    <row r="57" spans="1:7" x14ac:dyDescent="0.2">
      <c r="A57">
        <v>56</v>
      </c>
      <c r="B57">
        <v>12</v>
      </c>
      <c r="C57" t="s">
        <v>55</v>
      </c>
      <c r="D57" s="12" t="s">
        <v>912</v>
      </c>
      <c r="E57" s="1">
        <v>-3.7591304500541902</v>
      </c>
      <c r="F57">
        <f>VLOOKUP(C57,'[1]phenotypes-895'!$A$2:$G$896,7,FALSE)</f>
        <v>48</v>
      </c>
      <c r="G57">
        <v>296</v>
      </c>
    </row>
    <row r="58" spans="1:7" x14ac:dyDescent="0.2">
      <c r="A58">
        <v>57</v>
      </c>
      <c r="B58">
        <v>15</v>
      </c>
      <c r="C58" t="s">
        <v>56</v>
      </c>
      <c r="D58" s="12" t="s">
        <v>912</v>
      </c>
      <c r="E58" s="1">
        <v>-10.906655660471699</v>
      </c>
      <c r="F58">
        <f>VLOOKUP(C58,'[1]phenotypes-895'!$A$2:$G$896,7,FALSE)</f>
        <v>45</v>
      </c>
      <c r="G58">
        <v>299</v>
      </c>
    </row>
    <row r="59" spans="1:7" x14ac:dyDescent="0.2">
      <c r="A59">
        <v>58</v>
      </c>
      <c r="B59">
        <v>4</v>
      </c>
      <c r="C59" t="s">
        <v>57</v>
      </c>
      <c r="D59" s="12" t="s">
        <v>913</v>
      </c>
      <c r="E59" s="1">
        <v>-3.2887615381181998</v>
      </c>
      <c r="F59">
        <f>VLOOKUP(C59,'[1]phenotypes-895'!$A$2:$G$896,7,FALSE)</f>
        <v>56</v>
      </c>
      <c r="G59">
        <v>271</v>
      </c>
    </row>
    <row r="60" spans="1:7" x14ac:dyDescent="0.2">
      <c r="A60">
        <v>59</v>
      </c>
      <c r="B60">
        <v>17</v>
      </c>
      <c r="C60" t="s">
        <v>58</v>
      </c>
      <c r="D60" s="12" t="s">
        <v>912</v>
      </c>
      <c r="E60" s="1">
        <v>-9.1978720123195199</v>
      </c>
      <c r="F60">
        <f>VLOOKUP(C60,'[1]phenotypes-895'!$A$2:$G$896,7,FALSE)</f>
        <v>51</v>
      </c>
      <c r="G60">
        <v>276</v>
      </c>
    </row>
    <row r="61" spans="1:7" x14ac:dyDescent="0.2">
      <c r="A61">
        <v>60</v>
      </c>
      <c r="B61">
        <v>18</v>
      </c>
      <c r="C61" t="s">
        <v>59</v>
      </c>
      <c r="D61" s="12" t="s">
        <v>912</v>
      </c>
      <c r="E61" s="1">
        <v>0.66490176334198303</v>
      </c>
      <c r="F61">
        <f>VLOOKUP(C61,'[1]phenotypes-895'!$A$2:$G$896,7,FALSE)</f>
        <v>88</v>
      </c>
      <c r="G61">
        <v>297</v>
      </c>
    </row>
    <row r="62" spans="1:7" x14ac:dyDescent="0.2">
      <c r="A62">
        <v>61</v>
      </c>
      <c r="B62">
        <v>19</v>
      </c>
      <c r="C62" t="s">
        <v>60</v>
      </c>
      <c r="D62" s="12" t="s">
        <v>912</v>
      </c>
      <c r="E62" s="1">
        <v>-10.456807951901901</v>
      </c>
      <c r="F62">
        <f>VLOOKUP(C62,'[1]phenotypes-895'!$A$2:$G$896,7,FALSE)</f>
        <v>74</v>
      </c>
      <c r="G62">
        <v>276</v>
      </c>
    </row>
    <row r="63" spans="1:7" x14ac:dyDescent="0.2">
      <c r="A63">
        <v>62</v>
      </c>
      <c r="B63">
        <v>14</v>
      </c>
      <c r="C63" t="s">
        <v>61</v>
      </c>
      <c r="D63" s="12" t="s">
        <v>912</v>
      </c>
      <c r="E63" s="1">
        <v>-7.3169403523848304</v>
      </c>
      <c r="F63">
        <f>VLOOKUP(C63,'[1]phenotypes-895'!$A$2:$G$896,7,FALSE)</f>
        <v>68</v>
      </c>
      <c r="G63">
        <v>292</v>
      </c>
    </row>
    <row r="64" spans="1:7" x14ac:dyDescent="0.2">
      <c r="A64">
        <v>63</v>
      </c>
      <c r="B64">
        <v>11</v>
      </c>
      <c r="C64" t="s">
        <v>62</v>
      </c>
      <c r="D64" s="12" t="s">
        <v>912</v>
      </c>
      <c r="E64" s="1">
        <v>-4.5330986099237096</v>
      </c>
      <c r="F64">
        <f>VLOOKUP(C64,'[1]phenotypes-895'!$A$2:$G$896,7,FALSE)</f>
        <v>53</v>
      </c>
      <c r="G64">
        <v>303</v>
      </c>
    </row>
    <row r="65" spans="1:7" x14ac:dyDescent="0.2">
      <c r="A65">
        <v>64</v>
      </c>
      <c r="B65">
        <v>5</v>
      </c>
      <c r="C65" t="s">
        <v>63</v>
      </c>
      <c r="D65" s="12" t="s">
        <v>913</v>
      </c>
      <c r="E65" s="1">
        <v>-10.055572658599299</v>
      </c>
      <c r="F65">
        <f>VLOOKUP(C65,'[1]phenotypes-895'!$A$2:$G$896,7,FALSE)</f>
        <v>98</v>
      </c>
      <c r="G65">
        <v>275</v>
      </c>
    </row>
    <row r="66" spans="1:7" x14ac:dyDescent="0.2">
      <c r="A66">
        <v>65</v>
      </c>
      <c r="B66">
        <v>12</v>
      </c>
      <c r="C66" t="s">
        <v>64</v>
      </c>
      <c r="D66" s="12" t="s">
        <v>912</v>
      </c>
      <c r="E66" s="1">
        <v>0.184151384603885</v>
      </c>
      <c r="F66">
        <f>VLOOKUP(C66,'[1]phenotypes-895'!$A$2:$G$896,7,FALSE)</f>
        <v>98</v>
      </c>
      <c r="G66">
        <v>296</v>
      </c>
    </row>
    <row r="67" spans="1:7" x14ac:dyDescent="0.2">
      <c r="A67">
        <v>66</v>
      </c>
      <c r="B67">
        <v>19</v>
      </c>
      <c r="C67" t="s">
        <v>65</v>
      </c>
      <c r="D67" s="12" t="s">
        <v>912</v>
      </c>
      <c r="E67" s="1">
        <v>-10.394763858082801</v>
      </c>
      <c r="F67">
        <f>VLOOKUP(C67,'[1]phenotypes-895'!$A$2:$G$896,7,FALSE)</f>
        <v>72</v>
      </c>
      <c r="G67">
        <v>276</v>
      </c>
    </row>
    <row r="68" spans="1:7" x14ac:dyDescent="0.2">
      <c r="A68">
        <v>67</v>
      </c>
      <c r="B68">
        <v>13</v>
      </c>
      <c r="C68" t="s">
        <v>66</v>
      </c>
      <c r="D68" s="12" t="s">
        <v>912</v>
      </c>
      <c r="E68" s="1">
        <v>-6.973435685109</v>
      </c>
      <c r="F68">
        <f>VLOOKUP(C68,'[1]phenotypes-895'!$A$2:$G$896,7,FALSE)</f>
        <v>46</v>
      </c>
      <c r="G68">
        <v>289</v>
      </c>
    </row>
    <row r="69" spans="1:7" x14ac:dyDescent="0.2">
      <c r="A69">
        <v>68</v>
      </c>
      <c r="B69">
        <v>2</v>
      </c>
      <c r="C69" t="s">
        <v>67</v>
      </c>
      <c r="D69" s="12" t="s">
        <v>913</v>
      </c>
      <c r="E69" s="1">
        <v>-6.3340409593153204</v>
      </c>
      <c r="F69">
        <f>VLOOKUP(C69,'[1]phenotypes-895'!$A$2:$G$896,7,FALSE)</f>
        <v>74</v>
      </c>
      <c r="G69">
        <v>271</v>
      </c>
    </row>
    <row r="70" spans="1:7" x14ac:dyDescent="0.2">
      <c r="A70">
        <v>69</v>
      </c>
      <c r="B70">
        <v>19</v>
      </c>
      <c r="C70" t="s">
        <v>68</v>
      </c>
      <c r="D70" s="12" t="s">
        <v>912</v>
      </c>
      <c r="E70" s="1">
        <v>-12.573469912594501</v>
      </c>
      <c r="F70">
        <f>VLOOKUP(C70,'[1]phenotypes-895'!$A$2:$G$896,7,FALSE)</f>
        <v>48</v>
      </c>
      <c r="G70">
        <v>276</v>
      </c>
    </row>
    <row r="71" spans="1:7" x14ac:dyDescent="0.2">
      <c r="A71">
        <v>70</v>
      </c>
      <c r="B71">
        <v>13</v>
      </c>
      <c r="C71" t="s">
        <v>69</v>
      </c>
      <c r="D71" s="12" t="s">
        <v>912</v>
      </c>
      <c r="E71" s="1">
        <v>-4.2135398042652099</v>
      </c>
      <c r="F71">
        <f>VLOOKUP(C71,'[1]phenotypes-895'!$A$2:$G$896,7,FALSE)</f>
        <v>54</v>
      </c>
      <c r="G71">
        <v>289</v>
      </c>
    </row>
    <row r="72" spans="1:7" x14ac:dyDescent="0.2">
      <c r="A72">
        <v>71</v>
      </c>
      <c r="B72">
        <v>16</v>
      </c>
      <c r="C72" t="s">
        <v>70</v>
      </c>
      <c r="D72" s="12" t="s">
        <v>912</v>
      </c>
      <c r="E72" s="1">
        <v>-4.4289432766297603</v>
      </c>
      <c r="F72">
        <f>VLOOKUP(C72,'[1]phenotypes-895'!$A$2:$G$896,7,FALSE)</f>
        <v>98</v>
      </c>
      <c r="G72">
        <v>291</v>
      </c>
    </row>
    <row r="73" spans="1:7" x14ac:dyDescent="0.2">
      <c r="A73">
        <v>72</v>
      </c>
      <c r="B73">
        <v>33</v>
      </c>
      <c r="C73" t="s">
        <v>71</v>
      </c>
      <c r="D73" s="13" t="s">
        <v>913</v>
      </c>
      <c r="E73" s="1">
        <v>1.5379828438913601</v>
      </c>
      <c r="F73">
        <f>VLOOKUP(C73,'[1]phenotypes-895'!$A$2:$G$896,7,FALSE)</f>
        <v>86</v>
      </c>
      <c r="G73">
        <v>189</v>
      </c>
    </row>
    <row r="74" spans="1:7" x14ac:dyDescent="0.2">
      <c r="A74">
        <v>73</v>
      </c>
      <c r="B74">
        <v>19</v>
      </c>
      <c r="C74" t="s">
        <v>72</v>
      </c>
      <c r="D74" s="12" t="s">
        <v>912</v>
      </c>
      <c r="E74" s="1">
        <v>-11.2927466363251</v>
      </c>
      <c r="F74">
        <f>VLOOKUP(C74,'[1]phenotypes-895'!$A$2:$G$896,7,FALSE)</f>
        <v>48</v>
      </c>
      <c r="G74">
        <v>276</v>
      </c>
    </row>
    <row r="75" spans="1:7" x14ac:dyDescent="0.2">
      <c r="A75">
        <v>74</v>
      </c>
      <c r="B75">
        <v>21</v>
      </c>
      <c r="C75" t="s">
        <v>73</v>
      </c>
      <c r="D75" s="13" t="s">
        <v>913</v>
      </c>
      <c r="E75" s="1">
        <v>-1.32460230834724</v>
      </c>
      <c r="F75">
        <f>VLOOKUP(C75,'[1]phenotypes-895'!$A$2:$G$896,7,FALSE)</f>
        <v>59</v>
      </c>
      <c r="G75">
        <v>218</v>
      </c>
    </row>
    <row r="76" spans="1:7" x14ac:dyDescent="0.2">
      <c r="A76">
        <v>75</v>
      </c>
      <c r="B76">
        <v>3</v>
      </c>
      <c r="C76" t="s">
        <v>74</v>
      </c>
      <c r="D76" s="12" t="s">
        <v>913</v>
      </c>
      <c r="E76" s="1">
        <v>-2.3221313165007</v>
      </c>
      <c r="F76">
        <f>VLOOKUP(C76,'[1]phenotypes-895'!$A$2:$G$896,7,FALSE)</f>
        <v>63</v>
      </c>
      <c r="G76">
        <v>284</v>
      </c>
    </row>
    <row r="77" spans="1:7" x14ac:dyDescent="0.2">
      <c r="A77">
        <v>76</v>
      </c>
      <c r="B77">
        <v>25</v>
      </c>
      <c r="C77" t="s">
        <v>75</v>
      </c>
      <c r="D77" s="13" t="s">
        <v>913</v>
      </c>
      <c r="E77" s="1">
        <v>1.9712078141659399</v>
      </c>
      <c r="F77">
        <f>VLOOKUP(C77,'[1]phenotypes-895'!$A$2:$G$896,7,FALSE)</f>
        <v>80</v>
      </c>
      <c r="G77">
        <v>208</v>
      </c>
    </row>
    <row r="78" spans="1:7" x14ac:dyDescent="0.2">
      <c r="A78">
        <v>77</v>
      </c>
      <c r="B78">
        <v>9</v>
      </c>
      <c r="C78" t="s">
        <v>76</v>
      </c>
      <c r="D78" s="12" t="s">
        <v>912</v>
      </c>
      <c r="E78" s="1">
        <v>2.2408820271434702</v>
      </c>
      <c r="F78">
        <f>VLOOKUP(C78,'[1]phenotypes-895'!$A$2:$G$896,7,FALSE)</f>
        <v>98</v>
      </c>
      <c r="G78">
        <v>296</v>
      </c>
    </row>
    <row r="79" spans="1:7" x14ac:dyDescent="0.2">
      <c r="A79">
        <v>78</v>
      </c>
      <c r="B79">
        <v>28</v>
      </c>
      <c r="C79" t="s">
        <v>77</v>
      </c>
      <c r="D79" s="13" t="s">
        <v>913</v>
      </c>
      <c r="E79" s="1">
        <v>-10.184509414623401</v>
      </c>
      <c r="F79">
        <f>VLOOKUP(C79,'[1]phenotypes-895'!$A$2:$G$896,7,FALSE)</f>
        <v>67</v>
      </c>
      <c r="G79">
        <v>242</v>
      </c>
    </row>
    <row r="80" spans="1:7" x14ac:dyDescent="0.2">
      <c r="A80">
        <v>79</v>
      </c>
      <c r="B80">
        <v>18</v>
      </c>
      <c r="C80" t="s">
        <v>78</v>
      </c>
      <c r="D80" s="12" t="s">
        <v>912</v>
      </c>
      <c r="E80" s="1">
        <v>1.79418186198013</v>
      </c>
      <c r="F80">
        <f>VLOOKUP(C80,'[1]phenotypes-895'!$A$2:$G$896,7,FALSE)</f>
        <v>81</v>
      </c>
      <c r="G80">
        <v>297</v>
      </c>
    </row>
    <row r="81" spans="1:7" x14ac:dyDescent="0.2">
      <c r="A81">
        <v>80</v>
      </c>
      <c r="B81">
        <v>44</v>
      </c>
      <c r="C81" t="s">
        <v>79</v>
      </c>
      <c r="D81" s="13" t="s">
        <v>912</v>
      </c>
      <c r="E81" s="1">
        <v>-3.8283574340144799</v>
      </c>
      <c r="F81">
        <f>VLOOKUP(C81,'[1]phenotypes-895'!$A$2:$G$896,7,FALSE)</f>
        <v>58</v>
      </c>
      <c r="G81">
        <v>173</v>
      </c>
    </row>
    <row r="82" spans="1:7" x14ac:dyDescent="0.2">
      <c r="A82">
        <v>81</v>
      </c>
      <c r="B82">
        <v>12</v>
      </c>
      <c r="C82" t="s">
        <v>80</v>
      </c>
      <c r="D82" s="12" t="s">
        <v>912</v>
      </c>
      <c r="E82" s="1">
        <v>0.36842156782443197</v>
      </c>
      <c r="F82">
        <f>VLOOKUP(C82,'[1]phenotypes-895'!$A$2:$G$896,7,FALSE)</f>
        <v>72</v>
      </c>
      <c r="G82">
        <v>296</v>
      </c>
    </row>
    <row r="83" spans="1:7" x14ac:dyDescent="0.2">
      <c r="A83">
        <v>82</v>
      </c>
      <c r="B83">
        <v>33</v>
      </c>
      <c r="C83" t="s">
        <v>81</v>
      </c>
      <c r="D83" s="13" t="s">
        <v>913</v>
      </c>
      <c r="E83" s="1">
        <v>-1.4797308588028599</v>
      </c>
      <c r="F83">
        <f>VLOOKUP(C83,'[1]phenotypes-895'!$A$2:$G$896,7,FALSE)</f>
        <v>76</v>
      </c>
      <c r="G83">
        <v>189</v>
      </c>
    </row>
    <row r="84" spans="1:7" x14ac:dyDescent="0.2">
      <c r="A84">
        <v>83</v>
      </c>
      <c r="B84">
        <v>10</v>
      </c>
      <c r="C84" t="s">
        <v>82</v>
      </c>
      <c r="D84" s="12" t="s">
        <v>912</v>
      </c>
      <c r="E84" s="1">
        <v>-4.2156058327931998</v>
      </c>
      <c r="F84">
        <f>VLOOKUP(C84,'[1]phenotypes-895'!$A$2:$G$896,7,FALSE)</f>
        <v>54</v>
      </c>
      <c r="G84">
        <v>292</v>
      </c>
    </row>
    <row r="85" spans="1:7" x14ac:dyDescent="0.2">
      <c r="A85">
        <v>84</v>
      </c>
      <c r="B85">
        <v>39</v>
      </c>
      <c r="C85" t="s">
        <v>83</v>
      </c>
      <c r="D85" s="13" t="s">
        <v>913</v>
      </c>
      <c r="E85" s="1">
        <v>3.2418134448523901</v>
      </c>
      <c r="F85">
        <f>VLOOKUP(C85,'[1]phenotypes-895'!$A$2:$G$896,7,FALSE)</f>
        <v>63</v>
      </c>
      <c r="G85">
        <v>206</v>
      </c>
    </row>
    <row r="86" spans="1:7" x14ac:dyDescent="0.2">
      <c r="A86">
        <v>85</v>
      </c>
      <c r="B86">
        <v>8</v>
      </c>
      <c r="C86" t="s">
        <v>84</v>
      </c>
      <c r="D86" s="12" t="s">
        <v>913</v>
      </c>
      <c r="E86" s="1">
        <v>4.0545620221990903</v>
      </c>
      <c r="F86">
        <f>VLOOKUP(C86,'[1]phenotypes-895'!$A$2:$G$896,7,FALSE)</f>
        <v>98</v>
      </c>
      <c r="G86">
        <v>271</v>
      </c>
    </row>
    <row r="87" spans="1:7" x14ac:dyDescent="0.2">
      <c r="A87">
        <v>86</v>
      </c>
      <c r="B87">
        <v>36</v>
      </c>
      <c r="C87" t="s">
        <v>85</v>
      </c>
      <c r="D87" s="13" t="s">
        <v>913</v>
      </c>
      <c r="E87" s="1">
        <v>6.8937681377266102</v>
      </c>
      <c r="F87">
        <f>VLOOKUP(C87,'[1]phenotypes-895'!$A$2:$G$896,7,FALSE)</f>
        <v>73</v>
      </c>
      <c r="G87">
        <v>192</v>
      </c>
    </row>
    <row r="88" spans="1:7" x14ac:dyDescent="0.2">
      <c r="A88">
        <v>87</v>
      </c>
      <c r="B88">
        <v>7</v>
      </c>
      <c r="C88" t="s">
        <v>86</v>
      </c>
      <c r="D88" s="12" t="s">
        <v>913</v>
      </c>
      <c r="E88" s="1">
        <v>0.32835773725915701</v>
      </c>
      <c r="F88">
        <f>VLOOKUP(C88,'[1]phenotypes-895'!$A$2:$G$896,7,FALSE)</f>
        <v>53</v>
      </c>
      <c r="G88">
        <v>278</v>
      </c>
    </row>
    <row r="89" spans="1:7" x14ac:dyDescent="0.2">
      <c r="A89">
        <v>88</v>
      </c>
      <c r="B89">
        <v>27</v>
      </c>
      <c r="C89" t="s">
        <v>87</v>
      </c>
      <c r="D89" s="13" t="s">
        <v>913</v>
      </c>
      <c r="E89" s="1">
        <v>4.4915469946902604</v>
      </c>
      <c r="F89">
        <f>VLOOKUP(C89,'[1]phenotypes-895'!$A$2:$G$896,7,FALSE)</f>
        <v>89</v>
      </c>
      <c r="G89">
        <v>208</v>
      </c>
    </row>
    <row r="90" spans="1:7" x14ac:dyDescent="0.2">
      <c r="A90">
        <v>89</v>
      </c>
      <c r="B90">
        <v>9</v>
      </c>
      <c r="C90" t="s">
        <v>88</v>
      </c>
      <c r="D90" s="12" t="s">
        <v>912</v>
      </c>
      <c r="E90" s="1">
        <v>1.5179874474486299</v>
      </c>
      <c r="F90">
        <f>VLOOKUP(C90,'[1]phenotypes-895'!$A$2:$G$896,7,FALSE)</f>
        <v>98</v>
      </c>
      <c r="G90">
        <v>296</v>
      </c>
    </row>
    <row r="91" spans="1:7" x14ac:dyDescent="0.2">
      <c r="A91">
        <v>90</v>
      </c>
      <c r="B91">
        <v>48</v>
      </c>
      <c r="C91" t="s">
        <v>89</v>
      </c>
      <c r="D91" s="13" t="s">
        <v>912</v>
      </c>
      <c r="E91" s="1">
        <v>2.8886146414928602</v>
      </c>
      <c r="F91">
        <f>VLOOKUP(C91,'[1]phenotypes-895'!$A$2:$G$896,7,FALSE)</f>
        <v>98</v>
      </c>
      <c r="G91">
        <v>173</v>
      </c>
    </row>
    <row r="92" spans="1:7" x14ac:dyDescent="0.2">
      <c r="A92">
        <v>91</v>
      </c>
      <c r="B92">
        <v>2</v>
      </c>
      <c r="C92" t="s">
        <v>90</v>
      </c>
      <c r="D92" s="12" t="s">
        <v>913</v>
      </c>
      <c r="E92" s="1">
        <v>-0.58428857151535196</v>
      </c>
      <c r="F92">
        <f>VLOOKUP(C92,'[1]phenotypes-895'!$A$2:$G$896,7,FALSE)</f>
        <v>98</v>
      </c>
      <c r="G92">
        <v>271</v>
      </c>
    </row>
    <row r="93" spans="1:7" x14ac:dyDescent="0.2">
      <c r="A93">
        <v>92</v>
      </c>
      <c r="B93">
        <v>6</v>
      </c>
      <c r="C93" t="s">
        <v>91</v>
      </c>
      <c r="D93" s="12" t="s">
        <v>913</v>
      </c>
      <c r="E93" s="1">
        <v>-3.4393186893905998</v>
      </c>
      <c r="F93">
        <f>VLOOKUP(C93,'[1]phenotypes-895'!$A$2:$G$896,7,FALSE)</f>
        <v>81</v>
      </c>
      <c r="G93">
        <v>278</v>
      </c>
    </row>
    <row r="94" spans="1:7" x14ac:dyDescent="0.2">
      <c r="A94">
        <v>93</v>
      </c>
      <c r="B94">
        <v>6</v>
      </c>
      <c r="C94" t="s">
        <v>92</v>
      </c>
      <c r="D94" s="12" t="s">
        <v>913</v>
      </c>
      <c r="E94" s="1">
        <v>-2.1203428400918698</v>
      </c>
      <c r="F94">
        <f>VLOOKUP(C94,'[1]phenotypes-895'!$A$2:$G$896,7,FALSE)</f>
        <v>82</v>
      </c>
      <c r="G94">
        <v>278</v>
      </c>
    </row>
    <row r="95" spans="1:7" x14ac:dyDescent="0.2">
      <c r="A95">
        <v>94</v>
      </c>
      <c r="B95">
        <v>9</v>
      </c>
      <c r="C95" t="s">
        <v>93</v>
      </c>
      <c r="D95" s="12" t="s">
        <v>912</v>
      </c>
      <c r="E95" s="1">
        <v>-3.5676870806943999</v>
      </c>
      <c r="F95">
        <f>VLOOKUP(C95,'[1]phenotypes-895'!$A$2:$G$896,7,FALSE)</f>
        <v>56</v>
      </c>
      <c r="G95">
        <v>296</v>
      </c>
    </row>
    <row r="96" spans="1:7" x14ac:dyDescent="0.2">
      <c r="A96">
        <v>95</v>
      </c>
      <c r="B96">
        <v>4</v>
      </c>
      <c r="C96" t="s">
        <v>94</v>
      </c>
      <c r="D96" s="12" t="s">
        <v>913</v>
      </c>
      <c r="E96" s="1">
        <v>-5.4680368022490704</v>
      </c>
      <c r="F96">
        <f>VLOOKUP(C96,'[1]phenotypes-895'!$A$2:$G$896,7,FALSE)</f>
        <v>71</v>
      </c>
      <c r="G96">
        <v>271</v>
      </c>
    </row>
    <row r="97" spans="1:7" x14ac:dyDescent="0.2">
      <c r="A97">
        <v>96</v>
      </c>
      <c r="B97">
        <v>2</v>
      </c>
      <c r="C97" t="s">
        <v>95</v>
      </c>
      <c r="D97" s="12" t="s">
        <v>913</v>
      </c>
      <c r="E97" s="1">
        <v>8.3220116465154401</v>
      </c>
      <c r="F97">
        <f>VLOOKUP(C97,'[1]phenotypes-895'!$A$2:$G$896,7,FALSE)</f>
        <v>98</v>
      </c>
      <c r="G97">
        <v>271</v>
      </c>
    </row>
    <row r="98" spans="1:7" x14ac:dyDescent="0.2">
      <c r="A98">
        <v>97</v>
      </c>
      <c r="B98">
        <v>14</v>
      </c>
      <c r="C98" t="s">
        <v>96</v>
      </c>
      <c r="D98" s="12" t="s">
        <v>912</v>
      </c>
      <c r="E98" s="1">
        <v>-4.8486827688199696</v>
      </c>
      <c r="F98">
        <f>VLOOKUP(C98,'[1]phenotypes-895'!$A$2:$G$896,7,FALSE)</f>
        <v>56</v>
      </c>
      <c r="G98">
        <v>292</v>
      </c>
    </row>
    <row r="99" spans="1:7" x14ac:dyDescent="0.2">
      <c r="A99">
        <v>98</v>
      </c>
      <c r="B99">
        <v>9</v>
      </c>
      <c r="C99" t="s">
        <v>97</v>
      </c>
      <c r="D99" s="12" t="s">
        <v>912</v>
      </c>
      <c r="E99" s="1">
        <v>-1.8299348485951099</v>
      </c>
      <c r="F99">
        <f>VLOOKUP(C99,'[1]phenotypes-895'!$A$2:$G$896,7,FALSE)</f>
        <v>84</v>
      </c>
      <c r="G99">
        <v>296</v>
      </c>
    </row>
    <row r="100" spans="1:7" x14ac:dyDescent="0.2">
      <c r="A100">
        <v>99</v>
      </c>
      <c r="B100">
        <v>9</v>
      </c>
      <c r="C100" t="s">
        <v>98</v>
      </c>
      <c r="D100" s="12" t="s">
        <v>912</v>
      </c>
      <c r="E100" s="1">
        <v>-1.85069601417685</v>
      </c>
      <c r="F100">
        <f>VLOOKUP(C100,'[1]phenotypes-895'!$A$2:$G$896,7,FALSE)</f>
        <v>72</v>
      </c>
      <c r="G100">
        <v>296</v>
      </c>
    </row>
    <row r="101" spans="1:7" x14ac:dyDescent="0.2">
      <c r="A101">
        <v>100</v>
      </c>
      <c r="B101">
        <v>13</v>
      </c>
      <c r="C101" t="s">
        <v>99</v>
      </c>
      <c r="D101" s="12" t="s">
        <v>912</v>
      </c>
      <c r="E101" s="1">
        <v>-7.1192777450070297</v>
      </c>
      <c r="F101">
        <f>VLOOKUP(C101,'[1]phenotypes-895'!$A$2:$G$896,7,FALSE)</f>
        <v>46</v>
      </c>
      <c r="G101">
        <v>289</v>
      </c>
    </row>
    <row r="102" spans="1:7" x14ac:dyDescent="0.2">
      <c r="A102">
        <v>101</v>
      </c>
      <c r="B102">
        <v>12</v>
      </c>
      <c r="C102" t="s">
        <v>100</v>
      </c>
      <c r="D102" s="12" t="s">
        <v>912</v>
      </c>
      <c r="E102" s="1">
        <v>1.9810489073590201</v>
      </c>
      <c r="F102">
        <f>VLOOKUP(C102,'[1]phenotypes-895'!$A$2:$G$896,7,FALSE)</f>
        <v>98</v>
      </c>
      <c r="G102">
        <v>296</v>
      </c>
    </row>
    <row r="103" spans="1:7" x14ac:dyDescent="0.2">
      <c r="A103">
        <v>102</v>
      </c>
      <c r="B103">
        <v>14</v>
      </c>
      <c r="C103" t="s">
        <v>101</v>
      </c>
      <c r="D103" s="12" t="s">
        <v>912</v>
      </c>
      <c r="E103" s="1">
        <v>-2.00743937543302</v>
      </c>
      <c r="F103">
        <f>VLOOKUP(C103,'[1]phenotypes-895'!$A$2:$G$896,7,FALSE)</f>
        <v>53</v>
      </c>
      <c r="G103">
        <v>292</v>
      </c>
    </row>
    <row r="104" spans="1:7" x14ac:dyDescent="0.2">
      <c r="A104">
        <v>103</v>
      </c>
      <c r="B104">
        <v>11</v>
      </c>
      <c r="C104" t="s">
        <v>102</v>
      </c>
      <c r="D104" s="12" t="s">
        <v>912</v>
      </c>
      <c r="E104" s="1">
        <v>-6.3938251759734301</v>
      </c>
      <c r="F104">
        <f>VLOOKUP(C104,'[1]phenotypes-895'!$A$2:$G$896,7,FALSE)</f>
        <v>58</v>
      </c>
      <c r="G104">
        <v>303</v>
      </c>
    </row>
    <row r="105" spans="1:7" x14ac:dyDescent="0.2">
      <c r="A105">
        <v>104</v>
      </c>
      <c r="B105">
        <v>7</v>
      </c>
      <c r="C105" t="s">
        <v>103</v>
      </c>
      <c r="D105" s="12" t="s">
        <v>913</v>
      </c>
      <c r="E105" s="1">
        <v>0.54390845755656803</v>
      </c>
      <c r="F105">
        <f>VLOOKUP(C105,'[1]phenotypes-895'!$A$2:$G$896,7,FALSE)</f>
        <v>56</v>
      </c>
      <c r="G105">
        <v>278</v>
      </c>
    </row>
    <row r="106" spans="1:7" x14ac:dyDescent="0.2">
      <c r="A106">
        <v>105</v>
      </c>
      <c r="B106">
        <v>19</v>
      </c>
      <c r="C106" t="s">
        <v>104</v>
      </c>
      <c r="D106" s="12" t="s">
        <v>912</v>
      </c>
      <c r="E106" s="1">
        <v>-11.1901053506227</v>
      </c>
      <c r="F106">
        <f>VLOOKUP(C106,'[1]phenotypes-895'!$A$2:$G$896,7,FALSE)</f>
        <v>56</v>
      </c>
      <c r="G106">
        <v>276</v>
      </c>
    </row>
    <row r="107" spans="1:7" x14ac:dyDescent="0.2">
      <c r="A107">
        <v>106</v>
      </c>
      <c r="B107">
        <v>9</v>
      </c>
      <c r="C107" t="s">
        <v>105</v>
      </c>
      <c r="D107" s="12" t="s">
        <v>912</v>
      </c>
      <c r="E107" s="1">
        <v>-2.05666426293228</v>
      </c>
      <c r="F107">
        <f>VLOOKUP(C107,'[1]phenotypes-895'!$A$2:$G$896,7,FALSE)</f>
        <v>79</v>
      </c>
      <c r="G107">
        <v>296</v>
      </c>
    </row>
    <row r="108" spans="1:7" x14ac:dyDescent="0.2">
      <c r="A108">
        <v>107</v>
      </c>
      <c r="B108">
        <v>17</v>
      </c>
      <c r="C108" t="s">
        <v>106</v>
      </c>
      <c r="D108" s="12" t="s">
        <v>912</v>
      </c>
      <c r="E108" s="1">
        <v>-7.4281461475909802</v>
      </c>
      <c r="F108">
        <f>VLOOKUP(C108,'[1]phenotypes-895'!$A$2:$G$896,7,FALSE)</f>
        <v>44</v>
      </c>
      <c r="G108">
        <v>276</v>
      </c>
    </row>
    <row r="109" spans="1:7" x14ac:dyDescent="0.2">
      <c r="A109">
        <v>108</v>
      </c>
      <c r="B109">
        <v>1</v>
      </c>
      <c r="C109" t="s">
        <v>107</v>
      </c>
      <c r="D109" s="12" t="s">
        <v>913</v>
      </c>
      <c r="E109" s="1">
        <v>1.29614992957348</v>
      </c>
      <c r="F109">
        <f>VLOOKUP(C109,'[1]phenotypes-895'!$A$2:$G$896,7,FALSE)</f>
        <v>98</v>
      </c>
      <c r="G109">
        <v>269</v>
      </c>
    </row>
    <row r="110" spans="1:7" x14ac:dyDescent="0.2">
      <c r="A110">
        <v>109</v>
      </c>
      <c r="B110">
        <v>16</v>
      </c>
      <c r="C110" t="s">
        <v>108</v>
      </c>
      <c r="D110" s="12" t="s">
        <v>912</v>
      </c>
      <c r="E110" s="1">
        <v>-10.0447670935527</v>
      </c>
      <c r="F110">
        <f>VLOOKUP(C110,'[1]phenotypes-895'!$A$2:$G$896,7,FALSE)</f>
        <v>73</v>
      </c>
      <c r="G110">
        <v>291</v>
      </c>
    </row>
    <row r="111" spans="1:7" x14ac:dyDescent="0.2">
      <c r="A111">
        <v>110</v>
      </c>
      <c r="B111">
        <v>1</v>
      </c>
      <c r="C111" t="s">
        <v>109</v>
      </c>
      <c r="D111" s="12" t="s">
        <v>913</v>
      </c>
      <c r="E111" s="1">
        <v>-4.3331157425559796</v>
      </c>
      <c r="F111">
        <f>VLOOKUP(C111,'[1]phenotypes-895'!$A$2:$G$896,7,FALSE)</f>
        <v>76</v>
      </c>
      <c r="G111">
        <v>269</v>
      </c>
    </row>
    <row r="112" spans="1:7" x14ac:dyDescent="0.2">
      <c r="A112">
        <v>111</v>
      </c>
      <c r="B112">
        <v>1</v>
      </c>
      <c r="C112" t="s">
        <v>110</v>
      </c>
      <c r="D112" s="12" t="s">
        <v>913</v>
      </c>
      <c r="E112" s="1">
        <v>-0.12156393404563599</v>
      </c>
      <c r="F112">
        <f>VLOOKUP(C112,'[1]phenotypes-895'!$A$2:$G$896,7,FALSE)</f>
        <v>98</v>
      </c>
      <c r="G112">
        <v>269</v>
      </c>
    </row>
    <row r="113" spans="1:7" x14ac:dyDescent="0.2">
      <c r="A113">
        <v>112</v>
      </c>
      <c r="B113">
        <v>19</v>
      </c>
      <c r="C113" t="s">
        <v>111</v>
      </c>
      <c r="D113" s="12" t="s">
        <v>912</v>
      </c>
      <c r="E113" s="1">
        <v>-9.7393119599659901</v>
      </c>
      <c r="F113">
        <f>VLOOKUP(C113,'[1]phenotypes-895'!$A$2:$G$896,7,FALSE)</f>
        <v>61</v>
      </c>
      <c r="G113">
        <v>276</v>
      </c>
    </row>
    <row r="114" spans="1:7" x14ac:dyDescent="0.2">
      <c r="A114">
        <v>113</v>
      </c>
      <c r="B114">
        <v>4</v>
      </c>
      <c r="C114" t="s">
        <v>112</v>
      </c>
      <c r="D114" s="12" t="s">
        <v>913</v>
      </c>
      <c r="E114" s="1">
        <v>-1.3753334339427301</v>
      </c>
      <c r="F114">
        <f>VLOOKUP(C114,'[1]phenotypes-895'!$A$2:$G$896,7,FALSE)</f>
        <v>98</v>
      </c>
      <c r="G114">
        <v>271</v>
      </c>
    </row>
    <row r="115" spans="1:7" x14ac:dyDescent="0.2">
      <c r="A115">
        <v>114</v>
      </c>
      <c r="B115">
        <v>5</v>
      </c>
      <c r="C115" t="s">
        <v>113</v>
      </c>
      <c r="D115" s="12" t="s">
        <v>913</v>
      </c>
      <c r="E115" s="1">
        <v>-12.880627949125801</v>
      </c>
      <c r="F115">
        <f>VLOOKUP(C115,'[1]phenotypes-895'!$A$2:$G$896,7,FALSE)</f>
        <v>56</v>
      </c>
      <c r="G115">
        <v>275</v>
      </c>
    </row>
    <row r="116" spans="1:7" x14ac:dyDescent="0.2">
      <c r="A116">
        <v>115</v>
      </c>
      <c r="B116">
        <v>1</v>
      </c>
      <c r="C116" t="s">
        <v>114</v>
      </c>
      <c r="D116" s="12" t="s">
        <v>913</v>
      </c>
      <c r="E116" s="1">
        <v>-4.8379113913415104</v>
      </c>
      <c r="F116">
        <f>VLOOKUP(C116,'[1]phenotypes-895'!$A$2:$G$896,7,FALSE)</f>
        <v>98</v>
      </c>
      <c r="G116">
        <v>269</v>
      </c>
    </row>
    <row r="117" spans="1:7" x14ac:dyDescent="0.2">
      <c r="A117">
        <v>116</v>
      </c>
      <c r="B117">
        <v>8</v>
      </c>
      <c r="C117" t="s">
        <v>115</v>
      </c>
      <c r="D117" s="12" t="s">
        <v>913</v>
      </c>
      <c r="E117" s="1">
        <v>3.5350613811559799</v>
      </c>
      <c r="F117">
        <f>VLOOKUP(C117,'[1]phenotypes-895'!$A$2:$G$896,7,FALSE)</f>
        <v>98</v>
      </c>
      <c r="G117">
        <v>271</v>
      </c>
    </row>
    <row r="118" spans="1:7" x14ac:dyDescent="0.2">
      <c r="A118">
        <v>117</v>
      </c>
      <c r="B118">
        <v>36</v>
      </c>
      <c r="C118" t="s">
        <v>116</v>
      </c>
      <c r="D118" s="13" t="s">
        <v>913</v>
      </c>
      <c r="E118" s="1">
        <v>5.4849175042705403</v>
      </c>
      <c r="F118">
        <f>VLOOKUP(C118,'[1]phenotypes-895'!$A$2:$G$896,7,FALSE)</f>
        <v>70</v>
      </c>
      <c r="G118">
        <v>192</v>
      </c>
    </row>
    <row r="119" spans="1:7" x14ac:dyDescent="0.2">
      <c r="A119">
        <v>118</v>
      </c>
      <c r="B119">
        <v>12</v>
      </c>
      <c r="C119" t="s">
        <v>117</v>
      </c>
      <c r="D119" s="12" t="s">
        <v>912</v>
      </c>
      <c r="E119" s="1">
        <v>3.64284665094904</v>
      </c>
      <c r="F119">
        <f>VLOOKUP(C119,'[1]phenotypes-895'!$A$2:$G$896,7,FALSE)</f>
        <v>98</v>
      </c>
      <c r="G119">
        <v>296</v>
      </c>
    </row>
    <row r="120" spans="1:7" x14ac:dyDescent="0.2">
      <c r="A120">
        <v>119</v>
      </c>
      <c r="B120">
        <v>52</v>
      </c>
      <c r="C120" t="s">
        <v>118</v>
      </c>
      <c r="D120" s="13" t="s">
        <v>912</v>
      </c>
      <c r="E120" s="1">
        <v>2.8783807238519099</v>
      </c>
      <c r="F120">
        <f>VLOOKUP(C120,'[1]phenotypes-895'!$A$2:$G$896,7,FALSE)</f>
        <v>98</v>
      </c>
      <c r="G120">
        <v>164</v>
      </c>
    </row>
    <row r="121" spans="1:7" x14ac:dyDescent="0.2">
      <c r="A121">
        <v>120</v>
      </c>
      <c r="B121">
        <v>12</v>
      </c>
      <c r="C121" t="s">
        <v>119</v>
      </c>
      <c r="D121" s="12" t="s">
        <v>912</v>
      </c>
      <c r="E121" s="1">
        <v>-0.62462885735954199</v>
      </c>
      <c r="F121">
        <f>VLOOKUP(C121,'[1]phenotypes-895'!$A$2:$G$896,7,FALSE)</f>
        <v>78</v>
      </c>
      <c r="G121">
        <v>296</v>
      </c>
    </row>
    <row r="122" spans="1:7" x14ac:dyDescent="0.2">
      <c r="A122">
        <v>121</v>
      </c>
      <c r="B122">
        <v>37</v>
      </c>
      <c r="C122" t="s">
        <v>120</v>
      </c>
      <c r="D122" s="13" t="s">
        <v>913</v>
      </c>
      <c r="E122" s="1">
        <v>7.9369044420002801</v>
      </c>
      <c r="F122">
        <f>VLOOKUP(C122,'[1]phenotypes-895'!$A$2:$G$896,7,FALSE)</f>
        <v>98</v>
      </c>
      <c r="G122">
        <v>200</v>
      </c>
    </row>
    <row r="123" spans="1:7" x14ac:dyDescent="0.2">
      <c r="A123">
        <v>122</v>
      </c>
      <c r="B123">
        <v>12</v>
      </c>
      <c r="C123" t="s">
        <v>121</v>
      </c>
      <c r="D123" s="12" t="s">
        <v>912</v>
      </c>
      <c r="E123" s="1">
        <v>-3.4982518575512902</v>
      </c>
      <c r="F123">
        <f>VLOOKUP(C123,'[1]phenotypes-895'!$A$2:$G$896,7,FALSE)</f>
        <v>58</v>
      </c>
      <c r="G123">
        <v>296</v>
      </c>
    </row>
    <row r="124" spans="1:7" x14ac:dyDescent="0.2">
      <c r="A124">
        <v>123</v>
      </c>
      <c r="B124">
        <v>32</v>
      </c>
      <c r="C124" t="s">
        <v>122</v>
      </c>
      <c r="D124" s="13" t="s">
        <v>913</v>
      </c>
      <c r="E124" s="1">
        <v>0.143700117082316</v>
      </c>
      <c r="F124">
        <f>VLOOKUP(C124,'[1]phenotypes-895'!$A$2:$G$896,7,FALSE)</f>
        <v>56</v>
      </c>
      <c r="G124">
        <v>199</v>
      </c>
    </row>
    <row r="125" spans="1:7" x14ac:dyDescent="0.2">
      <c r="A125">
        <v>124</v>
      </c>
      <c r="B125">
        <v>16</v>
      </c>
      <c r="C125" t="s">
        <v>123</v>
      </c>
      <c r="D125" s="12" t="s">
        <v>912</v>
      </c>
      <c r="E125" s="1">
        <v>-11.032130779917001</v>
      </c>
      <c r="F125">
        <f>VLOOKUP(C125,'[1]phenotypes-895'!$A$2:$G$896,7,FALSE)</f>
        <v>53</v>
      </c>
      <c r="G125">
        <v>291</v>
      </c>
    </row>
    <row r="126" spans="1:7" x14ac:dyDescent="0.2">
      <c r="A126">
        <v>125</v>
      </c>
      <c r="B126">
        <v>29</v>
      </c>
      <c r="C126" t="s">
        <v>124</v>
      </c>
      <c r="D126" s="13" t="s">
        <v>913</v>
      </c>
      <c r="E126" s="1">
        <v>-4.30980803747675</v>
      </c>
      <c r="F126">
        <f>VLOOKUP(C126,'[1]phenotypes-895'!$A$2:$G$896,7,FALSE)</f>
        <v>66</v>
      </c>
      <c r="G126">
        <v>202</v>
      </c>
    </row>
    <row r="127" spans="1:7" x14ac:dyDescent="0.2">
      <c r="A127">
        <v>126</v>
      </c>
      <c r="B127">
        <v>13</v>
      </c>
      <c r="C127" t="s">
        <v>125</v>
      </c>
      <c r="D127" s="12" t="s">
        <v>912</v>
      </c>
      <c r="E127" s="1">
        <v>-5.9250859155483298</v>
      </c>
      <c r="F127">
        <f>VLOOKUP(C127,'[1]phenotypes-895'!$A$2:$G$896,7,FALSE)</f>
        <v>51</v>
      </c>
      <c r="G127">
        <v>289</v>
      </c>
    </row>
    <row r="128" spans="1:7" x14ac:dyDescent="0.2">
      <c r="A128">
        <v>127</v>
      </c>
      <c r="B128">
        <v>49</v>
      </c>
      <c r="C128" t="s">
        <v>126</v>
      </c>
      <c r="D128" s="13" t="s">
        <v>912</v>
      </c>
      <c r="E128" s="1">
        <v>-0.68441843314509199</v>
      </c>
      <c r="F128">
        <f>VLOOKUP(C128,'[1]phenotypes-895'!$A$2:$G$896,7,FALSE)</f>
        <v>59</v>
      </c>
      <c r="G128">
        <v>175</v>
      </c>
    </row>
    <row r="129" spans="1:7" x14ac:dyDescent="0.2">
      <c r="A129">
        <v>128</v>
      </c>
      <c r="B129">
        <v>50</v>
      </c>
      <c r="C129" t="s">
        <v>127</v>
      </c>
      <c r="D129" s="13" t="s">
        <v>912</v>
      </c>
      <c r="E129" s="1">
        <v>4.6171986609358404</v>
      </c>
      <c r="F129">
        <f>VLOOKUP(C129,'[1]phenotypes-895'!$A$2:$G$896,7,FALSE)</f>
        <v>98</v>
      </c>
      <c r="G129">
        <v>172</v>
      </c>
    </row>
    <row r="130" spans="1:7" x14ac:dyDescent="0.2">
      <c r="A130">
        <v>129</v>
      </c>
      <c r="B130">
        <v>16</v>
      </c>
      <c r="C130" t="s">
        <v>128</v>
      </c>
      <c r="D130" s="12" t="s">
        <v>912</v>
      </c>
      <c r="E130" s="1">
        <v>-7.6744201070561697</v>
      </c>
      <c r="F130">
        <f>VLOOKUP(C130,'[1]phenotypes-895'!$A$2:$G$896,7,FALSE)</f>
        <v>98</v>
      </c>
      <c r="G130">
        <v>291</v>
      </c>
    </row>
    <row r="131" spans="1:7" x14ac:dyDescent="0.2">
      <c r="A131">
        <v>130</v>
      </c>
      <c r="B131">
        <v>43</v>
      </c>
      <c r="C131" t="s">
        <v>129</v>
      </c>
      <c r="D131" s="13" t="s">
        <v>912</v>
      </c>
      <c r="E131" s="1">
        <v>-0.15770374216885</v>
      </c>
      <c r="F131">
        <f>VLOOKUP(C131,'[1]phenotypes-895'!$A$2:$G$896,7,FALSE)</f>
        <v>62</v>
      </c>
      <c r="G131">
        <v>175</v>
      </c>
    </row>
    <row r="132" spans="1:7" x14ac:dyDescent="0.2">
      <c r="A132">
        <v>131</v>
      </c>
      <c r="B132">
        <v>11</v>
      </c>
      <c r="C132" t="s">
        <v>130</v>
      </c>
      <c r="D132" s="12" t="s">
        <v>912</v>
      </c>
      <c r="E132" s="1">
        <v>-7.2334927963014897</v>
      </c>
      <c r="F132">
        <f>VLOOKUP(C132,'[1]phenotypes-895'!$A$2:$G$896,7,FALSE)</f>
        <v>64</v>
      </c>
      <c r="G132">
        <v>303</v>
      </c>
    </row>
    <row r="133" spans="1:7" x14ac:dyDescent="0.2">
      <c r="A133">
        <v>132</v>
      </c>
      <c r="B133">
        <v>34</v>
      </c>
      <c r="C133" t="s">
        <v>131</v>
      </c>
      <c r="D133" s="13" t="s">
        <v>913</v>
      </c>
      <c r="E133" s="1">
        <v>-2.8063480346948899</v>
      </c>
      <c r="F133">
        <f>VLOOKUP(C133,'[1]phenotypes-895'!$A$2:$G$896,7,FALSE)</f>
        <v>70</v>
      </c>
      <c r="G133">
        <v>189</v>
      </c>
    </row>
    <row r="134" spans="1:7" x14ac:dyDescent="0.2">
      <c r="A134">
        <v>133</v>
      </c>
      <c r="B134">
        <v>10</v>
      </c>
      <c r="C134" t="s">
        <v>132</v>
      </c>
      <c r="D134" s="12" t="s">
        <v>912</v>
      </c>
      <c r="E134" s="1">
        <v>-3.4637318011414102</v>
      </c>
      <c r="F134">
        <f>VLOOKUP(C134,'[1]phenotypes-895'!$A$2:$G$896,7,FALSE)</f>
        <v>71</v>
      </c>
      <c r="G134">
        <v>292</v>
      </c>
    </row>
    <row r="135" spans="1:7" x14ac:dyDescent="0.2">
      <c r="A135">
        <v>134</v>
      </c>
      <c r="B135">
        <v>28</v>
      </c>
      <c r="C135" t="s">
        <v>133</v>
      </c>
      <c r="D135" s="13" t="s">
        <v>913</v>
      </c>
      <c r="E135" s="1">
        <v>3.3368158844753699</v>
      </c>
      <c r="F135">
        <f>VLOOKUP(C135,'[1]phenotypes-895'!$A$2:$G$896,7,FALSE)</f>
        <v>98</v>
      </c>
      <c r="G135">
        <v>242</v>
      </c>
    </row>
    <row r="136" spans="1:7" x14ac:dyDescent="0.2">
      <c r="A136">
        <v>135</v>
      </c>
      <c r="B136">
        <v>16</v>
      </c>
      <c r="C136" t="s">
        <v>134</v>
      </c>
      <c r="D136" s="12" t="s">
        <v>912</v>
      </c>
      <c r="E136" s="1">
        <v>-9.8777346975271403</v>
      </c>
      <c r="F136">
        <f>VLOOKUP(C136,'[1]phenotypes-895'!$A$2:$G$896,7,FALSE)</f>
        <v>46</v>
      </c>
      <c r="G136">
        <v>291</v>
      </c>
    </row>
    <row r="137" spans="1:7" x14ac:dyDescent="0.2">
      <c r="A137">
        <v>136</v>
      </c>
      <c r="B137">
        <v>3</v>
      </c>
      <c r="C137" t="s">
        <v>135</v>
      </c>
      <c r="D137" s="12" t="s">
        <v>913</v>
      </c>
      <c r="E137" s="1">
        <v>-3.04839773471355</v>
      </c>
      <c r="F137">
        <f>VLOOKUP(C137,'[1]phenotypes-895'!$A$2:$G$896,7,FALSE)</f>
        <v>98</v>
      </c>
      <c r="G137">
        <v>284</v>
      </c>
    </row>
    <row r="138" spans="1:7" x14ac:dyDescent="0.2">
      <c r="A138">
        <v>137</v>
      </c>
      <c r="B138">
        <v>13</v>
      </c>
      <c r="C138" t="s">
        <v>136</v>
      </c>
      <c r="D138" s="12" t="s">
        <v>912</v>
      </c>
      <c r="E138" s="1">
        <v>-2.88022898351648</v>
      </c>
      <c r="F138">
        <f>VLOOKUP(C138,'[1]phenotypes-895'!$A$2:$G$896,7,FALSE)</f>
        <v>60</v>
      </c>
      <c r="G138">
        <v>289</v>
      </c>
    </row>
    <row r="139" spans="1:7" x14ac:dyDescent="0.2">
      <c r="A139">
        <v>138</v>
      </c>
      <c r="B139">
        <v>4</v>
      </c>
      <c r="C139" t="s">
        <v>137</v>
      </c>
      <c r="D139" s="12" t="s">
        <v>913</v>
      </c>
      <c r="E139" s="1">
        <v>-3.59474083047912</v>
      </c>
      <c r="F139">
        <f>VLOOKUP(C139,'[1]phenotypes-895'!$A$2:$G$896,7,FALSE)</f>
        <v>56</v>
      </c>
      <c r="G139">
        <v>271</v>
      </c>
    </row>
    <row r="140" spans="1:7" x14ac:dyDescent="0.2">
      <c r="A140">
        <v>139</v>
      </c>
      <c r="B140">
        <v>2</v>
      </c>
      <c r="C140" t="s">
        <v>138</v>
      </c>
      <c r="D140" s="12" t="s">
        <v>913</v>
      </c>
      <c r="E140" s="1">
        <v>7.5148511683546699</v>
      </c>
      <c r="F140">
        <f>VLOOKUP(C140,'[1]phenotypes-895'!$A$2:$G$896,7,FALSE)</f>
        <v>98</v>
      </c>
      <c r="G140">
        <v>271</v>
      </c>
    </row>
    <row r="141" spans="1:7" x14ac:dyDescent="0.2">
      <c r="A141">
        <v>140</v>
      </c>
      <c r="B141">
        <v>16</v>
      </c>
      <c r="C141" t="s">
        <v>139</v>
      </c>
      <c r="D141" s="12" t="s">
        <v>912</v>
      </c>
      <c r="E141" s="1">
        <v>-2.87792182618937</v>
      </c>
      <c r="F141">
        <f>VLOOKUP(C141,'[1]phenotypes-895'!$A$2:$G$896,7,FALSE)</f>
        <v>49</v>
      </c>
      <c r="G141">
        <v>291</v>
      </c>
    </row>
    <row r="142" spans="1:7" x14ac:dyDescent="0.2">
      <c r="A142">
        <v>141</v>
      </c>
      <c r="B142">
        <v>5</v>
      </c>
      <c r="C142" t="s">
        <v>140</v>
      </c>
      <c r="D142" s="12" t="s">
        <v>913</v>
      </c>
      <c r="E142" s="1">
        <v>-10.364855629618001</v>
      </c>
      <c r="F142">
        <f>VLOOKUP(C142,'[1]phenotypes-895'!$A$2:$G$896,7,FALSE)</f>
        <v>51</v>
      </c>
      <c r="G142">
        <v>275</v>
      </c>
    </row>
    <row r="143" spans="1:7" x14ac:dyDescent="0.2">
      <c r="A143">
        <v>142</v>
      </c>
      <c r="B143">
        <v>8</v>
      </c>
      <c r="C143" t="s">
        <v>141</v>
      </c>
      <c r="D143" s="12" t="s">
        <v>913</v>
      </c>
      <c r="E143" s="1">
        <v>3.5118596114352898</v>
      </c>
      <c r="F143">
        <f>VLOOKUP(C143,'[1]phenotypes-895'!$A$2:$G$896,7,FALSE)</f>
        <v>98</v>
      </c>
      <c r="G143">
        <v>271</v>
      </c>
    </row>
    <row r="144" spans="1:7" x14ac:dyDescent="0.2">
      <c r="A144">
        <v>143</v>
      </c>
      <c r="B144">
        <v>14</v>
      </c>
      <c r="C144" t="s">
        <v>142</v>
      </c>
      <c r="D144" s="12" t="s">
        <v>912</v>
      </c>
      <c r="E144" s="1">
        <v>-7.2774475088331503</v>
      </c>
      <c r="F144">
        <f>VLOOKUP(C144,'[1]phenotypes-895'!$A$2:$G$896,7,FALSE)</f>
        <v>56</v>
      </c>
      <c r="G144">
        <v>292</v>
      </c>
    </row>
    <row r="145" spans="1:7" x14ac:dyDescent="0.2">
      <c r="A145">
        <v>144</v>
      </c>
      <c r="B145">
        <v>9</v>
      </c>
      <c r="C145" t="s">
        <v>143</v>
      </c>
      <c r="D145" s="12" t="s">
        <v>912</v>
      </c>
      <c r="E145" s="1">
        <v>-3.5872803465293002</v>
      </c>
      <c r="F145">
        <f>VLOOKUP(C145,'[1]phenotypes-895'!$A$2:$G$896,7,FALSE)</f>
        <v>49</v>
      </c>
      <c r="G145">
        <v>296</v>
      </c>
    </row>
    <row r="146" spans="1:7" x14ac:dyDescent="0.2">
      <c r="A146">
        <v>145</v>
      </c>
      <c r="B146">
        <v>15</v>
      </c>
      <c r="C146" t="s">
        <v>144</v>
      </c>
      <c r="D146" s="12" t="s">
        <v>912</v>
      </c>
      <c r="E146" s="1">
        <v>-11.959428113945</v>
      </c>
      <c r="F146">
        <f>VLOOKUP(C146,'[1]phenotypes-895'!$A$2:$G$896,7,FALSE)</f>
        <v>61</v>
      </c>
      <c r="G146">
        <v>299</v>
      </c>
    </row>
    <row r="147" spans="1:7" x14ac:dyDescent="0.2">
      <c r="A147">
        <v>146</v>
      </c>
      <c r="B147">
        <v>9</v>
      </c>
      <c r="C147" t="s">
        <v>145</v>
      </c>
      <c r="D147" s="12" t="s">
        <v>912</v>
      </c>
      <c r="E147" s="1">
        <v>-2.4046755963986501</v>
      </c>
      <c r="F147">
        <f>VLOOKUP(C147,'[1]phenotypes-895'!$A$2:$G$896,7,FALSE)</f>
        <v>54</v>
      </c>
      <c r="G147">
        <v>296</v>
      </c>
    </row>
    <row r="148" spans="1:7" x14ac:dyDescent="0.2">
      <c r="A148">
        <v>147</v>
      </c>
      <c r="B148">
        <v>10</v>
      </c>
      <c r="C148" t="s">
        <v>146</v>
      </c>
      <c r="D148" s="12" t="s">
        <v>912</v>
      </c>
      <c r="E148" s="1">
        <v>-4.4732814610616298</v>
      </c>
      <c r="F148">
        <f>VLOOKUP(C148,'[1]phenotypes-895'!$A$2:$G$896,7,FALSE)</f>
        <v>61</v>
      </c>
      <c r="G148">
        <v>292</v>
      </c>
    </row>
    <row r="149" spans="1:7" x14ac:dyDescent="0.2">
      <c r="A149">
        <v>148</v>
      </c>
      <c r="B149">
        <v>4</v>
      </c>
      <c r="C149" t="s">
        <v>147</v>
      </c>
      <c r="D149" s="12" t="s">
        <v>913</v>
      </c>
      <c r="E149" s="1">
        <v>-2.1796010435040101</v>
      </c>
      <c r="F149">
        <f>VLOOKUP(C149,'[1]phenotypes-895'!$A$2:$G$896,7,FALSE)</f>
        <v>98</v>
      </c>
      <c r="G149">
        <v>271</v>
      </c>
    </row>
    <row r="150" spans="1:7" x14ac:dyDescent="0.2">
      <c r="A150">
        <v>149</v>
      </c>
      <c r="B150">
        <v>9</v>
      </c>
      <c r="C150" t="s">
        <v>148</v>
      </c>
      <c r="D150" s="12" t="s">
        <v>912</v>
      </c>
      <c r="E150" s="1">
        <v>-4.2624175858320896</v>
      </c>
      <c r="F150">
        <f>VLOOKUP(C150,'[1]phenotypes-895'!$A$2:$G$896,7,FALSE)</f>
        <v>62</v>
      </c>
      <c r="G150">
        <v>296</v>
      </c>
    </row>
    <row r="151" spans="1:7" x14ac:dyDescent="0.2">
      <c r="A151">
        <v>150</v>
      </c>
      <c r="B151">
        <v>15</v>
      </c>
      <c r="C151" t="s">
        <v>149</v>
      </c>
      <c r="D151" s="12" t="s">
        <v>912</v>
      </c>
      <c r="E151" s="1">
        <v>-9.1120235342014606</v>
      </c>
      <c r="F151">
        <f>VLOOKUP(C151,'[1]phenotypes-895'!$A$2:$G$896,7,FALSE)</f>
        <v>56</v>
      </c>
      <c r="G151">
        <v>299</v>
      </c>
    </row>
    <row r="152" spans="1:7" x14ac:dyDescent="0.2">
      <c r="A152">
        <v>151</v>
      </c>
      <c r="B152">
        <v>12</v>
      </c>
      <c r="C152" t="s">
        <v>150</v>
      </c>
      <c r="D152" s="12" t="s">
        <v>912</v>
      </c>
      <c r="E152" s="1">
        <v>3.6713012739709501</v>
      </c>
      <c r="F152">
        <f>VLOOKUP(C152,'[1]phenotypes-895'!$A$2:$G$896,7,FALSE)</f>
        <v>98</v>
      </c>
      <c r="G152">
        <v>296</v>
      </c>
    </row>
    <row r="153" spans="1:7" x14ac:dyDescent="0.2">
      <c r="A153">
        <v>152</v>
      </c>
      <c r="B153">
        <v>5</v>
      </c>
      <c r="C153" t="s">
        <v>151</v>
      </c>
      <c r="D153" s="12" t="s">
        <v>913</v>
      </c>
      <c r="E153" s="1">
        <v>-9.7047726355697197</v>
      </c>
      <c r="F153">
        <f>VLOOKUP(C153,'[1]phenotypes-895'!$A$2:$G$896,7,FALSE)</f>
        <v>72</v>
      </c>
      <c r="G153">
        <v>275</v>
      </c>
    </row>
    <row r="154" spans="1:7" x14ac:dyDescent="0.2">
      <c r="A154">
        <v>153</v>
      </c>
      <c r="B154">
        <v>15</v>
      </c>
      <c r="C154" t="s">
        <v>152</v>
      </c>
      <c r="D154" s="12" t="s">
        <v>912</v>
      </c>
      <c r="E154" s="1">
        <v>-5.6823414072163398</v>
      </c>
      <c r="F154">
        <f>VLOOKUP(C154,'[1]phenotypes-895'!$A$2:$G$896,7,FALSE)</f>
        <v>98</v>
      </c>
      <c r="G154">
        <v>299</v>
      </c>
    </row>
    <row r="155" spans="1:7" x14ac:dyDescent="0.2">
      <c r="A155">
        <v>154</v>
      </c>
      <c r="B155">
        <v>1</v>
      </c>
      <c r="C155" t="s">
        <v>153</v>
      </c>
      <c r="D155" s="12" t="s">
        <v>913</v>
      </c>
      <c r="E155" s="1">
        <v>-6.8829021532618899</v>
      </c>
      <c r="F155">
        <f>VLOOKUP(C155,'[1]phenotypes-895'!$A$2:$G$896,7,FALSE)</f>
        <v>57</v>
      </c>
      <c r="G155">
        <v>269</v>
      </c>
    </row>
    <row r="156" spans="1:7" x14ac:dyDescent="0.2">
      <c r="A156">
        <v>155</v>
      </c>
      <c r="B156">
        <v>5</v>
      </c>
      <c r="C156" t="s">
        <v>154</v>
      </c>
      <c r="D156" s="12" t="s">
        <v>913</v>
      </c>
      <c r="E156" s="1">
        <v>-10.2896113768553</v>
      </c>
      <c r="F156">
        <f>VLOOKUP(C156,'[1]phenotypes-895'!$A$2:$G$896,7,FALSE)</f>
        <v>56</v>
      </c>
      <c r="G156">
        <v>275</v>
      </c>
    </row>
    <row r="157" spans="1:7" x14ac:dyDescent="0.2">
      <c r="A157">
        <v>156</v>
      </c>
      <c r="B157">
        <v>6</v>
      </c>
      <c r="C157" t="s">
        <v>155</v>
      </c>
      <c r="D157" s="12" t="s">
        <v>913</v>
      </c>
      <c r="E157" s="1">
        <v>-1.9302367347520799</v>
      </c>
      <c r="F157">
        <f>VLOOKUP(C157,'[1]phenotypes-895'!$A$2:$G$896,7,FALSE)</f>
        <v>75</v>
      </c>
      <c r="G157">
        <v>278</v>
      </c>
    </row>
    <row r="158" spans="1:7" x14ac:dyDescent="0.2">
      <c r="A158">
        <v>157</v>
      </c>
      <c r="B158">
        <v>10</v>
      </c>
      <c r="C158" t="s">
        <v>156</v>
      </c>
      <c r="D158" s="12" t="s">
        <v>912</v>
      </c>
      <c r="E158" s="1">
        <v>-1.124100814602</v>
      </c>
      <c r="F158">
        <f>VLOOKUP(C158,'[1]phenotypes-895'!$A$2:$G$896,7,FALSE)</f>
        <v>98</v>
      </c>
      <c r="G158">
        <v>292</v>
      </c>
    </row>
    <row r="159" spans="1:7" x14ac:dyDescent="0.2">
      <c r="A159">
        <v>158</v>
      </c>
      <c r="B159">
        <v>6</v>
      </c>
      <c r="C159" t="s">
        <v>157</v>
      </c>
      <c r="D159" s="12" t="s">
        <v>913</v>
      </c>
      <c r="E159" s="1">
        <v>-3.5551114123992198</v>
      </c>
      <c r="F159">
        <f>VLOOKUP(C159,'[1]phenotypes-895'!$A$2:$G$896,7,FALSE)</f>
        <v>53</v>
      </c>
      <c r="G159">
        <v>278</v>
      </c>
    </row>
    <row r="160" spans="1:7" x14ac:dyDescent="0.2">
      <c r="A160">
        <v>159</v>
      </c>
      <c r="B160">
        <v>12</v>
      </c>
      <c r="C160" t="s">
        <v>158</v>
      </c>
      <c r="D160" s="12" t="s">
        <v>912</v>
      </c>
      <c r="E160" s="1">
        <v>0.165606163646003</v>
      </c>
      <c r="F160">
        <f>VLOOKUP(C160,'[1]phenotypes-895'!$A$2:$G$896,7,FALSE)</f>
        <v>62</v>
      </c>
      <c r="G160">
        <v>296</v>
      </c>
    </row>
    <row r="161" spans="1:7" x14ac:dyDescent="0.2">
      <c r="A161">
        <v>160</v>
      </c>
      <c r="B161">
        <v>1</v>
      </c>
      <c r="C161" t="s">
        <v>159</v>
      </c>
      <c r="D161" s="12" t="s">
        <v>913</v>
      </c>
      <c r="E161" s="1">
        <v>-1.5931183061290499</v>
      </c>
      <c r="F161">
        <f>VLOOKUP(C161,'[1]phenotypes-895'!$A$2:$G$896,7,FALSE)</f>
        <v>98</v>
      </c>
      <c r="G161">
        <v>269</v>
      </c>
    </row>
    <row r="162" spans="1:7" x14ac:dyDescent="0.2">
      <c r="A162">
        <v>161</v>
      </c>
      <c r="B162">
        <v>27</v>
      </c>
      <c r="C162" t="s">
        <v>160</v>
      </c>
      <c r="D162" s="13" t="s">
        <v>913</v>
      </c>
      <c r="E162" s="1">
        <v>5.8434013550124497</v>
      </c>
      <c r="F162">
        <f>VLOOKUP(C162,'[1]phenotypes-895'!$A$2:$G$896,7,FALSE)</f>
        <v>70</v>
      </c>
      <c r="G162">
        <v>208</v>
      </c>
    </row>
    <row r="163" spans="1:7" x14ac:dyDescent="0.2">
      <c r="A163">
        <v>162</v>
      </c>
      <c r="B163">
        <v>3</v>
      </c>
      <c r="C163" t="s">
        <v>161</v>
      </c>
      <c r="D163" s="12" t="s">
        <v>913</v>
      </c>
      <c r="E163" s="1">
        <v>-5.0101168616556198</v>
      </c>
      <c r="F163">
        <f>VLOOKUP(C163,'[1]phenotypes-895'!$A$2:$G$896,7,FALSE)</f>
        <v>76</v>
      </c>
      <c r="G163">
        <v>284</v>
      </c>
    </row>
    <row r="164" spans="1:7" x14ac:dyDescent="0.2">
      <c r="A164">
        <v>163</v>
      </c>
      <c r="B164">
        <v>50</v>
      </c>
      <c r="C164" t="s">
        <v>162</v>
      </c>
      <c r="D164" s="13" t="s">
        <v>912</v>
      </c>
      <c r="E164" s="1">
        <v>0.137888065673996</v>
      </c>
      <c r="F164">
        <f>VLOOKUP(C164,'[1]phenotypes-895'!$A$2:$G$896,7,FALSE)</f>
        <v>60</v>
      </c>
      <c r="G164">
        <v>172</v>
      </c>
    </row>
    <row r="165" spans="1:7" x14ac:dyDescent="0.2">
      <c r="A165">
        <v>164</v>
      </c>
      <c r="B165">
        <v>6</v>
      </c>
      <c r="C165" t="s">
        <v>163</v>
      </c>
      <c r="D165" s="12" t="s">
        <v>913</v>
      </c>
      <c r="E165" s="1">
        <v>-2.7768677916866902</v>
      </c>
      <c r="F165">
        <f>VLOOKUP(C165,'[1]phenotypes-895'!$A$2:$G$896,7,FALSE)</f>
        <v>58</v>
      </c>
      <c r="G165">
        <v>278</v>
      </c>
    </row>
    <row r="166" spans="1:7" x14ac:dyDescent="0.2">
      <c r="A166">
        <v>165</v>
      </c>
      <c r="B166">
        <v>50</v>
      </c>
      <c r="C166" t="s">
        <v>164</v>
      </c>
      <c r="D166" s="13" t="s">
        <v>912</v>
      </c>
      <c r="E166" s="1">
        <v>3.7918752451814202</v>
      </c>
      <c r="F166">
        <f>VLOOKUP(C166,'[1]phenotypes-895'!$A$2:$G$896,7,FALSE)</f>
        <v>98</v>
      </c>
      <c r="G166">
        <v>172</v>
      </c>
    </row>
    <row r="167" spans="1:7" x14ac:dyDescent="0.2">
      <c r="A167">
        <v>166</v>
      </c>
      <c r="B167">
        <v>6</v>
      </c>
      <c r="C167" t="s">
        <v>165</v>
      </c>
      <c r="D167" s="12" t="s">
        <v>913</v>
      </c>
      <c r="E167" s="1">
        <v>-8.4392837984636801E-2</v>
      </c>
      <c r="F167">
        <f>VLOOKUP(C167,'[1]phenotypes-895'!$A$2:$G$896,7,FALSE)</f>
        <v>57</v>
      </c>
      <c r="G167">
        <v>278</v>
      </c>
    </row>
    <row r="168" spans="1:7" x14ac:dyDescent="0.2">
      <c r="A168">
        <v>167</v>
      </c>
      <c r="B168">
        <v>38</v>
      </c>
      <c r="C168" t="s">
        <v>166</v>
      </c>
      <c r="D168" s="13" t="s">
        <v>913</v>
      </c>
      <c r="E168" s="1">
        <v>1.1340533770133301</v>
      </c>
      <c r="F168">
        <f>VLOOKUP(C168,'[1]phenotypes-895'!$A$2:$G$896,7,FALSE)</f>
        <v>86</v>
      </c>
      <c r="G168">
        <v>200</v>
      </c>
    </row>
    <row r="169" spans="1:7" x14ac:dyDescent="0.2">
      <c r="A169">
        <v>168</v>
      </c>
      <c r="B169">
        <v>12</v>
      </c>
      <c r="C169" t="s">
        <v>167</v>
      </c>
      <c r="D169" s="12" t="s">
        <v>912</v>
      </c>
      <c r="E169" s="1">
        <v>-0.18275532468123601</v>
      </c>
      <c r="F169">
        <f>VLOOKUP(C169,'[1]phenotypes-895'!$A$2:$G$896,7,FALSE)</f>
        <v>51</v>
      </c>
      <c r="G169">
        <v>296</v>
      </c>
    </row>
    <row r="170" spans="1:7" x14ac:dyDescent="0.2">
      <c r="A170">
        <v>169</v>
      </c>
      <c r="B170">
        <v>24</v>
      </c>
      <c r="C170" t="s">
        <v>168</v>
      </c>
      <c r="D170" s="13" t="s">
        <v>913</v>
      </c>
      <c r="E170" s="1">
        <v>-4.6325059984937296</v>
      </c>
      <c r="F170">
        <f>VLOOKUP(C170,'[1]phenotypes-895'!$A$2:$G$896,7,FALSE)</f>
        <v>63</v>
      </c>
      <c r="G170">
        <v>239</v>
      </c>
    </row>
    <row r="171" spans="1:7" x14ac:dyDescent="0.2">
      <c r="A171">
        <v>170</v>
      </c>
      <c r="B171">
        <v>8</v>
      </c>
      <c r="C171" t="s">
        <v>169</v>
      </c>
      <c r="D171" s="12" t="s">
        <v>913</v>
      </c>
      <c r="E171" s="1">
        <v>3.8267863785895302</v>
      </c>
      <c r="F171">
        <f>VLOOKUP(C171,'[1]phenotypes-895'!$A$2:$G$896,7,FALSE)</f>
        <v>98</v>
      </c>
      <c r="G171">
        <v>271</v>
      </c>
    </row>
    <row r="172" spans="1:7" x14ac:dyDescent="0.2">
      <c r="A172">
        <v>171</v>
      </c>
      <c r="B172">
        <v>53</v>
      </c>
      <c r="C172" t="s">
        <v>170</v>
      </c>
      <c r="D172" s="13" t="s">
        <v>912</v>
      </c>
      <c r="E172" s="1">
        <v>2.9624984989956</v>
      </c>
      <c r="F172">
        <f>VLOOKUP(C172,'[1]phenotypes-895'!$A$2:$G$896,7,FALSE)</f>
        <v>84</v>
      </c>
      <c r="G172">
        <v>161</v>
      </c>
    </row>
    <row r="173" spans="1:7" x14ac:dyDescent="0.2">
      <c r="A173">
        <v>172</v>
      </c>
      <c r="B173">
        <v>11</v>
      </c>
      <c r="C173" t="s">
        <v>171</v>
      </c>
      <c r="D173" s="12" t="s">
        <v>912</v>
      </c>
      <c r="E173" s="1">
        <v>3.57230498017748</v>
      </c>
      <c r="F173">
        <f>VLOOKUP(C173,'[1]phenotypes-895'!$A$2:$G$896,7,FALSE)</f>
        <v>98</v>
      </c>
      <c r="G173">
        <v>303</v>
      </c>
    </row>
    <row r="174" spans="1:7" x14ac:dyDescent="0.2">
      <c r="A174">
        <v>173</v>
      </c>
      <c r="B174">
        <v>29</v>
      </c>
      <c r="C174" t="s">
        <v>172</v>
      </c>
      <c r="D174" s="13" t="s">
        <v>913</v>
      </c>
      <c r="E174" s="1">
        <v>1.2921786896551199</v>
      </c>
      <c r="F174">
        <f>VLOOKUP(C174,'[1]phenotypes-895'!$A$2:$G$896,7,FALSE)</f>
        <v>98</v>
      </c>
      <c r="G174">
        <v>202</v>
      </c>
    </row>
    <row r="175" spans="1:7" x14ac:dyDescent="0.2">
      <c r="A175">
        <v>174</v>
      </c>
      <c r="B175">
        <v>9</v>
      </c>
      <c r="C175" t="s">
        <v>173</v>
      </c>
      <c r="D175" s="12" t="s">
        <v>912</v>
      </c>
      <c r="E175" s="1">
        <v>-1.45188733507243</v>
      </c>
      <c r="F175">
        <f>VLOOKUP(C175,'[1]phenotypes-895'!$A$2:$G$896,7,FALSE)</f>
        <v>72</v>
      </c>
      <c r="G175">
        <v>296</v>
      </c>
    </row>
    <row r="176" spans="1:7" x14ac:dyDescent="0.2">
      <c r="A176">
        <v>175</v>
      </c>
      <c r="B176">
        <v>30</v>
      </c>
      <c r="C176" t="s">
        <v>174</v>
      </c>
      <c r="D176" s="13" t="s">
        <v>913</v>
      </c>
      <c r="E176" s="1">
        <v>-2.3670877423496499</v>
      </c>
      <c r="F176">
        <f>VLOOKUP(C176,'[1]phenotypes-895'!$A$2:$G$896,7,FALSE)</f>
        <v>75</v>
      </c>
      <c r="G176">
        <v>202</v>
      </c>
    </row>
    <row r="177" spans="1:7" x14ac:dyDescent="0.2">
      <c r="A177">
        <v>176</v>
      </c>
      <c r="B177">
        <v>4</v>
      </c>
      <c r="C177" t="s">
        <v>175</v>
      </c>
      <c r="D177" s="12" t="s">
        <v>913</v>
      </c>
      <c r="E177" s="1">
        <v>-3.6443071632163599</v>
      </c>
      <c r="F177">
        <f>VLOOKUP(C177,'[1]phenotypes-895'!$A$2:$G$896,7,FALSE)</f>
        <v>98</v>
      </c>
      <c r="G177">
        <v>271</v>
      </c>
    </row>
    <row r="178" spans="1:7" x14ac:dyDescent="0.2">
      <c r="A178">
        <v>177</v>
      </c>
      <c r="B178">
        <v>49</v>
      </c>
      <c r="C178" t="s">
        <v>176</v>
      </c>
      <c r="D178" s="13" t="s">
        <v>912</v>
      </c>
      <c r="E178" s="1">
        <v>2.5225582844330998</v>
      </c>
      <c r="F178">
        <f>VLOOKUP(C178,'[1]phenotypes-895'!$A$2:$G$896,7,FALSE)</f>
        <v>98</v>
      </c>
      <c r="G178">
        <v>175</v>
      </c>
    </row>
    <row r="179" spans="1:7" x14ac:dyDescent="0.2">
      <c r="A179">
        <v>178</v>
      </c>
      <c r="B179">
        <v>18</v>
      </c>
      <c r="C179" t="s">
        <v>177</v>
      </c>
      <c r="D179" s="12" t="s">
        <v>912</v>
      </c>
      <c r="E179" s="1">
        <v>1.44990664276059</v>
      </c>
      <c r="F179">
        <f>VLOOKUP(C179,'[1]phenotypes-895'!$A$2:$G$896,7,FALSE)</f>
        <v>63</v>
      </c>
      <c r="G179">
        <v>297</v>
      </c>
    </row>
    <row r="180" spans="1:7" x14ac:dyDescent="0.2">
      <c r="A180">
        <v>179</v>
      </c>
      <c r="B180">
        <v>28</v>
      </c>
      <c r="C180" t="s">
        <v>178</v>
      </c>
      <c r="D180" s="13" t="s">
        <v>913</v>
      </c>
      <c r="E180" s="1">
        <v>-7.2436372865992702</v>
      </c>
      <c r="F180">
        <f>VLOOKUP(C180,'[1]phenotypes-895'!$A$2:$G$896,7,FALSE)</f>
        <v>98</v>
      </c>
      <c r="G180">
        <v>242</v>
      </c>
    </row>
    <row r="181" spans="1:7" x14ac:dyDescent="0.2">
      <c r="A181">
        <v>180</v>
      </c>
      <c r="B181">
        <v>11</v>
      </c>
      <c r="C181" t="s">
        <v>179</v>
      </c>
      <c r="D181" s="12" t="s">
        <v>912</v>
      </c>
      <c r="E181" s="1">
        <v>-3.3960409217170402</v>
      </c>
      <c r="F181">
        <f>VLOOKUP(C181,'[1]phenotypes-895'!$A$2:$G$896,7,FALSE)</f>
        <v>66</v>
      </c>
      <c r="G181">
        <v>303</v>
      </c>
    </row>
    <row r="182" spans="1:7" x14ac:dyDescent="0.2">
      <c r="A182">
        <v>181</v>
      </c>
      <c r="B182">
        <v>3</v>
      </c>
      <c r="C182" t="s">
        <v>180</v>
      </c>
      <c r="D182" s="12" t="s">
        <v>913</v>
      </c>
      <c r="E182" s="1">
        <v>-5.7237931489069798</v>
      </c>
      <c r="F182">
        <f>VLOOKUP(C182,'[1]phenotypes-895'!$A$2:$G$896,7,FALSE)</f>
        <v>66</v>
      </c>
      <c r="G182">
        <v>284</v>
      </c>
    </row>
    <row r="183" spans="1:7" x14ac:dyDescent="0.2">
      <c r="A183">
        <v>182</v>
      </c>
      <c r="B183">
        <v>10</v>
      </c>
      <c r="C183" t="s">
        <v>181</v>
      </c>
      <c r="D183" s="12" t="s">
        <v>912</v>
      </c>
      <c r="E183" s="1">
        <v>-3.2699277350207101</v>
      </c>
      <c r="F183">
        <f>VLOOKUP(C183,'[1]phenotypes-895'!$A$2:$G$896,7,FALSE)</f>
        <v>54</v>
      </c>
      <c r="G183">
        <v>292</v>
      </c>
    </row>
    <row r="184" spans="1:7" x14ac:dyDescent="0.2">
      <c r="A184">
        <v>183</v>
      </c>
      <c r="B184">
        <v>3</v>
      </c>
      <c r="C184" t="s">
        <v>182</v>
      </c>
      <c r="D184" s="12" t="s">
        <v>913</v>
      </c>
      <c r="E184" s="1">
        <v>-5.9562006603098601</v>
      </c>
      <c r="F184">
        <f>VLOOKUP(C184,'[1]phenotypes-895'!$A$2:$G$896,7,FALSE)</f>
        <v>53</v>
      </c>
      <c r="G184">
        <v>284</v>
      </c>
    </row>
    <row r="185" spans="1:7" x14ac:dyDescent="0.2">
      <c r="A185">
        <v>184</v>
      </c>
      <c r="B185">
        <v>6</v>
      </c>
      <c r="C185" t="s">
        <v>183</v>
      </c>
      <c r="D185" s="12" t="s">
        <v>913</v>
      </c>
      <c r="E185" s="1">
        <v>-4.6323074090826104</v>
      </c>
      <c r="F185">
        <f>VLOOKUP(C185,'[1]phenotypes-895'!$A$2:$G$896,7,FALSE)</f>
        <v>62</v>
      </c>
      <c r="G185">
        <v>278</v>
      </c>
    </row>
    <row r="186" spans="1:7" x14ac:dyDescent="0.2">
      <c r="A186">
        <v>185</v>
      </c>
      <c r="B186">
        <v>11</v>
      </c>
      <c r="C186" t="s">
        <v>184</v>
      </c>
      <c r="D186" s="12" t="s">
        <v>912</v>
      </c>
      <c r="E186" s="1">
        <v>-7.2568778469574902</v>
      </c>
      <c r="F186">
        <f>VLOOKUP(C186,'[1]phenotypes-895'!$A$2:$G$896,7,FALSE)</f>
        <v>66</v>
      </c>
      <c r="G186">
        <v>303</v>
      </c>
    </row>
    <row r="187" spans="1:7" x14ac:dyDescent="0.2">
      <c r="A187">
        <v>186</v>
      </c>
      <c r="B187">
        <v>5</v>
      </c>
      <c r="C187" t="s">
        <v>185</v>
      </c>
      <c r="D187" s="12" t="s">
        <v>913</v>
      </c>
      <c r="E187" s="1">
        <v>-9.3369103770697706</v>
      </c>
      <c r="F187">
        <f>VLOOKUP(C187,'[1]phenotypes-895'!$A$2:$G$896,7,FALSE)</f>
        <v>55</v>
      </c>
      <c r="G187">
        <v>275</v>
      </c>
    </row>
    <row r="188" spans="1:7" x14ac:dyDescent="0.2">
      <c r="A188">
        <v>187</v>
      </c>
      <c r="B188">
        <v>13</v>
      </c>
      <c r="C188" t="s">
        <v>186</v>
      </c>
      <c r="D188" s="12" t="s">
        <v>912</v>
      </c>
      <c r="E188" s="1">
        <v>-3.4633959162306498</v>
      </c>
      <c r="F188">
        <f>VLOOKUP(C188,'[1]phenotypes-895'!$A$2:$G$896,7,FALSE)</f>
        <v>64</v>
      </c>
      <c r="G188">
        <v>289</v>
      </c>
    </row>
    <row r="189" spans="1:7" x14ac:dyDescent="0.2">
      <c r="A189">
        <v>188</v>
      </c>
      <c r="B189">
        <v>14</v>
      </c>
      <c r="C189" t="s">
        <v>187</v>
      </c>
      <c r="D189" s="12" t="s">
        <v>912</v>
      </c>
      <c r="E189" s="1">
        <v>0.53705034316550204</v>
      </c>
      <c r="F189">
        <f>VLOOKUP(C189,'[1]phenotypes-895'!$A$2:$G$896,7,FALSE)</f>
        <v>69</v>
      </c>
      <c r="G189">
        <v>292</v>
      </c>
    </row>
    <row r="190" spans="1:7" x14ac:dyDescent="0.2">
      <c r="A190">
        <v>189</v>
      </c>
      <c r="B190">
        <v>16</v>
      </c>
      <c r="C190" t="s">
        <v>188</v>
      </c>
      <c r="D190" s="12" t="s">
        <v>912</v>
      </c>
      <c r="E190" s="1">
        <v>-12.0442913914397</v>
      </c>
      <c r="F190">
        <f>VLOOKUP(C190,'[1]phenotypes-895'!$A$2:$G$896,7,FALSE)</f>
        <v>49</v>
      </c>
      <c r="G190">
        <v>291</v>
      </c>
    </row>
    <row r="191" spans="1:7" x14ac:dyDescent="0.2">
      <c r="A191">
        <v>190</v>
      </c>
      <c r="B191">
        <v>3</v>
      </c>
      <c r="C191" t="s">
        <v>189</v>
      </c>
      <c r="D191" s="12" t="s">
        <v>913</v>
      </c>
      <c r="E191" s="1">
        <v>-7.08313182598053</v>
      </c>
      <c r="F191">
        <f>VLOOKUP(C191,'[1]phenotypes-895'!$A$2:$G$896,7,FALSE)</f>
        <v>62</v>
      </c>
      <c r="G191">
        <v>284</v>
      </c>
    </row>
    <row r="192" spans="1:7" x14ac:dyDescent="0.2">
      <c r="A192">
        <v>191</v>
      </c>
      <c r="B192">
        <v>6</v>
      </c>
      <c r="C192" t="s">
        <v>190</v>
      </c>
      <c r="D192" s="12" t="s">
        <v>913</v>
      </c>
      <c r="E192" s="1">
        <v>-6.1139181417801103</v>
      </c>
      <c r="F192">
        <f>VLOOKUP(C192,'[1]phenotypes-895'!$A$2:$G$896,7,FALSE)</f>
        <v>56</v>
      </c>
      <c r="G192">
        <v>278</v>
      </c>
    </row>
    <row r="193" spans="1:7" x14ac:dyDescent="0.2">
      <c r="A193">
        <v>192</v>
      </c>
      <c r="B193">
        <v>8</v>
      </c>
      <c r="C193" t="s">
        <v>191</v>
      </c>
      <c r="D193" s="12" t="s">
        <v>913</v>
      </c>
      <c r="E193" s="1">
        <v>3.7841538999398701</v>
      </c>
      <c r="F193">
        <f>VLOOKUP(C193,'[1]phenotypes-895'!$A$2:$G$896,7,FALSE)</f>
        <v>98</v>
      </c>
      <c r="G193">
        <v>273</v>
      </c>
    </row>
    <row r="194" spans="1:7" x14ac:dyDescent="0.2">
      <c r="A194">
        <v>193</v>
      </c>
      <c r="B194">
        <v>6</v>
      </c>
      <c r="C194" t="s">
        <v>192</v>
      </c>
      <c r="D194" s="12" t="s">
        <v>913</v>
      </c>
      <c r="E194" s="1">
        <v>-1.1295198007021401</v>
      </c>
      <c r="F194">
        <f>VLOOKUP(C194,'[1]phenotypes-895'!$A$2:$G$896,7,FALSE)</f>
        <v>98</v>
      </c>
      <c r="G194">
        <v>278</v>
      </c>
    </row>
    <row r="195" spans="1:7" x14ac:dyDescent="0.2">
      <c r="A195">
        <v>194</v>
      </c>
      <c r="B195">
        <v>4</v>
      </c>
      <c r="C195" t="s">
        <v>193</v>
      </c>
      <c r="D195" s="12" t="s">
        <v>913</v>
      </c>
      <c r="E195" s="1">
        <v>-5.2788545536049503</v>
      </c>
      <c r="F195">
        <f>VLOOKUP(C195,'[1]phenotypes-895'!$A$2:$G$896,7,FALSE)</f>
        <v>61</v>
      </c>
      <c r="G195">
        <v>271</v>
      </c>
    </row>
    <row r="196" spans="1:7" x14ac:dyDescent="0.2">
      <c r="A196">
        <v>195</v>
      </c>
      <c r="B196">
        <v>16</v>
      </c>
      <c r="C196" t="s">
        <v>194</v>
      </c>
      <c r="D196" s="12" t="s">
        <v>912</v>
      </c>
      <c r="E196" s="1">
        <v>-6.5848074261404896</v>
      </c>
      <c r="F196">
        <f>VLOOKUP(C196,'[1]phenotypes-895'!$A$2:$G$896,7,FALSE)</f>
        <v>76</v>
      </c>
      <c r="G196">
        <v>291</v>
      </c>
    </row>
    <row r="197" spans="1:7" x14ac:dyDescent="0.2">
      <c r="A197">
        <v>196</v>
      </c>
      <c r="B197">
        <v>5</v>
      </c>
      <c r="C197" t="s">
        <v>195</v>
      </c>
      <c r="D197" s="12" t="s">
        <v>913</v>
      </c>
      <c r="E197" s="1">
        <v>-12.932592100325399</v>
      </c>
      <c r="F197">
        <f>VLOOKUP(C197,'[1]phenotypes-895'!$A$2:$G$896,7,FALSE)</f>
        <v>55</v>
      </c>
      <c r="G197">
        <v>275</v>
      </c>
    </row>
    <row r="198" spans="1:7" x14ac:dyDescent="0.2">
      <c r="A198">
        <v>197</v>
      </c>
      <c r="B198">
        <v>6</v>
      </c>
      <c r="C198" t="s">
        <v>196</v>
      </c>
      <c r="D198" s="12" t="s">
        <v>913</v>
      </c>
      <c r="E198" s="1">
        <v>-2.2933775707008599</v>
      </c>
      <c r="F198">
        <f>VLOOKUP(C198,'[1]phenotypes-895'!$A$2:$G$896,7,FALSE)</f>
        <v>98</v>
      </c>
      <c r="G198">
        <v>278</v>
      </c>
    </row>
    <row r="199" spans="1:7" x14ac:dyDescent="0.2">
      <c r="A199">
        <v>198</v>
      </c>
      <c r="B199">
        <v>19</v>
      </c>
      <c r="C199" t="s">
        <v>197</v>
      </c>
      <c r="D199" s="12" t="s">
        <v>912</v>
      </c>
      <c r="E199" s="1">
        <v>-10.565097944035299</v>
      </c>
      <c r="F199">
        <f>VLOOKUP(C199,'[1]phenotypes-895'!$A$2:$G$896,7,FALSE)</f>
        <v>51</v>
      </c>
      <c r="G199">
        <v>276</v>
      </c>
    </row>
    <row r="200" spans="1:7" x14ac:dyDescent="0.2">
      <c r="A200">
        <v>199</v>
      </c>
      <c r="B200">
        <v>3</v>
      </c>
      <c r="C200" t="s">
        <v>198</v>
      </c>
      <c r="D200" s="12" t="s">
        <v>913</v>
      </c>
      <c r="E200" s="1">
        <v>-2.3766914415186999</v>
      </c>
      <c r="F200">
        <f>VLOOKUP(C200,'[1]phenotypes-895'!$A$2:$G$896,7,FALSE)</f>
        <v>98</v>
      </c>
      <c r="G200">
        <v>284</v>
      </c>
    </row>
    <row r="201" spans="1:7" x14ac:dyDescent="0.2">
      <c r="A201">
        <v>200</v>
      </c>
      <c r="B201">
        <v>13</v>
      </c>
      <c r="C201" t="s">
        <v>199</v>
      </c>
      <c r="D201" s="12" t="s">
        <v>912</v>
      </c>
      <c r="E201" s="1">
        <v>-6.9407866102229896</v>
      </c>
      <c r="F201">
        <f>VLOOKUP(C201,'[1]phenotypes-895'!$A$2:$G$896,7,FALSE)</f>
        <v>50</v>
      </c>
      <c r="G201">
        <v>289</v>
      </c>
    </row>
    <row r="202" spans="1:7" x14ac:dyDescent="0.2">
      <c r="A202">
        <v>201</v>
      </c>
      <c r="B202">
        <v>18</v>
      </c>
      <c r="C202" t="s">
        <v>200</v>
      </c>
      <c r="D202" s="12" t="s">
        <v>912</v>
      </c>
      <c r="E202" s="1">
        <v>-1.32087072062179</v>
      </c>
      <c r="F202">
        <f>VLOOKUP(C202,'[1]phenotypes-895'!$A$2:$G$896,7,FALSE)</f>
        <v>65</v>
      </c>
      <c r="G202">
        <v>297</v>
      </c>
    </row>
    <row r="203" spans="1:7" x14ac:dyDescent="0.2">
      <c r="A203">
        <v>202</v>
      </c>
      <c r="B203">
        <v>11</v>
      </c>
      <c r="C203" t="s">
        <v>201</v>
      </c>
      <c r="D203" s="12" t="s">
        <v>912</v>
      </c>
      <c r="E203" s="1">
        <v>-1.12981271605974</v>
      </c>
      <c r="F203">
        <f>VLOOKUP(C203,'[1]phenotypes-895'!$A$2:$G$896,7,FALSE)</f>
        <v>65</v>
      </c>
      <c r="G203">
        <v>303</v>
      </c>
    </row>
    <row r="204" spans="1:7" x14ac:dyDescent="0.2">
      <c r="A204">
        <v>203</v>
      </c>
      <c r="B204">
        <v>8</v>
      </c>
      <c r="C204" t="s">
        <v>202</v>
      </c>
      <c r="D204" s="12" t="s">
        <v>913</v>
      </c>
      <c r="E204" s="1">
        <v>2.7598553190367401</v>
      </c>
      <c r="F204">
        <f>VLOOKUP(C204,'[1]phenotypes-895'!$A$2:$G$896,7,FALSE)</f>
        <v>76</v>
      </c>
      <c r="G204">
        <v>271</v>
      </c>
    </row>
    <row r="205" spans="1:7" x14ac:dyDescent="0.2">
      <c r="A205">
        <v>204</v>
      </c>
      <c r="B205">
        <v>17</v>
      </c>
      <c r="C205" t="s">
        <v>203</v>
      </c>
      <c r="D205" s="12" t="s">
        <v>912</v>
      </c>
      <c r="E205" s="1">
        <v>-7.5679348336816599</v>
      </c>
      <c r="F205">
        <f>VLOOKUP(C205,'[1]phenotypes-895'!$A$2:$G$896,7,FALSE)</f>
        <v>43</v>
      </c>
      <c r="G205">
        <v>276</v>
      </c>
    </row>
    <row r="206" spans="1:7" x14ac:dyDescent="0.2">
      <c r="A206">
        <v>205</v>
      </c>
      <c r="B206">
        <v>11</v>
      </c>
      <c r="C206" t="s">
        <v>204</v>
      </c>
      <c r="D206" s="12" t="s">
        <v>912</v>
      </c>
      <c r="E206" s="1">
        <v>-2.00437659281741</v>
      </c>
      <c r="F206">
        <f>VLOOKUP(C206,'[1]phenotypes-895'!$A$2:$G$896,7,FALSE)</f>
        <v>65</v>
      </c>
      <c r="G206">
        <v>303</v>
      </c>
    </row>
    <row r="207" spans="1:7" x14ac:dyDescent="0.2">
      <c r="A207">
        <v>206</v>
      </c>
      <c r="B207">
        <v>36</v>
      </c>
      <c r="C207" t="s">
        <v>205</v>
      </c>
      <c r="D207" s="13" t="s">
        <v>913</v>
      </c>
      <c r="E207" s="1">
        <v>2.2871438462702001</v>
      </c>
      <c r="F207">
        <f>VLOOKUP(C207,'[1]phenotypes-895'!$A$2:$G$896,7,FALSE)</f>
        <v>58</v>
      </c>
      <c r="G207">
        <v>192</v>
      </c>
    </row>
    <row r="208" spans="1:7" x14ac:dyDescent="0.2">
      <c r="A208">
        <v>207</v>
      </c>
      <c r="B208">
        <v>3</v>
      </c>
      <c r="C208" t="s">
        <v>206</v>
      </c>
      <c r="D208" s="12" t="s">
        <v>913</v>
      </c>
      <c r="E208" s="1">
        <v>-4.8439167564618</v>
      </c>
      <c r="F208">
        <f>VLOOKUP(C208,'[1]phenotypes-895'!$A$2:$G$896,7,FALSE)</f>
        <v>65</v>
      </c>
      <c r="G208">
        <v>284</v>
      </c>
    </row>
    <row r="209" spans="1:7" x14ac:dyDescent="0.2">
      <c r="A209">
        <v>208</v>
      </c>
      <c r="B209">
        <v>52</v>
      </c>
      <c r="C209" t="s">
        <v>207</v>
      </c>
      <c r="D209" s="13" t="s">
        <v>912</v>
      </c>
      <c r="E209" s="1">
        <v>-0.104800660606141</v>
      </c>
      <c r="F209">
        <f>VLOOKUP(C209,'[1]phenotypes-895'!$A$2:$G$896,7,FALSE)</f>
        <v>57</v>
      </c>
      <c r="G209">
        <v>164</v>
      </c>
    </row>
    <row r="210" spans="1:7" x14ac:dyDescent="0.2">
      <c r="A210">
        <v>209</v>
      </c>
      <c r="B210">
        <v>2</v>
      </c>
      <c r="C210" t="s">
        <v>208</v>
      </c>
      <c r="D210" s="12" t="s">
        <v>913</v>
      </c>
      <c r="E210" s="1">
        <v>10.6693736208267</v>
      </c>
      <c r="F210">
        <f>VLOOKUP(C210,'[1]phenotypes-895'!$A$2:$G$896,7,FALSE)</f>
        <v>98</v>
      </c>
      <c r="G210">
        <v>271</v>
      </c>
    </row>
    <row r="211" spans="1:7" x14ac:dyDescent="0.2">
      <c r="A211">
        <v>210</v>
      </c>
      <c r="B211">
        <v>50</v>
      </c>
      <c r="C211" t="s">
        <v>209</v>
      </c>
      <c r="D211" s="13" t="s">
        <v>912</v>
      </c>
      <c r="E211" s="1">
        <v>4.9127488212208901</v>
      </c>
      <c r="F211">
        <f>VLOOKUP(C211,'[1]phenotypes-895'!$A$2:$G$896,7,FALSE)</f>
        <v>74</v>
      </c>
      <c r="G211">
        <v>172</v>
      </c>
    </row>
    <row r="212" spans="1:7" x14ac:dyDescent="0.2">
      <c r="A212">
        <v>211</v>
      </c>
      <c r="B212">
        <v>9</v>
      </c>
      <c r="C212" t="s">
        <v>210</v>
      </c>
      <c r="D212" s="12" t="s">
        <v>912</v>
      </c>
      <c r="E212" s="1">
        <v>-7.7965027821703101</v>
      </c>
      <c r="F212">
        <f>VLOOKUP(C212,'[1]phenotypes-895'!$A$2:$G$896,7,FALSE)</f>
        <v>56</v>
      </c>
      <c r="G212">
        <v>296</v>
      </c>
    </row>
    <row r="213" spans="1:7" x14ac:dyDescent="0.2">
      <c r="A213">
        <v>212</v>
      </c>
      <c r="B213">
        <v>50</v>
      </c>
      <c r="C213" t="s">
        <v>211</v>
      </c>
      <c r="D213" s="13" t="s">
        <v>912</v>
      </c>
      <c r="E213" s="1">
        <v>2.3399755720358502</v>
      </c>
      <c r="F213">
        <f>VLOOKUP(C213,'[1]phenotypes-895'!$A$2:$G$896,7,FALSE)</f>
        <v>59</v>
      </c>
      <c r="G213">
        <v>172</v>
      </c>
    </row>
    <row r="214" spans="1:7" x14ac:dyDescent="0.2">
      <c r="A214">
        <v>213</v>
      </c>
      <c r="B214">
        <v>5</v>
      </c>
      <c r="C214" t="s">
        <v>212</v>
      </c>
      <c r="D214" s="12" t="s">
        <v>913</v>
      </c>
      <c r="E214" s="1">
        <v>-9.9603945426447602</v>
      </c>
      <c r="F214">
        <f>VLOOKUP(C214,'[1]phenotypes-895'!$A$2:$G$896,7,FALSE)</f>
        <v>65</v>
      </c>
      <c r="G214">
        <v>275</v>
      </c>
    </row>
    <row r="215" spans="1:7" x14ac:dyDescent="0.2">
      <c r="A215">
        <v>214</v>
      </c>
      <c r="B215">
        <v>54</v>
      </c>
      <c r="C215" t="s">
        <v>213</v>
      </c>
      <c r="D215" s="13" t="s">
        <v>912</v>
      </c>
      <c r="E215" s="1">
        <v>-0.21254033914017101</v>
      </c>
      <c r="F215">
        <f>VLOOKUP(C215,'[1]phenotypes-895'!$A$2:$G$896,7,FALSE)</f>
        <v>70</v>
      </c>
      <c r="G215">
        <v>170</v>
      </c>
    </row>
    <row r="216" spans="1:7" x14ac:dyDescent="0.2">
      <c r="A216">
        <v>215</v>
      </c>
      <c r="B216">
        <v>7</v>
      </c>
      <c r="C216" t="s">
        <v>214</v>
      </c>
      <c r="D216" s="12" t="s">
        <v>913</v>
      </c>
      <c r="E216" s="1">
        <v>0.68853101170255304</v>
      </c>
      <c r="F216">
        <f>VLOOKUP(C216,'[1]phenotypes-895'!$A$2:$G$896,7,FALSE)</f>
        <v>98</v>
      </c>
      <c r="G216">
        <v>278</v>
      </c>
    </row>
    <row r="217" spans="1:7" x14ac:dyDescent="0.2">
      <c r="A217">
        <v>216</v>
      </c>
      <c r="B217">
        <v>44</v>
      </c>
      <c r="C217" t="s">
        <v>215</v>
      </c>
      <c r="D217" s="13" t="s">
        <v>912</v>
      </c>
      <c r="E217" s="1">
        <v>4.1905079532218803</v>
      </c>
      <c r="F217">
        <f>VLOOKUP(C217,'[1]phenotypes-895'!$A$2:$G$896,7,FALSE)</f>
        <v>62</v>
      </c>
      <c r="G217">
        <v>173</v>
      </c>
    </row>
    <row r="218" spans="1:7" x14ac:dyDescent="0.2">
      <c r="A218">
        <v>217</v>
      </c>
      <c r="B218">
        <v>12</v>
      </c>
      <c r="C218" t="s">
        <v>216</v>
      </c>
      <c r="D218" s="12" t="s">
        <v>912</v>
      </c>
      <c r="E218" s="1">
        <v>-0.54847317316451105</v>
      </c>
      <c r="F218">
        <f>VLOOKUP(C218,'[1]phenotypes-895'!$A$2:$G$896,7,FALSE)</f>
        <v>63</v>
      </c>
      <c r="G218">
        <v>296</v>
      </c>
    </row>
    <row r="219" spans="1:7" x14ac:dyDescent="0.2">
      <c r="A219">
        <v>218</v>
      </c>
      <c r="B219">
        <v>49</v>
      </c>
      <c r="C219" t="s">
        <v>217</v>
      </c>
      <c r="D219" s="13" t="s">
        <v>912</v>
      </c>
      <c r="E219" s="1">
        <v>2.3437575272053299E-3</v>
      </c>
      <c r="F219">
        <f>VLOOKUP(C219,'[1]phenotypes-895'!$A$2:$G$896,7,FALSE)</f>
        <v>54</v>
      </c>
      <c r="G219">
        <v>175</v>
      </c>
    </row>
    <row r="220" spans="1:7" x14ac:dyDescent="0.2">
      <c r="A220">
        <v>219</v>
      </c>
      <c r="B220">
        <v>1</v>
      </c>
      <c r="C220" t="s">
        <v>218</v>
      </c>
      <c r="D220" s="12" t="s">
        <v>913</v>
      </c>
      <c r="E220" s="1">
        <v>-2.7376342025459302</v>
      </c>
      <c r="F220">
        <f>VLOOKUP(C220,'[1]phenotypes-895'!$A$2:$G$896,7,FALSE)</f>
        <v>98</v>
      </c>
      <c r="G220">
        <v>269</v>
      </c>
    </row>
    <row r="221" spans="1:7" x14ac:dyDescent="0.2">
      <c r="A221">
        <v>220</v>
      </c>
      <c r="B221">
        <v>50</v>
      </c>
      <c r="C221" t="s">
        <v>219</v>
      </c>
      <c r="D221" s="13" t="s">
        <v>912</v>
      </c>
      <c r="E221" s="1">
        <v>1.8391569843487601</v>
      </c>
      <c r="F221">
        <f>VLOOKUP(C221,'[1]phenotypes-895'!$A$2:$G$896,7,FALSE)</f>
        <v>98</v>
      </c>
      <c r="G221">
        <v>172</v>
      </c>
    </row>
    <row r="222" spans="1:7" x14ac:dyDescent="0.2">
      <c r="A222">
        <v>221</v>
      </c>
      <c r="B222">
        <v>11</v>
      </c>
      <c r="C222" t="s">
        <v>220</v>
      </c>
      <c r="D222" s="12" t="s">
        <v>912</v>
      </c>
      <c r="E222" s="1">
        <v>3.3694862663384599</v>
      </c>
      <c r="F222">
        <f>VLOOKUP(C222,'[1]phenotypes-895'!$A$2:$G$896,7,FALSE)</f>
        <v>98</v>
      </c>
      <c r="G222">
        <v>303</v>
      </c>
    </row>
    <row r="223" spans="1:7" x14ac:dyDescent="0.2">
      <c r="A223">
        <v>222</v>
      </c>
      <c r="B223">
        <v>46</v>
      </c>
      <c r="C223" t="s">
        <v>221</v>
      </c>
      <c r="D223" s="13" t="s">
        <v>912</v>
      </c>
      <c r="E223" s="1">
        <v>1.2658189926137799</v>
      </c>
      <c r="F223">
        <f>VLOOKUP(C223,'[1]phenotypes-895'!$A$2:$G$896,7,FALSE)</f>
        <v>70</v>
      </c>
      <c r="G223">
        <v>160</v>
      </c>
    </row>
    <row r="224" spans="1:7" x14ac:dyDescent="0.2">
      <c r="A224">
        <v>223</v>
      </c>
      <c r="B224">
        <v>1</v>
      </c>
      <c r="C224" t="s">
        <v>222</v>
      </c>
      <c r="D224" s="12" t="s">
        <v>913</v>
      </c>
      <c r="E224" s="1">
        <v>-0.38514438888157398</v>
      </c>
      <c r="F224">
        <f>VLOOKUP(C224,'[1]phenotypes-895'!$A$2:$G$896,7,FALSE)</f>
        <v>98</v>
      </c>
      <c r="G224">
        <v>269</v>
      </c>
    </row>
    <row r="225" spans="1:7" x14ac:dyDescent="0.2">
      <c r="A225">
        <v>224</v>
      </c>
      <c r="B225">
        <v>31</v>
      </c>
      <c r="C225" t="s">
        <v>223</v>
      </c>
      <c r="D225" s="13" t="s">
        <v>913</v>
      </c>
      <c r="E225" s="1">
        <v>4.8789162491468501</v>
      </c>
      <c r="F225">
        <f>VLOOKUP(C225,'[1]phenotypes-895'!$A$2:$G$896,7,FALSE)</f>
        <v>98</v>
      </c>
      <c r="G225">
        <v>199</v>
      </c>
    </row>
    <row r="226" spans="1:7" x14ac:dyDescent="0.2">
      <c r="A226">
        <v>225</v>
      </c>
      <c r="B226">
        <v>6</v>
      </c>
      <c r="C226" t="s">
        <v>224</v>
      </c>
      <c r="D226" s="12" t="s">
        <v>913</v>
      </c>
      <c r="E226" s="1">
        <v>-0.62850650035663902</v>
      </c>
      <c r="F226">
        <f>VLOOKUP(C226,'[1]phenotypes-895'!$A$2:$G$896,7,FALSE)</f>
        <v>64</v>
      </c>
      <c r="G226">
        <v>278</v>
      </c>
    </row>
    <row r="227" spans="1:7" x14ac:dyDescent="0.2">
      <c r="A227">
        <v>226</v>
      </c>
      <c r="B227">
        <v>25</v>
      </c>
      <c r="C227" t="s">
        <v>225</v>
      </c>
      <c r="D227" s="13" t="s">
        <v>913</v>
      </c>
      <c r="E227" s="1">
        <v>4.2486771222740698</v>
      </c>
      <c r="F227">
        <f>VLOOKUP(C227,'[1]phenotypes-895'!$A$2:$G$896,7,FALSE)</f>
        <v>98</v>
      </c>
      <c r="G227">
        <v>208</v>
      </c>
    </row>
    <row r="228" spans="1:7" x14ac:dyDescent="0.2">
      <c r="A228">
        <v>227</v>
      </c>
      <c r="B228">
        <v>8</v>
      </c>
      <c r="C228" t="s">
        <v>226</v>
      </c>
      <c r="D228" s="12" t="s">
        <v>913</v>
      </c>
      <c r="E228" s="1">
        <v>-1.3821497952675601</v>
      </c>
      <c r="F228">
        <f>VLOOKUP(C228,'[1]phenotypes-895'!$A$2:$G$896,7,FALSE)</f>
        <v>98</v>
      </c>
      <c r="G228">
        <v>271</v>
      </c>
    </row>
    <row r="229" spans="1:7" x14ac:dyDescent="0.2">
      <c r="A229">
        <v>228</v>
      </c>
      <c r="B229">
        <v>4</v>
      </c>
      <c r="C229" t="s">
        <v>227</v>
      </c>
      <c r="D229" s="12" t="s">
        <v>913</v>
      </c>
      <c r="E229" s="1">
        <v>-2.1914717774996699</v>
      </c>
      <c r="F229">
        <f>VLOOKUP(C229,'[1]phenotypes-895'!$A$2:$G$896,7,FALSE)</f>
        <v>80</v>
      </c>
      <c r="G229">
        <v>271</v>
      </c>
    </row>
    <row r="230" spans="1:7" x14ac:dyDescent="0.2">
      <c r="A230">
        <v>229</v>
      </c>
      <c r="B230">
        <v>15</v>
      </c>
      <c r="C230" t="s">
        <v>228</v>
      </c>
      <c r="D230" s="12" t="s">
        <v>912</v>
      </c>
      <c r="E230" s="1">
        <v>-11.5111141998443</v>
      </c>
      <c r="F230">
        <f>VLOOKUP(C230,'[1]phenotypes-895'!$A$2:$G$896,7,FALSE)</f>
        <v>58</v>
      </c>
      <c r="G230">
        <v>299</v>
      </c>
    </row>
    <row r="231" spans="1:7" x14ac:dyDescent="0.2">
      <c r="A231">
        <v>230</v>
      </c>
      <c r="B231">
        <v>13</v>
      </c>
      <c r="C231" t="s">
        <v>229</v>
      </c>
      <c r="D231" s="12" t="s">
        <v>912</v>
      </c>
      <c r="E231" s="1">
        <v>-4.3921277615260204</v>
      </c>
      <c r="F231">
        <f>VLOOKUP(C231,'[1]phenotypes-895'!$A$2:$G$896,7,FALSE)</f>
        <v>98</v>
      </c>
      <c r="G231">
        <v>289</v>
      </c>
    </row>
    <row r="232" spans="1:7" x14ac:dyDescent="0.2">
      <c r="A232">
        <v>231</v>
      </c>
      <c r="B232">
        <v>11</v>
      </c>
      <c r="C232" t="s">
        <v>230</v>
      </c>
      <c r="D232" s="12" t="s">
        <v>912</v>
      </c>
      <c r="E232" s="1">
        <v>0.109001392936477</v>
      </c>
      <c r="F232">
        <f>VLOOKUP(C232,'[1]phenotypes-895'!$A$2:$G$896,7,FALSE)</f>
        <v>98</v>
      </c>
      <c r="G232">
        <v>303</v>
      </c>
    </row>
    <row r="233" spans="1:7" x14ac:dyDescent="0.2">
      <c r="A233">
        <v>232</v>
      </c>
      <c r="B233">
        <v>2</v>
      </c>
      <c r="C233" t="s">
        <v>231</v>
      </c>
      <c r="D233" s="12" t="s">
        <v>913</v>
      </c>
      <c r="E233" s="1">
        <v>-4.9735927674770304</v>
      </c>
      <c r="F233">
        <f>VLOOKUP(C233,'[1]phenotypes-895'!$A$2:$G$896,7,FALSE)</f>
        <v>63</v>
      </c>
      <c r="G233">
        <v>271</v>
      </c>
    </row>
    <row r="234" spans="1:7" x14ac:dyDescent="0.2">
      <c r="A234">
        <v>233</v>
      </c>
      <c r="B234">
        <v>14</v>
      </c>
      <c r="C234" t="s">
        <v>232</v>
      </c>
      <c r="D234" s="12" t="s">
        <v>912</v>
      </c>
      <c r="E234" s="1">
        <v>-3.2463719355360499</v>
      </c>
      <c r="F234">
        <f>VLOOKUP(C234,'[1]phenotypes-895'!$A$2:$G$896,7,FALSE)</f>
        <v>84</v>
      </c>
      <c r="G234">
        <v>292</v>
      </c>
    </row>
    <row r="235" spans="1:7" x14ac:dyDescent="0.2">
      <c r="A235">
        <v>234</v>
      </c>
      <c r="B235">
        <v>17</v>
      </c>
      <c r="C235" t="s">
        <v>233</v>
      </c>
      <c r="D235" s="12" t="s">
        <v>912</v>
      </c>
      <c r="E235" s="1">
        <v>-3.9117490902908001</v>
      </c>
      <c r="F235">
        <f>VLOOKUP(C235,'[1]phenotypes-895'!$A$2:$G$896,7,FALSE)</f>
        <v>98</v>
      </c>
      <c r="G235">
        <v>276</v>
      </c>
    </row>
    <row r="236" spans="1:7" x14ac:dyDescent="0.2">
      <c r="A236">
        <v>235</v>
      </c>
      <c r="B236">
        <v>19</v>
      </c>
      <c r="C236" t="s">
        <v>234</v>
      </c>
      <c r="D236" s="12" t="s">
        <v>912</v>
      </c>
      <c r="E236" s="1">
        <v>-9.9011937187595507</v>
      </c>
      <c r="F236">
        <f>VLOOKUP(C236,'[1]phenotypes-895'!$A$2:$G$896,7,FALSE)</f>
        <v>61</v>
      </c>
      <c r="G236">
        <v>276</v>
      </c>
    </row>
    <row r="237" spans="1:7" x14ac:dyDescent="0.2">
      <c r="A237">
        <v>236</v>
      </c>
      <c r="B237">
        <v>14</v>
      </c>
      <c r="C237" t="s">
        <v>235</v>
      </c>
      <c r="D237" s="12" t="s">
        <v>912</v>
      </c>
      <c r="E237" s="1">
        <v>-4.1395715571668896</v>
      </c>
      <c r="F237">
        <f>VLOOKUP(C237,'[1]phenotypes-895'!$A$2:$G$896,7,FALSE)</f>
        <v>72</v>
      </c>
      <c r="G237">
        <v>292</v>
      </c>
    </row>
    <row r="238" spans="1:7" x14ac:dyDescent="0.2">
      <c r="A238">
        <v>237</v>
      </c>
      <c r="B238">
        <v>10</v>
      </c>
      <c r="C238" t="s">
        <v>236</v>
      </c>
      <c r="D238" s="12" t="s">
        <v>912</v>
      </c>
      <c r="E238" s="1">
        <v>-1.94489336452854</v>
      </c>
      <c r="F238">
        <f>VLOOKUP(C238,'[1]phenotypes-895'!$A$2:$G$896,7,FALSE)</f>
        <v>79</v>
      </c>
      <c r="G238">
        <v>292</v>
      </c>
    </row>
    <row r="239" spans="1:7" x14ac:dyDescent="0.2">
      <c r="A239">
        <v>238</v>
      </c>
      <c r="B239">
        <v>17</v>
      </c>
      <c r="C239" t="s">
        <v>237</v>
      </c>
      <c r="D239" s="12" t="s">
        <v>912</v>
      </c>
      <c r="E239" s="1">
        <v>-4.4130511556292999</v>
      </c>
      <c r="F239">
        <f>VLOOKUP(C239,'[1]phenotypes-895'!$A$2:$G$896,7,FALSE)</f>
        <v>63</v>
      </c>
      <c r="G239">
        <v>276</v>
      </c>
    </row>
    <row r="240" spans="1:7" x14ac:dyDescent="0.2">
      <c r="A240">
        <v>239</v>
      </c>
      <c r="B240">
        <v>2</v>
      </c>
      <c r="C240" t="s">
        <v>238</v>
      </c>
      <c r="D240" s="12" t="s">
        <v>913</v>
      </c>
      <c r="E240" s="1">
        <v>-3.9686444775744798</v>
      </c>
      <c r="F240">
        <f>VLOOKUP(C240,'[1]phenotypes-895'!$A$2:$G$896,7,FALSE)</f>
        <v>53</v>
      </c>
      <c r="G240">
        <v>271</v>
      </c>
    </row>
    <row r="241" spans="1:7" x14ac:dyDescent="0.2">
      <c r="A241">
        <v>240</v>
      </c>
      <c r="B241">
        <v>6</v>
      </c>
      <c r="C241" t="s">
        <v>239</v>
      </c>
      <c r="D241" s="12" t="s">
        <v>913</v>
      </c>
      <c r="E241" s="1">
        <v>2.2022509295149302</v>
      </c>
      <c r="F241">
        <f>VLOOKUP(C241,'[1]phenotypes-895'!$A$2:$G$896,7,FALSE)</f>
        <v>98</v>
      </c>
      <c r="G241">
        <v>278</v>
      </c>
    </row>
    <row r="242" spans="1:7" x14ac:dyDescent="0.2">
      <c r="A242">
        <v>241</v>
      </c>
      <c r="B242">
        <v>19</v>
      </c>
      <c r="C242" t="s">
        <v>240</v>
      </c>
      <c r="D242" s="12" t="s">
        <v>912</v>
      </c>
      <c r="E242" s="1">
        <v>-8.8927172049235104</v>
      </c>
      <c r="F242">
        <f>VLOOKUP(C242,'[1]phenotypes-895'!$A$2:$G$896,7,FALSE)</f>
        <v>71</v>
      </c>
      <c r="G242">
        <v>276</v>
      </c>
    </row>
    <row r="243" spans="1:7" x14ac:dyDescent="0.2">
      <c r="A243">
        <v>242</v>
      </c>
      <c r="B243">
        <v>12</v>
      </c>
      <c r="C243" t="s">
        <v>241</v>
      </c>
      <c r="D243" s="12" t="s">
        <v>912</v>
      </c>
      <c r="E243" s="1">
        <v>2.66162559736755</v>
      </c>
      <c r="F243">
        <f>VLOOKUP(C243,'[1]phenotypes-895'!$A$2:$G$896,7,FALSE)</f>
        <v>69</v>
      </c>
      <c r="G243">
        <v>296</v>
      </c>
    </row>
    <row r="244" spans="1:7" x14ac:dyDescent="0.2">
      <c r="A244">
        <v>243</v>
      </c>
      <c r="B244">
        <v>2</v>
      </c>
      <c r="C244" t="s">
        <v>242</v>
      </c>
      <c r="D244" s="12" t="s">
        <v>913</v>
      </c>
      <c r="E244" s="1">
        <v>-3.69930495385583</v>
      </c>
      <c r="F244">
        <f>VLOOKUP(C244,'[1]phenotypes-895'!$A$2:$G$896,7,FALSE)</f>
        <v>98</v>
      </c>
      <c r="G244">
        <v>271</v>
      </c>
    </row>
    <row r="245" spans="1:7" x14ac:dyDescent="0.2">
      <c r="A245">
        <v>244</v>
      </c>
      <c r="B245">
        <v>5</v>
      </c>
      <c r="C245" t="s">
        <v>243</v>
      </c>
      <c r="D245" s="12" t="s">
        <v>913</v>
      </c>
      <c r="E245" s="1">
        <v>-3.7551611725455301</v>
      </c>
      <c r="F245">
        <f>VLOOKUP(C245,'[1]phenotypes-895'!$A$2:$G$896,7,FALSE)</f>
        <v>98</v>
      </c>
      <c r="G245">
        <v>275</v>
      </c>
    </row>
    <row r="246" spans="1:7" x14ac:dyDescent="0.2">
      <c r="A246">
        <v>245</v>
      </c>
      <c r="B246">
        <v>18</v>
      </c>
      <c r="C246" t="s">
        <v>244</v>
      </c>
      <c r="D246" s="12" t="s">
        <v>912</v>
      </c>
      <c r="E246" s="1">
        <v>-3.69218419486843</v>
      </c>
      <c r="F246">
        <f>VLOOKUP(C246,'[1]phenotypes-895'!$A$2:$G$896,7,FALSE)</f>
        <v>63</v>
      </c>
      <c r="G246">
        <v>297</v>
      </c>
    </row>
    <row r="247" spans="1:7" x14ac:dyDescent="0.2">
      <c r="A247">
        <v>246</v>
      </c>
      <c r="B247">
        <v>6</v>
      </c>
      <c r="C247" t="s">
        <v>245</v>
      </c>
      <c r="D247" s="12" t="s">
        <v>913</v>
      </c>
      <c r="E247" s="1">
        <v>-5.6364842336098704</v>
      </c>
      <c r="F247">
        <f>VLOOKUP(C247,'[1]phenotypes-895'!$A$2:$G$896,7,FALSE)</f>
        <v>60</v>
      </c>
      <c r="G247">
        <v>278</v>
      </c>
    </row>
    <row r="248" spans="1:7" x14ac:dyDescent="0.2">
      <c r="A248">
        <v>247</v>
      </c>
      <c r="B248">
        <v>1</v>
      </c>
      <c r="C248" t="s">
        <v>246</v>
      </c>
      <c r="D248" s="12" t="s">
        <v>913</v>
      </c>
      <c r="E248" s="1">
        <v>-3.14430167812914</v>
      </c>
      <c r="F248">
        <f>VLOOKUP(C248,'[1]phenotypes-895'!$A$2:$G$896,7,FALSE)</f>
        <v>98</v>
      </c>
      <c r="G248">
        <v>269</v>
      </c>
    </row>
    <row r="249" spans="1:7" x14ac:dyDescent="0.2">
      <c r="A249">
        <v>248</v>
      </c>
      <c r="B249">
        <v>10</v>
      </c>
      <c r="C249" t="s">
        <v>247</v>
      </c>
      <c r="D249" s="12" t="s">
        <v>912</v>
      </c>
      <c r="E249" s="1">
        <v>-2.6130933831425001</v>
      </c>
      <c r="F249">
        <f>VLOOKUP(C249,'[1]phenotypes-895'!$A$2:$G$896,7,FALSE)</f>
        <v>98</v>
      </c>
      <c r="G249">
        <v>292</v>
      </c>
    </row>
    <row r="250" spans="1:7" x14ac:dyDescent="0.2">
      <c r="A250">
        <v>249</v>
      </c>
      <c r="B250">
        <v>10</v>
      </c>
      <c r="C250" t="s">
        <v>248</v>
      </c>
      <c r="D250" s="12" t="s">
        <v>912</v>
      </c>
      <c r="E250" s="1">
        <v>-3.1664006659599102</v>
      </c>
      <c r="F250">
        <f>VLOOKUP(C250,'[1]phenotypes-895'!$A$2:$G$896,7,FALSE)</f>
        <v>56</v>
      </c>
      <c r="G250">
        <v>292</v>
      </c>
    </row>
    <row r="251" spans="1:7" x14ac:dyDescent="0.2">
      <c r="A251">
        <v>250</v>
      </c>
      <c r="B251">
        <v>16</v>
      </c>
      <c r="C251" t="s">
        <v>249</v>
      </c>
      <c r="D251" s="12" t="s">
        <v>912</v>
      </c>
      <c r="E251" s="1">
        <v>-6.45728631043559</v>
      </c>
      <c r="F251">
        <f>VLOOKUP(C251,'[1]phenotypes-895'!$A$2:$G$896,7,FALSE)</f>
        <v>64</v>
      </c>
      <c r="G251">
        <v>291</v>
      </c>
    </row>
    <row r="252" spans="1:7" x14ac:dyDescent="0.2">
      <c r="A252">
        <v>251</v>
      </c>
      <c r="B252">
        <v>34</v>
      </c>
      <c r="C252" t="s">
        <v>250</v>
      </c>
      <c r="D252" s="13" t="s">
        <v>913</v>
      </c>
      <c r="E252" s="1">
        <v>-6.0575339480665598</v>
      </c>
      <c r="F252">
        <f>VLOOKUP(C252,'[1]phenotypes-895'!$A$2:$G$896,7,FALSE)</f>
        <v>47</v>
      </c>
      <c r="G252">
        <v>189</v>
      </c>
    </row>
    <row r="253" spans="1:7" x14ac:dyDescent="0.2">
      <c r="A253">
        <v>252</v>
      </c>
      <c r="B253">
        <v>1</v>
      </c>
      <c r="C253" t="s">
        <v>251</v>
      </c>
      <c r="D253" s="12" t="s">
        <v>913</v>
      </c>
      <c r="E253" s="1">
        <v>-8.3822512566553993</v>
      </c>
      <c r="F253">
        <f>VLOOKUP(C253,'[1]phenotypes-895'!$A$2:$G$896,7,FALSE)</f>
        <v>63</v>
      </c>
      <c r="G253">
        <v>269</v>
      </c>
    </row>
    <row r="254" spans="1:7" x14ac:dyDescent="0.2">
      <c r="A254">
        <v>253</v>
      </c>
      <c r="B254">
        <v>22</v>
      </c>
      <c r="C254" t="s">
        <v>252</v>
      </c>
      <c r="D254" s="13" t="s">
        <v>913</v>
      </c>
      <c r="E254" s="1">
        <v>2.6262200172848802</v>
      </c>
      <c r="F254">
        <f>VLOOKUP(C254,'[1]phenotypes-895'!$A$2:$G$896,7,FALSE)</f>
        <v>98</v>
      </c>
      <c r="G254">
        <v>173</v>
      </c>
    </row>
    <row r="255" spans="1:7" x14ac:dyDescent="0.2">
      <c r="A255">
        <v>254</v>
      </c>
      <c r="B255">
        <v>11</v>
      </c>
      <c r="C255" t="s">
        <v>253</v>
      </c>
      <c r="D255" s="12" t="s">
        <v>912</v>
      </c>
      <c r="E255" s="1">
        <v>-6.4973635768927904</v>
      </c>
      <c r="F255">
        <f>VLOOKUP(C255,'[1]phenotypes-895'!$A$2:$G$896,7,FALSE)</f>
        <v>51</v>
      </c>
      <c r="G255">
        <v>303</v>
      </c>
    </row>
    <row r="256" spans="1:7" x14ac:dyDescent="0.2">
      <c r="A256">
        <v>255</v>
      </c>
      <c r="B256">
        <v>50</v>
      </c>
      <c r="C256" t="s">
        <v>254</v>
      </c>
      <c r="D256" s="13" t="s">
        <v>912</v>
      </c>
      <c r="E256" s="1">
        <v>3.9526544555612202</v>
      </c>
      <c r="F256">
        <f>VLOOKUP(C256,'[1]phenotypes-895'!$A$2:$G$896,7,FALSE)</f>
        <v>79</v>
      </c>
      <c r="G256">
        <v>172</v>
      </c>
    </row>
    <row r="257" spans="1:7" x14ac:dyDescent="0.2">
      <c r="A257">
        <v>256</v>
      </c>
      <c r="B257">
        <v>2</v>
      </c>
      <c r="C257" t="s">
        <v>255</v>
      </c>
      <c r="D257" s="12" t="s">
        <v>913</v>
      </c>
      <c r="E257" s="1">
        <v>-8.4321965479020307</v>
      </c>
      <c r="F257">
        <f>VLOOKUP(C257,'[1]phenotypes-895'!$A$2:$G$896,7,FALSE)</f>
        <v>62</v>
      </c>
      <c r="G257">
        <v>271</v>
      </c>
    </row>
    <row r="258" spans="1:7" x14ac:dyDescent="0.2">
      <c r="A258">
        <v>257</v>
      </c>
      <c r="B258">
        <v>50</v>
      </c>
      <c r="C258" t="s">
        <v>256</v>
      </c>
      <c r="D258" s="13" t="s">
        <v>912</v>
      </c>
      <c r="E258" s="1">
        <v>2.5446282989502098</v>
      </c>
      <c r="F258">
        <f>VLOOKUP(C258,'[1]phenotypes-895'!$A$2:$G$896,7,FALSE)</f>
        <v>62</v>
      </c>
      <c r="G258">
        <v>172</v>
      </c>
    </row>
    <row r="259" spans="1:7" x14ac:dyDescent="0.2">
      <c r="A259">
        <v>258</v>
      </c>
      <c r="B259">
        <v>17</v>
      </c>
      <c r="C259" t="s">
        <v>257</v>
      </c>
      <c r="D259" s="12" t="s">
        <v>912</v>
      </c>
      <c r="E259" s="1">
        <v>-5.9251179351509604</v>
      </c>
      <c r="F259">
        <f>VLOOKUP(C259,'[1]phenotypes-895'!$A$2:$G$896,7,FALSE)</f>
        <v>67</v>
      </c>
      <c r="G259">
        <v>276</v>
      </c>
    </row>
    <row r="260" spans="1:7" x14ac:dyDescent="0.2">
      <c r="A260">
        <v>259</v>
      </c>
      <c r="B260">
        <v>24</v>
      </c>
      <c r="C260" t="s">
        <v>258</v>
      </c>
      <c r="D260" s="13" t="s">
        <v>913</v>
      </c>
      <c r="E260" s="1">
        <v>-4.23272187309058</v>
      </c>
      <c r="F260">
        <f>VLOOKUP(C260,'[1]phenotypes-895'!$A$2:$G$896,7,FALSE)</f>
        <v>84</v>
      </c>
      <c r="G260">
        <v>239</v>
      </c>
    </row>
    <row r="261" spans="1:7" x14ac:dyDescent="0.2">
      <c r="A261">
        <v>260</v>
      </c>
      <c r="B261">
        <v>11</v>
      </c>
      <c r="C261" t="s">
        <v>259</v>
      </c>
      <c r="D261" s="12" t="s">
        <v>912</v>
      </c>
      <c r="E261" s="1">
        <v>-5.4393037740793302</v>
      </c>
      <c r="F261">
        <f>VLOOKUP(C261,'[1]phenotypes-895'!$A$2:$G$896,7,FALSE)</f>
        <v>59</v>
      </c>
      <c r="G261">
        <v>303</v>
      </c>
    </row>
    <row r="262" spans="1:7" x14ac:dyDescent="0.2">
      <c r="A262">
        <v>261</v>
      </c>
      <c r="B262">
        <v>42</v>
      </c>
      <c r="C262" t="s">
        <v>260</v>
      </c>
      <c r="D262" s="13" t="s">
        <v>912</v>
      </c>
      <c r="E262" s="1">
        <v>4.16268036774024</v>
      </c>
      <c r="F262">
        <f>VLOOKUP(C262,'[1]phenotypes-895'!$A$2:$G$896,7,FALSE)</f>
        <v>71</v>
      </c>
      <c r="G262">
        <v>185</v>
      </c>
    </row>
    <row r="263" spans="1:7" x14ac:dyDescent="0.2">
      <c r="A263">
        <v>262</v>
      </c>
      <c r="B263">
        <v>14</v>
      </c>
      <c r="C263" t="s">
        <v>261</v>
      </c>
      <c r="D263" s="12" t="s">
        <v>912</v>
      </c>
      <c r="E263" s="1">
        <v>-3.06053126746</v>
      </c>
      <c r="F263">
        <f>VLOOKUP(C263,'[1]phenotypes-895'!$A$2:$G$896,7,FALSE)</f>
        <v>63</v>
      </c>
      <c r="G263">
        <v>292</v>
      </c>
    </row>
    <row r="264" spans="1:7" x14ac:dyDescent="0.2">
      <c r="A264">
        <v>263</v>
      </c>
      <c r="B264">
        <v>34</v>
      </c>
      <c r="C264" t="s">
        <v>262</v>
      </c>
      <c r="D264" s="13" t="s">
        <v>913</v>
      </c>
      <c r="E264" s="1">
        <v>7.9612864610941997E-2</v>
      </c>
      <c r="F264">
        <f>VLOOKUP(C264,'[1]phenotypes-895'!$A$2:$G$896,7,FALSE)</f>
        <v>77</v>
      </c>
      <c r="G264">
        <v>189</v>
      </c>
    </row>
    <row r="265" spans="1:7" x14ac:dyDescent="0.2">
      <c r="A265">
        <v>264</v>
      </c>
      <c r="B265">
        <v>15</v>
      </c>
      <c r="C265" t="s">
        <v>263</v>
      </c>
      <c r="D265" s="12" t="s">
        <v>912</v>
      </c>
      <c r="E265" s="1">
        <v>-11.988002366701499</v>
      </c>
      <c r="F265">
        <f>VLOOKUP(C265,'[1]phenotypes-895'!$A$2:$G$896,7,FALSE)</f>
        <v>53</v>
      </c>
      <c r="G265">
        <v>299</v>
      </c>
    </row>
    <row r="266" spans="1:7" x14ac:dyDescent="0.2">
      <c r="A266">
        <v>265</v>
      </c>
      <c r="B266">
        <v>47</v>
      </c>
      <c r="C266" t="s">
        <v>264</v>
      </c>
      <c r="D266" s="13" t="s">
        <v>912</v>
      </c>
      <c r="E266" s="1">
        <v>3.4510099986220499</v>
      </c>
      <c r="F266">
        <f>VLOOKUP(C266,'[1]phenotypes-895'!$A$2:$G$896,7,FALSE)</f>
        <v>98</v>
      </c>
      <c r="G266">
        <v>175</v>
      </c>
    </row>
    <row r="267" spans="1:7" x14ac:dyDescent="0.2">
      <c r="A267">
        <v>266</v>
      </c>
      <c r="B267">
        <v>10</v>
      </c>
      <c r="C267" t="s">
        <v>265</v>
      </c>
      <c r="D267" s="12" t="s">
        <v>912</v>
      </c>
      <c r="E267" s="1">
        <v>-3.5536184614102999</v>
      </c>
      <c r="F267">
        <f>VLOOKUP(C267,'[1]phenotypes-895'!$A$2:$G$896,7,FALSE)</f>
        <v>50</v>
      </c>
      <c r="G267">
        <v>292</v>
      </c>
    </row>
    <row r="268" spans="1:7" x14ac:dyDescent="0.2">
      <c r="A268">
        <v>267</v>
      </c>
      <c r="B268">
        <v>43</v>
      </c>
      <c r="C268" t="s">
        <v>266</v>
      </c>
      <c r="D268" s="13" t="s">
        <v>912</v>
      </c>
      <c r="E268" s="1">
        <v>-2.0758440226822801</v>
      </c>
      <c r="F268">
        <f>VLOOKUP(C268,'[1]phenotypes-895'!$A$2:$G$896,7,FALSE)</f>
        <v>54</v>
      </c>
      <c r="G268">
        <v>175</v>
      </c>
    </row>
    <row r="269" spans="1:7" x14ac:dyDescent="0.2">
      <c r="A269">
        <v>268</v>
      </c>
      <c r="B269">
        <v>19</v>
      </c>
      <c r="C269" t="s">
        <v>267</v>
      </c>
      <c r="D269" s="12" t="s">
        <v>912</v>
      </c>
      <c r="E269" s="1">
        <v>-10.558461223201</v>
      </c>
      <c r="F269">
        <f>VLOOKUP(C269,'[1]phenotypes-895'!$A$2:$G$896,7,FALSE)</f>
        <v>50</v>
      </c>
      <c r="G269">
        <v>276</v>
      </c>
    </row>
    <row r="270" spans="1:7" x14ac:dyDescent="0.2">
      <c r="A270">
        <v>269</v>
      </c>
      <c r="B270">
        <v>50</v>
      </c>
      <c r="C270" t="s">
        <v>268</v>
      </c>
      <c r="D270" s="13" t="s">
        <v>912</v>
      </c>
      <c r="E270" s="1">
        <v>5.7388285820816503</v>
      </c>
      <c r="F270">
        <f>VLOOKUP(C270,'[1]phenotypes-895'!$A$2:$G$896,7,FALSE)</f>
        <v>76</v>
      </c>
      <c r="G270">
        <v>172</v>
      </c>
    </row>
    <row r="271" spans="1:7" x14ac:dyDescent="0.2">
      <c r="A271">
        <v>270</v>
      </c>
      <c r="B271">
        <v>19</v>
      </c>
      <c r="C271" t="s">
        <v>269</v>
      </c>
      <c r="D271" s="12" t="s">
        <v>912</v>
      </c>
      <c r="E271" s="1">
        <v>-10.395342504274099</v>
      </c>
      <c r="F271">
        <f>VLOOKUP(C271,'[1]phenotypes-895'!$A$2:$G$896,7,FALSE)</f>
        <v>56</v>
      </c>
      <c r="G271">
        <v>276</v>
      </c>
    </row>
    <row r="272" spans="1:7" x14ac:dyDescent="0.2">
      <c r="A272">
        <v>271</v>
      </c>
      <c r="B272">
        <v>32</v>
      </c>
      <c r="C272" t="s">
        <v>270</v>
      </c>
      <c r="D272" s="13" t="s">
        <v>913</v>
      </c>
      <c r="E272" s="1">
        <v>1.67350429070381</v>
      </c>
      <c r="F272">
        <f>VLOOKUP(C272,'[1]phenotypes-895'!$A$2:$G$896,7,FALSE)</f>
        <v>98</v>
      </c>
      <c r="G272">
        <v>199</v>
      </c>
    </row>
    <row r="273" spans="1:7" x14ac:dyDescent="0.2">
      <c r="A273">
        <v>272</v>
      </c>
      <c r="B273">
        <v>19</v>
      </c>
      <c r="C273" t="s">
        <v>271</v>
      </c>
      <c r="D273" s="12" t="s">
        <v>912</v>
      </c>
      <c r="E273" s="1">
        <v>-10.817016846422399</v>
      </c>
      <c r="F273">
        <f>VLOOKUP(C273,'[1]phenotypes-895'!$A$2:$G$896,7,FALSE)</f>
        <v>60</v>
      </c>
      <c r="G273">
        <v>276</v>
      </c>
    </row>
    <row r="274" spans="1:7" x14ac:dyDescent="0.2">
      <c r="A274">
        <v>273</v>
      </c>
      <c r="B274">
        <v>5</v>
      </c>
      <c r="C274" t="s">
        <v>272</v>
      </c>
      <c r="D274" s="12" t="s">
        <v>913</v>
      </c>
      <c r="E274" s="1">
        <v>-8.7365482568296002</v>
      </c>
      <c r="F274">
        <f>VLOOKUP(C274,'[1]phenotypes-895'!$A$2:$G$896,7,FALSE)</f>
        <v>50</v>
      </c>
      <c r="G274">
        <v>275</v>
      </c>
    </row>
    <row r="275" spans="1:7" x14ac:dyDescent="0.2">
      <c r="A275">
        <v>274</v>
      </c>
      <c r="B275">
        <v>2</v>
      </c>
      <c r="C275" t="s">
        <v>273</v>
      </c>
      <c r="D275" s="12" t="s">
        <v>913</v>
      </c>
      <c r="E275" s="1">
        <v>5.1209613549980704</v>
      </c>
      <c r="F275">
        <f>VLOOKUP(C275,'[1]phenotypes-895'!$A$2:$G$896,7,FALSE)</f>
        <v>98</v>
      </c>
      <c r="G275">
        <v>271</v>
      </c>
    </row>
    <row r="276" spans="1:7" x14ac:dyDescent="0.2">
      <c r="A276">
        <v>275</v>
      </c>
      <c r="B276">
        <v>2</v>
      </c>
      <c r="C276" t="s">
        <v>274</v>
      </c>
      <c r="D276" s="12" t="s">
        <v>913</v>
      </c>
      <c r="E276" s="1">
        <v>-7.7381294013557396</v>
      </c>
      <c r="F276">
        <f>VLOOKUP(C276,'[1]phenotypes-895'!$A$2:$G$896,7,FALSE)</f>
        <v>56</v>
      </c>
      <c r="G276">
        <v>271</v>
      </c>
    </row>
    <row r="277" spans="1:7" x14ac:dyDescent="0.2">
      <c r="A277">
        <v>276</v>
      </c>
      <c r="B277">
        <v>6</v>
      </c>
      <c r="C277" t="s">
        <v>275</v>
      </c>
      <c r="D277" s="12" t="s">
        <v>913</v>
      </c>
      <c r="E277" s="1">
        <v>-1.0526180335006801</v>
      </c>
      <c r="F277">
        <f>VLOOKUP(C277,'[1]phenotypes-895'!$A$2:$G$896,7,FALSE)</f>
        <v>98</v>
      </c>
      <c r="G277">
        <v>278</v>
      </c>
    </row>
    <row r="278" spans="1:7" x14ac:dyDescent="0.2">
      <c r="A278">
        <v>277</v>
      </c>
      <c r="B278">
        <v>10</v>
      </c>
      <c r="C278" t="s">
        <v>276</v>
      </c>
      <c r="D278" s="12" t="s">
        <v>912</v>
      </c>
      <c r="E278" s="1">
        <v>-3.6667358602351601</v>
      </c>
      <c r="F278">
        <f>VLOOKUP(C278,'[1]phenotypes-895'!$A$2:$G$896,7,FALSE)</f>
        <v>56</v>
      </c>
      <c r="G278">
        <v>292</v>
      </c>
    </row>
    <row r="279" spans="1:7" x14ac:dyDescent="0.2">
      <c r="A279">
        <v>278</v>
      </c>
      <c r="B279">
        <v>5</v>
      </c>
      <c r="C279" t="s">
        <v>277</v>
      </c>
      <c r="D279" s="12" t="s">
        <v>913</v>
      </c>
      <c r="E279" s="1">
        <v>-4.1434630644826598</v>
      </c>
      <c r="F279">
        <f>VLOOKUP(C279,'[1]phenotypes-895'!$A$2:$G$896,7,FALSE)</f>
        <v>70</v>
      </c>
      <c r="G279">
        <v>275</v>
      </c>
    </row>
    <row r="280" spans="1:7" x14ac:dyDescent="0.2">
      <c r="A280">
        <v>279</v>
      </c>
      <c r="B280">
        <v>17</v>
      </c>
      <c r="C280" t="s">
        <v>278</v>
      </c>
      <c r="D280" s="12" t="s">
        <v>912</v>
      </c>
      <c r="E280" s="1">
        <v>-6.1287265030964502</v>
      </c>
      <c r="F280">
        <f>VLOOKUP(C280,'[1]phenotypes-895'!$A$2:$G$896,7,FALSE)</f>
        <v>68</v>
      </c>
      <c r="G280">
        <v>276</v>
      </c>
    </row>
    <row r="281" spans="1:7" x14ac:dyDescent="0.2">
      <c r="A281">
        <v>280</v>
      </c>
      <c r="B281">
        <v>6</v>
      </c>
      <c r="C281" t="s">
        <v>279</v>
      </c>
      <c r="D281" s="12" t="s">
        <v>913</v>
      </c>
      <c r="E281" s="1">
        <v>-5.2219688432900204</v>
      </c>
      <c r="F281">
        <f>VLOOKUP(C281,'[1]phenotypes-895'!$A$2:$G$896,7,FALSE)</f>
        <v>57</v>
      </c>
      <c r="G281">
        <v>278</v>
      </c>
    </row>
    <row r="282" spans="1:7" x14ac:dyDescent="0.2">
      <c r="A282">
        <v>281</v>
      </c>
      <c r="B282">
        <v>2</v>
      </c>
      <c r="C282" t="s">
        <v>280</v>
      </c>
      <c r="D282" s="12" t="s">
        <v>913</v>
      </c>
      <c r="E282" s="1">
        <v>7.5573391181862704</v>
      </c>
      <c r="F282">
        <f>VLOOKUP(C282,'[1]phenotypes-895'!$A$2:$G$896,7,FALSE)</f>
        <v>98</v>
      </c>
      <c r="G282">
        <v>271</v>
      </c>
    </row>
    <row r="283" spans="1:7" x14ac:dyDescent="0.2">
      <c r="A283">
        <v>282</v>
      </c>
      <c r="B283">
        <v>7</v>
      </c>
      <c r="C283" t="s">
        <v>281</v>
      </c>
      <c r="D283" s="12" t="s">
        <v>913</v>
      </c>
      <c r="E283" s="1">
        <v>-2.3243838315507799</v>
      </c>
      <c r="F283">
        <f>VLOOKUP(C283,'[1]phenotypes-895'!$A$2:$G$896,7,FALSE)</f>
        <v>62</v>
      </c>
      <c r="G283">
        <v>278</v>
      </c>
    </row>
    <row r="284" spans="1:7" x14ac:dyDescent="0.2">
      <c r="A284">
        <v>283</v>
      </c>
      <c r="B284">
        <v>17</v>
      </c>
      <c r="C284" t="s">
        <v>282</v>
      </c>
      <c r="D284" s="12" t="s">
        <v>912</v>
      </c>
      <c r="E284" s="1">
        <v>-7.6541617875165304</v>
      </c>
      <c r="F284">
        <f>VLOOKUP(C284,'[1]phenotypes-895'!$A$2:$G$896,7,FALSE)</f>
        <v>53</v>
      </c>
      <c r="G284">
        <v>276</v>
      </c>
    </row>
    <row r="285" spans="1:7" x14ac:dyDescent="0.2">
      <c r="A285">
        <v>284</v>
      </c>
      <c r="B285">
        <v>16</v>
      </c>
      <c r="C285" t="s">
        <v>283</v>
      </c>
      <c r="D285" s="12" t="s">
        <v>912</v>
      </c>
      <c r="E285" s="1">
        <v>-3.44815347832286</v>
      </c>
      <c r="F285">
        <f>VLOOKUP(C285,'[1]phenotypes-895'!$A$2:$G$896,7,FALSE)</f>
        <v>66</v>
      </c>
      <c r="G285">
        <v>291</v>
      </c>
    </row>
    <row r="286" spans="1:7" x14ac:dyDescent="0.2">
      <c r="A286">
        <v>285</v>
      </c>
      <c r="B286">
        <v>6</v>
      </c>
      <c r="C286" t="s">
        <v>284</v>
      </c>
      <c r="D286" s="12" t="s">
        <v>913</v>
      </c>
      <c r="E286" s="1">
        <v>-2.7055822543703099</v>
      </c>
      <c r="F286">
        <f>VLOOKUP(C286,'[1]phenotypes-895'!$A$2:$G$896,7,FALSE)</f>
        <v>98</v>
      </c>
      <c r="G286">
        <v>278</v>
      </c>
    </row>
    <row r="287" spans="1:7" x14ac:dyDescent="0.2">
      <c r="A287">
        <v>286</v>
      </c>
      <c r="B287">
        <v>11</v>
      </c>
      <c r="C287" t="s">
        <v>285</v>
      </c>
      <c r="D287" s="12" t="s">
        <v>912</v>
      </c>
      <c r="E287" s="1">
        <v>3.2155112046469099</v>
      </c>
      <c r="F287">
        <f>VLOOKUP(C287,'[1]phenotypes-895'!$A$2:$G$896,7,FALSE)</f>
        <v>98</v>
      </c>
      <c r="G287">
        <v>303</v>
      </c>
    </row>
    <row r="288" spans="1:7" x14ac:dyDescent="0.2">
      <c r="A288">
        <v>287</v>
      </c>
      <c r="B288">
        <v>1</v>
      </c>
      <c r="C288" t="s">
        <v>286</v>
      </c>
      <c r="D288" s="12" t="s">
        <v>913</v>
      </c>
      <c r="E288" s="1">
        <v>-6.0759721539542602</v>
      </c>
      <c r="F288">
        <f>VLOOKUP(C288,'[1]phenotypes-895'!$A$2:$G$896,7,FALSE)</f>
        <v>49</v>
      </c>
      <c r="G288">
        <v>269</v>
      </c>
    </row>
    <row r="289" spans="1:7" x14ac:dyDescent="0.2">
      <c r="A289">
        <v>288</v>
      </c>
      <c r="B289">
        <v>6</v>
      </c>
      <c r="C289" t="s">
        <v>287</v>
      </c>
      <c r="D289" s="12" t="s">
        <v>913</v>
      </c>
      <c r="E289" s="1">
        <v>-6.7116005449388396</v>
      </c>
      <c r="F289">
        <f>VLOOKUP(C289,'[1]phenotypes-895'!$A$2:$G$896,7,FALSE)</f>
        <v>57</v>
      </c>
      <c r="G289">
        <v>278</v>
      </c>
    </row>
    <row r="290" spans="1:7" x14ac:dyDescent="0.2">
      <c r="A290">
        <v>289</v>
      </c>
      <c r="B290">
        <v>2</v>
      </c>
      <c r="C290" t="s">
        <v>288</v>
      </c>
      <c r="D290" s="12" t="s">
        <v>913</v>
      </c>
      <c r="E290" s="1">
        <v>-8.4244078978257999</v>
      </c>
      <c r="F290">
        <f>VLOOKUP(C290,'[1]phenotypes-895'!$A$2:$G$896,7,FALSE)</f>
        <v>53</v>
      </c>
      <c r="G290">
        <v>271</v>
      </c>
    </row>
    <row r="291" spans="1:7" x14ac:dyDescent="0.2">
      <c r="A291">
        <v>290</v>
      </c>
      <c r="B291">
        <v>5</v>
      </c>
      <c r="C291" t="s">
        <v>289</v>
      </c>
      <c r="D291" s="12" t="s">
        <v>913</v>
      </c>
      <c r="E291" s="1">
        <v>-7.6513942092702196</v>
      </c>
      <c r="F291">
        <f>VLOOKUP(C291,'[1]phenotypes-895'!$A$2:$G$896,7,FALSE)</f>
        <v>66</v>
      </c>
      <c r="G291">
        <v>275</v>
      </c>
    </row>
    <row r="292" spans="1:7" x14ac:dyDescent="0.2">
      <c r="A292">
        <v>291</v>
      </c>
      <c r="B292">
        <v>16</v>
      </c>
      <c r="C292" t="s">
        <v>290</v>
      </c>
      <c r="D292" s="12" t="s">
        <v>912</v>
      </c>
      <c r="E292" s="1">
        <v>-5.0432421095009401</v>
      </c>
      <c r="F292">
        <f>VLOOKUP(C292,'[1]phenotypes-895'!$A$2:$G$896,7,FALSE)</f>
        <v>98</v>
      </c>
      <c r="G292">
        <v>291</v>
      </c>
    </row>
    <row r="293" spans="1:7" x14ac:dyDescent="0.2">
      <c r="A293">
        <v>292</v>
      </c>
      <c r="B293">
        <v>7</v>
      </c>
      <c r="C293" t="s">
        <v>291</v>
      </c>
      <c r="D293" s="12" t="s">
        <v>913</v>
      </c>
      <c r="E293" s="1">
        <v>1.76838120790366</v>
      </c>
      <c r="F293">
        <f>VLOOKUP(C293,'[1]phenotypes-895'!$A$2:$G$896,7,FALSE)</f>
        <v>79</v>
      </c>
      <c r="G293">
        <v>278</v>
      </c>
    </row>
    <row r="294" spans="1:7" x14ac:dyDescent="0.2">
      <c r="A294">
        <v>293</v>
      </c>
      <c r="B294">
        <v>7</v>
      </c>
      <c r="C294" t="s">
        <v>292</v>
      </c>
      <c r="D294" s="12" t="s">
        <v>913</v>
      </c>
      <c r="E294" s="1">
        <v>2.86760531808598</v>
      </c>
      <c r="F294">
        <f>VLOOKUP(C294,'[1]phenotypes-895'!$A$2:$G$896,7,FALSE)</f>
        <v>98</v>
      </c>
      <c r="G294">
        <v>278</v>
      </c>
    </row>
    <row r="295" spans="1:7" x14ac:dyDescent="0.2">
      <c r="A295">
        <v>294</v>
      </c>
      <c r="B295">
        <v>15</v>
      </c>
      <c r="C295" t="s">
        <v>293</v>
      </c>
      <c r="D295" s="12" t="s">
        <v>912</v>
      </c>
      <c r="E295" s="1">
        <v>-10.3131466879921</v>
      </c>
      <c r="F295">
        <f>VLOOKUP(C295,'[1]phenotypes-895'!$A$2:$G$896,7,FALSE)</f>
        <v>58</v>
      </c>
      <c r="G295">
        <v>299</v>
      </c>
    </row>
    <row r="296" spans="1:7" x14ac:dyDescent="0.2">
      <c r="A296">
        <v>295</v>
      </c>
      <c r="B296">
        <v>15</v>
      </c>
      <c r="C296" t="s">
        <v>294</v>
      </c>
      <c r="D296" s="12" t="s">
        <v>912</v>
      </c>
      <c r="E296" s="1">
        <v>-1.5610255400008399</v>
      </c>
      <c r="F296">
        <f>VLOOKUP(C296,'[1]phenotypes-895'!$A$2:$G$896,7,FALSE)</f>
        <v>98</v>
      </c>
      <c r="G296">
        <v>299</v>
      </c>
    </row>
    <row r="297" spans="1:7" x14ac:dyDescent="0.2">
      <c r="A297">
        <v>296</v>
      </c>
      <c r="B297">
        <v>14</v>
      </c>
      <c r="C297" t="s">
        <v>295</v>
      </c>
      <c r="D297" s="12" t="s">
        <v>912</v>
      </c>
      <c r="E297" s="1">
        <v>-6.6222607230496804</v>
      </c>
      <c r="F297">
        <f>VLOOKUP(C297,'[1]phenotypes-895'!$A$2:$G$896,7,FALSE)</f>
        <v>43</v>
      </c>
      <c r="G297">
        <v>292</v>
      </c>
    </row>
    <row r="298" spans="1:7" x14ac:dyDescent="0.2">
      <c r="A298">
        <v>297</v>
      </c>
      <c r="B298">
        <v>4</v>
      </c>
      <c r="C298" t="s">
        <v>296</v>
      </c>
      <c r="D298" s="12" t="s">
        <v>913</v>
      </c>
      <c r="E298" s="1">
        <v>-1.7980939980678901</v>
      </c>
      <c r="F298">
        <f>VLOOKUP(C298,'[1]phenotypes-895'!$A$2:$G$896,7,FALSE)</f>
        <v>72</v>
      </c>
      <c r="G298">
        <v>271</v>
      </c>
    </row>
    <row r="299" spans="1:7" x14ac:dyDescent="0.2">
      <c r="A299">
        <v>298</v>
      </c>
      <c r="B299">
        <v>50</v>
      </c>
      <c r="C299" t="s">
        <v>297</v>
      </c>
      <c r="D299" s="13" t="s">
        <v>912</v>
      </c>
      <c r="E299" s="1">
        <v>1.8629820946214799</v>
      </c>
      <c r="F299">
        <f>VLOOKUP(C299,'[1]phenotypes-895'!$A$2:$G$896,7,FALSE)</f>
        <v>62</v>
      </c>
      <c r="G299">
        <v>172</v>
      </c>
    </row>
    <row r="300" spans="1:7" x14ac:dyDescent="0.2">
      <c r="A300">
        <v>299</v>
      </c>
      <c r="B300">
        <v>10</v>
      </c>
      <c r="C300" t="s">
        <v>298</v>
      </c>
      <c r="D300" s="12" t="s">
        <v>912</v>
      </c>
      <c r="E300" s="1">
        <v>-7.3512841157772897</v>
      </c>
      <c r="F300">
        <f>VLOOKUP(C300,'[1]phenotypes-895'!$A$2:$G$896,7,FALSE)</f>
        <v>45</v>
      </c>
      <c r="G300">
        <v>292</v>
      </c>
    </row>
    <row r="301" spans="1:7" x14ac:dyDescent="0.2">
      <c r="A301">
        <v>300</v>
      </c>
      <c r="B301">
        <v>50</v>
      </c>
      <c r="C301" t="s">
        <v>299</v>
      </c>
      <c r="D301" s="13" t="s">
        <v>912</v>
      </c>
      <c r="E301" s="1">
        <v>1.4462524361912601</v>
      </c>
      <c r="F301">
        <f>VLOOKUP(C301,'[1]phenotypes-895'!$A$2:$G$896,7,FALSE)</f>
        <v>59</v>
      </c>
      <c r="G301">
        <v>172</v>
      </c>
    </row>
    <row r="302" spans="1:7" x14ac:dyDescent="0.2">
      <c r="A302">
        <v>301</v>
      </c>
      <c r="B302">
        <v>24</v>
      </c>
      <c r="C302" t="s">
        <v>300</v>
      </c>
      <c r="D302" s="13" t="s">
        <v>913</v>
      </c>
      <c r="E302" s="1">
        <v>-3.4651871199589599</v>
      </c>
      <c r="F302">
        <f>VLOOKUP(C302,'[1]phenotypes-895'!$A$2:$G$896,7,FALSE)</f>
        <v>76</v>
      </c>
      <c r="G302">
        <v>239</v>
      </c>
    </row>
    <row r="303" spans="1:7" x14ac:dyDescent="0.2">
      <c r="A303">
        <v>302</v>
      </c>
      <c r="B303">
        <v>13</v>
      </c>
      <c r="C303" t="s">
        <v>301</v>
      </c>
      <c r="D303" s="12" t="s">
        <v>912</v>
      </c>
      <c r="E303" s="1">
        <v>-4.2267138261585204</v>
      </c>
      <c r="F303">
        <f>VLOOKUP(C303,'[1]phenotypes-895'!$A$2:$G$896,7,FALSE)</f>
        <v>98</v>
      </c>
      <c r="G303">
        <v>289</v>
      </c>
    </row>
    <row r="304" spans="1:7" x14ac:dyDescent="0.2">
      <c r="A304">
        <v>303</v>
      </c>
      <c r="B304">
        <v>34</v>
      </c>
      <c r="C304" t="s">
        <v>302</v>
      </c>
      <c r="D304" s="13" t="s">
        <v>913</v>
      </c>
      <c r="E304" s="1">
        <v>-2.6780442285758701</v>
      </c>
      <c r="F304">
        <f>VLOOKUP(C304,'[1]phenotypes-895'!$A$2:$G$896,7,FALSE)</f>
        <v>68</v>
      </c>
      <c r="G304">
        <v>189</v>
      </c>
    </row>
    <row r="305" spans="1:7" x14ac:dyDescent="0.2">
      <c r="A305">
        <v>304</v>
      </c>
      <c r="B305">
        <v>13</v>
      </c>
      <c r="C305" t="s">
        <v>303</v>
      </c>
      <c r="D305" s="12" t="s">
        <v>912</v>
      </c>
      <c r="E305" s="1">
        <v>-8.8788279091257198</v>
      </c>
      <c r="F305">
        <f>VLOOKUP(C305,'[1]phenotypes-895'!$A$2:$G$896,7,FALSE)</f>
        <v>49</v>
      </c>
      <c r="G305">
        <v>289</v>
      </c>
    </row>
    <row r="306" spans="1:7" x14ac:dyDescent="0.2">
      <c r="A306">
        <v>305</v>
      </c>
      <c r="B306">
        <v>37</v>
      </c>
      <c r="C306" t="s">
        <v>304</v>
      </c>
      <c r="D306" s="13" t="s">
        <v>913</v>
      </c>
      <c r="E306" s="1">
        <v>8.1731182144735204</v>
      </c>
      <c r="F306">
        <f>VLOOKUP(C306,'[1]phenotypes-895'!$A$2:$G$896,7,FALSE)</f>
        <v>98</v>
      </c>
      <c r="G306">
        <v>200</v>
      </c>
    </row>
    <row r="307" spans="1:7" x14ac:dyDescent="0.2">
      <c r="A307">
        <v>306</v>
      </c>
      <c r="B307">
        <v>8</v>
      </c>
      <c r="C307" t="s">
        <v>305</v>
      </c>
      <c r="D307" s="12" t="s">
        <v>913</v>
      </c>
      <c r="E307" s="1">
        <v>1.3811088886988601</v>
      </c>
      <c r="F307">
        <f>VLOOKUP(C307,'[1]phenotypes-895'!$A$2:$G$896,7,FALSE)</f>
        <v>76</v>
      </c>
      <c r="G307">
        <v>271</v>
      </c>
    </row>
    <row r="308" spans="1:7" x14ac:dyDescent="0.2">
      <c r="A308">
        <v>307</v>
      </c>
      <c r="B308">
        <v>49</v>
      </c>
      <c r="C308" t="s">
        <v>306</v>
      </c>
      <c r="D308" s="13" t="s">
        <v>912</v>
      </c>
      <c r="E308" s="1">
        <v>2.2939763712655998</v>
      </c>
      <c r="F308">
        <f>VLOOKUP(C308,'[1]phenotypes-895'!$A$2:$G$896,7,FALSE)</f>
        <v>67</v>
      </c>
      <c r="G308">
        <v>175</v>
      </c>
    </row>
    <row r="309" spans="1:7" x14ac:dyDescent="0.2">
      <c r="A309">
        <v>308</v>
      </c>
      <c r="B309">
        <v>7</v>
      </c>
      <c r="C309" t="s">
        <v>307</v>
      </c>
      <c r="D309" s="12" t="s">
        <v>913</v>
      </c>
      <c r="E309" s="1">
        <v>2.7436899843816098</v>
      </c>
      <c r="F309">
        <f>VLOOKUP(C309,'[1]phenotypes-895'!$A$2:$G$896,7,FALSE)</f>
        <v>98</v>
      </c>
      <c r="G309">
        <v>278</v>
      </c>
    </row>
    <row r="310" spans="1:7" x14ac:dyDescent="0.2">
      <c r="A310">
        <v>309</v>
      </c>
      <c r="B310">
        <v>51</v>
      </c>
      <c r="C310" t="s">
        <v>308</v>
      </c>
      <c r="D310" s="13" t="s">
        <v>912</v>
      </c>
      <c r="E310" s="1">
        <v>-0.85332375740592104</v>
      </c>
      <c r="F310">
        <f>VLOOKUP(C310,'[1]phenotypes-895'!$A$2:$G$896,7,FALSE)</f>
        <v>59</v>
      </c>
      <c r="G310">
        <v>159</v>
      </c>
    </row>
    <row r="311" spans="1:7" x14ac:dyDescent="0.2">
      <c r="A311">
        <v>310</v>
      </c>
      <c r="B311">
        <v>48</v>
      </c>
      <c r="C311" t="s">
        <v>309</v>
      </c>
      <c r="D311" s="13" t="s">
        <v>912</v>
      </c>
      <c r="E311" s="1">
        <v>1.1065747329205</v>
      </c>
      <c r="F311">
        <f>VLOOKUP(C311,'[1]phenotypes-895'!$A$2:$G$896,7,FALSE)</f>
        <v>79</v>
      </c>
      <c r="G311">
        <v>173</v>
      </c>
    </row>
    <row r="312" spans="1:7" x14ac:dyDescent="0.2">
      <c r="A312">
        <v>311</v>
      </c>
      <c r="B312">
        <v>1</v>
      </c>
      <c r="C312" t="s">
        <v>310</v>
      </c>
      <c r="D312" s="12" t="s">
        <v>913</v>
      </c>
      <c r="E312" s="1">
        <v>-6.1843349171220297</v>
      </c>
      <c r="F312">
        <f>VLOOKUP(C312,'[1]phenotypes-895'!$A$2:$G$896,7,FALSE)</f>
        <v>37</v>
      </c>
      <c r="G312">
        <v>269</v>
      </c>
    </row>
    <row r="313" spans="1:7" x14ac:dyDescent="0.2">
      <c r="A313">
        <v>312</v>
      </c>
      <c r="B313">
        <v>22</v>
      </c>
      <c r="C313" t="s">
        <v>311</v>
      </c>
      <c r="D313" s="13" t="s">
        <v>913</v>
      </c>
      <c r="E313" s="1">
        <v>1.9996668153239301</v>
      </c>
      <c r="F313">
        <f>VLOOKUP(C313,'[1]phenotypes-895'!$A$2:$G$896,7,FALSE)</f>
        <v>61</v>
      </c>
      <c r="G313">
        <v>173</v>
      </c>
    </row>
    <row r="314" spans="1:7" x14ac:dyDescent="0.2">
      <c r="A314">
        <v>313</v>
      </c>
      <c r="B314">
        <v>3</v>
      </c>
      <c r="C314" t="s">
        <v>312</v>
      </c>
      <c r="D314" s="12" t="s">
        <v>913</v>
      </c>
      <c r="E314" s="1">
        <v>-5.0744291866684499</v>
      </c>
      <c r="F314">
        <f>VLOOKUP(C314,'[1]phenotypes-895'!$A$2:$G$896,7,FALSE)</f>
        <v>50</v>
      </c>
      <c r="G314">
        <v>284</v>
      </c>
    </row>
    <row r="315" spans="1:7" x14ac:dyDescent="0.2">
      <c r="A315">
        <v>314</v>
      </c>
      <c r="B315">
        <v>39</v>
      </c>
      <c r="C315" t="s">
        <v>313</v>
      </c>
      <c r="D315" s="13" t="s">
        <v>913</v>
      </c>
      <c r="E315" s="1">
        <v>4.3537348750087004</v>
      </c>
      <c r="F315">
        <f>VLOOKUP(C315,'[1]phenotypes-895'!$A$2:$G$896,7,FALSE)</f>
        <v>98</v>
      </c>
      <c r="G315">
        <v>206</v>
      </c>
    </row>
    <row r="316" spans="1:7" x14ac:dyDescent="0.2">
      <c r="A316">
        <v>315</v>
      </c>
      <c r="B316">
        <v>5</v>
      </c>
      <c r="C316" t="s">
        <v>314</v>
      </c>
      <c r="D316" s="12" t="s">
        <v>913</v>
      </c>
      <c r="E316" s="1">
        <v>-9.3344704636122202</v>
      </c>
      <c r="F316">
        <f>VLOOKUP(C316,'[1]phenotypes-895'!$A$2:$G$896,7,FALSE)</f>
        <v>98</v>
      </c>
      <c r="G316">
        <v>275</v>
      </c>
    </row>
    <row r="317" spans="1:7" x14ac:dyDescent="0.2">
      <c r="A317">
        <v>316</v>
      </c>
      <c r="B317">
        <v>40</v>
      </c>
      <c r="C317" t="s">
        <v>315</v>
      </c>
      <c r="D317" s="13" t="s">
        <v>913</v>
      </c>
      <c r="E317" s="1">
        <v>-2.50281268174647</v>
      </c>
      <c r="F317">
        <f>VLOOKUP(C317,'[1]phenotypes-895'!$A$2:$G$896,7,FALSE)</f>
        <v>68</v>
      </c>
      <c r="G317">
        <v>202</v>
      </c>
    </row>
    <row r="318" spans="1:7" x14ac:dyDescent="0.2">
      <c r="A318">
        <v>317</v>
      </c>
      <c r="B318">
        <v>16</v>
      </c>
      <c r="C318" t="s">
        <v>316</v>
      </c>
      <c r="D318" s="12" t="s">
        <v>912</v>
      </c>
      <c r="E318" s="1">
        <v>-7.54335571136206</v>
      </c>
      <c r="F318">
        <f>VLOOKUP(C318,'[1]phenotypes-895'!$A$2:$G$896,7,FALSE)</f>
        <v>49</v>
      </c>
      <c r="G318">
        <v>291</v>
      </c>
    </row>
    <row r="319" spans="1:7" x14ac:dyDescent="0.2">
      <c r="A319">
        <v>318</v>
      </c>
      <c r="B319">
        <v>9</v>
      </c>
      <c r="C319" t="s">
        <v>317</v>
      </c>
      <c r="D319" s="12" t="s">
        <v>912</v>
      </c>
      <c r="E319" s="1">
        <v>-0.92828603191967296</v>
      </c>
      <c r="F319">
        <f>VLOOKUP(C319,'[1]phenotypes-895'!$A$2:$G$896,7,FALSE)</f>
        <v>98</v>
      </c>
      <c r="G319">
        <v>296</v>
      </c>
    </row>
    <row r="320" spans="1:7" x14ac:dyDescent="0.2">
      <c r="A320">
        <v>319</v>
      </c>
      <c r="B320">
        <v>3</v>
      </c>
      <c r="C320" t="s">
        <v>318</v>
      </c>
      <c r="D320" s="12" t="s">
        <v>913</v>
      </c>
      <c r="E320" s="1">
        <v>-2.8444793129886499</v>
      </c>
      <c r="F320">
        <f>VLOOKUP(C320,'[1]phenotypes-895'!$A$2:$G$896,7,FALSE)</f>
        <v>64</v>
      </c>
      <c r="G320">
        <v>284</v>
      </c>
    </row>
    <row r="321" spans="1:7" x14ac:dyDescent="0.2">
      <c r="A321">
        <v>320</v>
      </c>
      <c r="B321">
        <v>8</v>
      </c>
      <c r="C321" t="s">
        <v>319</v>
      </c>
      <c r="D321" s="12" t="s">
        <v>913</v>
      </c>
      <c r="E321" s="1">
        <v>4.0920339499113503</v>
      </c>
      <c r="F321">
        <f>VLOOKUP(C321,'[1]phenotypes-895'!$A$2:$G$896,7,FALSE)</f>
        <v>98</v>
      </c>
      <c r="G321">
        <v>271</v>
      </c>
    </row>
    <row r="322" spans="1:7" x14ac:dyDescent="0.2">
      <c r="A322">
        <v>321</v>
      </c>
      <c r="B322">
        <v>20</v>
      </c>
      <c r="C322" t="s">
        <v>320</v>
      </c>
      <c r="D322" s="12" t="s">
        <v>912</v>
      </c>
      <c r="E322" s="1">
        <v>-1.46659234045177</v>
      </c>
      <c r="F322">
        <f>VLOOKUP(C322,'[1]phenotypes-895'!$A$2:$G$896,7,FALSE)</f>
        <v>72</v>
      </c>
      <c r="G322">
        <v>289</v>
      </c>
    </row>
    <row r="323" spans="1:7" x14ac:dyDescent="0.2">
      <c r="A323">
        <v>322</v>
      </c>
      <c r="B323">
        <v>11</v>
      </c>
      <c r="C323" t="s">
        <v>321</v>
      </c>
      <c r="D323" s="12" t="s">
        <v>912</v>
      </c>
      <c r="E323" s="1">
        <v>-7.8748929741171896</v>
      </c>
      <c r="F323">
        <f>VLOOKUP(C323,'[1]phenotypes-895'!$A$2:$G$896,7,FALSE)</f>
        <v>53</v>
      </c>
      <c r="G323">
        <v>303</v>
      </c>
    </row>
    <row r="324" spans="1:7" x14ac:dyDescent="0.2">
      <c r="A324">
        <v>323</v>
      </c>
      <c r="B324">
        <v>4</v>
      </c>
      <c r="C324" t="s">
        <v>322</v>
      </c>
      <c r="D324" s="12" t="s">
        <v>913</v>
      </c>
      <c r="E324" s="1">
        <v>-3.3197830291798001</v>
      </c>
      <c r="F324">
        <f>VLOOKUP(C324,'[1]phenotypes-895'!$A$2:$G$896,7,FALSE)</f>
        <v>98</v>
      </c>
      <c r="G324">
        <v>271</v>
      </c>
    </row>
    <row r="325" spans="1:7" x14ac:dyDescent="0.2">
      <c r="A325">
        <v>324</v>
      </c>
      <c r="B325">
        <v>8</v>
      </c>
      <c r="C325" t="s">
        <v>323</v>
      </c>
      <c r="D325" s="12" t="s">
        <v>913</v>
      </c>
      <c r="E325" s="1">
        <v>-4.1593547766130303</v>
      </c>
      <c r="F325">
        <f>VLOOKUP(C325,'[1]phenotypes-895'!$A$2:$G$896,7,FALSE)</f>
        <v>53</v>
      </c>
      <c r="G325">
        <v>271</v>
      </c>
    </row>
    <row r="326" spans="1:7" x14ac:dyDescent="0.2">
      <c r="A326">
        <v>325</v>
      </c>
      <c r="B326">
        <v>5</v>
      </c>
      <c r="C326" t="s">
        <v>324</v>
      </c>
      <c r="D326" s="12" t="s">
        <v>913</v>
      </c>
      <c r="E326" s="1">
        <v>-9.1272354917631606</v>
      </c>
      <c r="F326">
        <f>VLOOKUP(C326,'[1]phenotypes-895'!$A$2:$G$896,7,FALSE)</f>
        <v>57</v>
      </c>
      <c r="G326">
        <v>275</v>
      </c>
    </row>
    <row r="327" spans="1:7" x14ac:dyDescent="0.2">
      <c r="A327">
        <v>326</v>
      </c>
      <c r="B327">
        <v>16</v>
      </c>
      <c r="C327" t="s">
        <v>325</v>
      </c>
      <c r="D327" s="12" t="s">
        <v>912</v>
      </c>
      <c r="E327" s="1">
        <v>-8.7249637936794606</v>
      </c>
      <c r="F327">
        <f>VLOOKUP(C327,'[1]phenotypes-895'!$A$2:$G$896,7,FALSE)</f>
        <v>61</v>
      </c>
      <c r="G327">
        <v>291</v>
      </c>
    </row>
    <row r="328" spans="1:7" x14ac:dyDescent="0.2">
      <c r="A328">
        <v>327</v>
      </c>
      <c r="B328">
        <v>17</v>
      </c>
      <c r="C328" t="s">
        <v>326</v>
      </c>
      <c r="D328" s="12" t="s">
        <v>912</v>
      </c>
      <c r="E328" s="1">
        <v>-7.31687681413747</v>
      </c>
      <c r="F328">
        <f>VLOOKUP(C328,'[1]phenotypes-895'!$A$2:$G$896,7,FALSE)</f>
        <v>53</v>
      </c>
      <c r="G328">
        <v>276</v>
      </c>
    </row>
    <row r="329" spans="1:7" x14ac:dyDescent="0.2">
      <c r="A329">
        <v>328</v>
      </c>
      <c r="B329">
        <v>5</v>
      </c>
      <c r="C329" t="s">
        <v>327</v>
      </c>
      <c r="D329" s="12" t="s">
        <v>913</v>
      </c>
      <c r="E329" s="1">
        <v>-10.522486401954501</v>
      </c>
      <c r="F329">
        <f>VLOOKUP(C329,'[1]phenotypes-895'!$A$2:$G$896,7,FALSE)</f>
        <v>62</v>
      </c>
      <c r="G329">
        <v>275</v>
      </c>
    </row>
    <row r="330" spans="1:7" x14ac:dyDescent="0.2">
      <c r="A330">
        <v>329</v>
      </c>
      <c r="B330">
        <v>13</v>
      </c>
      <c r="C330" t="s">
        <v>328</v>
      </c>
      <c r="D330" s="12" t="s">
        <v>912</v>
      </c>
      <c r="E330" s="1">
        <v>-2.4968712697222299</v>
      </c>
      <c r="F330">
        <f>VLOOKUP(C330,'[1]phenotypes-895'!$A$2:$G$896,7,FALSE)</f>
        <v>98</v>
      </c>
      <c r="G330">
        <v>289</v>
      </c>
    </row>
    <row r="331" spans="1:7" x14ac:dyDescent="0.2">
      <c r="A331">
        <v>330</v>
      </c>
      <c r="B331">
        <v>1</v>
      </c>
      <c r="C331" t="s">
        <v>329</v>
      </c>
      <c r="D331" s="12" t="s">
        <v>913</v>
      </c>
      <c r="E331" s="1">
        <v>-5.2136560022460703</v>
      </c>
      <c r="F331">
        <f>VLOOKUP(C331,'[1]phenotypes-895'!$A$2:$G$896,7,FALSE)</f>
        <v>48</v>
      </c>
      <c r="G331">
        <v>269</v>
      </c>
    </row>
    <row r="332" spans="1:7" x14ac:dyDescent="0.2">
      <c r="A332">
        <v>331</v>
      </c>
      <c r="B332">
        <v>9</v>
      </c>
      <c r="C332" t="s">
        <v>330</v>
      </c>
      <c r="D332" s="12" t="s">
        <v>912</v>
      </c>
      <c r="E332" s="1">
        <v>0.89943391930607297</v>
      </c>
      <c r="F332">
        <f>VLOOKUP(C332,'[1]phenotypes-895'!$A$2:$G$896,7,FALSE)</f>
        <v>98</v>
      </c>
      <c r="G332">
        <v>296</v>
      </c>
    </row>
    <row r="333" spans="1:7" x14ac:dyDescent="0.2">
      <c r="A333">
        <v>332</v>
      </c>
      <c r="B333">
        <v>5</v>
      </c>
      <c r="C333" t="s">
        <v>331</v>
      </c>
      <c r="D333" s="12" t="s">
        <v>913</v>
      </c>
      <c r="E333" s="1">
        <v>-12.5644024185432</v>
      </c>
      <c r="F333">
        <f>VLOOKUP(C333,'[1]phenotypes-895'!$A$2:$G$896,7,FALSE)</f>
        <v>51</v>
      </c>
      <c r="G333">
        <v>275</v>
      </c>
    </row>
    <row r="334" spans="1:7" x14ac:dyDescent="0.2">
      <c r="A334">
        <v>333</v>
      </c>
      <c r="B334">
        <v>4</v>
      </c>
      <c r="C334" t="s">
        <v>332</v>
      </c>
      <c r="D334" s="12" t="s">
        <v>913</v>
      </c>
      <c r="E334" s="1">
        <v>-7.1263139102674904</v>
      </c>
      <c r="F334">
        <f>VLOOKUP(C334,'[1]phenotypes-895'!$A$2:$G$896,7,FALSE)</f>
        <v>62</v>
      </c>
      <c r="G334">
        <v>271</v>
      </c>
    </row>
    <row r="335" spans="1:7" x14ac:dyDescent="0.2">
      <c r="A335">
        <v>334</v>
      </c>
      <c r="B335">
        <v>4</v>
      </c>
      <c r="C335" t="s">
        <v>333</v>
      </c>
      <c r="D335" s="12" t="s">
        <v>913</v>
      </c>
      <c r="E335" s="1">
        <v>-4.2218148035761702</v>
      </c>
      <c r="F335">
        <f>VLOOKUP(C335,'[1]phenotypes-895'!$A$2:$G$896,7,FALSE)</f>
        <v>80</v>
      </c>
      <c r="G335">
        <v>271</v>
      </c>
    </row>
    <row r="336" spans="1:7" x14ac:dyDescent="0.2">
      <c r="A336">
        <v>335</v>
      </c>
      <c r="B336">
        <v>4</v>
      </c>
      <c r="C336" t="s">
        <v>334</v>
      </c>
      <c r="D336" s="12" t="s">
        <v>913</v>
      </c>
      <c r="E336" s="1">
        <v>-6.3043474564004498</v>
      </c>
      <c r="F336">
        <f>VLOOKUP(C336,'[1]phenotypes-895'!$A$2:$G$896,7,FALSE)</f>
        <v>63</v>
      </c>
      <c r="G336">
        <v>271</v>
      </c>
    </row>
    <row r="337" spans="1:7" x14ac:dyDescent="0.2">
      <c r="A337">
        <v>336</v>
      </c>
      <c r="B337">
        <v>4</v>
      </c>
      <c r="C337" t="s">
        <v>335</v>
      </c>
      <c r="D337" s="12" t="s">
        <v>913</v>
      </c>
      <c r="E337" s="1">
        <v>-1.37454896937658</v>
      </c>
      <c r="F337">
        <f>VLOOKUP(C337,'[1]phenotypes-895'!$A$2:$G$896,7,FALSE)</f>
        <v>98</v>
      </c>
      <c r="G337">
        <v>271</v>
      </c>
    </row>
    <row r="338" spans="1:7" x14ac:dyDescent="0.2">
      <c r="A338">
        <v>337</v>
      </c>
      <c r="B338">
        <v>6</v>
      </c>
      <c r="C338" t="s">
        <v>336</v>
      </c>
      <c r="D338" s="12" t="s">
        <v>913</v>
      </c>
      <c r="E338" s="1">
        <v>-1.0126031375553299</v>
      </c>
      <c r="F338">
        <f>VLOOKUP(C338,'[1]phenotypes-895'!$A$2:$G$896,7,FALSE)</f>
        <v>98</v>
      </c>
      <c r="G338">
        <v>278</v>
      </c>
    </row>
    <row r="339" spans="1:7" x14ac:dyDescent="0.2">
      <c r="A339">
        <v>338</v>
      </c>
      <c r="B339">
        <v>8</v>
      </c>
      <c r="C339" t="s">
        <v>337</v>
      </c>
      <c r="D339" s="12" t="s">
        <v>913</v>
      </c>
      <c r="E339" s="1">
        <v>1.9364441457505099</v>
      </c>
      <c r="F339">
        <f>VLOOKUP(C339,'[1]phenotypes-895'!$A$2:$G$896,7,FALSE)</f>
        <v>76</v>
      </c>
      <c r="G339">
        <v>271</v>
      </c>
    </row>
    <row r="340" spans="1:7" x14ac:dyDescent="0.2">
      <c r="A340">
        <v>339</v>
      </c>
      <c r="B340">
        <v>4</v>
      </c>
      <c r="C340" t="s">
        <v>338</v>
      </c>
      <c r="D340" s="12" t="s">
        <v>913</v>
      </c>
      <c r="E340" s="1">
        <v>-5.2970022415440798</v>
      </c>
      <c r="F340">
        <f>VLOOKUP(C340,'[1]phenotypes-895'!$A$2:$G$896,7,FALSE)</f>
        <v>62</v>
      </c>
      <c r="G340">
        <v>271</v>
      </c>
    </row>
    <row r="341" spans="1:7" x14ac:dyDescent="0.2">
      <c r="A341">
        <v>340</v>
      </c>
      <c r="B341">
        <v>14</v>
      </c>
      <c r="C341" t="s">
        <v>339</v>
      </c>
      <c r="D341" s="12" t="s">
        <v>912</v>
      </c>
      <c r="E341" s="1">
        <v>-2.1169272674938702</v>
      </c>
      <c r="F341">
        <f>VLOOKUP(C341,'[1]phenotypes-895'!$A$2:$G$896,7,FALSE)</f>
        <v>74</v>
      </c>
      <c r="G341">
        <v>292</v>
      </c>
    </row>
    <row r="342" spans="1:7" x14ac:dyDescent="0.2">
      <c r="A342">
        <v>341</v>
      </c>
      <c r="B342">
        <v>3</v>
      </c>
      <c r="C342" t="s">
        <v>340</v>
      </c>
      <c r="D342" s="12" t="s">
        <v>913</v>
      </c>
      <c r="E342" s="1">
        <v>-4.5001264191092396</v>
      </c>
      <c r="F342">
        <f>VLOOKUP(C342,'[1]phenotypes-895'!$A$2:$G$896,7,FALSE)</f>
        <v>57</v>
      </c>
      <c r="G342">
        <v>284</v>
      </c>
    </row>
    <row r="343" spans="1:7" x14ac:dyDescent="0.2">
      <c r="A343">
        <v>342</v>
      </c>
      <c r="B343">
        <v>11</v>
      </c>
      <c r="C343" t="s">
        <v>341</v>
      </c>
      <c r="D343" s="12" t="s">
        <v>912</v>
      </c>
      <c r="E343" s="1">
        <v>0.10388169629917</v>
      </c>
      <c r="F343">
        <f>VLOOKUP(C343,'[1]phenotypes-895'!$A$2:$G$896,7,FALSE)</f>
        <v>98</v>
      </c>
      <c r="G343">
        <v>303</v>
      </c>
    </row>
    <row r="344" spans="1:7" x14ac:dyDescent="0.2">
      <c r="A344">
        <v>343</v>
      </c>
      <c r="B344">
        <v>2</v>
      </c>
      <c r="C344" t="s">
        <v>342</v>
      </c>
      <c r="D344" s="12" t="s">
        <v>913</v>
      </c>
      <c r="E344" s="1">
        <v>-5.5834252473666997</v>
      </c>
      <c r="F344">
        <f>VLOOKUP(C344,'[1]phenotypes-895'!$A$2:$G$896,7,FALSE)</f>
        <v>98</v>
      </c>
      <c r="G344">
        <v>271</v>
      </c>
    </row>
    <row r="345" spans="1:7" x14ac:dyDescent="0.2">
      <c r="A345">
        <v>344</v>
      </c>
      <c r="B345">
        <v>50</v>
      </c>
      <c r="C345" t="s">
        <v>343</v>
      </c>
      <c r="D345" s="13" t="s">
        <v>912</v>
      </c>
      <c r="E345" s="1">
        <v>4.11820452266661</v>
      </c>
      <c r="F345">
        <f>VLOOKUP(C345,'[1]phenotypes-895'!$A$2:$G$896,7,FALSE)</f>
        <v>98</v>
      </c>
      <c r="G345">
        <v>172</v>
      </c>
    </row>
    <row r="346" spans="1:7" x14ac:dyDescent="0.2">
      <c r="A346">
        <v>345</v>
      </c>
      <c r="B346">
        <v>27</v>
      </c>
      <c r="C346" t="s">
        <v>344</v>
      </c>
      <c r="D346" s="13" t="s">
        <v>913</v>
      </c>
      <c r="E346" s="1">
        <v>4.5362116847238001</v>
      </c>
      <c r="F346">
        <f>VLOOKUP(C346,'[1]phenotypes-895'!$A$2:$G$896,7,FALSE)</f>
        <v>86</v>
      </c>
      <c r="G346">
        <v>208</v>
      </c>
    </row>
    <row r="347" spans="1:7" x14ac:dyDescent="0.2">
      <c r="A347">
        <v>346</v>
      </c>
      <c r="B347">
        <v>13</v>
      </c>
      <c r="C347" t="s">
        <v>345</v>
      </c>
      <c r="D347" s="12" t="s">
        <v>912</v>
      </c>
      <c r="E347" s="1">
        <v>-6.0543146805802497</v>
      </c>
      <c r="F347">
        <f>VLOOKUP(C347,'[1]phenotypes-895'!$A$2:$G$896,7,FALSE)</f>
        <v>91</v>
      </c>
      <c r="G347">
        <v>289</v>
      </c>
    </row>
    <row r="348" spans="1:7" x14ac:dyDescent="0.2">
      <c r="A348">
        <v>347</v>
      </c>
      <c r="B348">
        <v>53</v>
      </c>
      <c r="C348" t="s">
        <v>346</v>
      </c>
      <c r="D348" s="13" t="s">
        <v>912</v>
      </c>
      <c r="E348" s="1">
        <v>2.7577886962624598</v>
      </c>
      <c r="F348">
        <f>VLOOKUP(C348,'[1]phenotypes-895'!$A$2:$G$896,7,FALSE)</f>
        <v>60</v>
      </c>
      <c r="G348">
        <v>161</v>
      </c>
    </row>
    <row r="349" spans="1:7" x14ac:dyDescent="0.2">
      <c r="A349">
        <v>348</v>
      </c>
      <c r="B349">
        <v>36</v>
      </c>
      <c r="C349" t="s">
        <v>347</v>
      </c>
      <c r="D349" s="13" t="s">
        <v>913</v>
      </c>
      <c r="E349" s="1">
        <v>5.6663027961698296</v>
      </c>
      <c r="F349">
        <f>VLOOKUP(C349,'[1]phenotypes-895'!$A$2:$G$896,7,FALSE)</f>
        <v>84</v>
      </c>
      <c r="G349">
        <v>192</v>
      </c>
    </row>
    <row r="350" spans="1:7" x14ac:dyDescent="0.2">
      <c r="A350">
        <v>349</v>
      </c>
      <c r="B350">
        <v>15</v>
      </c>
      <c r="C350" t="s">
        <v>348</v>
      </c>
      <c r="D350" s="12" t="s">
        <v>912</v>
      </c>
      <c r="E350" s="1">
        <v>-4.3654422600538103</v>
      </c>
      <c r="F350">
        <f>VLOOKUP(C350,'[1]phenotypes-895'!$A$2:$G$896,7,FALSE)</f>
        <v>64</v>
      </c>
      <c r="G350">
        <v>299</v>
      </c>
    </row>
    <row r="351" spans="1:7" x14ac:dyDescent="0.2">
      <c r="A351">
        <v>350</v>
      </c>
      <c r="B351">
        <v>39</v>
      </c>
      <c r="C351" t="s">
        <v>349</v>
      </c>
      <c r="D351" s="13" t="s">
        <v>913</v>
      </c>
      <c r="E351" s="1">
        <v>1.6446982557666501</v>
      </c>
      <c r="F351">
        <f>VLOOKUP(C351,'[1]phenotypes-895'!$A$2:$G$896,7,FALSE)</f>
        <v>67</v>
      </c>
      <c r="G351">
        <v>206</v>
      </c>
    </row>
    <row r="352" spans="1:7" x14ac:dyDescent="0.2">
      <c r="A352">
        <v>351</v>
      </c>
      <c r="B352">
        <v>13</v>
      </c>
      <c r="C352" t="s">
        <v>350</v>
      </c>
      <c r="D352" s="12" t="s">
        <v>912</v>
      </c>
      <c r="E352" s="1">
        <v>-5.7665885167103204</v>
      </c>
      <c r="F352">
        <f>VLOOKUP(C352,'[1]phenotypes-895'!$A$2:$G$896,7,FALSE)</f>
        <v>71</v>
      </c>
      <c r="G352">
        <v>289</v>
      </c>
    </row>
    <row r="353" spans="1:7" x14ac:dyDescent="0.2">
      <c r="A353">
        <v>352</v>
      </c>
      <c r="B353">
        <v>44</v>
      </c>
      <c r="C353" t="s">
        <v>351</v>
      </c>
      <c r="D353" s="13" t="s">
        <v>912</v>
      </c>
      <c r="E353" s="1">
        <v>7.3294724822694999</v>
      </c>
      <c r="F353">
        <f>VLOOKUP(C353,'[1]phenotypes-895'!$A$2:$G$896,7,FALSE)</f>
        <v>98</v>
      </c>
      <c r="G353">
        <v>173</v>
      </c>
    </row>
    <row r="354" spans="1:7" x14ac:dyDescent="0.2">
      <c r="A354">
        <v>353</v>
      </c>
      <c r="B354">
        <v>6</v>
      </c>
      <c r="C354" t="s">
        <v>352</v>
      </c>
      <c r="D354" s="12" t="s">
        <v>913</v>
      </c>
      <c r="E354" s="1">
        <v>-6.1413415033992296</v>
      </c>
      <c r="F354">
        <f>VLOOKUP(C354,'[1]phenotypes-895'!$A$2:$G$896,7,FALSE)</f>
        <v>53</v>
      </c>
      <c r="G354">
        <v>278</v>
      </c>
    </row>
    <row r="355" spans="1:7" x14ac:dyDescent="0.2">
      <c r="A355">
        <v>354</v>
      </c>
      <c r="B355">
        <v>53</v>
      </c>
      <c r="C355" t="s">
        <v>353</v>
      </c>
      <c r="D355" s="13" t="s">
        <v>912</v>
      </c>
      <c r="E355" s="1">
        <v>3.9613469158484902</v>
      </c>
      <c r="F355">
        <f>VLOOKUP(C355,'[1]phenotypes-895'!$A$2:$G$896,7,FALSE)</f>
        <v>62</v>
      </c>
      <c r="G355">
        <v>161</v>
      </c>
    </row>
    <row r="356" spans="1:7" x14ac:dyDescent="0.2">
      <c r="A356">
        <v>355</v>
      </c>
      <c r="B356">
        <v>6</v>
      </c>
      <c r="C356" t="s">
        <v>354</v>
      </c>
      <c r="D356" s="12" t="s">
        <v>913</v>
      </c>
      <c r="E356" s="1">
        <v>-1.02940614732413</v>
      </c>
      <c r="F356">
        <f>VLOOKUP(C356,'[1]phenotypes-895'!$A$2:$G$896,7,FALSE)</f>
        <v>98</v>
      </c>
      <c r="G356">
        <v>278</v>
      </c>
    </row>
    <row r="357" spans="1:7" x14ac:dyDescent="0.2">
      <c r="A357">
        <v>356</v>
      </c>
      <c r="B357">
        <v>35</v>
      </c>
      <c r="C357" t="s">
        <v>355</v>
      </c>
      <c r="D357" s="13" t="s">
        <v>913</v>
      </c>
      <c r="E357" s="1">
        <v>-0.46959278076938099</v>
      </c>
      <c r="F357">
        <f>VLOOKUP(C357,'[1]phenotypes-895'!$A$2:$G$896,7,FALSE)</f>
        <v>42</v>
      </c>
      <c r="G357">
        <v>189</v>
      </c>
    </row>
    <row r="358" spans="1:7" x14ac:dyDescent="0.2">
      <c r="A358">
        <v>357</v>
      </c>
      <c r="B358">
        <v>6</v>
      </c>
      <c r="C358" t="s">
        <v>356</v>
      </c>
      <c r="D358" s="12" t="s">
        <v>913</v>
      </c>
      <c r="E358" s="1">
        <v>-3.5306283898019601</v>
      </c>
      <c r="F358">
        <f>VLOOKUP(C358,'[1]phenotypes-895'!$A$2:$G$896,7,FALSE)</f>
        <v>69</v>
      </c>
      <c r="G358">
        <v>278</v>
      </c>
    </row>
    <row r="359" spans="1:7" x14ac:dyDescent="0.2">
      <c r="A359">
        <v>358</v>
      </c>
      <c r="B359">
        <v>40</v>
      </c>
      <c r="C359" t="s">
        <v>357</v>
      </c>
      <c r="D359" s="13" t="s">
        <v>913</v>
      </c>
      <c r="E359" s="1">
        <v>-1.3864962132110601</v>
      </c>
      <c r="F359">
        <f>VLOOKUP(C359,'[1]phenotypes-895'!$A$2:$G$896,7,FALSE)</f>
        <v>49</v>
      </c>
      <c r="G359">
        <v>202</v>
      </c>
    </row>
    <row r="360" spans="1:7" x14ac:dyDescent="0.2">
      <c r="A360">
        <v>359</v>
      </c>
      <c r="B360">
        <v>2</v>
      </c>
      <c r="C360" t="s">
        <v>358</v>
      </c>
      <c r="D360" s="12" t="s">
        <v>913</v>
      </c>
      <c r="E360" s="1">
        <v>-9.4596759860478308</v>
      </c>
      <c r="F360">
        <f>VLOOKUP(C360,'[1]phenotypes-895'!$A$2:$G$896,7,FALSE)</f>
        <v>42</v>
      </c>
      <c r="G360">
        <v>271</v>
      </c>
    </row>
    <row r="361" spans="1:7" x14ac:dyDescent="0.2">
      <c r="A361">
        <v>360</v>
      </c>
      <c r="B361">
        <v>27</v>
      </c>
      <c r="C361" t="s">
        <v>359</v>
      </c>
      <c r="D361" s="13" t="s">
        <v>913</v>
      </c>
      <c r="E361" s="1">
        <v>3.5074878047638198</v>
      </c>
      <c r="F361">
        <f>VLOOKUP(C361,'[1]phenotypes-895'!$A$2:$G$896,7,FALSE)</f>
        <v>98</v>
      </c>
      <c r="G361">
        <v>208</v>
      </c>
    </row>
    <row r="362" spans="1:7" x14ac:dyDescent="0.2">
      <c r="A362">
        <v>361</v>
      </c>
      <c r="B362">
        <v>52</v>
      </c>
      <c r="C362" t="s">
        <v>360</v>
      </c>
      <c r="D362" s="13" t="s">
        <v>912</v>
      </c>
      <c r="E362" s="1">
        <v>8.1527082723043396</v>
      </c>
      <c r="F362">
        <f>VLOOKUP(C362,'[1]phenotypes-895'!$A$2:$G$896,7,FALSE)</f>
        <v>94</v>
      </c>
      <c r="G362">
        <v>279</v>
      </c>
    </row>
    <row r="363" spans="1:7" x14ac:dyDescent="0.2">
      <c r="A363">
        <v>362</v>
      </c>
      <c r="B363">
        <v>36</v>
      </c>
      <c r="C363" t="s">
        <v>361</v>
      </c>
      <c r="D363" s="13" t="s">
        <v>913</v>
      </c>
      <c r="E363" s="1">
        <v>4.1371596676485698</v>
      </c>
      <c r="F363">
        <f>VLOOKUP(C363,'[1]phenotypes-895'!$A$2:$G$896,7,FALSE)</f>
        <v>98</v>
      </c>
      <c r="G363">
        <v>307</v>
      </c>
    </row>
    <row r="364" spans="1:7" x14ac:dyDescent="0.2">
      <c r="A364">
        <v>363</v>
      </c>
      <c r="B364">
        <v>42</v>
      </c>
      <c r="C364" t="s">
        <v>362</v>
      </c>
      <c r="D364" s="13" t="s">
        <v>912</v>
      </c>
      <c r="E364" s="1">
        <v>1.2975216561949601</v>
      </c>
      <c r="F364">
        <f>VLOOKUP(C364,'[1]phenotypes-895'!$A$2:$G$896,7,FALSE)</f>
        <v>76</v>
      </c>
      <c r="G364">
        <v>300</v>
      </c>
    </row>
    <row r="365" spans="1:7" x14ac:dyDescent="0.2">
      <c r="A365">
        <v>364</v>
      </c>
      <c r="B365">
        <v>44</v>
      </c>
      <c r="C365" t="s">
        <v>363</v>
      </c>
      <c r="D365" s="13" t="s">
        <v>912</v>
      </c>
      <c r="E365" s="1">
        <v>0.120949372273725</v>
      </c>
      <c r="F365">
        <f>VLOOKUP(C365,'[1]phenotypes-895'!$A$2:$G$896,7,FALSE)</f>
        <v>98</v>
      </c>
      <c r="G365">
        <v>288</v>
      </c>
    </row>
    <row r="366" spans="1:7" x14ac:dyDescent="0.2">
      <c r="A366">
        <v>365</v>
      </c>
      <c r="B366">
        <v>50</v>
      </c>
      <c r="C366" t="s">
        <v>364</v>
      </c>
      <c r="D366" s="13" t="s">
        <v>912</v>
      </c>
      <c r="E366" s="1">
        <v>6.3365057564751002</v>
      </c>
      <c r="F366">
        <f>VLOOKUP(C366,'[1]phenotypes-895'!$A$2:$G$896,7,FALSE)</f>
        <v>98</v>
      </c>
      <c r="G366">
        <v>287</v>
      </c>
    </row>
    <row r="367" spans="1:7" x14ac:dyDescent="0.2">
      <c r="A367">
        <v>366</v>
      </c>
      <c r="B367">
        <v>50</v>
      </c>
      <c r="C367" t="s">
        <v>365</v>
      </c>
      <c r="D367" s="13" t="s">
        <v>912</v>
      </c>
      <c r="E367" s="1">
        <v>3.3153832271372101</v>
      </c>
      <c r="F367">
        <f>VLOOKUP(C367,'[1]phenotypes-895'!$A$2:$G$896,7,FALSE)</f>
        <v>98</v>
      </c>
      <c r="G367">
        <v>287</v>
      </c>
    </row>
    <row r="368" spans="1:7" x14ac:dyDescent="0.2">
      <c r="A368">
        <v>367</v>
      </c>
      <c r="B368">
        <v>44</v>
      </c>
      <c r="C368" t="s">
        <v>366</v>
      </c>
      <c r="D368" s="13" t="s">
        <v>912</v>
      </c>
      <c r="E368" s="1">
        <v>1.4336802091630201</v>
      </c>
      <c r="F368">
        <f>VLOOKUP(C368,'[1]phenotypes-895'!$A$2:$G$896,7,FALSE)</f>
        <v>69</v>
      </c>
      <c r="G368">
        <v>288</v>
      </c>
    </row>
    <row r="369" spans="1:7" x14ac:dyDescent="0.2">
      <c r="A369">
        <v>368</v>
      </c>
      <c r="B369">
        <v>44</v>
      </c>
      <c r="C369" t="s">
        <v>367</v>
      </c>
      <c r="D369" s="13" t="s">
        <v>912</v>
      </c>
      <c r="E369" s="1">
        <v>-1.1157237365357699</v>
      </c>
      <c r="F369">
        <f>VLOOKUP(C369,'[1]phenotypes-895'!$A$2:$G$896,7,FALSE)</f>
        <v>66</v>
      </c>
      <c r="G369">
        <v>288</v>
      </c>
    </row>
    <row r="370" spans="1:7" x14ac:dyDescent="0.2">
      <c r="A370">
        <v>369</v>
      </c>
      <c r="B370">
        <v>42</v>
      </c>
      <c r="C370" t="s">
        <v>368</v>
      </c>
      <c r="D370" s="13" t="s">
        <v>912</v>
      </c>
      <c r="E370" s="1">
        <v>0.57126376651840205</v>
      </c>
      <c r="F370">
        <f>VLOOKUP(C370,'[1]phenotypes-895'!$A$2:$G$896,7,FALSE)</f>
        <v>70</v>
      </c>
      <c r="G370">
        <v>300</v>
      </c>
    </row>
    <row r="371" spans="1:7" x14ac:dyDescent="0.2">
      <c r="A371">
        <v>370</v>
      </c>
      <c r="B371">
        <v>46</v>
      </c>
      <c r="C371" t="s">
        <v>369</v>
      </c>
      <c r="D371" s="13" t="s">
        <v>912</v>
      </c>
      <c r="E371" s="1">
        <v>-2.5291863562197001</v>
      </c>
      <c r="F371">
        <f>VLOOKUP(C371,'[1]phenotypes-895'!$A$2:$G$896,7,FALSE)</f>
        <v>62</v>
      </c>
      <c r="G371">
        <v>275</v>
      </c>
    </row>
    <row r="372" spans="1:7" x14ac:dyDescent="0.2">
      <c r="A372">
        <v>371</v>
      </c>
      <c r="B372">
        <v>50</v>
      </c>
      <c r="C372" t="s">
        <v>370</v>
      </c>
      <c r="D372" s="13" t="s">
        <v>912</v>
      </c>
      <c r="E372" s="1">
        <v>-2.4011630407880098</v>
      </c>
      <c r="F372">
        <f>VLOOKUP(C372,'[1]phenotypes-895'!$A$2:$G$896,7,FALSE)</f>
        <v>48</v>
      </c>
      <c r="G372">
        <v>287</v>
      </c>
    </row>
    <row r="373" spans="1:7" x14ac:dyDescent="0.2">
      <c r="A373">
        <v>372</v>
      </c>
      <c r="B373">
        <v>48</v>
      </c>
      <c r="C373" t="s">
        <v>371</v>
      </c>
      <c r="D373" s="13" t="s">
        <v>912</v>
      </c>
      <c r="E373" s="1">
        <v>1.6325813185106299</v>
      </c>
      <c r="F373">
        <f>VLOOKUP(C373,'[1]phenotypes-895'!$A$2:$G$896,7,FALSE)</f>
        <v>74</v>
      </c>
      <c r="G373">
        <v>288</v>
      </c>
    </row>
    <row r="374" spans="1:7" x14ac:dyDescent="0.2">
      <c r="A374">
        <v>373</v>
      </c>
      <c r="B374">
        <v>50</v>
      </c>
      <c r="C374" t="s">
        <v>372</v>
      </c>
      <c r="D374" s="13" t="s">
        <v>912</v>
      </c>
      <c r="E374" s="1">
        <v>5.9828552755867896</v>
      </c>
      <c r="F374">
        <f>VLOOKUP(C374,'[1]phenotypes-895'!$A$2:$G$896,7,FALSE)</f>
        <v>98</v>
      </c>
      <c r="G374">
        <v>287</v>
      </c>
    </row>
    <row r="375" spans="1:7" x14ac:dyDescent="0.2">
      <c r="A375">
        <v>374</v>
      </c>
      <c r="B375">
        <v>48</v>
      </c>
      <c r="C375" t="s">
        <v>373</v>
      </c>
      <c r="D375" s="13" t="s">
        <v>912</v>
      </c>
      <c r="E375" s="1">
        <v>0.456435121860717</v>
      </c>
      <c r="F375">
        <f>VLOOKUP(C375,'[1]phenotypes-895'!$A$2:$G$896,7,FALSE)</f>
        <v>98</v>
      </c>
      <c r="G375">
        <v>288</v>
      </c>
    </row>
    <row r="376" spans="1:7" x14ac:dyDescent="0.2">
      <c r="A376">
        <v>375</v>
      </c>
      <c r="B376">
        <v>44</v>
      </c>
      <c r="C376" t="s">
        <v>374</v>
      </c>
      <c r="D376" s="13" t="s">
        <v>912</v>
      </c>
      <c r="E376" s="1">
        <v>1.8714608645233699</v>
      </c>
      <c r="F376">
        <f>VLOOKUP(C376,'[1]phenotypes-895'!$A$2:$G$896,7,FALSE)</f>
        <v>62</v>
      </c>
      <c r="G376">
        <v>288</v>
      </c>
    </row>
    <row r="377" spans="1:7" x14ac:dyDescent="0.2">
      <c r="A377">
        <v>376</v>
      </c>
      <c r="B377">
        <v>49</v>
      </c>
      <c r="C377" t="s">
        <v>375</v>
      </c>
      <c r="D377" s="13" t="s">
        <v>912</v>
      </c>
      <c r="E377" s="1">
        <v>0.29592798787866498</v>
      </c>
      <c r="F377">
        <f>VLOOKUP(C377,'[1]phenotypes-895'!$A$2:$G$896,7,FALSE)</f>
        <v>88</v>
      </c>
      <c r="G377">
        <v>290</v>
      </c>
    </row>
    <row r="378" spans="1:7" x14ac:dyDescent="0.2">
      <c r="A378">
        <v>377</v>
      </c>
      <c r="B378">
        <v>41</v>
      </c>
      <c r="C378" t="s">
        <v>376</v>
      </c>
      <c r="D378" s="13" t="s">
        <v>912</v>
      </c>
      <c r="E378" s="1">
        <v>5.1514822994522804</v>
      </c>
      <c r="F378">
        <f>VLOOKUP(C378,'[1]phenotypes-895'!$A$2:$G$896,7,FALSE)</f>
        <v>98</v>
      </c>
      <c r="G378">
        <v>261</v>
      </c>
    </row>
    <row r="379" spans="1:7" x14ac:dyDescent="0.2">
      <c r="A379">
        <v>378</v>
      </c>
      <c r="B379">
        <v>50</v>
      </c>
      <c r="C379" t="s">
        <v>377</v>
      </c>
      <c r="D379" s="13" t="s">
        <v>912</v>
      </c>
      <c r="E379" s="1">
        <v>6.09821731722558</v>
      </c>
      <c r="F379">
        <f>VLOOKUP(C379,'[1]phenotypes-895'!$A$2:$G$896,7,FALSE)</f>
        <v>98</v>
      </c>
      <c r="G379">
        <v>287</v>
      </c>
    </row>
    <row r="380" spans="1:7" x14ac:dyDescent="0.2">
      <c r="A380">
        <v>379</v>
      </c>
      <c r="B380">
        <v>44</v>
      </c>
      <c r="C380" t="s">
        <v>378</v>
      </c>
      <c r="D380" s="13" t="s">
        <v>912</v>
      </c>
      <c r="E380" s="1">
        <v>-0.446800850110742</v>
      </c>
      <c r="F380">
        <f>VLOOKUP(C380,'[1]phenotypes-895'!$A$2:$G$896,7,FALSE)</f>
        <v>98</v>
      </c>
      <c r="G380">
        <v>288</v>
      </c>
    </row>
    <row r="381" spans="1:7" x14ac:dyDescent="0.2">
      <c r="A381">
        <v>380</v>
      </c>
      <c r="B381">
        <v>36</v>
      </c>
      <c r="C381" t="s">
        <v>379</v>
      </c>
      <c r="D381" s="13" t="s">
        <v>913</v>
      </c>
      <c r="E381" s="1">
        <v>6.0021842037984898</v>
      </c>
      <c r="F381">
        <f>VLOOKUP(C381,'[1]phenotypes-895'!$A$2:$G$896,7,FALSE)</f>
        <v>98</v>
      </c>
      <c r="G381">
        <v>307</v>
      </c>
    </row>
    <row r="382" spans="1:7" x14ac:dyDescent="0.2">
      <c r="A382">
        <v>381</v>
      </c>
      <c r="B382">
        <v>50</v>
      </c>
      <c r="C382" t="s">
        <v>380</v>
      </c>
      <c r="D382" s="13" t="s">
        <v>912</v>
      </c>
      <c r="E382" s="1">
        <v>1.16291348748391</v>
      </c>
      <c r="F382">
        <f>VLOOKUP(C382,'[1]phenotypes-895'!$A$2:$G$896,7,FALSE)</f>
        <v>98</v>
      </c>
      <c r="G382">
        <v>287</v>
      </c>
    </row>
    <row r="383" spans="1:7" x14ac:dyDescent="0.2">
      <c r="A383">
        <v>382</v>
      </c>
      <c r="B383">
        <v>27</v>
      </c>
      <c r="C383" t="s">
        <v>381</v>
      </c>
      <c r="D383" s="12" t="s">
        <v>913</v>
      </c>
      <c r="E383" s="1">
        <v>3.2184166467561299</v>
      </c>
      <c r="F383">
        <f>VLOOKUP(C383,'[1]phenotypes-895'!$A$2:$G$896,7,FALSE)</f>
        <v>61</v>
      </c>
      <c r="G383">
        <v>323</v>
      </c>
    </row>
    <row r="384" spans="1:7" x14ac:dyDescent="0.2">
      <c r="A384">
        <v>383</v>
      </c>
      <c r="B384">
        <v>49</v>
      </c>
      <c r="C384" t="s">
        <v>382</v>
      </c>
      <c r="D384" s="13" t="s">
        <v>912</v>
      </c>
      <c r="E384" s="1">
        <v>1.2108575575060401</v>
      </c>
      <c r="F384">
        <f>VLOOKUP(C384,'[1]phenotypes-895'!$A$2:$G$896,7,FALSE)</f>
        <v>57</v>
      </c>
      <c r="G384">
        <v>290</v>
      </c>
    </row>
    <row r="385" spans="1:7" x14ac:dyDescent="0.2">
      <c r="A385">
        <v>384</v>
      </c>
      <c r="B385">
        <v>46</v>
      </c>
      <c r="C385" t="s">
        <v>383</v>
      </c>
      <c r="D385" s="13" t="s">
        <v>912</v>
      </c>
      <c r="E385" s="1">
        <v>2.6842134683463201</v>
      </c>
      <c r="F385">
        <f>VLOOKUP(C385,'[1]phenotypes-895'!$A$2:$G$896,7,FALSE)</f>
        <v>89</v>
      </c>
      <c r="G385">
        <v>275</v>
      </c>
    </row>
    <row r="386" spans="1:7" x14ac:dyDescent="0.2">
      <c r="A386">
        <v>385</v>
      </c>
      <c r="B386">
        <v>49</v>
      </c>
      <c r="C386" t="s">
        <v>384</v>
      </c>
      <c r="D386" s="13" t="s">
        <v>912</v>
      </c>
      <c r="E386" s="1">
        <v>-4.1565717966769302</v>
      </c>
      <c r="F386">
        <f>VLOOKUP(C386,'[1]phenotypes-895'!$A$2:$G$896,7,FALSE)</f>
        <v>51</v>
      </c>
      <c r="G386">
        <v>290</v>
      </c>
    </row>
    <row r="387" spans="1:7" x14ac:dyDescent="0.2">
      <c r="A387">
        <v>386</v>
      </c>
      <c r="B387">
        <v>49</v>
      </c>
      <c r="C387" t="s">
        <v>385</v>
      </c>
      <c r="D387" s="13" t="s">
        <v>912</v>
      </c>
      <c r="E387" s="1">
        <v>2.36936115331505</v>
      </c>
      <c r="F387">
        <f>VLOOKUP(C387,'[1]phenotypes-895'!$A$2:$G$896,7,FALSE)</f>
        <v>75</v>
      </c>
      <c r="G387">
        <v>290</v>
      </c>
    </row>
    <row r="388" spans="1:7" x14ac:dyDescent="0.2">
      <c r="A388">
        <v>387</v>
      </c>
      <c r="B388">
        <v>44</v>
      </c>
      <c r="C388" t="s">
        <v>386</v>
      </c>
      <c r="D388" s="13" t="s">
        <v>912</v>
      </c>
      <c r="E388" s="1">
        <v>0.50087164703699705</v>
      </c>
      <c r="F388">
        <f>VLOOKUP(C388,'[1]phenotypes-895'!$A$2:$G$896,7,FALSE)</f>
        <v>98</v>
      </c>
      <c r="G388">
        <v>288</v>
      </c>
    </row>
    <row r="389" spans="1:7" x14ac:dyDescent="0.2">
      <c r="A389">
        <v>388</v>
      </c>
      <c r="B389">
        <v>52</v>
      </c>
      <c r="C389" t="s">
        <v>387</v>
      </c>
      <c r="D389" s="13" t="s">
        <v>912</v>
      </c>
      <c r="E389" s="1">
        <v>4.7959494544153598</v>
      </c>
      <c r="F389">
        <f>VLOOKUP(C389,'[1]phenotypes-895'!$A$2:$G$896,7,FALSE)</f>
        <v>98</v>
      </c>
      <c r="G389">
        <v>279</v>
      </c>
    </row>
    <row r="390" spans="1:7" x14ac:dyDescent="0.2">
      <c r="A390">
        <v>389</v>
      </c>
      <c r="B390">
        <v>50</v>
      </c>
      <c r="C390" t="s">
        <v>388</v>
      </c>
      <c r="D390" s="13" t="s">
        <v>912</v>
      </c>
      <c r="E390" s="1">
        <v>1.15213192484718</v>
      </c>
      <c r="F390">
        <f>VLOOKUP(C390,'[1]phenotypes-895'!$A$2:$G$896,7,FALSE)</f>
        <v>98</v>
      </c>
      <c r="G390">
        <v>287</v>
      </c>
    </row>
    <row r="391" spans="1:7" x14ac:dyDescent="0.2">
      <c r="A391">
        <v>390</v>
      </c>
      <c r="B391">
        <v>42</v>
      </c>
      <c r="C391" t="s">
        <v>389</v>
      </c>
      <c r="D391" s="13" t="s">
        <v>912</v>
      </c>
      <c r="E391" s="1">
        <v>4.4719288352750404</v>
      </c>
      <c r="F391">
        <f>VLOOKUP(C391,'[1]phenotypes-895'!$A$2:$G$896,7,FALSE)</f>
        <v>98</v>
      </c>
      <c r="G391">
        <v>300</v>
      </c>
    </row>
    <row r="392" spans="1:7" x14ac:dyDescent="0.2">
      <c r="A392">
        <v>391</v>
      </c>
      <c r="B392">
        <v>44</v>
      </c>
      <c r="C392" t="s">
        <v>390</v>
      </c>
      <c r="D392" s="13" t="s">
        <v>912</v>
      </c>
      <c r="E392" s="1">
        <v>7.2214419939567502</v>
      </c>
      <c r="F392">
        <f>VLOOKUP(C392,'[1]phenotypes-895'!$A$2:$G$896,7,FALSE)</f>
        <v>98</v>
      </c>
      <c r="G392">
        <v>288</v>
      </c>
    </row>
    <row r="393" spans="1:7" x14ac:dyDescent="0.2">
      <c r="A393">
        <v>392</v>
      </c>
      <c r="B393">
        <v>49</v>
      </c>
      <c r="C393" t="s">
        <v>391</v>
      </c>
      <c r="D393" s="13" t="s">
        <v>912</v>
      </c>
      <c r="E393" s="1">
        <v>6.9992536789184401</v>
      </c>
      <c r="F393">
        <f>VLOOKUP(C393,'[1]phenotypes-895'!$A$2:$G$896,7,FALSE)</f>
        <v>98</v>
      </c>
      <c r="G393">
        <v>290</v>
      </c>
    </row>
    <row r="394" spans="1:7" x14ac:dyDescent="0.2">
      <c r="A394">
        <v>393</v>
      </c>
      <c r="B394">
        <v>54</v>
      </c>
      <c r="C394" t="s">
        <v>392</v>
      </c>
      <c r="D394" s="13" t="s">
        <v>912</v>
      </c>
      <c r="E394" s="1">
        <v>0.87065969680237498</v>
      </c>
      <c r="F394">
        <f>VLOOKUP(C394,'[1]phenotypes-895'!$A$2:$G$896,7,FALSE)</f>
        <v>76</v>
      </c>
      <c r="G394">
        <v>285</v>
      </c>
    </row>
    <row r="395" spans="1:7" x14ac:dyDescent="0.2">
      <c r="A395">
        <v>394</v>
      </c>
      <c r="B395">
        <v>42</v>
      </c>
      <c r="C395" t="s">
        <v>393</v>
      </c>
      <c r="D395" s="13" t="s">
        <v>912</v>
      </c>
      <c r="E395" s="1">
        <v>3.68489103460151</v>
      </c>
      <c r="F395">
        <f>VLOOKUP(C395,'[1]phenotypes-895'!$A$2:$G$896,7,FALSE)</f>
        <v>98</v>
      </c>
      <c r="G395">
        <v>300</v>
      </c>
    </row>
    <row r="396" spans="1:7" x14ac:dyDescent="0.2">
      <c r="A396">
        <v>395</v>
      </c>
      <c r="B396">
        <v>44</v>
      </c>
      <c r="C396" t="s">
        <v>394</v>
      </c>
      <c r="D396" s="13" t="s">
        <v>912</v>
      </c>
      <c r="E396" s="1">
        <v>4.9777217686233604</v>
      </c>
      <c r="F396">
        <f>VLOOKUP(C396,'[1]phenotypes-895'!$A$2:$G$896,7,FALSE)</f>
        <v>98</v>
      </c>
      <c r="G396">
        <v>288</v>
      </c>
    </row>
    <row r="397" spans="1:7" x14ac:dyDescent="0.2">
      <c r="A397">
        <v>396</v>
      </c>
      <c r="B397">
        <v>49</v>
      </c>
      <c r="C397" t="s">
        <v>395</v>
      </c>
      <c r="D397" s="13" t="s">
        <v>912</v>
      </c>
      <c r="E397" s="1">
        <v>2.3285802275418099</v>
      </c>
      <c r="F397">
        <f>VLOOKUP(C397,'[1]phenotypes-895'!$A$2:$G$896,7,FALSE)</f>
        <v>60</v>
      </c>
      <c r="G397">
        <v>290</v>
      </c>
    </row>
    <row r="398" spans="1:7" x14ac:dyDescent="0.2">
      <c r="A398">
        <v>397</v>
      </c>
      <c r="B398">
        <v>50</v>
      </c>
      <c r="C398" t="s">
        <v>396</v>
      </c>
      <c r="D398" s="13" t="s">
        <v>912</v>
      </c>
      <c r="E398" s="1">
        <v>-4.5495419539091797</v>
      </c>
      <c r="F398">
        <f>VLOOKUP(C398,'[1]phenotypes-895'!$A$2:$G$896,7,FALSE)</f>
        <v>61</v>
      </c>
      <c r="G398">
        <v>287</v>
      </c>
    </row>
    <row r="399" spans="1:7" x14ac:dyDescent="0.2">
      <c r="A399">
        <v>398</v>
      </c>
      <c r="B399">
        <v>43</v>
      </c>
      <c r="C399" t="s">
        <v>397</v>
      </c>
      <c r="D399" s="13" t="s">
        <v>912</v>
      </c>
      <c r="E399" s="1">
        <v>-3.2549043413465002</v>
      </c>
      <c r="F399">
        <f>VLOOKUP(C399,'[1]phenotypes-895'!$A$2:$G$896,7,FALSE)</f>
        <v>69</v>
      </c>
      <c r="G399">
        <v>290</v>
      </c>
    </row>
    <row r="400" spans="1:7" x14ac:dyDescent="0.2">
      <c r="A400">
        <v>399</v>
      </c>
      <c r="B400">
        <v>50</v>
      </c>
      <c r="C400" t="s">
        <v>398</v>
      </c>
      <c r="D400" s="13" t="s">
        <v>912</v>
      </c>
      <c r="E400" s="1">
        <v>-1.8285242877221599</v>
      </c>
      <c r="F400">
        <f>VLOOKUP(C400,'[1]phenotypes-895'!$A$2:$G$896,7,FALSE)</f>
        <v>92</v>
      </c>
      <c r="G400">
        <v>287</v>
      </c>
    </row>
    <row r="401" spans="1:7" x14ac:dyDescent="0.2">
      <c r="A401">
        <v>400</v>
      </c>
      <c r="B401">
        <v>50</v>
      </c>
      <c r="C401" t="s">
        <v>399</v>
      </c>
      <c r="D401" s="13" t="s">
        <v>912</v>
      </c>
      <c r="E401" s="1">
        <v>1.35363733387015</v>
      </c>
      <c r="F401">
        <f>VLOOKUP(C401,'[1]phenotypes-895'!$A$2:$G$896,7,FALSE)</f>
        <v>98</v>
      </c>
      <c r="G401">
        <v>287</v>
      </c>
    </row>
    <row r="402" spans="1:7" x14ac:dyDescent="0.2">
      <c r="A402">
        <v>401</v>
      </c>
      <c r="B402">
        <v>35</v>
      </c>
      <c r="C402" t="s">
        <v>400</v>
      </c>
      <c r="D402" s="13" t="s">
        <v>913</v>
      </c>
      <c r="E402" s="1">
        <v>-0.79734393013782501</v>
      </c>
      <c r="F402">
        <f>VLOOKUP(C402,'[1]phenotypes-895'!$A$2:$G$896,7,FALSE)</f>
        <v>98</v>
      </c>
      <c r="G402">
        <v>304</v>
      </c>
    </row>
    <row r="403" spans="1:7" x14ac:dyDescent="0.2">
      <c r="A403">
        <v>402</v>
      </c>
      <c r="B403">
        <v>50</v>
      </c>
      <c r="C403" t="s">
        <v>401</v>
      </c>
      <c r="D403" s="13" t="s">
        <v>912</v>
      </c>
      <c r="E403" s="1">
        <v>2.1723615950519601</v>
      </c>
      <c r="F403">
        <f>VLOOKUP(C403,'[1]phenotypes-895'!$A$2:$G$896,7,FALSE)</f>
        <v>75</v>
      </c>
      <c r="G403">
        <v>287</v>
      </c>
    </row>
    <row r="404" spans="1:7" x14ac:dyDescent="0.2">
      <c r="A404">
        <v>403</v>
      </c>
      <c r="B404">
        <v>34</v>
      </c>
      <c r="C404" t="s">
        <v>402</v>
      </c>
      <c r="D404" s="13" t="s">
        <v>913</v>
      </c>
      <c r="E404" s="1">
        <v>0.34467162550217101</v>
      </c>
      <c r="F404">
        <f>VLOOKUP(C404,'[1]phenotypes-895'!$A$2:$G$896,7,FALSE)</f>
        <v>69</v>
      </c>
      <c r="G404">
        <v>304</v>
      </c>
    </row>
    <row r="405" spans="1:7" x14ac:dyDescent="0.2">
      <c r="A405">
        <v>404</v>
      </c>
      <c r="B405">
        <v>49</v>
      </c>
      <c r="C405" t="s">
        <v>403</v>
      </c>
      <c r="D405" s="13" t="s">
        <v>912</v>
      </c>
      <c r="E405" s="1">
        <v>-3.41048820778401</v>
      </c>
      <c r="F405">
        <f>VLOOKUP(C405,'[1]phenotypes-895'!$A$2:$G$896,7,FALSE)</f>
        <v>66</v>
      </c>
      <c r="G405">
        <v>290</v>
      </c>
    </row>
    <row r="406" spans="1:7" x14ac:dyDescent="0.2">
      <c r="A406">
        <v>405</v>
      </c>
      <c r="B406">
        <v>48</v>
      </c>
      <c r="C406" t="s">
        <v>404</v>
      </c>
      <c r="D406" s="13" t="s">
        <v>912</v>
      </c>
      <c r="E406" s="1">
        <v>3.9535652223487601</v>
      </c>
      <c r="F406">
        <f>VLOOKUP(C406,'[1]phenotypes-895'!$A$2:$G$896,7,FALSE)</f>
        <v>98</v>
      </c>
      <c r="G406">
        <v>288</v>
      </c>
    </row>
    <row r="407" spans="1:7" x14ac:dyDescent="0.2">
      <c r="A407">
        <v>406</v>
      </c>
      <c r="B407">
        <v>50</v>
      </c>
      <c r="C407" t="s">
        <v>405</v>
      </c>
      <c r="D407" s="13" t="s">
        <v>912</v>
      </c>
      <c r="E407" s="1">
        <v>0.29241006553125198</v>
      </c>
      <c r="F407">
        <f>VLOOKUP(C407,'[1]phenotypes-895'!$A$2:$G$896,7,FALSE)</f>
        <v>56</v>
      </c>
      <c r="G407">
        <v>287</v>
      </c>
    </row>
    <row r="408" spans="1:7" x14ac:dyDescent="0.2">
      <c r="A408">
        <v>407</v>
      </c>
      <c r="B408">
        <v>51</v>
      </c>
      <c r="C408" t="s">
        <v>406</v>
      </c>
      <c r="D408" s="13" t="s">
        <v>912</v>
      </c>
      <c r="E408" s="1">
        <v>-0.41299807845035202</v>
      </c>
      <c r="F408">
        <f>VLOOKUP(C408,'[1]phenotypes-895'!$A$2:$G$896,7,FALSE)</f>
        <v>65</v>
      </c>
      <c r="G408">
        <v>274</v>
      </c>
    </row>
    <row r="409" spans="1:7" x14ac:dyDescent="0.2">
      <c r="A409">
        <v>408</v>
      </c>
      <c r="B409">
        <v>49</v>
      </c>
      <c r="C409" t="s">
        <v>407</v>
      </c>
      <c r="D409" s="13" t="s">
        <v>912</v>
      </c>
      <c r="E409" s="1">
        <v>2.4479825239569899</v>
      </c>
      <c r="F409">
        <f>VLOOKUP(C409,'[1]phenotypes-895'!$A$2:$G$896,7,FALSE)</f>
        <v>60</v>
      </c>
      <c r="G409">
        <v>290</v>
      </c>
    </row>
    <row r="410" spans="1:7" x14ac:dyDescent="0.2">
      <c r="A410">
        <v>409</v>
      </c>
      <c r="B410">
        <v>51</v>
      </c>
      <c r="C410" t="s">
        <v>408</v>
      </c>
      <c r="D410" s="13" t="s">
        <v>912</v>
      </c>
      <c r="E410" s="1">
        <v>6.1285661197806798</v>
      </c>
      <c r="F410">
        <f>VLOOKUP(C410,'[1]phenotypes-895'!$A$2:$G$896,7,FALSE)</f>
        <v>98</v>
      </c>
      <c r="G410">
        <v>274</v>
      </c>
    </row>
    <row r="411" spans="1:7" x14ac:dyDescent="0.2">
      <c r="A411">
        <v>410</v>
      </c>
      <c r="B411">
        <v>50</v>
      </c>
      <c r="C411" t="s">
        <v>409</v>
      </c>
      <c r="D411" s="13" t="s">
        <v>912</v>
      </c>
      <c r="E411" s="1">
        <v>1.5111961110934899</v>
      </c>
      <c r="F411">
        <f>VLOOKUP(C411,'[1]phenotypes-895'!$A$2:$G$896,7,FALSE)</f>
        <v>54</v>
      </c>
      <c r="G411">
        <v>287</v>
      </c>
    </row>
    <row r="412" spans="1:7" x14ac:dyDescent="0.2">
      <c r="A412">
        <v>411</v>
      </c>
      <c r="B412">
        <v>50</v>
      </c>
      <c r="C412" t="s">
        <v>410</v>
      </c>
      <c r="D412" s="13" t="s">
        <v>912</v>
      </c>
      <c r="E412" s="1">
        <v>6.7363865646855796</v>
      </c>
      <c r="F412">
        <f>VLOOKUP(C412,'[1]phenotypes-895'!$A$2:$G$896,7,FALSE)</f>
        <v>98</v>
      </c>
      <c r="G412">
        <v>287</v>
      </c>
    </row>
    <row r="413" spans="1:7" x14ac:dyDescent="0.2">
      <c r="A413">
        <v>412</v>
      </c>
      <c r="B413">
        <v>53</v>
      </c>
      <c r="C413" t="s">
        <v>411</v>
      </c>
      <c r="D413" s="13" t="s">
        <v>912</v>
      </c>
      <c r="E413" s="1">
        <v>6.0730468547740299</v>
      </c>
      <c r="F413">
        <f>VLOOKUP(C413,'[1]phenotypes-895'!$A$2:$G$896,7,FALSE)</f>
        <v>98</v>
      </c>
      <c r="G413">
        <v>276</v>
      </c>
    </row>
    <row r="414" spans="1:7" x14ac:dyDescent="0.2">
      <c r="A414">
        <v>413</v>
      </c>
      <c r="B414">
        <v>49</v>
      </c>
      <c r="C414" t="s">
        <v>412</v>
      </c>
      <c r="D414" s="13" t="s">
        <v>912</v>
      </c>
      <c r="E414" s="1">
        <v>0.52638615946669798</v>
      </c>
      <c r="F414">
        <f>VLOOKUP(C414,'[1]phenotypes-895'!$A$2:$G$896,7,FALSE)</f>
        <v>98</v>
      </c>
      <c r="G414">
        <v>290</v>
      </c>
    </row>
    <row r="415" spans="1:7" x14ac:dyDescent="0.2">
      <c r="A415">
        <v>414</v>
      </c>
      <c r="B415">
        <v>50</v>
      </c>
      <c r="C415" t="s">
        <v>413</v>
      </c>
      <c r="D415" s="13" t="s">
        <v>912</v>
      </c>
      <c r="E415" s="1">
        <v>7.5867450872722202</v>
      </c>
      <c r="F415">
        <f>VLOOKUP(C415,'[1]phenotypes-895'!$A$2:$G$896,7,FALSE)</f>
        <v>89</v>
      </c>
      <c r="G415">
        <v>287</v>
      </c>
    </row>
    <row r="416" spans="1:7" x14ac:dyDescent="0.2">
      <c r="A416">
        <v>415</v>
      </c>
      <c r="B416">
        <v>48</v>
      </c>
      <c r="C416" t="s">
        <v>414</v>
      </c>
      <c r="D416" s="13" t="s">
        <v>912</v>
      </c>
      <c r="E416" s="1">
        <v>4.5312506169971503</v>
      </c>
      <c r="F416">
        <f>VLOOKUP(C416,'[1]phenotypes-895'!$A$2:$G$896,7,FALSE)</f>
        <v>91</v>
      </c>
      <c r="G416">
        <v>288</v>
      </c>
    </row>
    <row r="417" spans="1:7" x14ac:dyDescent="0.2">
      <c r="A417">
        <v>416</v>
      </c>
      <c r="B417">
        <v>45</v>
      </c>
      <c r="C417" t="s">
        <v>415</v>
      </c>
      <c r="D417" s="13" t="s">
        <v>912</v>
      </c>
      <c r="E417" s="1">
        <v>-1.63006054501116</v>
      </c>
      <c r="F417">
        <f>VLOOKUP(C417,'[1]phenotypes-895'!$A$2:$G$896,7,FALSE)</f>
        <v>98</v>
      </c>
      <c r="G417">
        <v>297</v>
      </c>
    </row>
    <row r="418" spans="1:7" x14ac:dyDescent="0.2">
      <c r="A418">
        <v>417</v>
      </c>
      <c r="B418">
        <v>42</v>
      </c>
      <c r="C418" t="s">
        <v>416</v>
      </c>
      <c r="D418" s="13" t="s">
        <v>912</v>
      </c>
      <c r="E418" s="1">
        <v>2.22706098033462</v>
      </c>
      <c r="F418">
        <f>VLOOKUP(C418,'[1]phenotypes-895'!$A$2:$G$896,7,FALSE)</f>
        <v>88</v>
      </c>
      <c r="G418">
        <v>300</v>
      </c>
    </row>
    <row r="419" spans="1:7" x14ac:dyDescent="0.2">
      <c r="A419">
        <v>418</v>
      </c>
      <c r="B419">
        <v>42</v>
      </c>
      <c r="C419" t="s">
        <v>417</v>
      </c>
      <c r="D419" s="13" t="s">
        <v>912</v>
      </c>
      <c r="E419" s="1">
        <v>0.76305074285948304</v>
      </c>
      <c r="F419">
        <f>VLOOKUP(C419,'[1]phenotypes-895'!$A$2:$G$896,7,FALSE)</f>
        <v>98</v>
      </c>
      <c r="G419">
        <v>300</v>
      </c>
    </row>
    <row r="420" spans="1:7" x14ac:dyDescent="0.2">
      <c r="A420">
        <v>419</v>
      </c>
      <c r="B420">
        <v>54</v>
      </c>
      <c r="C420" t="s">
        <v>418</v>
      </c>
      <c r="D420" s="13" t="s">
        <v>912</v>
      </c>
      <c r="E420" s="1">
        <v>7.4206804020258996</v>
      </c>
      <c r="F420">
        <f>VLOOKUP(C420,'[1]phenotypes-895'!$A$2:$G$896,7,FALSE)</f>
        <v>98</v>
      </c>
      <c r="G420">
        <v>285</v>
      </c>
    </row>
    <row r="421" spans="1:7" x14ac:dyDescent="0.2">
      <c r="A421">
        <v>420</v>
      </c>
      <c r="B421">
        <v>53</v>
      </c>
      <c r="C421" t="s">
        <v>419</v>
      </c>
      <c r="D421" s="13" t="s">
        <v>912</v>
      </c>
      <c r="E421" s="1">
        <v>-0.385457529675863</v>
      </c>
      <c r="F421">
        <f>VLOOKUP(C421,'[1]phenotypes-895'!$A$2:$G$896,7,FALSE)</f>
        <v>98</v>
      </c>
      <c r="G421">
        <v>276</v>
      </c>
    </row>
    <row r="422" spans="1:7" x14ac:dyDescent="0.2">
      <c r="A422">
        <v>421</v>
      </c>
      <c r="B422">
        <v>42</v>
      </c>
      <c r="C422" t="s">
        <v>420</v>
      </c>
      <c r="D422" s="13" t="s">
        <v>912</v>
      </c>
      <c r="E422" s="1">
        <v>2.4366155254940298</v>
      </c>
      <c r="F422">
        <f>VLOOKUP(C422,'[1]phenotypes-895'!$A$2:$G$896,7,FALSE)</f>
        <v>98</v>
      </c>
      <c r="G422">
        <v>300</v>
      </c>
    </row>
    <row r="423" spans="1:7" x14ac:dyDescent="0.2">
      <c r="A423">
        <v>422</v>
      </c>
      <c r="B423">
        <v>31</v>
      </c>
      <c r="C423" t="s">
        <v>421</v>
      </c>
      <c r="D423" s="13" t="s">
        <v>913</v>
      </c>
      <c r="E423" s="1">
        <v>-4.2834191576376899</v>
      </c>
      <c r="F423">
        <f>VLOOKUP(C423,'[1]phenotypes-895'!$A$2:$G$896,7,FALSE)</f>
        <v>64</v>
      </c>
      <c r="G423">
        <v>314</v>
      </c>
    </row>
    <row r="424" spans="1:7" x14ac:dyDescent="0.2">
      <c r="A424">
        <v>423</v>
      </c>
      <c r="B424">
        <v>48</v>
      </c>
      <c r="C424" t="s">
        <v>422</v>
      </c>
      <c r="D424" s="13" t="s">
        <v>912</v>
      </c>
      <c r="E424" s="1">
        <v>-3.1912623136307601</v>
      </c>
      <c r="F424">
        <f>VLOOKUP(C424,'[1]phenotypes-895'!$A$2:$G$896,7,FALSE)</f>
        <v>58</v>
      </c>
      <c r="G424">
        <v>288</v>
      </c>
    </row>
    <row r="425" spans="1:7" x14ac:dyDescent="0.2">
      <c r="A425">
        <v>424</v>
      </c>
      <c r="B425">
        <v>29</v>
      </c>
      <c r="C425" t="s">
        <v>423</v>
      </c>
      <c r="D425" s="13" t="s">
        <v>913</v>
      </c>
      <c r="E425" s="1">
        <v>0.431436826786738</v>
      </c>
      <c r="F425">
        <f>VLOOKUP(C425,'[1]phenotypes-895'!$A$2:$G$896,7,FALSE)</f>
        <v>98</v>
      </c>
      <c r="G425">
        <v>317</v>
      </c>
    </row>
    <row r="426" spans="1:7" x14ac:dyDescent="0.2">
      <c r="A426">
        <v>425</v>
      </c>
      <c r="B426">
        <v>52</v>
      </c>
      <c r="C426" t="s">
        <v>424</v>
      </c>
      <c r="D426" s="13" t="s">
        <v>912</v>
      </c>
      <c r="E426" s="1">
        <v>4.3817990963529798</v>
      </c>
      <c r="F426">
        <f>VLOOKUP(C426,'[1]phenotypes-895'!$A$2:$G$896,7,FALSE)</f>
        <v>57</v>
      </c>
      <c r="G426">
        <v>279</v>
      </c>
    </row>
    <row r="427" spans="1:7" x14ac:dyDescent="0.2">
      <c r="A427">
        <v>426</v>
      </c>
      <c r="B427">
        <v>50</v>
      </c>
      <c r="C427" t="s">
        <v>425</v>
      </c>
      <c r="D427" s="13" t="s">
        <v>912</v>
      </c>
      <c r="E427" s="1">
        <v>5.4920118764738604</v>
      </c>
      <c r="F427">
        <f>VLOOKUP(C427,'[1]phenotypes-895'!$A$2:$G$896,7,FALSE)</f>
        <v>98</v>
      </c>
      <c r="G427">
        <v>287</v>
      </c>
    </row>
    <row r="428" spans="1:7" x14ac:dyDescent="0.2">
      <c r="A428">
        <v>427</v>
      </c>
      <c r="B428">
        <v>49</v>
      </c>
      <c r="C428" t="s">
        <v>426</v>
      </c>
      <c r="D428" s="13" t="s">
        <v>912</v>
      </c>
      <c r="E428" s="1">
        <v>4.8901822553393304</v>
      </c>
      <c r="F428">
        <f>VLOOKUP(C428,'[1]phenotypes-895'!$A$2:$G$896,7,FALSE)</f>
        <v>63</v>
      </c>
      <c r="G428">
        <v>290</v>
      </c>
    </row>
    <row r="429" spans="1:7" x14ac:dyDescent="0.2">
      <c r="A429">
        <v>428</v>
      </c>
      <c r="B429">
        <v>53</v>
      </c>
      <c r="C429" t="s">
        <v>427</v>
      </c>
      <c r="D429" s="13" t="s">
        <v>912</v>
      </c>
      <c r="E429" s="1">
        <v>-2.2422700728341098</v>
      </c>
      <c r="F429">
        <f>VLOOKUP(C429,'[1]phenotypes-895'!$A$2:$G$896,7,FALSE)</f>
        <v>62</v>
      </c>
      <c r="G429">
        <v>276</v>
      </c>
    </row>
    <row r="430" spans="1:7" x14ac:dyDescent="0.2">
      <c r="A430">
        <v>429</v>
      </c>
      <c r="B430">
        <v>50</v>
      </c>
      <c r="C430" t="s">
        <v>428</v>
      </c>
      <c r="D430" s="13" t="s">
        <v>912</v>
      </c>
      <c r="E430" s="1">
        <v>6.3952503947185697</v>
      </c>
      <c r="F430">
        <f>VLOOKUP(C430,'[1]phenotypes-895'!$A$2:$G$896,7,FALSE)</f>
        <v>98</v>
      </c>
      <c r="G430">
        <v>287</v>
      </c>
    </row>
    <row r="431" spans="1:7" x14ac:dyDescent="0.2">
      <c r="A431">
        <v>430</v>
      </c>
      <c r="B431">
        <v>43</v>
      </c>
      <c r="C431" t="s">
        <v>429</v>
      </c>
      <c r="D431" s="13" t="s">
        <v>912</v>
      </c>
      <c r="E431" s="1">
        <v>-2.0708859648620002</v>
      </c>
      <c r="F431">
        <f>VLOOKUP(C431,'[1]phenotypes-895'!$A$2:$G$896,7,FALSE)</f>
        <v>68</v>
      </c>
      <c r="G431">
        <v>290</v>
      </c>
    </row>
    <row r="432" spans="1:7" x14ac:dyDescent="0.2">
      <c r="A432">
        <v>431</v>
      </c>
      <c r="B432">
        <v>42</v>
      </c>
      <c r="C432" t="s">
        <v>430</v>
      </c>
      <c r="D432" s="13" t="s">
        <v>912</v>
      </c>
      <c r="E432" s="1">
        <v>-4.04520457010935</v>
      </c>
      <c r="F432">
        <f>VLOOKUP(C432,'[1]phenotypes-895'!$A$2:$G$896,7,FALSE)</f>
        <v>65</v>
      </c>
      <c r="G432">
        <v>300</v>
      </c>
    </row>
    <row r="433" spans="1:7" x14ac:dyDescent="0.2">
      <c r="A433">
        <v>432</v>
      </c>
      <c r="B433">
        <v>50</v>
      </c>
      <c r="C433" t="s">
        <v>431</v>
      </c>
      <c r="D433" s="13" t="s">
        <v>912</v>
      </c>
      <c r="E433" s="1">
        <v>5.1645111422493102</v>
      </c>
      <c r="F433">
        <f>VLOOKUP(C433,'[1]phenotypes-895'!$A$2:$G$896,7,FALSE)</f>
        <v>98</v>
      </c>
      <c r="G433">
        <v>287</v>
      </c>
    </row>
    <row r="434" spans="1:7" x14ac:dyDescent="0.2">
      <c r="A434">
        <v>433</v>
      </c>
      <c r="B434">
        <v>45</v>
      </c>
      <c r="C434" t="s">
        <v>432</v>
      </c>
      <c r="D434" s="13" t="s">
        <v>912</v>
      </c>
      <c r="E434" s="1">
        <v>7.2980141326748003</v>
      </c>
      <c r="F434">
        <f>VLOOKUP(C434,'[1]phenotypes-895'!$A$2:$G$896,7,FALSE)</f>
        <v>98</v>
      </c>
      <c r="G434">
        <v>297</v>
      </c>
    </row>
    <row r="435" spans="1:7" x14ac:dyDescent="0.2">
      <c r="A435">
        <v>434</v>
      </c>
      <c r="B435">
        <v>42</v>
      </c>
      <c r="C435" t="s">
        <v>433</v>
      </c>
      <c r="D435" s="13" t="s">
        <v>912</v>
      </c>
      <c r="E435" s="1">
        <v>2.7581256049902398</v>
      </c>
      <c r="F435">
        <f>VLOOKUP(C435,'[1]phenotypes-895'!$A$2:$G$896,7,FALSE)</f>
        <v>98</v>
      </c>
      <c r="G435">
        <v>300</v>
      </c>
    </row>
    <row r="436" spans="1:7" x14ac:dyDescent="0.2">
      <c r="A436">
        <v>435</v>
      </c>
      <c r="B436">
        <v>42</v>
      </c>
      <c r="C436" t="s">
        <v>434</v>
      </c>
      <c r="D436" s="13" t="s">
        <v>912</v>
      </c>
      <c r="E436" s="1">
        <v>3.6733234024071901</v>
      </c>
      <c r="F436">
        <f>VLOOKUP(C436,'[1]phenotypes-895'!$A$2:$G$896,7,FALSE)</f>
        <v>98</v>
      </c>
      <c r="G436">
        <v>300</v>
      </c>
    </row>
    <row r="437" spans="1:7" x14ac:dyDescent="0.2">
      <c r="A437">
        <v>436</v>
      </c>
      <c r="B437">
        <v>41</v>
      </c>
      <c r="C437" t="s">
        <v>435</v>
      </c>
      <c r="D437" s="13" t="s">
        <v>912</v>
      </c>
      <c r="E437" s="1">
        <v>1.0749524787390099</v>
      </c>
      <c r="F437">
        <f>VLOOKUP(C437,'[1]phenotypes-895'!$A$2:$G$896,7,FALSE)</f>
        <v>98</v>
      </c>
      <c r="G437">
        <v>261</v>
      </c>
    </row>
    <row r="438" spans="1:7" x14ac:dyDescent="0.2">
      <c r="A438">
        <v>437</v>
      </c>
      <c r="B438">
        <v>49</v>
      </c>
      <c r="C438" t="s">
        <v>436</v>
      </c>
      <c r="D438" s="13" t="s">
        <v>912</v>
      </c>
      <c r="E438" s="1">
        <v>0.11543765334202701</v>
      </c>
      <c r="F438">
        <f>VLOOKUP(C438,'[1]phenotypes-895'!$A$2:$G$896,7,FALSE)</f>
        <v>98</v>
      </c>
      <c r="G438">
        <v>290</v>
      </c>
    </row>
    <row r="439" spans="1:7" x14ac:dyDescent="0.2">
      <c r="A439">
        <v>438</v>
      </c>
      <c r="B439">
        <v>50</v>
      </c>
      <c r="C439" t="s">
        <v>437</v>
      </c>
      <c r="D439" s="13" t="s">
        <v>912</v>
      </c>
      <c r="E439" s="1">
        <v>-1.5771203980561099</v>
      </c>
      <c r="F439">
        <f>VLOOKUP(C439,'[1]phenotypes-895'!$A$2:$G$896,7,FALSE)</f>
        <v>88</v>
      </c>
      <c r="G439">
        <v>287</v>
      </c>
    </row>
    <row r="440" spans="1:7" x14ac:dyDescent="0.2">
      <c r="A440">
        <v>439</v>
      </c>
      <c r="B440">
        <v>54</v>
      </c>
      <c r="C440" t="s">
        <v>438</v>
      </c>
      <c r="D440" s="13" t="s">
        <v>912</v>
      </c>
      <c r="E440" s="1">
        <v>-0.341298352342366</v>
      </c>
      <c r="F440">
        <f>VLOOKUP(C440,'[1]phenotypes-895'!$A$2:$G$896,7,FALSE)</f>
        <v>98</v>
      </c>
      <c r="G440">
        <v>285</v>
      </c>
    </row>
    <row r="441" spans="1:7" x14ac:dyDescent="0.2">
      <c r="A441">
        <v>440</v>
      </c>
      <c r="B441">
        <v>52</v>
      </c>
      <c r="C441" t="s">
        <v>439</v>
      </c>
      <c r="D441" s="13" t="s">
        <v>912</v>
      </c>
      <c r="E441" s="1">
        <v>-0.899455317930134</v>
      </c>
      <c r="F441">
        <f>VLOOKUP(C441,'[1]phenotypes-895'!$A$2:$G$896,7,FALSE)</f>
        <v>98</v>
      </c>
      <c r="G441">
        <v>279</v>
      </c>
    </row>
    <row r="442" spans="1:7" x14ac:dyDescent="0.2">
      <c r="A442">
        <v>441</v>
      </c>
      <c r="B442">
        <v>40</v>
      </c>
      <c r="C442" t="s">
        <v>440</v>
      </c>
      <c r="D442" s="13" t="s">
        <v>913</v>
      </c>
      <c r="E442" s="1">
        <v>1.0931138034105901</v>
      </c>
      <c r="F442">
        <f>VLOOKUP(C442,'[1]phenotypes-895'!$A$2:$G$896,7,FALSE)</f>
        <v>98</v>
      </c>
      <c r="G442">
        <v>317</v>
      </c>
    </row>
    <row r="443" spans="1:7" x14ac:dyDescent="0.2">
      <c r="A443">
        <v>442</v>
      </c>
      <c r="B443">
        <v>50</v>
      </c>
      <c r="C443" t="s">
        <v>441</v>
      </c>
      <c r="D443" s="13" t="s">
        <v>912</v>
      </c>
      <c r="E443" s="1">
        <v>1.52598856745833</v>
      </c>
      <c r="F443">
        <f>VLOOKUP(C443,'[1]phenotypes-895'!$A$2:$G$896,7,FALSE)</f>
        <v>98</v>
      </c>
      <c r="G443">
        <v>287</v>
      </c>
    </row>
    <row r="444" spans="1:7" x14ac:dyDescent="0.2">
      <c r="A444">
        <v>443</v>
      </c>
      <c r="B444">
        <v>29</v>
      </c>
      <c r="C444" t="s">
        <v>442</v>
      </c>
      <c r="D444" s="13" t="s">
        <v>913</v>
      </c>
      <c r="E444" s="1">
        <v>3.9396022339609398</v>
      </c>
      <c r="F444">
        <f>VLOOKUP(C444,'[1]phenotypes-895'!$A$2:$G$896,7,FALSE)</f>
        <v>98</v>
      </c>
      <c r="G444">
        <v>317</v>
      </c>
    </row>
    <row r="445" spans="1:7" x14ac:dyDescent="0.2">
      <c r="A445">
        <v>444</v>
      </c>
      <c r="B445">
        <v>46</v>
      </c>
      <c r="C445" t="s">
        <v>443</v>
      </c>
      <c r="D445" s="13" t="s">
        <v>912</v>
      </c>
      <c r="E445" s="1">
        <v>2.0208042235034398</v>
      </c>
      <c r="F445">
        <f>VLOOKUP(C445,'[1]phenotypes-895'!$A$2:$G$896,7,FALSE)</f>
        <v>60</v>
      </c>
      <c r="G445">
        <v>275</v>
      </c>
    </row>
    <row r="446" spans="1:7" x14ac:dyDescent="0.2">
      <c r="A446">
        <v>445</v>
      </c>
      <c r="B446">
        <v>52</v>
      </c>
      <c r="C446" t="s">
        <v>444</v>
      </c>
      <c r="D446" s="13" t="s">
        <v>912</v>
      </c>
      <c r="E446" s="1">
        <v>3.6018254135438101</v>
      </c>
      <c r="F446">
        <f>VLOOKUP(C446,'[1]phenotypes-895'!$A$2:$G$896,7,FALSE)</f>
        <v>85</v>
      </c>
      <c r="G446">
        <v>279</v>
      </c>
    </row>
    <row r="447" spans="1:7" x14ac:dyDescent="0.2">
      <c r="A447">
        <v>446</v>
      </c>
      <c r="B447">
        <v>46</v>
      </c>
      <c r="C447" t="s">
        <v>445</v>
      </c>
      <c r="D447" s="13" t="s">
        <v>912</v>
      </c>
      <c r="E447" s="1">
        <v>1.8832980741743699</v>
      </c>
      <c r="F447">
        <f>VLOOKUP(C447,'[1]phenotypes-895'!$A$2:$G$896,7,FALSE)</f>
        <v>98</v>
      </c>
      <c r="G447">
        <v>275</v>
      </c>
    </row>
    <row r="448" spans="1:7" x14ac:dyDescent="0.2">
      <c r="A448">
        <v>447</v>
      </c>
      <c r="B448">
        <v>50</v>
      </c>
      <c r="C448" t="s">
        <v>446</v>
      </c>
      <c r="D448" s="13" t="s">
        <v>912</v>
      </c>
      <c r="E448" s="1">
        <v>-3.3716506685216499</v>
      </c>
      <c r="F448">
        <f>VLOOKUP(C448,'[1]phenotypes-895'!$A$2:$G$896,7,FALSE)</f>
        <v>60</v>
      </c>
      <c r="G448">
        <v>287</v>
      </c>
    </row>
    <row r="449" spans="1:7" x14ac:dyDescent="0.2">
      <c r="A449">
        <v>448</v>
      </c>
      <c r="B449">
        <v>42</v>
      </c>
      <c r="C449" t="s">
        <v>447</v>
      </c>
      <c r="D449" s="13" t="s">
        <v>912</v>
      </c>
      <c r="E449" s="1">
        <v>-3.5421439209751102</v>
      </c>
      <c r="F449">
        <f>VLOOKUP(C449,'[1]phenotypes-895'!$A$2:$G$896,7,FALSE)</f>
        <v>55</v>
      </c>
      <c r="G449">
        <v>300</v>
      </c>
    </row>
    <row r="450" spans="1:7" x14ac:dyDescent="0.2">
      <c r="A450">
        <v>449</v>
      </c>
      <c r="B450">
        <v>53</v>
      </c>
      <c r="C450" t="s">
        <v>448</v>
      </c>
      <c r="D450" s="13" t="s">
        <v>912</v>
      </c>
      <c r="E450" s="1">
        <v>4.2683215459233796</v>
      </c>
      <c r="F450">
        <f>VLOOKUP(C450,'[1]phenotypes-895'!$A$2:$G$896,7,FALSE)</f>
        <v>98</v>
      </c>
      <c r="G450">
        <v>276</v>
      </c>
    </row>
    <row r="451" spans="1:7" x14ac:dyDescent="0.2">
      <c r="A451">
        <v>450</v>
      </c>
      <c r="B451">
        <v>49</v>
      </c>
      <c r="C451" t="s">
        <v>449</v>
      </c>
      <c r="D451" s="13" t="s">
        <v>912</v>
      </c>
      <c r="E451" s="1">
        <v>-1.0808992135433</v>
      </c>
      <c r="F451">
        <f>VLOOKUP(C451,'[1]phenotypes-895'!$A$2:$G$896,7,FALSE)</f>
        <v>98</v>
      </c>
      <c r="G451">
        <v>290</v>
      </c>
    </row>
    <row r="452" spans="1:7" x14ac:dyDescent="0.2">
      <c r="A452">
        <v>451</v>
      </c>
      <c r="B452">
        <v>44</v>
      </c>
      <c r="C452" t="s">
        <v>450</v>
      </c>
      <c r="D452" s="13" t="s">
        <v>912</v>
      </c>
      <c r="E452" s="1">
        <v>1.2755250837712999</v>
      </c>
      <c r="F452">
        <f>VLOOKUP(C452,'[1]phenotypes-895'!$A$2:$G$896,7,FALSE)</f>
        <v>67</v>
      </c>
      <c r="G452">
        <v>288</v>
      </c>
    </row>
    <row r="453" spans="1:7" x14ac:dyDescent="0.2">
      <c r="A453">
        <v>452</v>
      </c>
      <c r="B453">
        <v>42</v>
      </c>
      <c r="C453" t="s">
        <v>451</v>
      </c>
      <c r="D453" s="13" t="s">
        <v>912</v>
      </c>
      <c r="E453" s="1">
        <v>0.43582175546523999</v>
      </c>
      <c r="F453">
        <f>VLOOKUP(C453,'[1]phenotypes-895'!$A$2:$G$896,7,FALSE)</f>
        <v>88</v>
      </c>
      <c r="G453">
        <v>300</v>
      </c>
    </row>
    <row r="454" spans="1:7" x14ac:dyDescent="0.2">
      <c r="A454">
        <v>453</v>
      </c>
      <c r="B454">
        <v>53</v>
      </c>
      <c r="C454" t="s">
        <v>452</v>
      </c>
      <c r="D454" s="13" t="s">
        <v>912</v>
      </c>
      <c r="E454" s="1">
        <v>5.2872768264483501</v>
      </c>
      <c r="F454">
        <f>VLOOKUP(C454,'[1]phenotypes-895'!$A$2:$G$896,7,FALSE)</f>
        <v>98</v>
      </c>
      <c r="G454">
        <v>276</v>
      </c>
    </row>
    <row r="455" spans="1:7" x14ac:dyDescent="0.2">
      <c r="A455">
        <v>454</v>
      </c>
      <c r="B455">
        <v>45</v>
      </c>
      <c r="C455" t="s">
        <v>453</v>
      </c>
      <c r="D455" s="13" t="s">
        <v>912</v>
      </c>
      <c r="E455" s="1">
        <v>0.50806266428605695</v>
      </c>
      <c r="F455">
        <f>VLOOKUP(C455,'[1]phenotypes-895'!$A$2:$G$896,7,FALSE)</f>
        <v>74</v>
      </c>
      <c r="G455">
        <v>297</v>
      </c>
    </row>
    <row r="456" spans="1:7" x14ac:dyDescent="0.2">
      <c r="A456">
        <v>455</v>
      </c>
      <c r="B456">
        <v>48</v>
      </c>
      <c r="C456" t="s">
        <v>454</v>
      </c>
      <c r="D456" s="13" t="s">
        <v>912</v>
      </c>
      <c r="E456" s="1">
        <v>4.5648227726479504</v>
      </c>
      <c r="F456">
        <f>VLOOKUP(C456,'[1]phenotypes-895'!$A$2:$G$896,7,FALSE)</f>
        <v>81</v>
      </c>
      <c r="G456">
        <v>288</v>
      </c>
    </row>
    <row r="457" spans="1:7" x14ac:dyDescent="0.2">
      <c r="A457">
        <v>456</v>
      </c>
      <c r="B457">
        <v>53</v>
      </c>
      <c r="C457" t="s">
        <v>455</v>
      </c>
      <c r="D457" s="13" t="s">
        <v>912</v>
      </c>
      <c r="E457" s="1">
        <v>4.0474303280938404</v>
      </c>
      <c r="F457">
        <f>VLOOKUP(C457,'[1]phenotypes-895'!$A$2:$G$896,7,FALSE)</f>
        <v>98</v>
      </c>
      <c r="G457">
        <v>276</v>
      </c>
    </row>
    <row r="458" spans="1:7" x14ac:dyDescent="0.2">
      <c r="A458">
        <v>457</v>
      </c>
      <c r="B458">
        <v>45</v>
      </c>
      <c r="C458" t="s">
        <v>456</v>
      </c>
      <c r="D458" s="13" t="s">
        <v>912</v>
      </c>
      <c r="E458" s="1">
        <v>5.61458037917465</v>
      </c>
      <c r="F458">
        <f>VLOOKUP(C458,'[1]phenotypes-895'!$A$2:$G$896,7,FALSE)</f>
        <v>98</v>
      </c>
      <c r="G458">
        <v>297</v>
      </c>
    </row>
    <row r="459" spans="1:7" x14ac:dyDescent="0.2">
      <c r="A459">
        <v>458</v>
      </c>
      <c r="B459">
        <v>50</v>
      </c>
      <c r="C459" t="s">
        <v>457</v>
      </c>
      <c r="D459" s="13" t="s">
        <v>912</v>
      </c>
      <c r="E459" s="1">
        <v>-2.1761905493539202</v>
      </c>
      <c r="F459">
        <f>VLOOKUP(C459,'[1]phenotypes-895'!$A$2:$G$896,7,FALSE)</f>
        <v>57</v>
      </c>
      <c r="G459">
        <v>287</v>
      </c>
    </row>
    <row r="460" spans="1:7" x14ac:dyDescent="0.2">
      <c r="A460">
        <v>459</v>
      </c>
      <c r="B460">
        <v>47</v>
      </c>
      <c r="C460" t="s">
        <v>458</v>
      </c>
      <c r="D460" s="13" t="s">
        <v>912</v>
      </c>
      <c r="E460" s="1">
        <v>-2.94667296032332E-2</v>
      </c>
      <c r="F460">
        <f>VLOOKUP(C460,'[1]phenotypes-895'!$A$2:$G$896,7,FALSE)</f>
        <v>66</v>
      </c>
      <c r="G460">
        <v>290</v>
      </c>
    </row>
    <row r="461" spans="1:7" x14ac:dyDescent="0.2">
      <c r="A461">
        <v>460</v>
      </c>
      <c r="B461">
        <v>50</v>
      </c>
      <c r="C461" t="s">
        <v>459</v>
      </c>
      <c r="D461" s="13" t="s">
        <v>912</v>
      </c>
      <c r="E461" s="1">
        <v>2.6285365862155499</v>
      </c>
      <c r="F461">
        <f>VLOOKUP(C461,'[1]phenotypes-895'!$A$2:$G$896,7,FALSE)</f>
        <v>63</v>
      </c>
      <c r="G461">
        <v>287</v>
      </c>
    </row>
    <row r="462" spans="1:7" x14ac:dyDescent="0.2">
      <c r="A462">
        <v>461</v>
      </c>
      <c r="B462">
        <v>51</v>
      </c>
      <c r="C462" t="s">
        <v>460</v>
      </c>
      <c r="D462" s="13" t="s">
        <v>912</v>
      </c>
      <c r="E462" s="1">
        <v>-7.6719491574502197</v>
      </c>
      <c r="F462">
        <f>VLOOKUP(C462,'[1]phenotypes-895'!$A$2:$G$896,7,FALSE)</f>
        <v>86</v>
      </c>
      <c r="G462">
        <v>274</v>
      </c>
    </row>
    <row r="463" spans="1:7" x14ac:dyDescent="0.2">
      <c r="A463">
        <v>462</v>
      </c>
      <c r="B463">
        <v>32</v>
      </c>
      <c r="C463" t="s">
        <v>461</v>
      </c>
      <c r="D463" s="13" t="s">
        <v>913</v>
      </c>
      <c r="E463" s="1">
        <v>4.7741408973888397</v>
      </c>
      <c r="F463">
        <f>VLOOKUP(C463,'[1]phenotypes-895'!$A$2:$G$896,7,FALSE)</f>
        <v>89</v>
      </c>
      <c r="G463">
        <v>314</v>
      </c>
    </row>
    <row r="464" spans="1:7" x14ac:dyDescent="0.2">
      <c r="A464">
        <v>463</v>
      </c>
      <c r="B464">
        <v>44</v>
      </c>
      <c r="C464" t="s">
        <v>462</v>
      </c>
      <c r="D464" s="13" t="s">
        <v>912</v>
      </c>
      <c r="E464" s="1">
        <v>0.117640843422271</v>
      </c>
      <c r="F464">
        <f>VLOOKUP(C464,'[1]phenotypes-895'!$A$2:$G$896,7,FALSE)</f>
        <v>52</v>
      </c>
      <c r="G464">
        <v>288</v>
      </c>
    </row>
    <row r="465" spans="1:7" x14ac:dyDescent="0.2">
      <c r="A465">
        <v>464</v>
      </c>
      <c r="B465">
        <v>21</v>
      </c>
      <c r="C465" t="s">
        <v>463</v>
      </c>
      <c r="D465" s="13" t="s">
        <v>913</v>
      </c>
      <c r="E465" s="1">
        <v>7.6541537354650897</v>
      </c>
      <c r="F465">
        <f>VLOOKUP(C465,'[1]phenotypes-895'!$A$2:$G$896,7,FALSE)</f>
        <v>98</v>
      </c>
      <c r="G465">
        <v>333</v>
      </c>
    </row>
    <row r="466" spans="1:7" x14ac:dyDescent="0.2">
      <c r="A466">
        <v>465</v>
      </c>
      <c r="B466">
        <v>52</v>
      </c>
      <c r="C466" t="s">
        <v>464</v>
      </c>
      <c r="D466" s="13" t="s">
        <v>912</v>
      </c>
      <c r="E466" s="1">
        <v>-0.75544003553850303</v>
      </c>
      <c r="F466">
        <f>VLOOKUP(C466,'[1]phenotypes-895'!$A$2:$G$896,7,FALSE)</f>
        <v>98</v>
      </c>
      <c r="G466">
        <v>279</v>
      </c>
    </row>
    <row r="467" spans="1:7" x14ac:dyDescent="0.2">
      <c r="A467">
        <v>466</v>
      </c>
      <c r="B467">
        <v>54</v>
      </c>
      <c r="C467" t="s">
        <v>465</v>
      </c>
      <c r="D467" s="13" t="s">
        <v>912</v>
      </c>
      <c r="E467" s="1">
        <v>5.1134331798890003</v>
      </c>
      <c r="F467">
        <f>VLOOKUP(C467,'[1]phenotypes-895'!$A$2:$G$896,7,FALSE)</f>
        <v>98</v>
      </c>
      <c r="G467">
        <v>285</v>
      </c>
    </row>
    <row r="468" spans="1:7" x14ac:dyDescent="0.2">
      <c r="A468">
        <v>467</v>
      </c>
      <c r="B468">
        <v>42</v>
      </c>
      <c r="C468" t="s">
        <v>466</v>
      </c>
      <c r="D468" s="13" t="s">
        <v>912</v>
      </c>
      <c r="E468" s="1">
        <v>3.0553354087391602</v>
      </c>
      <c r="F468">
        <f>VLOOKUP(C468,'[1]phenotypes-895'!$A$2:$G$896,7,FALSE)</f>
        <v>98</v>
      </c>
      <c r="G468">
        <v>300</v>
      </c>
    </row>
    <row r="469" spans="1:7" x14ac:dyDescent="0.2">
      <c r="A469">
        <v>468</v>
      </c>
      <c r="B469">
        <v>44</v>
      </c>
      <c r="C469" t="s">
        <v>467</v>
      </c>
      <c r="D469" s="13" t="s">
        <v>912</v>
      </c>
      <c r="E469" s="1">
        <v>2.9848236191102999</v>
      </c>
      <c r="F469">
        <f>VLOOKUP(C469,'[1]phenotypes-895'!$A$2:$G$896,7,FALSE)</f>
        <v>98</v>
      </c>
      <c r="G469">
        <v>288</v>
      </c>
    </row>
    <row r="470" spans="1:7" x14ac:dyDescent="0.2">
      <c r="A470">
        <v>469</v>
      </c>
      <c r="B470">
        <v>47</v>
      </c>
      <c r="C470" t="s">
        <v>468</v>
      </c>
      <c r="D470" s="13" t="s">
        <v>912</v>
      </c>
      <c r="E470" s="1">
        <v>-3.2018719258364099</v>
      </c>
      <c r="F470">
        <f>VLOOKUP(C470,'[1]phenotypes-895'!$A$2:$G$896,7,FALSE)</f>
        <v>60</v>
      </c>
      <c r="G470">
        <v>290</v>
      </c>
    </row>
    <row r="471" spans="1:7" x14ac:dyDescent="0.2">
      <c r="A471">
        <v>470</v>
      </c>
      <c r="B471">
        <v>49</v>
      </c>
      <c r="C471" t="s">
        <v>469</v>
      </c>
      <c r="D471" s="13" t="s">
        <v>912</v>
      </c>
      <c r="E471" s="1">
        <v>4.3709871590703102</v>
      </c>
      <c r="F471">
        <f>VLOOKUP(C471,'[1]phenotypes-895'!$A$2:$G$896,7,FALSE)</f>
        <v>98</v>
      </c>
      <c r="G471">
        <v>290</v>
      </c>
    </row>
    <row r="472" spans="1:7" x14ac:dyDescent="0.2">
      <c r="A472">
        <v>471</v>
      </c>
      <c r="B472">
        <v>54</v>
      </c>
      <c r="C472" t="s">
        <v>470</v>
      </c>
      <c r="D472" s="13" t="s">
        <v>912</v>
      </c>
      <c r="E472" s="1">
        <v>4.4323394936512104</v>
      </c>
      <c r="F472">
        <f>VLOOKUP(C472,'[1]phenotypes-895'!$A$2:$G$896,7,FALSE)</f>
        <v>98</v>
      </c>
      <c r="G472">
        <v>285</v>
      </c>
    </row>
    <row r="473" spans="1:7" x14ac:dyDescent="0.2">
      <c r="A473">
        <v>472</v>
      </c>
      <c r="B473">
        <v>46</v>
      </c>
      <c r="C473" t="s">
        <v>471</v>
      </c>
      <c r="D473" s="13" t="s">
        <v>912</v>
      </c>
      <c r="E473" s="1">
        <v>1.6493871153175701</v>
      </c>
      <c r="F473">
        <f>VLOOKUP(C473,'[1]phenotypes-895'!$A$2:$G$896,7,FALSE)</f>
        <v>98</v>
      </c>
      <c r="G473">
        <v>275</v>
      </c>
    </row>
    <row r="474" spans="1:7" x14ac:dyDescent="0.2">
      <c r="A474">
        <v>473</v>
      </c>
      <c r="B474">
        <v>51</v>
      </c>
      <c r="C474" t="s">
        <v>472</v>
      </c>
      <c r="D474" s="13" t="s">
        <v>912</v>
      </c>
      <c r="E474" s="1">
        <v>4.5548805310643603</v>
      </c>
      <c r="F474">
        <f>VLOOKUP(C474,'[1]phenotypes-895'!$A$2:$G$896,7,FALSE)</f>
        <v>98</v>
      </c>
      <c r="G474">
        <v>274</v>
      </c>
    </row>
    <row r="475" spans="1:7" x14ac:dyDescent="0.2">
      <c r="A475">
        <v>474</v>
      </c>
      <c r="B475">
        <v>54</v>
      </c>
      <c r="C475" t="s">
        <v>473</v>
      </c>
      <c r="D475" s="13" t="s">
        <v>912</v>
      </c>
      <c r="E475" s="1">
        <v>4.9253184725935997</v>
      </c>
      <c r="F475">
        <f>VLOOKUP(C475,'[1]phenotypes-895'!$A$2:$G$896,7,FALSE)</f>
        <v>98</v>
      </c>
      <c r="G475">
        <v>285</v>
      </c>
    </row>
    <row r="476" spans="1:7" x14ac:dyDescent="0.2">
      <c r="A476">
        <v>475</v>
      </c>
      <c r="B476">
        <v>44</v>
      </c>
      <c r="C476" t="s">
        <v>474</v>
      </c>
      <c r="D476" s="13" t="s">
        <v>912</v>
      </c>
      <c r="E476" s="1">
        <v>-0.32104530487499</v>
      </c>
      <c r="F476">
        <f>VLOOKUP(C476,'[1]phenotypes-895'!$A$2:$G$896,7,FALSE)</f>
        <v>58</v>
      </c>
      <c r="G476">
        <v>288</v>
      </c>
    </row>
    <row r="477" spans="1:7" x14ac:dyDescent="0.2">
      <c r="A477">
        <v>476</v>
      </c>
      <c r="B477">
        <v>45</v>
      </c>
      <c r="C477" t="s">
        <v>475</v>
      </c>
      <c r="D477" s="13" t="s">
        <v>912</v>
      </c>
      <c r="E477" s="1">
        <v>0.33690243657395003</v>
      </c>
      <c r="F477">
        <f>VLOOKUP(C477,'[1]phenotypes-895'!$A$2:$G$896,7,FALSE)</f>
        <v>86</v>
      </c>
      <c r="G477">
        <v>297</v>
      </c>
    </row>
    <row r="478" spans="1:7" x14ac:dyDescent="0.2">
      <c r="A478">
        <v>477</v>
      </c>
      <c r="B478">
        <v>49</v>
      </c>
      <c r="C478" t="s">
        <v>476</v>
      </c>
      <c r="D478" s="13" t="s">
        <v>912</v>
      </c>
      <c r="E478" s="1">
        <v>-0.78247459492849303</v>
      </c>
      <c r="F478">
        <f>VLOOKUP(C478,'[1]phenotypes-895'!$A$2:$G$896,7,FALSE)</f>
        <v>98</v>
      </c>
      <c r="G478">
        <v>290</v>
      </c>
    </row>
    <row r="479" spans="1:7" x14ac:dyDescent="0.2">
      <c r="A479">
        <v>478</v>
      </c>
      <c r="B479">
        <v>42</v>
      </c>
      <c r="C479" t="s">
        <v>477</v>
      </c>
      <c r="D479" s="13" t="s">
        <v>912</v>
      </c>
      <c r="E479" s="1">
        <v>1.45580894534311</v>
      </c>
      <c r="F479">
        <f>VLOOKUP(C479,'[1]phenotypes-895'!$A$2:$G$896,7,FALSE)</f>
        <v>66</v>
      </c>
      <c r="G479">
        <v>300</v>
      </c>
    </row>
    <row r="480" spans="1:7" x14ac:dyDescent="0.2">
      <c r="A480">
        <v>479</v>
      </c>
      <c r="B480">
        <v>54</v>
      </c>
      <c r="C480" t="s">
        <v>478</v>
      </c>
      <c r="D480" s="13" t="s">
        <v>912</v>
      </c>
      <c r="E480" s="1">
        <v>-4.4132350176000701</v>
      </c>
      <c r="F480">
        <f>VLOOKUP(C480,'[1]phenotypes-895'!$A$2:$G$896,7,FALSE)</f>
        <v>62</v>
      </c>
      <c r="G480">
        <v>285</v>
      </c>
    </row>
    <row r="481" spans="1:7" x14ac:dyDescent="0.2">
      <c r="A481">
        <v>480</v>
      </c>
      <c r="B481">
        <v>53</v>
      </c>
      <c r="C481" t="s">
        <v>479</v>
      </c>
      <c r="D481" s="13" t="s">
        <v>912</v>
      </c>
      <c r="E481" s="1">
        <v>5.9590126125409704</v>
      </c>
      <c r="F481">
        <f>VLOOKUP(C481,'[1]phenotypes-895'!$A$2:$G$896,7,FALSE)</f>
        <v>98</v>
      </c>
      <c r="G481">
        <v>276</v>
      </c>
    </row>
    <row r="482" spans="1:7" x14ac:dyDescent="0.2">
      <c r="A482">
        <v>481</v>
      </c>
      <c r="B482">
        <v>34</v>
      </c>
      <c r="C482" t="s">
        <v>480</v>
      </c>
      <c r="D482" s="13" t="s">
        <v>913</v>
      </c>
      <c r="E482" s="1">
        <v>4.4166087078993996</v>
      </c>
      <c r="F482">
        <f>VLOOKUP(C482,'[1]phenotypes-895'!$A$2:$G$896,7,FALSE)</f>
        <v>98</v>
      </c>
      <c r="G482">
        <v>304</v>
      </c>
    </row>
    <row r="483" spans="1:7" x14ac:dyDescent="0.2">
      <c r="A483">
        <v>482</v>
      </c>
      <c r="B483">
        <v>50</v>
      </c>
      <c r="C483" t="s">
        <v>481</v>
      </c>
      <c r="D483" s="13" t="s">
        <v>912</v>
      </c>
      <c r="E483" s="1">
        <v>-2.7380582858679401</v>
      </c>
      <c r="F483">
        <f>VLOOKUP(C483,'[1]phenotypes-895'!$A$2:$G$896,7,FALSE)</f>
        <v>82</v>
      </c>
      <c r="G483">
        <v>287</v>
      </c>
    </row>
    <row r="484" spans="1:7" x14ac:dyDescent="0.2">
      <c r="A484">
        <v>483</v>
      </c>
      <c r="B484">
        <v>36</v>
      </c>
      <c r="C484" t="s">
        <v>482</v>
      </c>
      <c r="D484" s="13" t="s">
        <v>913</v>
      </c>
      <c r="E484" s="1">
        <v>-8.5799010593173204</v>
      </c>
      <c r="F484">
        <f>VLOOKUP(C484,'[1]phenotypes-895'!$A$2:$G$896,7,FALSE)</f>
        <v>57</v>
      </c>
      <c r="G484">
        <v>307</v>
      </c>
    </row>
    <row r="485" spans="1:7" x14ac:dyDescent="0.2">
      <c r="A485">
        <v>484</v>
      </c>
      <c r="B485">
        <v>50</v>
      </c>
      <c r="C485" t="s">
        <v>483</v>
      </c>
      <c r="D485" s="13" t="s">
        <v>912</v>
      </c>
      <c r="E485" s="1">
        <v>2.7360609724178002</v>
      </c>
      <c r="F485">
        <f>VLOOKUP(C485,'[1]phenotypes-895'!$A$2:$G$896,7,FALSE)</f>
        <v>69</v>
      </c>
      <c r="G485">
        <v>287</v>
      </c>
    </row>
    <row r="486" spans="1:7" x14ac:dyDescent="0.2">
      <c r="A486">
        <v>485</v>
      </c>
      <c r="B486">
        <v>50</v>
      </c>
      <c r="C486" t="s">
        <v>484</v>
      </c>
      <c r="D486" s="13" t="s">
        <v>912</v>
      </c>
      <c r="E486" s="1">
        <v>4.8740806187663601</v>
      </c>
      <c r="F486">
        <f>VLOOKUP(C486,'[1]phenotypes-895'!$A$2:$G$896,7,FALSE)</f>
        <v>92</v>
      </c>
      <c r="G486">
        <v>287</v>
      </c>
    </row>
    <row r="487" spans="1:7" x14ac:dyDescent="0.2">
      <c r="A487">
        <v>486</v>
      </c>
      <c r="B487">
        <v>50</v>
      </c>
      <c r="C487" t="s">
        <v>485</v>
      </c>
      <c r="D487" s="13" t="s">
        <v>912</v>
      </c>
      <c r="E487" s="1">
        <v>0.29976530742497098</v>
      </c>
      <c r="F487">
        <f>VLOOKUP(C487,'[1]phenotypes-895'!$A$2:$G$896,7,FALSE)</f>
        <v>64</v>
      </c>
      <c r="G487">
        <v>287</v>
      </c>
    </row>
    <row r="488" spans="1:7" x14ac:dyDescent="0.2">
      <c r="A488">
        <v>487</v>
      </c>
      <c r="B488">
        <v>48</v>
      </c>
      <c r="C488" t="s">
        <v>486</v>
      </c>
      <c r="D488" s="13" t="s">
        <v>912</v>
      </c>
      <c r="E488" s="1">
        <v>0.84480627309080203</v>
      </c>
      <c r="F488">
        <f>VLOOKUP(C488,'[1]phenotypes-895'!$A$2:$G$896,7,FALSE)</f>
        <v>98</v>
      </c>
      <c r="G488">
        <v>288</v>
      </c>
    </row>
    <row r="489" spans="1:7" x14ac:dyDescent="0.2">
      <c r="A489">
        <v>488</v>
      </c>
      <c r="B489">
        <v>46</v>
      </c>
      <c r="C489" t="s">
        <v>487</v>
      </c>
      <c r="D489" s="13" t="s">
        <v>912</v>
      </c>
      <c r="E489" s="1">
        <v>-2.4603807199787102</v>
      </c>
      <c r="F489">
        <f>VLOOKUP(C489,'[1]phenotypes-895'!$A$2:$G$896,7,FALSE)</f>
        <v>69</v>
      </c>
      <c r="G489">
        <v>275</v>
      </c>
    </row>
    <row r="490" spans="1:7" x14ac:dyDescent="0.2">
      <c r="A490">
        <v>489</v>
      </c>
      <c r="B490">
        <v>50</v>
      </c>
      <c r="C490" t="s">
        <v>488</v>
      </c>
      <c r="D490" s="13" t="s">
        <v>912</v>
      </c>
      <c r="E490" s="1">
        <v>3.5425899906459701</v>
      </c>
      <c r="F490">
        <f>VLOOKUP(C490,'[1]phenotypes-895'!$A$2:$G$896,7,FALSE)</f>
        <v>69</v>
      </c>
      <c r="G490">
        <v>287</v>
      </c>
    </row>
    <row r="491" spans="1:7" x14ac:dyDescent="0.2">
      <c r="A491">
        <v>490</v>
      </c>
      <c r="B491">
        <v>46</v>
      </c>
      <c r="C491" t="s">
        <v>489</v>
      </c>
      <c r="D491" s="13" t="s">
        <v>912</v>
      </c>
      <c r="E491" s="1">
        <v>6.5365992740422696</v>
      </c>
      <c r="F491">
        <f>VLOOKUP(C491,'[1]phenotypes-895'!$A$2:$G$896,7,FALSE)</f>
        <v>98</v>
      </c>
      <c r="G491">
        <v>275</v>
      </c>
    </row>
    <row r="492" spans="1:7" x14ac:dyDescent="0.2">
      <c r="A492">
        <v>491</v>
      </c>
      <c r="B492">
        <v>46</v>
      </c>
      <c r="C492" t="s">
        <v>490</v>
      </c>
      <c r="D492" s="13" t="s">
        <v>912</v>
      </c>
      <c r="E492" s="1">
        <v>3.5536571610096099</v>
      </c>
      <c r="F492">
        <f>VLOOKUP(C492,'[1]phenotypes-895'!$A$2:$G$896,7,FALSE)</f>
        <v>80</v>
      </c>
      <c r="G492">
        <v>275</v>
      </c>
    </row>
    <row r="493" spans="1:7" x14ac:dyDescent="0.2">
      <c r="A493">
        <v>492</v>
      </c>
      <c r="B493">
        <v>48</v>
      </c>
      <c r="C493" t="s">
        <v>491</v>
      </c>
      <c r="D493" s="13" t="s">
        <v>912</v>
      </c>
      <c r="E493" s="1">
        <v>1.13972432371183</v>
      </c>
      <c r="F493">
        <f>VLOOKUP(C493,'[1]phenotypes-895'!$A$2:$G$896,7,FALSE)</f>
        <v>98</v>
      </c>
      <c r="G493">
        <v>288</v>
      </c>
    </row>
    <row r="494" spans="1:7" x14ac:dyDescent="0.2">
      <c r="A494">
        <v>493</v>
      </c>
      <c r="B494">
        <v>50</v>
      </c>
      <c r="C494" t="s">
        <v>492</v>
      </c>
      <c r="D494" s="13" t="s">
        <v>912</v>
      </c>
      <c r="E494" s="1">
        <v>4.9316406347109201</v>
      </c>
      <c r="F494">
        <f>VLOOKUP(C494,'[1]phenotypes-895'!$A$2:$G$896,7,FALSE)</f>
        <v>98</v>
      </c>
      <c r="G494">
        <v>287</v>
      </c>
    </row>
    <row r="495" spans="1:7" x14ac:dyDescent="0.2">
      <c r="A495">
        <v>494</v>
      </c>
      <c r="B495">
        <v>47</v>
      </c>
      <c r="C495" t="s">
        <v>493</v>
      </c>
      <c r="D495" s="13" t="s">
        <v>912</v>
      </c>
      <c r="E495" s="1">
        <v>5.3662199311339496</v>
      </c>
      <c r="F495">
        <f>VLOOKUP(C495,'[1]phenotypes-895'!$A$2:$G$896,7,FALSE)</f>
        <v>90</v>
      </c>
      <c r="G495">
        <v>290</v>
      </c>
    </row>
    <row r="496" spans="1:7" x14ac:dyDescent="0.2">
      <c r="A496">
        <v>495</v>
      </c>
      <c r="B496">
        <v>50</v>
      </c>
      <c r="C496" t="s">
        <v>494</v>
      </c>
      <c r="D496" s="13" t="s">
        <v>912</v>
      </c>
      <c r="E496" s="1">
        <v>1.6051601945359699</v>
      </c>
      <c r="F496">
        <f>VLOOKUP(C496,'[1]phenotypes-895'!$A$2:$G$896,7,FALSE)</f>
        <v>57</v>
      </c>
      <c r="G496">
        <v>287</v>
      </c>
    </row>
    <row r="497" spans="1:7" x14ac:dyDescent="0.2">
      <c r="A497">
        <v>496</v>
      </c>
      <c r="B497">
        <v>45</v>
      </c>
      <c r="C497" t="s">
        <v>495</v>
      </c>
      <c r="D497" s="13" t="s">
        <v>912</v>
      </c>
      <c r="E497" s="1">
        <v>-0.56798589332496097</v>
      </c>
      <c r="F497">
        <f>VLOOKUP(C497,'[1]phenotypes-895'!$A$2:$G$896,7,FALSE)</f>
        <v>74</v>
      </c>
      <c r="G497">
        <v>297</v>
      </c>
    </row>
    <row r="498" spans="1:7" x14ac:dyDescent="0.2">
      <c r="A498">
        <v>497</v>
      </c>
      <c r="B498">
        <v>54</v>
      </c>
      <c r="C498" t="s">
        <v>496</v>
      </c>
      <c r="D498" s="13" t="s">
        <v>912</v>
      </c>
      <c r="E498" s="1">
        <v>2.1195281546848501</v>
      </c>
      <c r="F498">
        <f>VLOOKUP(C498,'[1]phenotypes-895'!$A$2:$G$896,7,FALSE)</f>
        <v>98</v>
      </c>
      <c r="G498">
        <v>285</v>
      </c>
    </row>
    <row r="499" spans="1:7" x14ac:dyDescent="0.2">
      <c r="A499">
        <v>498</v>
      </c>
      <c r="B499">
        <v>49</v>
      </c>
      <c r="C499" t="s">
        <v>497</v>
      </c>
      <c r="D499" s="13" t="s">
        <v>912</v>
      </c>
      <c r="E499" s="1">
        <v>2.9124507230915802</v>
      </c>
      <c r="F499">
        <f>VLOOKUP(C499,'[1]phenotypes-895'!$A$2:$G$896,7,FALSE)</f>
        <v>98</v>
      </c>
      <c r="G499">
        <v>290</v>
      </c>
    </row>
    <row r="500" spans="1:7" x14ac:dyDescent="0.2">
      <c r="A500">
        <v>499</v>
      </c>
      <c r="B500">
        <v>53</v>
      </c>
      <c r="C500" t="s">
        <v>498</v>
      </c>
      <c r="D500" s="13" t="s">
        <v>912</v>
      </c>
      <c r="E500" s="1">
        <v>-1.5978810730041599</v>
      </c>
      <c r="F500">
        <f>VLOOKUP(C500,'[1]phenotypes-895'!$A$2:$G$896,7,FALSE)</f>
        <v>98</v>
      </c>
      <c r="G500">
        <v>276</v>
      </c>
    </row>
    <row r="501" spans="1:7" x14ac:dyDescent="0.2">
      <c r="A501">
        <v>500</v>
      </c>
      <c r="B501">
        <v>36</v>
      </c>
      <c r="C501" t="s">
        <v>499</v>
      </c>
      <c r="D501" s="13" t="s">
        <v>913</v>
      </c>
      <c r="E501" s="1">
        <v>-3.1475682028977698</v>
      </c>
      <c r="F501">
        <f>VLOOKUP(C501,'[1]phenotypes-895'!$A$2:$G$896,7,FALSE)</f>
        <v>55</v>
      </c>
      <c r="G501">
        <v>307</v>
      </c>
    </row>
    <row r="502" spans="1:7" x14ac:dyDescent="0.2">
      <c r="A502">
        <v>501</v>
      </c>
      <c r="B502">
        <v>49</v>
      </c>
      <c r="C502" t="s">
        <v>500</v>
      </c>
      <c r="D502" s="13" t="s">
        <v>912</v>
      </c>
      <c r="E502" s="1">
        <v>3.4393455467195699</v>
      </c>
      <c r="F502">
        <f>VLOOKUP(C502,'[1]phenotypes-895'!$A$2:$G$896,7,FALSE)</f>
        <v>98</v>
      </c>
      <c r="G502">
        <v>290</v>
      </c>
    </row>
    <row r="503" spans="1:7" x14ac:dyDescent="0.2">
      <c r="A503">
        <v>502</v>
      </c>
      <c r="B503">
        <v>42</v>
      </c>
      <c r="C503" t="s">
        <v>501</v>
      </c>
      <c r="D503" s="13" t="s">
        <v>912</v>
      </c>
      <c r="E503" s="1">
        <v>-0.84868296705217094</v>
      </c>
      <c r="F503">
        <f>VLOOKUP(C503,'[1]phenotypes-895'!$A$2:$G$896,7,FALSE)</f>
        <v>74</v>
      </c>
      <c r="G503">
        <v>300</v>
      </c>
    </row>
    <row r="504" spans="1:7" x14ac:dyDescent="0.2">
      <c r="A504">
        <v>503</v>
      </c>
      <c r="B504">
        <v>52</v>
      </c>
      <c r="C504" t="s">
        <v>502</v>
      </c>
      <c r="D504" s="13" t="s">
        <v>912</v>
      </c>
      <c r="E504" s="1">
        <v>3.7223836878641801</v>
      </c>
      <c r="F504">
        <f>VLOOKUP(C504,'[1]phenotypes-895'!$A$2:$G$896,7,FALSE)</f>
        <v>83</v>
      </c>
      <c r="G504">
        <v>279</v>
      </c>
    </row>
    <row r="505" spans="1:7" x14ac:dyDescent="0.2">
      <c r="A505">
        <v>504</v>
      </c>
      <c r="B505">
        <v>50</v>
      </c>
      <c r="C505" t="s">
        <v>503</v>
      </c>
      <c r="D505" s="13" t="s">
        <v>912</v>
      </c>
      <c r="E505" s="1">
        <v>4.5496471014022797</v>
      </c>
      <c r="F505">
        <f>VLOOKUP(C505,'[1]phenotypes-895'!$A$2:$G$896,7,FALSE)</f>
        <v>98</v>
      </c>
      <c r="G505">
        <v>287</v>
      </c>
    </row>
    <row r="506" spans="1:7" x14ac:dyDescent="0.2">
      <c r="A506">
        <v>505</v>
      </c>
      <c r="B506">
        <v>44</v>
      </c>
      <c r="C506" t="s">
        <v>504</v>
      </c>
      <c r="D506" s="13" t="s">
        <v>912</v>
      </c>
      <c r="E506" s="1">
        <v>-1.1682398804470501E-2</v>
      </c>
      <c r="F506">
        <f>VLOOKUP(C506,'[1]phenotypes-895'!$A$2:$G$896,7,FALSE)</f>
        <v>98</v>
      </c>
      <c r="G506">
        <v>288</v>
      </c>
    </row>
    <row r="507" spans="1:7" x14ac:dyDescent="0.2">
      <c r="A507">
        <v>506</v>
      </c>
      <c r="B507">
        <v>42</v>
      </c>
      <c r="C507" t="s">
        <v>505</v>
      </c>
      <c r="D507" s="13" t="s">
        <v>912</v>
      </c>
      <c r="E507" s="1">
        <v>7.5193862836718202</v>
      </c>
      <c r="F507">
        <f>VLOOKUP(C507,'[1]phenotypes-895'!$A$2:$G$896,7,FALSE)</f>
        <v>98</v>
      </c>
      <c r="G507">
        <v>300</v>
      </c>
    </row>
    <row r="508" spans="1:7" x14ac:dyDescent="0.2">
      <c r="A508">
        <v>507</v>
      </c>
      <c r="B508">
        <v>46</v>
      </c>
      <c r="C508" t="s">
        <v>506</v>
      </c>
      <c r="D508" s="13" t="s">
        <v>912</v>
      </c>
      <c r="E508" s="1">
        <v>3.18660662793588</v>
      </c>
      <c r="F508">
        <f>VLOOKUP(C508,'[1]phenotypes-895'!$A$2:$G$896,7,FALSE)</f>
        <v>75</v>
      </c>
      <c r="G508">
        <v>275</v>
      </c>
    </row>
    <row r="509" spans="1:7" x14ac:dyDescent="0.2">
      <c r="A509">
        <v>508</v>
      </c>
      <c r="B509">
        <v>50</v>
      </c>
      <c r="C509" t="s">
        <v>507</v>
      </c>
      <c r="D509" s="13" t="s">
        <v>912</v>
      </c>
      <c r="E509" s="1">
        <v>-0.21247889017213301</v>
      </c>
      <c r="F509">
        <f>VLOOKUP(C509,'[1]phenotypes-895'!$A$2:$G$896,7,FALSE)</f>
        <v>62</v>
      </c>
      <c r="G509">
        <v>287</v>
      </c>
    </row>
    <row r="510" spans="1:7" x14ac:dyDescent="0.2">
      <c r="A510">
        <v>509</v>
      </c>
      <c r="B510">
        <v>45</v>
      </c>
      <c r="C510" t="s">
        <v>508</v>
      </c>
      <c r="D510" s="13" t="s">
        <v>912</v>
      </c>
      <c r="E510" s="1">
        <v>-2.4906391124415102</v>
      </c>
      <c r="F510">
        <f>VLOOKUP(C510,'[1]phenotypes-895'!$A$2:$G$896,7,FALSE)</f>
        <v>41</v>
      </c>
      <c r="G510">
        <v>297</v>
      </c>
    </row>
    <row r="511" spans="1:7" x14ac:dyDescent="0.2">
      <c r="A511">
        <v>510</v>
      </c>
      <c r="B511">
        <v>49</v>
      </c>
      <c r="C511" t="s">
        <v>509</v>
      </c>
      <c r="D511" s="13" t="s">
        <v>912</v>
      </c>
      <c r="E511" s="1">
        <v>6.3950130270424497</v>
      </c>
      <c r="F511">
        <f>VLOOKUP(C511,'[1]phenotypes-895'!$A$2:$G$896,7,FALSE)</f>
        <v>98</v>
      </c>
      <c r="G511">
        <v>290</v>
      </c>
    </row>
    <row r="512" spans="1:7" x14ac:dyDescent="0.2">
      <c r="A512">
        <v>511</v>
      </c>
      <c r="B512">
        <v>54</v>
      </c>
      <c r="C512" t="s">
        <v>510</v>
      </c>
      <c r="D512" s="13" t="s">
        <v>912</v>
      </c>
      <c r="E512" s="1">
        <v>-5.6281027763256999</v>
      </c>
      <c r="F512">
        <f>VLOOKUP(C512,'[1]phenotypes-895'!$A$2:$G$896,7,FALSE)</f>
        <v>98</v>
      </c>
      <c r="G512">
        <v>285</v>
      </c>
    </row>
    <row r="513" spans="1:7" x14ac:dyDescent="0.2">
      <c r="A513">
        <v>512</v>
      </c>
      <c r="B513">
        <v>50</v>
      </c>
      <c r="C513" t="s">
        <v>511</v>
      </c>
      <c r="D513" s="13" t="s">
        <v>912</v>
      </c>
      <c r="E513" s="1">
        <v>-6.2783689344140496</v>
      </c>
      <c r="F513">
        <f>VLOOKUP(C513,'[1]phenotypes-895'!$A$2:$G$896,7,FALSE)</f>
        <v>44</v>
      </c>
      <c r="G513">
        <v>287</v>
      </c>
    </row>
    <row r="514" spans="1:7" x14ac:dyDescent="0.2">
      <c r="A514">
        <v>513</v>
      </c>
      <c r="B514">
        <v>42</v>
      </c>
      <c r="C514" t="s">
        <v>512</v>
      </c>
      <c r="D514" s="13" t="s">
        <v>912</v>
      </c>
      <c r="E514" s="1">
        <v>1.16755117291009</v>
      </c>
      <c r="F514">
        <f>VLOOKUP(C514,'[1]phenotypes-895'!$A$2:$G$896,7,FALSE)</f>
        <v>98</v>
      </c>
      <c r="G514">
        <v>300</v>
      </c>
    </row>
    <row r="515" spans="1:7" x14ac:dyDescent="0.2">
      <c r="A515">
        <v>514</v>
      </c>
      <c r="B515">
        <v>50</v>
      </c>
      <c r="C515" t="s">
        <v>513</v>
      </c>
      <c r="D515" s="13" t="s">
        <v>912</v>
      </c>
      <c r="E515" s="1">
        <v>5.5097643616288501</v>
      </c>
      <c r="F515">
        <f>VLOOKUP(C515,'[1]phenotypes-895'!$A$2:$G$896,7,FALSE)</f>
        <v>74</v>
      </c>
      <c r="G515">
        <v>287</v>
      </c>
    </row>
    <row r="516" spans="1:7" x14ac:dyDescent="0.2">
      <c r="A516">
        <v>515</v>
      </c>
      <c r="B516">
        <v>54</v>
      </c>
      <c r="C516" t="s">
        <v>514</v>
      </c>
      <c r="D516" s="13" t="s">
        <v>912</v>
      </c>
      <c r="E516" s="1">
        <v>7.7945317770549698</v>
      </c>
      <c r="F516">
        <f>VLOOKUP(C516,'[1]phenotypes-895'!$A$2:$G$896,7,FALSE)</f>
        <v>81</v>
      </c>
      <c r="G516">
        <v>285</v>
      </c>
    </row>
    <row r="517" spans="1:7" x14ac:dyDescent="0.2">
      <c r="A517">
        <v>516</v>
      </c>
      <c r="B517">
        <v>44</v>
      </c>
      <c r="C517" t="s">
        <v>515</v>
      </c>
      <c r="D517" s="13" t="s">
        <v>912</v>
      </c>
      <c r="E517" s="1">
        <v>2.6595889522745599</v>
      </c>
      <c r="F517">
        <f>VLOOKUP(C517,'[1]phenotypes-895'!$A$2:$G$896,7,FALSE)</f>
        <v>98</v>
      </c>
      <c r="G517">
        <v>288</v>
      </c>
    </row>
    <row r="518" spans="1:7" x14ac:dyDescent="0.2">
      <c r="A518">
        <v>517</v>
      </c>
      <c r="B518">
        <v>49</v>
      </c>
      <c r="C518" t="s">
        <v>516</v>
      </c>
      <c r="D518" s="13" t="s">
        <v>912</v>
      </c>
      <c r="E518" s="1">
        <v>2.2363585552521101</v>
      </c>
      <c r="F518">
        <f>VLOOKUP(C518,'[1]phenotypes-895'!$A$2:$G$896,7,FALSE)</f>
        <v>98</v>
      </c>
      <c r="G518">
        <v>290</v>
      </c>
    </row>
    <row r="519" spans="1:7" x14ac:dyDescent="0.2">
      <c r="A519">
        <v>518</v>
      </c>
      <c r="B519">
        <v>53</v>
      </c>
      <c r="C519" t="s">
        <v>517</v>
      </c>
      <c r="D519" s="13" t="s">
        <v>912</v>
      </c>
      <c r="E519" s="1">
        <v>2.9477614912544099</v>
      </c>
      <c r="F519">
        <f>VLOOKUP(C519,'[1]phenotypes-895'!$A$2:$G$896,7,FALSE)</f>
        <v>98</v>
      </c>
      <c r="G519">
        <v>276</v>
      </c>
    </row>
    <row r="520" spans="1:7" x14ac:dyDescent="0.2">
      <c r="A520">
        <v>519</v>
      </c>
      <c r="B520">
        <v>16</v>
      </c>
      <c r="C520" t="s">
        <v>518</v>
      </c>
      <c r="D520" s="12" t="s">
        <v>912</v>
      </c>
      <c r="E520" s="1">
        <v>-10.2663625564514</v>
      </c>
      <c r="F520">
        <f>VLOOKUP(C520,'[1]phenotypes-895'!$A$2:$G$896,7,FALSE)</f>
        <v>44</v>
      </c>
      <c r="G520">
        <v>291</v>
      </c>
    </row>
    <row r="521" spans="1:7" x14ac:dyDescent="0.2">
      <c r="A521">
        <v>520</v>
      </c>
      <c r="B521">
        <v>3</v>
      </c>
      <c r="C521" t="s">
        <v>519</v>
      </c>
      <c r="D521" s="12" t="s">
        <v>913</v>
      </c>
      <c r="E521" s="1">
        <v>-4.3833542048599599</v>
      </c>
      <c r="F521">
        <f>VLOOKUP(C521,'[1]phenotypes-895'!$A$2:$G$896,7,FALSE)</f>
        <v>72</v>
      </c>
      <c r="G521">
        <v>284</v>
      </c>
    </row>
    <row r="522" spans="1:7" x14ac:dyDescent="0.2">
      <c r="A522">
        <v>521</v>
      </c>
      <c r="B522">
        <v>21</v>
      </c>
      <c r="C522" t="s">
        <v>520</v>
      </c>
      <c r="D522" s="13" t="s">
        <v>913</v>
      </c>
      <c r="E522" s="1">
        <v>-2.85762769764515</v>
      </c>
      <c r="F522">
        <f>VLOOKUP(C522,'[1]phenotypes-895'!$A$2:$G$896,7,FALSE)</f>
        <v>49</v>
      </c>
      <c r="G522">
        <v>218</v>
      </c>
    </row>
    <row r="523" spans="1:7" x14ac:dyDescent="0.2">
      <c r="A523">
        <v>522</v>
      </c>
      <c r="B523">
        <v>3</v>
      </c>
      <c r="C523" t="s">
        <v>521</v>
      </c>
      <c r="D523" s="12" t="s">
        <v>913</v>
      </c>
      <c r="E523" s="1">
        <v>-1.3811308462845</v>
      </c>
      <c r="F523">
        <f>VLOOKUP(C523,'[1]phenotypes-895'!$A$2:$G$896,7,FALSE)</f>
        <v>98</v>
      </c>
      <c r="G523">
        <v>284</v>
      </c>
    </row>
    <row r="524" spans="1:7" x14ac:dyDescent="0.2">
      <c r="A524">
        <v>523</v>
      </c>
      <c r="B524">
        <v>3</v>
      </c>
      <c r="C524" t="s">
        <v>522</v>
      </c>
      <c r="D524" s="12" t="s">
        <v>913</v>
      </c>
      <c r="E524" s="1">
        <v>-3.6729505265884002</v>
      </c>
      <c r="F524">
        <f>VLOOKUP(C524,'[1]phenotypes-895'!$A$2:$G$896,7,FALSE)</f>
        <v>74</v>
      </c>
      <c r="G524">
        <v>284</v>
      </c>
    </row>
    <row r="525" spans="1:7" x14ac:dyDescent="0.2">
      <c r="A525">
        <v>524</v>
      </c>
      <c r="B525">
        <v>30</v>
      </c>
      <c r="C525" t="s">
        <v>523</v>
      </c>
      <c r="D525" s="13" t="s">
        <v>913</v>
      </c>
      <c r="E525" s="1">
        <v>1.1725958548248101</v>
      </c>
      <c r="F525">
        <f>VLOOKUP(C525,'[1]phenotypes-895'!$A$2:$G$896,7,FALSE)</f>
        <v>98</v>
      </c>
      <c r="G525">
        <v>202</v>
      </c>
    </row>
    <row r="526" spans="1:7" x14ac:dyDescent="0.2">
      <c r="A526">
        <v>525</v>
      </c>
      <c r="B526">
        <v>24</v>
      </c>
      <c r="C526" t="s">
        <v>524</v>
      </c>
      <c r="D526" s="13" t="s">
        <v>913</v>
      </c>
      <c r="E526" s="1">
        <v>-3.47927342433533</v>
      </c>
      <c r="F526">
        <f>VLOOKUP(C526,'[1]phenotypes-895'!$A$2:$G$896,7,FALSE)</f>
        <v>62</v>
      </c>
      <c r="G526">
        <v>239</v>
      </c>
    </row>
    <row r="527" spans="1:7" x14ac:dyDescent="0.2">
      <c r="A527">
        <v>526</v>
      </c>
      <c r="B527">
        <v>30</v>
      </c>
      <c r="C527" t="s">
        <v>525</v>
      </c>
      <c r="D527" s="13" t="s">
        <v>913</v>
      </c>
      <c r="E527" s="1">
        <v>-0.155468468972148</v>
      </c>
      <c r="F527">
        <f>VLOOKUP(C527,'[1]phenotypes-895'!$A$2:$G$896,7,FALSE)</f>
        <v>98</v>
      </c>
      <c r="G527">
        <v>202</v>
      </c>
    </row>
    <row r="528" spans="1:7" x14ac:dyDescent="0.2">
      <c r="A528">
        <v>527</v>
      </c>
      <c r="B528">
        <v>26</v>
      </c>
      <c r="C528" t="s">
        <v>526</v>
      </c>
      <c r="D528" s="13" t="s">
        <v>913</v>
      </c>
      <c r="E528" s="1">
        <v>4.1965279835073801</v>
      </c>
      <c r="F528">
        <f>VLOOKUP(C528,'[1]phenotypes-895'!$A$2:$G$896,7,FALSE)</f>
        <v>68</v>
      </c>
      <c r="G528">
        <v>208</v>
      </c>
    </row>
    <row r="529" spans="1:7" x14ac:dyDescent="0.2">
      <c r="A529">
        <v>528</v>
      </c>
      <c r="B529">
        <v>49</v>
      </c>
      <c r="C529" t="s">
        <v>527</v>
      </c>
      <c r="D529" s="13" t="s">
        <v>912</v>
      </c>
      <c r="E529" s="1">
        <v>3.5902727512180501</v>
      </c>
      <c r="F529">
        <f>VLOOKUP(C529,'[1]phenotypes-895'!$A$2:$G$896,7,FALSE)</f>
        <v>78</v>
      </c>
      <c r="G529">
        <v>175</v>
      </c>
    </row>
    <row r="530" spans="1:7" x14ac:dyDescent="0.2">
      <c r="A530">
        <v>529</v>
      </c>
      <c r="B530">
        <v>49</v>
      </c>
      <c r="C530" t="s">
        <v>528</v>
      </c>
      <c r="D530" s="13" t="s">
        <v>912</v>
      </c>
      <c r="E530" s="1">
        <v>4.4170684992710996</v>
      </c>
      <c r="F530">
        <f>VLOOKUP(C530,'[1]phenotypes-895'!$A$2:$G$896,7,FALSE)</f>
        <v>72</v>
      </c>
      <c r="G530">
        <v>175</v>
      </c>
    </row>
    <row r="531" spans="1:7" x14ac:dyDescent="0.2">
      <c r="A531">
        <v>530</v>
      </c>
      <c r="B531">
        <v>33</v>
      </c>
      <c r="C531" t="s">
        <v>529</v>
      </c>
      <c r="D531" s="13" t="s">
        <v>913</v>
      </c>
      <c r="E531" s="1">
        <v>-2.3469078940897901</v>
      </c>
      <c r="F531">
        <f>VLOOKUP(C531,'[1]phenotypes-895'!$A$2:$G$896,7,FALSE)</f>
        <v>75</v>
      </c>
      <c r="G531">
        <v>189</v>
      </c>
    </row>
    <row r="532" spans="1:7" x14ac:dyDescent="0.2">
      <c r="A532">
        <v>531</v>
      </c>
      <c r="B532">
        <v>34</v>
      </c>
      <c r="C532" t="s">
        <v>530</v>
      </c>
      <c r="D532" s="13" t="s">
        <v>913</v>
      </c>
      <c r="E532" s="1">
        <v>-3.7837424141395699</v>
      </c>
      <c r="F532">
        <f>VLOOKUP(C532,'[1]phenotypes-895'!$A$2:$G$896,7,FALSE)</f>
        <v>58</v>
      </c>
      <c r="G532">
        <v>189</v>
      </c>
    </row>
    <row r="533" spans="1:7" x14ac:dyDescent="0.2">
      <c r="A533">
        <v>532</v>
      </c>
      <c r="B533">
        <v>44</v>
      </c>
      <c r="C533" t="s">
        <v>531</v>
      </c>
      <c r="D533" s="13" t="s">
        <v>912</v>
      </c>
      <c r="E533" s="1">
        <v>0.45694769785332301</v>
      </c>
      <c r="F533">
        <f>VLOOKUP(C533,'[1]phenotypes-895'!$A$2:$G$896,7,FALSE)</f>
        <v>77</v>
      </c>
      <c r="G533">
        <v>173</v>
      </c>
    </row>
    <row r="534" spans="1:7" x14ac:dyDescent="0.2">
      <c r="A534">
        <v>533</v>
      </c>
      <c r="B534">
        <v>42</v>
      </c>
      <c r="C534" t="s">
        <v>532</v>
      </c>
      <c r="D534" s="13" t="s">
        <v>912</v>
      </c>
      <c r="E534" s="1">
        <v>4.3046184559469201E-2</v>
      </c>
      <c r="F534">
        <f>VLOOKUP(C534,'[1]phenotypes-895'!$A$2:$G$896,7,FALSE)</f>
        <v>40</v>
      </c>
      <c r="G534">
        <v>185</v>
      </c>
    </row>
    <row r="535" spans="1:7" x14ac:dyDescent="0.2">
      <c r="A535">
        <v>534</v>
      </c>
      <c r="B535">
        <v>31</v>
      </c>
      <c r="C535" t="s">
        <v>533</v>
      </c>
      <c r="D535" s="13" t="s">
        <v>913</v>
      </c>
      <c r="E535" s="1">
        <v>0.223294179710604</v>
      </c>
      <c r="F535">
        <f>VLOOKUP(C535,'[1]phenotypes-895'!$A$2:$G$896,7,FALSE)</f>
        <v>64</v>
      </c>
      <c r="G535">
        <v>199</v>
      </c>
    </row>
    <row r="536" spans="1:7" x14ac:dyDescent="0.2">
      <c r="A536">
        <v>535</v>
      </c>
      <c r="B536">
        <v>36</v>
      </c>
      <c r="C536" t="s">
        <v>534</v>
      </c>
      <c r="D536" s="13" t="s">
        <v>913</v>
      </c>
      <c r="E536" s="1">
        <v>4.5653816744090099</v>
      </c>
      <c r="F536">
        <f>VLOOKUP(C536,'[1]phenotypes-895'!$A$2:$G$896,7,FALSE)</f>
        <v>98</v>
      </c>
      <c r="G536">
        <v>192</v>
      </c>
    </row>
    <row r="537" spans="1:7" x14ac:dyDescent="0.2">
      <c r="A537">
        <v>536</v>
      </c>
      <c r="B537">
        <v>40</v>
      </c>
      <c r="C537" t="s">
        <v>535</v>
      </c>
      <c r="D537" s="13" t="s">
        <v>913</v>
      </c>
      <c r="E537" s="1">
        <v>-2.2851626637579399</v>
      </c>
      <c r="F537">
        <f>VLOOKUP(C537,'[1]phenotypes-895'!$A$2:$G$896,7,FALSE)</f>
        <v>68</v>
      </c>
      <c r="G537">
        <v>202</v>
      </c>
    </row>
    <row r="538" spans="1:7" x14ac:dyDescent="0.2">
      <c r="A538">
        <v>537</v>
      </c>
      <c r="B538">
        <v>26</v>
      </c>
      <c r="C538" t="s">
        <v>536</v>
      </c>
      <c r="D538" s="13" t="s">
        <v>913</v>
      </c>
      <c r="E538" s="1">
        <v>3.7483434304190699</v>
      </c>
      <c r="F538">
        <f>VLOOKUP(C538,'[1]phenotypes-895'!$A$2:$G$896,7,FALSE)</f>
        <v>85</v>
      </c>
      <c r="G538">
        <v>208</v>
      </c>
    </row>
    <row r="539" spans="1:7" x14ac:dyDescent="0.2">
      <c r="A539">
        <v>538</v>
      </c>
      <c r="B539">
        <v>25</v>
      </c>
      <c r="C539" t="s">
        <v>537</v>
      </c>
      <c r="D539" s="13" t="s">
        <v>913</v>
      </c>
      <c r="E539" s="1">
        <v>6.8053087210185197</v>
      </c>
      <c r="F539">
        <f>VLOOKUP(C539,'[1]phenotypes-895'!$A$2:$G$896,7,FALSE)</f>
        <v>98</v>
      </c>
      <c r="G539">
        <v>208</v>
      </c>
    </row>
    <row r="540" spans="1:7" x14ac:dyDescent="0.2">
      <c r="A540">
        <v>539</v>
      </c>
      <c r="B540">
        <v>49</v>
      </c>
      <c r="C540" t="s">
        <v>538</v>
      </c>
      <c r="D540" s="13" t="s">
        <v>912</v>
      </c>
      <c r="E540" s="1">
        <v>1.51340943431523</v>
      </c>
      <c r="F540">
        <f>VLOOKUP(C540,'[1]phenotypes-895'!$A$2:$G$896,7,FALSE)</f>
        <v>56</v>
      </c>
      <c r="G540">
        <v>175</v>
      </c>
    </row>
    <row r="541" spans="1:7" x14ac:dyDescent="0.2">
      <c r="A541">
        <v>540</v>
      </c>
      <c r="B541">
        <v>26</v>
      </c>
      <c r="C541" t="s">
        <v>539</v>
      </c>
      <c r="D541" s="13" t="s">
        <v>913</v>
      </c>
      <c r="E541" s="1">
        <v>4.3706928684611297</v>
      </c>
      <c r="F541">
        <f>VLOOKUP(C541,'[1]phenotypes-895'!$A$2:$G$896,7,FALSE)</f>
        <v>67</v>
      </c>
      <c r="G541">
        <v>208</v>
      </c>
    </row>
    <row r="542" spans="1:7" x14ac:dyDescent="0.2">
      <c r="A542">
        <v>541</v>
      </c>
      <c r="B542">
        <v>45</v>
      </c>
      <c r="C542" t="s">
        <v>540</v>
      </c>
      <c r="D542" s="13" t="s">
        <v>912</v>
      </c>
      <c r="E542" s="1">
        <v>2.9793041428901401</v>
      </c>
      <c r="F542">
        <f>VLOOKUP(C542,'[1]phenotypes-895'!$A$2:$G$896,7,FALSE)</f>
        <v>65</v>
      </c>
      <c r="G542">
        <v>182</v>
      </c>
    </row>
    <row r="543" spans="1:7" x14ac:dyDescent="0.2">
      <c r="A543">
        <v>542</v>
      </c>
      <c r="B543">
        <v>53</v>
      </c>
      <c r="C543" t="s">
        <v>541</v>
      </c>
      <c r="D543" s="13" t="s">
        <v>912</v>
      </c>
      <c r="E543" s="1">
        <v>1.5162455803757799</v>
      </c>
      <c r="F543">
        <f>VLOOKUP(C543,'[1]phenotypes-895'!$A$2:$G$896,7,FALSE)</f>
        <v>70</v>
      </c>
      <c r="G543">
        <v>161</v>
      </c>
    </row>
    <row r="544" spans="1:7" x14ac:dyDescent="0.2">
      <c r="A544">
        <v>543</v>
      </c>
      <c r="B544">
        <v>53</v>
      </c>
      <c r="C544" t="s">
        <v>542</v>
      </c>
      <c r="D544" s="13" t="s">
        <v>912</v>
      </c>
      <c r="E544" s="1">
        <v>7.9071991003221402</v>
      </c>
      <c r="F544">
        <f>VLOOKUP(C544,'[1]phenotypes-895'!$A$2:$G$896,7,FALSE)</f>
        <v>98</v>
      </c>
      <c r="G544">
        <v>161</v>
      </c>
    </row>
    <row r="545" spans="1:7" x14ac:dyDescent="0.2">
      <c r="A545">
        <v>544</v>
      </c>
      <c r="B545">
        <v>39</v>
      </c>
      <c r="C545" t="s">
        <v>543</v>
      </c>
      <c r="D545" s="13" t="s">
        <v>913</v>
      </c>
      <c r="E545" s="1">
        <v>6.9389648876650396</v>
      </c>
      <c r="F545">
        <f>VLOOKUP(C545,'[1]phenotypes-895'!$A$2:$G$896,7,FALSE)</f>
        <v>98</v>
      </c>
      <c r="G545">
        <v>206</v>
      </c>
    </row>
    <row r="546" spans="1:7" x14ac:dyDescent="0.2">
      <c r="A546">
        <v>545</v>
      </c>
      <c r="B546">
        <v>28</v>
      </c>
      <c r="C546" t="s">
        <v>544</v>
      </c>
      <c r="D546" s="13" t="s">
        <v>913</v>
      </c>
      <c r="E546" s="1">
        <v>-9.97579027624937</v>
      </c>
      <c r="F546">
        <f>VLOOKUP(C546,'[1]phenotypes-895'!$A$2:$G$896,7,FALSE)</f>
        <v>62</v>
      </c>
      <c r="G546">
        <v>242</v>
      </c>
    </row>
    <row r="547" spans="1:7" x14ac:dyDescent="0.2">
      <c r="A547">
        <v>546</v>
      </c>
      <c r="B547">
        <v>54</v>
      </c>
      <c r="C547" t="s">
        <v>545</v>
      </c>
      <c r="D547" s="13" t="s">
        <v>912</v>
      </c>
      <c r="E547" s="1">
        <v>1.6259243303495701</v>
      </c>
      <c r="F547">
        <f>VLOOKUP(C547,'[1]phenotypes-895'!$A$2:$G$896,7,FALSE)</f>
        <v>98</v>
      </c>
      <c r="G547">
        <v>170</v>
      </c>
    </row>
    <row r="548" spans="1:7" x14ac:dyDescent="0.2">
      <c r="A548">
        <v>547</v>
      </c>
      <c r="B548">
        <v>45</v>
      </c>
      <c r="C548" t="s">
        <v>546</v>
      </c>
      <c r="D548" s="13" t="s">
        <v>912</v>
      </c>
      <c r="E548" s="1">
        <v>4.9220427131690503</v>
      </c>
      <c r="F548">
        <f>VLOOKUP(C548,'[1]phenotypes-895'!$A$2:$G$896,7,FALSE)</f>
        <v>77</v>
      </c>
      <c r="G548">
        <v>182</v>
      </c>
    </row>
    <row r="549" spans="1:7" x14ac:dyDescent="0.2">
      <c r="A549">
        <v>548</v>
      </c>
      <c r="B549">
        <v>44</v>
      </c>
      <c r="C549" t="s">
        <v>547</v>
      </c>
      <c r="D549" s="13" t="s">
        <v>912</v>
      </c>
      <c r="E549" s="1">
        <v>4.5941887452426702</v>
      </c>
      <c r="F549">
        <f>VLOOKUP(C549,'[1]phenotypes-895'!$A$2:$G$896,7,FALSE)</f>
        <v>54</v>
      </c>
      <c r="G549">
        <v>173</v>
      </c>
    </row>
    <row r="550" spans="1:7" x14ac:dyDescent="0.2">
      <c r="A550">
        <v>549</v>
      </c>
      <c r="B550">
        <v>39</v>
      </c>
      <c r="C550" t="s">
        <v>548</v>
      </c>
      <c r="D550" s="13" t="s">
        <v>913</v>
      </c>
      <c r="E550" s="1">
        <v>4.1897235313970302</v>
      </c>
      <c r="F550">
        <f>VLOOKUP(C550,'[1]phenotypes-895'!$A$2:$G$896,7,FALSE)</f>
        <v>98</v>
      </c>
      <c r="G550">
        <v>321</v>
      </c>
    </row>
    <row r="551" spans="1:7" x14ac:dyDescent="0.2">
      <c r="A551">
        <v>550</v>
      </c>
      <c r="B551">
        <v>44</v>
      </c>
      <c r="C551" t="s">
        <v>549</v>
      </c>
      <c r="D551" s="13" t="s">
        <v>912</v>
      </c>
      <c r="E551" s="1">
        <v>2.3841696554731202</v>
      </c>
      <c r="F551">
        <f>VLOOKUP(C551,'[1]phenotypes-895'!$A$2:$G$896,7,FALSE)</f>
        <v>45</v>
      </c>
      <c r="G551">
        <v>173</v>
      </c>
    </row>
    <row r="552" spans="1:7" x14ac:dyDescent="0.2">
      <c r="A552">
        <v>551</v>
      </c>
      <c r="B552">
        <v>33</v>
      </c>
      <c r="C552" t="s">
        <v>550</v>
      </c>
      <c r="D552" s="13" t="s">
        <v>913</v>
      </c>
      <c r="E552" s="1">
        <v>-3.9601241446543098</v>
      </c>
      <c r="F552">
        <f>VLOOKUP(C552,'[1]phenotypes-895'!$A$2:$G$896,7,FALSE)</f>
        <v>63</v>
      </c>
      <c r="G552">
        <v>304</v>
      </c>
    </row>
    <row r="553" spans="1:7" x14ac:dyDescent="0.2">
      <c r="A553">
        <v>552</v>
      </c>
      <c r="B553">
        <v>50</v>
      </c>
      <c r="C553" t="s">
        <v>551</v>
      </c>
      <c r="D553" s="13" t="s">
        <v>912</v>
      </c>
      <c r="E553" s="1">
        <v>-0.24207369576146001</v>
      </c>
      <c r="F553">
        <f>VLOOKUP(C553,'[1]phenotypes-895'!$A$2:$G$896,7,FALSE)</f>
        <v>48</v>
      </c>
      <c r="G553">
        <v>172</v>
      </c>
    </row>
    <row r="554" spans="1:7" x14ac:dyDescent="0.2">
      <c r="A554">
        <v>553</v>
      </c>
      <c r="B554">
        <v>25</v>
      </c>
      <c r="C554" t="s">
        <v>552</v>
      </c>
      <c r="D554" s="13" t="s">
        <v>913</v>
      </c>
      <c r="E554" s="1">
        <v>1.44648920431384</v>
      </c>
      <c r="F554">
        <f>VLOOKUP(C554,'[1]phenotypes-895'!$A$2:$G$896,7,FALSE)</f>
        <v>98</v>
      </c>
      <c r="G554">
        <v>323</v>
      </c>
    </row>
    <row r="555" spans="1:7" x14ac:dyDescent="0.2">
      <c r="A555">
        <v>554</v>
      </c>
      <c r="B555">
        <v>33</v>
      </c>
      <c r="C555" t="s">
        <v>553</v>
      </c>
      <c r="D555" s="13" t="s">
        <v>913</v>
      </c>
      <c r="E555" s="1">
        <v>1.99663257935795</v>
      </c>
      <c r="F555">
        <f>VLOOKUP(C555,'[1]phenotypes-895'!$A$2:$G$896,7,FALSE)</f>
        <v>83</v>
      </c>
      <c r="G555">
        <v>189</v>
      </c>
    </row>
    <row r="556" spans="1:7" x14ac:dyDescent="0.2">
      <c r="A556">
        <v>555</v>
      </c>
      <c r="B556">
        <v>39</v>
      </c>
      <c r="C556" t="s">
        <v>554</v>
      </c>
      <c r="D556" s="13" t="s">
        <v>913</v>
      </c>
      <c r="E556" s="1">
        <v>2.7594194007610202</v>
      </c>
      <c r="F556">
        <f>VLOOKUP(C556,'[1]phenotypes-895'!$A$2:$G$896,7,FALSE)</f>
        <v>98</v>
      </c>
      <c r="G556">
        <v>321</v>
      </c>
    </row>
    <row r="557" spans="1:7" x14ac:dyDescent="0.2">
      <c r="A557">
        <v>556</v>
      </c>
      <c r="B557">
        <v>42</v>
      </c>
      <c r="C557" t="s">
        <v>555</v>
      </c>
      <c r="D557" s="13" t="s">
        <v>912</v>
      </c>
      <c r="E557" s="1">
        <v>-5.8267324715167303</v>
      </c>
      <c r="F557">
        <f>VLOOKUP(C557,'[1]phenotypes-895'!$A$2:$G$896,7,FALSE)</f>
        <v>62</v>
      </c>
      <c r="G557">
        <v>185</v>
      </c>
    </row>
    <row r="558" spans="1:7" x14ac:dyDescent="0.2">
      <c r="A558">
        <v>557</v>
      </c>
      <c r="B558">
        <v>33</v>
      </c>
      <c r="C558" t="s">
        <v>556</v>
      </c>
      <c r="D558" s="13" t="s">
        <v>913</v>
      </c>
      <c r="E558" s="1">
        <v>2.9425819472698498</v>
      </c>
      <c r="F558">
        <f>VLOOKUP(C558,'[1]phenotypes-895'!$A$2:$G$896,7,FALSE)</f>
        <v>98</v>
      </c>
      <c r="G558">
        <v>304</v>
      </c>
    </row>
    <row r="559" spans="1:7" x14ac:dyDescent="0.2">
      <c r="A559">
        <v>558</v>
      </c>
      <c r="B559">
        <v>39</v>
      </c>
      <c r="C559" t="s">
        <v>557</v>
      </c>
      <c r="D559" s="13" t="s">
        <v>913</v>
      </c>
      <c r="E559" s="1">
        <v>3.0302426325419498</v>
      </c>
      <c r="F559">
        <f>VLOOKUP(C559,'[1]phenotypes-895'!$A$2:$G$896,7,FALSE)</f>
        <v>78</v>
      </c>
      <c r="G559">
        <v>321</v>
      </c>
    </row>
    <row r="560" spans="1:7" x14ac:dyDescent="0.2">
      <c r="A560">
        <v>559</v>
      </c>
      <c r="B560">
        <v>26</v>
      </c>
      <c r="C560" t="s">
        <v>558</v>
      </c>
      <c r="D560" s="13" t="s">
        <v>913</v>
      </c>
      <c r="E560" s="1">
        <v>2.2836169043650099</v>
      </c>
      <c r="F560">
        <f>VLOOKUP(C560,'[1]phenotypes-895'!$A$2:$G$896,7,FALSE)</f>
        <v>98</v>
      </c>
      <c r="G560">
        <v>323</v>
      </c>
    </row>
    <row r="561" spans="1:7" x14ac:dyDescent="0.2">
      <c r="A561">
        <v>560</v>
      </c>
      <c r="B561">
        <v>32</v>
      </c>
      <c r="C561" t="s">
        <v>559</v>
      </c>
      <c r="D561" s="13" t="s">
        <v>913</v>
      </c>
      <c r="E561" s="1">
        <v>4.9813977901263096</v>
      </c>
      <c r="F561">
        <f>VLOOKUP(C561,'[1]phenotypes-895'!$A$2:$G$896,7,FALSE)</f>
        <v>98</v>
      </c>
      <c r="G561">
        <v>314</v>
      </c>
    </row>
    <row r="562" spans="1:7" x14ac:dyDescent="0.2">
      <c r="A562">
        <v>561</v>
      </c>
      <c r="B562">
        <v>23</v>
      </c>
      <c r="C562" t="s">
        <v>560</v>
      </c>
      <c r="D562" s="13" t="s">
        <v>913</v>
      </c>
      <c r="E562" s="1">
        <v>3.40047865353282</v>
      </c>
      <c r="F562">
        <f>VLOOKUP(C562,'[1]phenotypes-895'!$A$2:$G$896,7,FALSE)</f>
        <v>98</v>
      </c>
      <c r="G562">
        <v>304</v>
      </c>
    </row>
    <row r="563" spans="1:7" x14ac:dyDescent="0.2">
      <c r="A563">
        <v>562</v>
      </c>
      <c r="B563">
        <v>39</v>
      </c>
      <c r="C563" t="s">
        <v>561</v>
      </c>
      <c r="D563" s="13" t="s">
        <v>913</v>
      </c>
      <c r="E563" s="1">
        <v>2.7589137926348699</v>
      </c>
      <c r="F563">
        <f>VLOOKUP(C563,'[1]phenotypes-895'!$A$2:$G$896,7,FALSE)</f>
        <v>98</v>
      </c>
      <c r="G563">
        <v>321</v>
      </c>
    </row>
    <row r="564" spans="1:7" x14ac:dyDescent="0.2">
      <c r="A564">
        <v>563</v>
      </c>
      <c r="B564">
        <v>26</v>
      </c>
      <c r="C564" t="s">
        <v>562</v>
      </c>
      <c r="D564" s="13" t="s">
        <v>913</v>
      </c>
      <c r="E564" s="1">
        <v>-1.70262206691758</v>
      </c>
      <c r="F564">
        <f>VLOOKUP(C564,'[1]phenotypes-895'!$A$2:$G$896,7,FALSE)</f>
        <v>98</v>
      </c>
      <c r="G564">
        <v>323</v>
      </c>
    </row>
    <row r="565" spans="1:7" x14ac:dyDescent="0.2">
      <c r="A565">
        <v>564</v>
      </c>
      <c r="B565">
        <v>34</v>
      </c>
      <c r="C565" t="s">
        <v>563</v>
      </c>
      <c r="D565" s="13" t="s">
        <v>913</v>
      </c>
      <c r="E565" s="1">
        <v>5.1581726766441296</v>
      </c>
      <c r="F565">
        <f>VLOOKUP(C565,'[1]phenotypes-895'!$A$2:$G$896,7,FALSE)</f>
        <v>98</v>
      </c>
      <c r="G565">
        <v>304</v>
      </c>
    </row>
    <row r="566" spans="1:7" x14ac:dyDescent="0.2">
      <c r="A566">
        <v>565</v>
      </c>
      <c r="B566">
        <v>32</v>
      </c>
      <c r="C566" t="s">
        <v>564</v>
      </c>
      <c r="D566" s="13" t="s">
        <v>913</v>
      </c>
      <c r="E566" s="1">
        <v>-0.82012750498841702</v>
      </c>
      <c r="F566">
        <f>VLOOKUP(C566,'[1]phenotypes-895'!$A$2:$G$896,7,FALSE)</f>
        <v>98</v>
      </c>
      <c r="G566">
        <v>314</v>
      </c>
    </row>
    <row r="567" spans="1:7" x14ac:dyDescent="0.2">
      <c r="A567">
        <v>566</v>
      </c>
      <c r="B567">
        <v>21</v>
      </c>
      <c r="C567" t="s">
        <v>565</v>
      </c>
      <c r="D567" s="13" t="s">
        <v>913</v>
      </c>
      <c r="E567" s="1">
        <v>1.96060719234855</v>
      </c>
      <c r="F567">
        <f>VLOOKUP(C567,'[1]phenotypes-895'!$A$2:$G$896,7,FALSE)</f>
        <v>85</v>
      </c>
      <c r="G567">
        <v>333</v>
      </c>
    </row>
    <row r="568" spans="1:7" x14ac:dyDescent="0.2">
      <c r="A568">
        <v>567</v>
      </c>
      <c r="B568">
        <v>35</v>
      </c>
      <c r="C568" t="s">
        <v>566</v>
      </c>
      <c r="D568" s="13" t="s">
        <v>913</v>
      </c>
      <c r="E568" s="1">
        <v>4.41449767901294</v>
      </c>
      <c r="F568">
        <f>VLOOKUP(C568,'[1]phenotypes-895'!$A$2:$G$896,7,FALSE)</f>
        <v>98</v>
      </c>
      <c r="G568">
        <v>304</v>
      </c>
    </row>
    <row r="569" spans="1:7" x14ac:dyDescent="0.2">
      <c r="A569">
        <v>568</v>
      </c>
      <c r="B569">
        <v>40</v>
      </c>
      <c r="C569" t="s">
        <v>567</v>
      </c>
      <c r="D569" s="13" t="s">
        <v>913</v>
      </c>
      <c r="E569" s="1">
        <v>2.01084074835576</v>
      </c>
      <c r="F569">
        <f>VLOOKUP(C569,'[1]phenotypes-895'!$A$2:$G$896,7,FALSE)</f>
        <v>98</v>
      </c>
      <c r="G569">
        <v>317</v>
      </c>
    </row>
    <row r="570" spans="1:7" x14ac:dyDescent="0.2">
      <c r="A570">
        <v>569</v>
      </c>
      <c r="B570">
        <v>40</v>
      </c>
      <c r="C570" t="s">
        <v>568</v>
      </c>
      <c r="D570" s="13" t="s">
        <v>913</v>
      </c>
      <c r="E570" s="1">
        <v>4.1734343101936799</v>
      </c>
      <c r="F570">
        <f>VLOOKUP(C570,'[1]phenotypes-895'!$A$2:$G$896,7,FALSE)</f>
        <v>98</v>
      </c>
      <c r="G570">
        <v>317</v>
      </c>
    </row>
    <row r="571" spans="1:7" x14ac:dyDescent="0.2">
      <c r="A571">
        <v>570</v>
      </c>
      <c r="B571">
        <v>33</v>
      </c>
      <c r="C571" t="s">
        <v>569</v>
      </c>
      <c r="D571" s="13" t="s">
        <v>913</v>
      </c>
      <c r="E571" s="1">
        <v>5.9221783754397803</v>
      </c>
      <c r="F571">
        <f>VLOOKUP(C571,'[1]phenotypes-895'!$A$2:$G$896,7,FALSE)</f>
        <v>98</v>
      </c>
      <c r="G571">
        <v>304</v>
      </c>
    </row>
    <row r="572" spans="1:7" x14ac:dyDescent="0.2">
      <c r="A572">
        <v>571</v>
      </c>
      <c r="B572">
        <v>41</v>
      </c>
      <c r="C572" t="s">
        <v>570</v>
      </c>
      <c r="D572" s="13" t="s">
        <v>912</v>
      </c>
      <c r="E572" s="1">
        <v>4.5872765566026796</v>
      </c>
      <c r="F572">
        <f>VLOOKUP(C572,'[1]phenotypes-895'!$A$2:$G$896,7,FALSE)</f>
        <v>98</v>
      </c>
      <c r="G572">
        <v>146</v>
      </c>
    </row>
    <row r="573" spans="1:7" x14ac:dyDescent="0.2">
      <c r="A573">
        <v>572</v>
      </c>
      <c r="B573">
        <v>23</v>
      </c>
      <c r="C573" t="s">
        <v>571</v>
      </c>
      <c r="D573" s="13" t="s">
        <v>913</v>
      </c>
      <c r="E573" s="1">
        <v>1.9620952948264001</v>
      </c>
      <c r="F573">
        <f>VLOOKUP(C573,'[1]phenotypes-895'!$A$2:$G$896,7,FALSE)</f>
        <v>98</v>
      </c>
      <c r="G573">
        <v>189</v>
      </c>
    </row>
    <row r="574" spans="1:7" x14ac:dyDescent="0.2">
      <c r="A574">
        <v>573</v>
      </c>
      <c r="B574">
        <v>45</v>
      </c>
      <c r="C574" t="s">
        <v>572</v>
      </c>
      <c r="D574" s="13" t="s">
        <v>912</v>
      </c>
      <c r="E574" s="1">
        <v>6.2209696562644101</v>
      </c>
      <c r="F574">
        <f>VLOOKUP(C574,'[1]phenotypes-895'!$A$2:$G$896,7,FALSE)</f>
        <v>98</v>
      </c>
      <c r="G574">
        <v>182</v>
      </c>
    </row>
    <row r="575" spans="1:7" x14ac:dyDescent="0.2">
      <c r="A575">
        <v>574</v>
      </c>
      <c r="B575">
        <v>54</v>
      </c>
      <c r="C575" t="s">
        <v>573</v>
      </c>
      <c r="D575" s="13" t="s">
        <v>912</v>
      </c>
      <c r="E575" s="1">
        <v>-0.14739190693658999</v>
      </c>
      <c r="F575">
        <f>VLOOKUP(C575,'[1]phenotypes-895'!$A$2:$G$896,7,FALSE)</f>
        <v>63</v>
      </c>
      <c r="G575">
        <v>170</v>
      </c>
    </row>
    <row r="576" spans="1:7" x14ac:dyDescent="0.2">
      <c r="A576">
        <v>575</v>
      </c>
      <c r="B576">
        <v>54</v>
      </c>
      <c r="C576" t="s">
        <v>574</v>
      </c>
      <c r="D576" s="13" t="s">
        <v>912</v>
      </c>
      <c r="E576" s="1">
        <v>0.50969443733673503</v>
      </c>
      <c r="F576">
        <f>VLOOKUP(C576,'[1]phenotypes-895'!$A$2:$G$896,7,FALSE)</f>
        <v>65</v>
      </c>
      <c r="G576">
        <v>170</v>
      </c>
    </row>
    <row r="577" spans="1:7" x14ac:dyDescent="0.2">
      <c r="A577">
        <v>576</v>
      </c>
      <c r="B577">
        <v>49</v>
      </c>
      <c r="C577" t="s">
        <v>575</v>
      </c>
      <c r="D577" s="13" t="s">
        <v>912</v>
      </c>
      <c r="E577" s="1">
        <v>1.8713588877312599</v>
      </c>
      <c r="F577">
        <f>VLOOKUP(C577,'[1]phenotypes-895'!$A$2:$G$896,7,FALSE)</f>
        <v>60</v>
      </c>
      <c r="G577">
        <v>175</v>
      </c>
    </row>
    <row r="578" spans="1:7" x14ac:dyDescent="0.2">
      <c r="A578">
        <v>577</v>
      </c>
      <c r="B578">
        <v>42</v>
      </c>
      <c r="C578" t="s">
        <v>576</v>
      </c>
      <c r="D578" s="13" t="s">
        <v>912</v>
      </c>
      <c r="E578" s="1">
        <v>0.92476001871170399</v>
      </c>
      <c r="F578">
        <f>VLOOKUP(C578,'[1]phenotypes-895'!$A$2:$G$896,7,FALSE)</f>
        <v>67</v>
      </c>
      <c r="G578">
        <v>185</v>
      </c>
    </row>
    <row r="579" spans="1:7" x14ac:dyDescent="0.2">
      <c r="A579">
        <v>578</v>
      </c>
      <c r="B579">
        <v>34</v>
      </c>
      <c r="C579" t="s">
        <v>577</v>
      </c>
      <c r="D579" s="13" t="s">
        <v>913</v>
      </c>
      <c r="E579" s="1">
        <v>-0.59431806308050295</v>
      </c>
      <c r="F579">
        <f>VLOOKUP(C579,'[1]phenotypes-895'!$A$2:$G$896,7,FALSE)</f>
        <v>98</v>
      </c>
      <c r="G579">
        <v>189</v>
      </c>
    </row>
    <row r="580" spans="1:7" x14ac:dyDescent="0.2">
      <c r="A580">
        <v>579</v>
      </c>
      <c r="B580">
        <v>42</v>
      </c>
      <c r="C580" t="s">
        <v>578</v>
      </c>
      <c r="D580" s="13" t="s">
        <v>912</v>
      </c>
      <c r="E580" s="1">
        <v>2.8515567163438802</v>
      </c>
      <c r="F580">
        <f>VLOOKUP(C580,'[1]phenotypes-895'!$A$2:$G$896,7,FALSE)</f>
        <v>98</v>
      </c>
      <c r="G580">
        <v>185</v>
      </c>
    </row>
    <row r="581" spans="1:7" x14ac:dyDescent="0.2">
      <c r="A581">
        <v>580</v>
      </c>
      <c r="B581">
        <v>34</v>
      </c>
      <c r="C581" t="s">
        <v>579</v>
      </c>
      <c r="D581" s="13" t="s">
        <v>913</v>
      </c>
      <c r="E581" s="1">
        <v>-2.5370793186577498</v>
      </c>
      <c r="F581">
        <f>VLOOKUP(C581,'[1]phenotypes-895'!$A$2:$G$896,7,FALSE)</f>
        <v>58</v>
      </c>
      <c r="G581">
        <v>189</v>
      </c>
    </row>
    <row r="582" spans="1:7" x14ac:dyDescent="0.2">
      <c r="A582">
        <v>581</v>
      </c>
      <c r="B582">
        <v>53</v>
      </c>
      <c r="C582" t="s">
        <v>580</v>
      </c>
      <c r="D582" s="13" t="s">
        <v>912</v>
      </c>
      <c r="E582" s="1">
        <v>2.2302186739013101</v>
      </c>
      <c r="F582">
        <f>VLOOKUP(C582,'[1]phenotypes-895'!$A$2:$G$896,7,FALSE)</f>
        <v>63</v>
      </c>
      <c r="G582">
        <v>161</v>
      </c>
    </row>
    <row r="583" spans="1:7" x14ac:dyDescent="0.2">
      <c r="A583">
        <v>582</v>
      </c>
      <c r="B583">
        <v>49</v>
      </c>
      <c r="C583" t="s">
        <v>581</v>
      </c>
      <c r="D583" s="13" t="s">
        <v>912</v>
      </c>
      <c r="E583" s="1">
        <v>2.7959055382776801</v>
      </c>
      <c r="F583">
        <f>VLOOKUP(C583,'[1]phenotypes-895'!$A$2:$G$896,7,FALSE)</f>
        <v>98</v>
      </c>
      <c r="G583">
        <v>175</v>
      </c>
    </row>
    <row r="584" spans="1:7" x14ac:dyDescent="0.2">
      <c r="A584">
        <v>583</v>
      </c>
      <c r="B584">
        <v>44</v>
      </c>
      <c r="C584" t="s">
        <v>582</v>
      </c>
      <c r="D584" s="13" t="s">
        <v>912</v>
      </c>
      <c r="E584" s="1">
        <v>1.3462037712214501</v>
      </c>
      <c r="F584">
        <f>VLOOKUP(C584,'[1]phenotypes-895'!$A$2:$G$896,7,FALSE)</f>
        <v>81</v>
      </c>
      <c r="G584">
        <v>173</v>
      </c>
    </row>
    <row r="585" spans="1:7" x14ac:dyDescent="0.2">
      <c r="A585">
        <v>584</v>
      </c>
      <c r="B585">
        <v>46</v>
      </c>
      <c r="C585" t="s">
        <v>583</v>
      </c>
      <c r="D585" s="13" t="s">
        <v>912</v>
      </c>
      <c r="E585" s="1">
        <v>3.7426088280110799</v>
      </c>
      <c r="F585">
        <f>VLOOKUP(C585,'[1]phenotypes-895'!$A$2:$G$896,7,FALSE)</f>
        <v>98</v>
      </c>
      <c r="G585">
        <v>160</v>
      </c>
    </row>
    <row r="586" spans="1:7" x14ac:dyDescent="0.2">
      <c r="A586">
        <v>585</v>
      </c>
      <c r="B586">
        <v>34</v>
      </c>
      <c r="C586" t="s">
        <v>584</v>
      </c>
      <c r="D586" s="13" t="s">
        <v>913</v>
      </c>
      <c r="E586" s="1">
        <v>0.150394731190401</v>
      </c>
      <c r="F586">
        <f>VLOOKUP(C586,'[1]phenotypes-895'!$A$2:$G$896,7,FALSE)</f>
        <v>63</v>
      </c>
      <c r="G586">
        <v>189</v>
      </c>
    </row>
    <row r="587" spans="1:7" x14ac:dyDescent="0.2">
      <c r="A587">
        <v>586</v>
      </c>
      <c r="B587">
        <v>45</v>
      </c>
      <c r="C587" t="s">
        <v>585</v>
      </c>
      <c r="D587" s="13" t="s">
        <v>912</v>
      </c>
      <c r="E587" s="1">
        <v>4.8327041634128598</v>
      </c>
      <c r="F587">
        <f>VLOOKUP(C587,'[1]phenotypes-895'!$A$2:$G$896,7,FALSE)</f>
        <v>53</v>
      </c>
      <c r="G587">
        <v>182</v>
      </c>
    </row>
    <row r="588" spans="1:7" x14ac:dyDescent="0.2">
      <c r="A588">
        <v>587</v>
      </c>
      <c r="B588">
        <v>44</v>
      </c>
      <c r="C588" t="s">
        <v>586</v>
      </c>
      <c r="D588" s="13" t="s">
        <v>912</v>
      </c>
      <c r="E588" s="1">
        <v>7.4713330893419601</v>
      </c>
      <c r="F588">
        <f>VLOOKUP(C588,'[1]phenotypes-895'!$A$2:$G$896,7,FALSE)</f>
        <v>98</v>
      </c>
      <c r="G588">
        <v>173</v>
      </c>
    </row>
    <row r="589" spans="1:7" x14ac:dyDescent="0.2">
      <c r="A589">
        <v>588</v>
      </c>
      <c r="B589">
        <v>37</v>
      </c>
      <c r="C589" t="s">
        <v>587</v>
      </c>
      <c r="D589" s="13" t="s">
        <v>913</v>
      </c>
      <c r="E589" s="1">
        <v>3.92708474630111</v>
      </c>
      <c r="F589">
        <f>VLOOKUP(C589,'[1]phenotypes-895'!$A$2:$G$896,7,FALSE)</f>
        <v>50</v>
      </c>
      <c r="G589">
        <v>200</v>
      </c>
    </row>
    <row r="590" spans="1:7" x14ac:dyDescent="0.2">
      <c r="A590">
        <v>589</v>
      </c>
      <c r="B590">
        <v>50</v>
      </c>
      <c r="C590" t="s">
        <v>588</v>
      </c>
      <c r="D590" s="13" t="s">
        <v>912</v>
      </c>
      <c r="E590" s="1">
        <v>4.5448455828238901</v>
      </c>
      <c r="F590">
        <f>VLOOKUP(C590,'[1]phenotypes-895'!$A$2:$G$896,7,FALSE)</f>
        <v>70</v>
      </c>
      <c r="G590">
        <v>172</v>
      </c>
    </row>
    <row r="591" spans="1:7" x14ac:dyDescent="0.2">
      <c r="A591">
        <v>590</v>
      </c>
      <c r="B591">
        <v>42</v>
      </c>
      <c r="C591" t="s">
        <v>589</v>
      </c>
      <c r="D591" s="13" t="s">
        <v>912</v>
      </c>
      <c r="E591" s="1">
        <v>2.94163918206171</v>
      </c>
      <c r="F591">
        <f>VLOOKUP(C591,'[1]phenotypes-895'!$A$2:$G$896,7,FALSE)</f>
        <v>72</v>
      </c>
      <c r="G591">
        <v>185</v>
      </c>
    </row>
    <row r="592" spans="1:7" x14ac:dyDescent="0.2">
      <c r="A592">
        <v>591</v>
      </c>
      <c r="B592">
        <v>42</v>
      </c>
      <c r="C592" t="s">
        <v>590</v>
      </c>
      <c r="D592" s="13" t="s">
        <v>912</v>
      </c>
      <c r="E592" s="1">
        <v>5.2421701361236703</v>
      </c>
      <c r="F592">
        <f>VLOOKUP(C592,'[1]phenotypes-895'!$A$2:$G$896,7,FALSE)</f>
        <v>98</v>
      </c>
      <c r="G592">
        <v>185</v>
      </c>
    </row>
    <row r="593" spans="1:7" x14ac:dyDescent="0.2">
      <c r="A593">
        <v>592</v>
      </c>
      <c r="B593">
        <v>38</v>
      </c>
      <c r="C593" t="s">
        <v>591</v>
      </c>
      <c r="D593" s="13" t="s">
        <v>913</v>
      </c>
      <c r="E593" s="1">
        <v>8.8299318960929103</v>
      </c>
      <c r="F593">
        <f>VLOOKUP(C593,'[1]phenotypes-895'!$A$2:$G$896,7,FALSE)</f>
        <v>93</v>
      </c>
      <c r="G593">
        <v>200</v>
      </c>
    </row>
    <row r="594" spans="1:7" x14ac:dyDescent="0.2">
      <c r="A594">
        <v>593</v>
      </c>
      <c r="B594">
        <v>45</v>
      </c>
      <c r="C594" t="s">
        <v>592</v>
      </c>
      <c r="D594" s="13" t="s">
        <v>912</v>
      </c>
      <c r="E594" s="1">
        <v>4.1292034318860296</v>
      </c>
      <c r="F594">
        <f>VLOOKUP(C594,'[1]phenotypes-895'!$A$2:$G$896,7,FALSE)</f>
        <v>81</v>
      </c>
      <c r="G594">
        <v>182</v>
      </c>
    </row>
    <row r="595" spans="1:7" x14ac:dyDescent="0.2">
      <c r="A595">
        <v>594</v>
      </c>
      <c r="B595">
        <v>25</v>
      </c>
      <c r="C595" t="s">
        <v>593</v>
      </c>
      <c r="D595" s="13" t="s">
        <v>913</v>
      </c>
      <c r="E595" s="1">
        <v>0.46673933785166499</v>
      </c>
      <c r="F595">
        <f>VLOOKUP(C595,'[1]phenotypes-895'!$A$2:$G$896,7,FALSE)</f>
        <v>51</v>
      </c>
      <c r="G595">
        <v>208</v>
      </c>
    </row>
    <row r="596" spans="1:7" x14ac:dyDescent="0.2">
      <c r="A596">
        <v>595</v>
      </c>
      <c r="B596">
        <v>25</v>
      </c>
      <c r="C596" t="s">
        <v>594</v>
      </c>
      <c r="D596" s="13" t="s">
        <v>913</v>
      </c>
      <c r="E596" s="1">
        <v>4.11596195426183</v>
      </c>
      <c r="F596">
        <f>VLOOKUP(C596,'[1]phenotypes-895'!$A$2:$G$896,7,FALSE)</f>
        <v>98</v>
      </c>
      <c r="G596">
        <v>323</v>
      </c>
    </row>
    <row r="597" spans="1:7" x14ac:dyDescent="0.2">
      <c r="A597">
        <v>596</v>
      </c>
      <c r="B597">
        <v>32</v>
      </c>
      <c r="C597" t="s">
        <v>595</v>
      </c>
      <c r="D597" s="13" t="s">
        <v>913</v>
      </c>
      <c r="E597" s="1">
        <v>2.8343282887975199</v>
      </c>
      <c r="F597">
        <f>VLOOKUP(C597,'[1]phenotypes-895'!$A$2:$G$896,7,FALSE)</f>
        <v>98</v>
      </c>
      <c r="G597">
        <v>199</v>
      </c>
    </row>
    <row r="598" spans="1:7" x14ac:dyDescent="0.2">
      <c r="A598">
        <v>597</v>
      </c>
      <c r="B598">
        <v>38</v>
      </c>
      <c r="C598" t="s">
        <v>596</v>
      </c>
      <c r="D598" s="13" t="s">
        <v>913</v>
      </c>
      <c r="E598" s="1">
        <v>-0.79092289566359697</v>
      </c>
      <c r="F598">
        <f>VLOOKUP(C598,'[1]phenotypes-895'!$A$2:$G$896,7,FALSE)</f>
        <v>98</v>
      </c>
      <c r="G598">
        <v>315</v>
      </c>
    </row>
    <row r="599" spans="1:7" x14ac:dyDescent="0.2">
      <c r="A599">
        <v>598</v>
      </c>
      <c r="B599">
        <v>25</v>
      </c>
      <c r="C599" t="s">
        <v>597</v>
      </c>
      <c r="D599" s="13" t="s">
        <v>913</v>
      </c>
      <c r="E599" s="1">
        <v>0.953866007143789</v>
      </c>
      <c r="F599">
        <f>VLOOKUP(C599,'[1]phenotypes-895'!$A$2:$G$896,7,FALSE)</f>
        <v>56</v>
      </c>
      <c r="G599">
        <v>208</v>
      </c>
    </row>
    <row r="600" spans="1:7" x14ac:dyDescent="0.2">
      <c r="A600">
        <v>599</v>
      </c>
      <c r="B600">
        <v>33</v>
      </c>
      <c r="C600" t="s">
        <v>598</v>
      </c>
      <c r="D600" s="13" t="s">
        <v>913</v>
      </c>
      <c r="E600" s="1">
        <v>8.9311385798117904</v>
      </c>
      <c r="F600">
        <f>VLOOKUP(C600,'[1]phenotypes-895'!$A$2:$G$896,7,FALSE)</f>
        <v>98</v>
      </c>
      <c r="G600">
        <v>304</v>
      </c>
    </row>
    <row r="601" spans="1:7" x14ac:dyDescent="0.2">
      <c r="A601">
        <v>600</v>
      </c>
      <c r="B601">
        <v>36</v>
      </c>
      <c r="C601" t="s">
        <v>599</v>
      </c>
      <c r="D601" s="13" t="s">
        <v>913</v>
      </c>
      <c r="E601" s="1">
        <v>6.0777076736721698</v>
      </c>
      <c r="F601">
        <f>VLOOKUP(C601,'[1]phenotypes-895'!$A$2:$G$896,7,FALSE)</f>
        <v>76</v>
      </c>
      <c r="G601">
        <v>192</v>
      </c>
    </row>
    <row r="602" spans="1:7" x14ac:dyDescent="0.2">
      <c r="A602">
        <v>601</v>
      </c>
      <c r="B602">
        <v>38</v>
      </c>
      <c r="C602" t="s">
        <v>600</v>
      </c>
      <c r="D602" s="13" t="s">
        <v>913</v>
      </c>
      <c r="E602" s="1">
        <v>0.57429740590005396</v>
      </c>
      <c r="F602">
        <f>VLOOKUP(C602,'[1]phenotypes-895'!$A$2:$G$896,7,FALSE)</f>
        <v>98</v>
      </c>
      <c r="G602">
        <v>315</v>
      </c>
    </row>
    <row r="603" spans="1:7" x14ac:dyDescent="0.2">
      <c r="A603">
        <v>602</v>
      </c>
      <c r="B603">
        <v>49</v>
      </c>
      <c r="C603" t="s">
        <v>601</v>
      </c>
      <c r="D603" s="13" t="s">
        <v>912</v>
      </c>
      <c r="E603" s="1">
        <v>0.12710054910802099</v>
      </c>
      <c r="F603">
        <f>VLOOKUP(C603,'[1]phenotypes-895'!$A$2:$G$896,7,FALSE)</f>
        <v>63</v>
      </c>
      <c r="G603">
        <v>175</v>
      </c>
    </row>
    <row r="604" spans="1:7" x14ac:dyDescent="0.2">
      <c r="A604">
        <v>603</v>
      </c>
      <c r="B604">
        <v>34</v>
      </c>
      <c r="C604" t="s">
        <v>602</v>
      </c>
      <c r="D604" s="13" t="s">
        <v>913</v>
      </c>
      <c r="E604" s="1">
        <v>6.4192772143555201</v>
      </c>
      <c r="F604">
        <f>VLOOKUP(C604,'[1]phenotypes-895'!$A$2:$G$896,7,FALSE)</f>
        <v>98</v>
      </c>
      <c r="G604">
        <v>304</v>
      </c>
    </row>
    <row r="605" spans="1:7" x14ac:dyDescent="0.2">
      <c r="A605">
        <v>604</v>
      </c>
      <c r="B605">
        <v>34</v>
      </c>
      <c r="C605" t="s">
        <v>603</v>
      </c>
      <c r="D605" s="13" t="s">
        <v>913</v>
      </c>
      <c r="E605" s="1">
        <v>3.3255745227436799</v>
      </c>
      <c r="F605">
        <f>VLOOKUP(C605,'[1]phenotypes-895'!$A$2:$G$896,7,FALSE)</f>
        <v>72</v>
      </c>
      <c r="G605">
        <v>304</v>
      </c>
    </row>
    <row r="606" spans="1:7" x14ac:dyDescent="0.2">
      <c r="A606">
        <v>605</v>
      </c>
      <c r="B606">
        <v>40</v>
      </c>
      <c r="C606" t="s">
        <v>604</v>
      </c>
      <c r="D606" s="13" t="s">
        <v>913</v>
      </c>
      <c r="E606" s="1">
        <v>5.34791934192328</v>
      </c>
      <c r="F606">
        <f>VLOOKUP(C606,'[1]phenotypes-895'!$A$2:$G$896,7,FALSE)</f>
        <v>98</v>
      </c>
      <c r="G606">
        <v>317</v>
      </c>
    </row>
    <row r="607" spans="1:7" x14ac:dyDescent="0.2">
      <c r="A607">
        <v>606</v>
      </c>
      <c r="B607">
        <v>21</v>
      </c>
      <c r="C607" t="s">
        <v>605</v>
      </c>
      <c r="D607" s="13" t="s">
        <v>913</v>
      </c>
      <c r="E607" s="1">
        <v>3.2712946219757399</v>
      </c>
      <c r="F607">
        <f>VLOOKUP(C607,'[1]phenotypes-895'!$A$2:$G$896,7,FALSE)</f>
        <v>98</v>
      </c>
      <c r="G607">
        <v>333</v>
      </c>
    </row>
    <row r="608" spans="1:7" x14ac:dyDescent="0.2">
      <c r="A608">
        <v>607</v>
      </c>
      <c r="B608">
        <v>34</v>
      </c>
      <c r="C608" t="s">
        <v>606</v>
      </c>
      <c r="D608" s="13" t="s">
        <v>913</v>
      </c>
      <c r="E608" s="1">
        <v>1.9324070449978099</v>
      </c>
      <c r="F608">
        <f>VLOOKUP(C608,'[1]phenotypes-895'!$A$2:$G$896,7,FALSE)</f>
        <v>98</v>
      </c>
      <c r="G608">
        <v>304</v>
      </c>
    </row>
    <row r="609" spans="1:7" x14ac:dyDescent="0.2">
      <c r="A609">
        <v>608</v>
      </c>
      <c r="B609">
        <v>36</v>
      </c>
      <c r="C609" t="s">
        <v>607</v>
      </c>
      <c r="D609" s="13" t="s">
        <v>913</v>
      </c>
      <c r="E609" s="1">
        <v>4.0881081368638696</v>
      </c>
      <c r="F609">
        <f>VLOOKUP(C609,'[1]phenotypes-895'!$A$2:$G$896,7,FALSE)</f>
        <v>98</v>
      </c>
      <c r="G609">
        <v>307</v>
      </c>
    </row>
    <row r="610" spans="1:7" x14ac:dyDescent="0.2">
      <c r="A610">
        <v>609</v>
      </c>
      <c r="B610">
        <v>37</v>
      </c>
      <c r="C610" t="s">
        <v>608</v>
      </c>
      <c r="D610" s="13" t="s">
        <v>913</v>
      </c>
      <c r="E610" s="1">
        <v>5.0814887064335901</v>
      </c>
      <c r="F610">
        <f>VLOOKUP(C610,'[1]phenotypes-895'!$A$2:$G$896,7,FALSE)</f>
        <v>98</v>
      </c>
      <c r="G610">
        <v>315</v>
      </c>
    </row>
    <row r="611" spans="1:7" x14ac:dyDescent="0.2">
      <c r="A611">
        <v>610</v>
      </c>
      <c r="B611">
        <v>32</v>
      </c>
      <c r="C611" t="s">
        <v>609</v>
      </c>
      <c r="D611" s="13" t="s">
        <v>913</v>
      </c>
      <c r="E611" s="1">
        <v>1.37449527026604</v>
      </c>
      <c r="F611">
        <f>VLOOKUP(C611,'[1]phenotypes-895'!$A$2:$G$896,7,FALSE)</f>
        <v>48</v>
      </c>
      <c r="G611">
        <v>314</v>
      </c>
    </row>
    <row r="612" spans="1:7" x14ac:dyDescent="0.2">
      <c r="A612">
        <v>611</v>
      </c>
      <c r="B612">
        <v>21</v>
      </c>
      <c r="C612" t="s">
        <v>610</v>
      </c>
      <c r="D612" s="13" t="s">
        <v>913</v>
      </c>
      <c r="E612" s="1">
        <v>1.8598357742207099</v>
      </c>
      <c r="F612">
        <f>VLOOKUP(C612,'[1]phenotypes-895'!$A$2:$G$896,7,FALSE)</f>
        <v>98</v>
      </c>
      <c r="G612">
        <v>333</v>
      </c>
    </row>
    <row r="613" spans="1:7" x14ac:dyDescent="0.2">
      <c r="A613">
        <v>612</v>
      </c>
      <c r="B613">
        <v>29</v>
      </c>
      <c r="C613" t="s">
        <v>611</v>
      </c>
      <c r="D613" s="13" t="s">
        <v>913</v>
      </c>
      <c r="E613" s="1">
        <v>-3.6812137118810702</v>
      </c>
      <c r="F613">
        <f>VLOOKUP(C613,'[1]phenotypes-895'!$A$2:$G$896,7,FALSE)</f>
        <v>76</v>
      </c>
      <c r="G613">
        <v>317</v>
      </c>
    </row>
    <row r="614" spans="1:7" x14ac:dyDescent="0.2">
      <c r="A614">
        <v>613</v>
      </c>
      <c r="B614">
        <v>27</v>
      </c>
      <c r="C614" t="s">
        <v>612</v>
      </c>
      <c r="D614" s="13" t="s">
        <v>913</v>
      </c>
      <c r="E614" s="1">
        <v>2.3555378521047201</v>
      </c>
      <c r="F614">
        <f>VLOOKUP(C614,'[1]phenotypes-895'!$A$2:$G$896,7,FALSE)</f>
        <v>98</v>
      </c>
      <c r="G614">
        <v>323</v>
      </c>
    </row>
    <row r="615" spans="1:7" x14ac:dyDescent="0.2">
      <c r="A615">
        <v>614</v>
      </c>
      <c r="B615">
        <v>23</v>
      </c>
      <c r="C615" t="s">
        <v>613</v>
      </c>
      <c r="D615" s="13" t="s">
        <v>913</v>
      </c>
      <c r="E615" s="1">
        <v>4.6792735871337801</v>
      </c>
      <c r="F615">
        <f>VLOOKUP(C615,'[1]phenotypes-895'!$A$2:$G$896,7,FALSE)</f>
        <v>98</v>
      </c>
      <c r="G615">
        <v>304</v>
      </c>
    </row>
    <row r="616" spans="1:7" x14ac:dyDescent="0.2">
      <c r="A616">
        <v>615</v>
      </c>
      <c r="B616">
        <v>35</v>
      </c>
      <c r="C616" t="s">
        <v>614</v>
      </c>
      <c r="D616" s="13" t="s">
        <v>913</v>
      </c>
      <c r="E616" s="1">
        <v>3.2840894155397402</v>
      </c>
      <c r="F616">
        <f>VLOOKUP(C616,'[1]phenotypes-895'!$A$2:$G$896,7,FALSE)</f>
        <v>98</v>
      </c>
      <c r="G616">
        <v>304</v>
      </c>
    </row>
    <row r="617" spans="1:7" x14ac:dyDescent="0.2">
      <c r="A617">
        <v>616</v>
      </c>
      <c r="B617">
        <v>40</v>
      </c>
      <c r="C617" t="s">
        <v>615</v>
      </c>
      <c r="D617" s="13" t="s">
        <v>913</v>
      </c>
      <c r="E617" s="1">
        <v>1.4317793965690699</v>
      </c>
      <c r="F617">
        <f>VLOOKUP(C617,'[1]phenotypes-895'!$A$2:$G$896,7,FALSE)</f>
        <v>77</v>
      </c>
      <c r="G617">
        <v>317</v>
      </c>
    </row>
    <row r="618" spans="1:7" x14ac:dyDescent="0.2">
      <c r="A618">
        <v>617</v>
      </c>
      <c r="B618">
        <v>21</v>
      </c>
      <c r="C618" t="s">
        <v>616</v>
      </c>
      <c r="D618" s="13" t="s">
        <v>913</v>
      </c>
      <c r="E618" s="1">
        <v>1.4547823522238501</v>
      </c>
      <c r="F618">
        <f>VLOOKUP(C618,'[1]phenotypes-895'!$A$2:$G$896,7,FALSE)</f>
        <v>98</v>
      </c>
      <c r="G618">
        <v>218</v>
      </c>
    </row>
    <row r="619" spans="1:7" x14ac:dyDescent="0.2">
      <c r="A619">
        <v>618</v>
      </c>
      <c r="B619">
        <v>42</v>
      </c>
      <c r="C619" t="s">
        <v>617</v>
      </c>
      <c r="D619" s="13" t="s">
        <v>912</v>
      </c>
      <c r="E619" s="1">
        <v>0.80915765913900095</v>
      </c>
      <c r="F619">
        <f>VLOOKUP(C619,'[1]phenotypes-895'!$A$2:$G$896,7,FALSE)</f>
        <v>86</v>
      </c>
      <c r="G619">
        <v>185</v>
      </c>
    </row>
    <row r="620" spans="1:7" x14ac:dyDescent="0.2">
      <c r="A620">
        <v>619</v>
      </c>
      <c r="B620">
        <v>33</v>
      </c>
      <c r="C620" t="s">
        <v>618</v>
      </c>
      <c r="D620" s="13" t="s">
        <v>913</v>
      </c>
      <c r="E620" s="1">
        <v>-0.52076523075827996</v>
      </c>
      <c r="F620">
        <f>VLOOKUP(C620,'[1]phenotypes-895'!$A$2:$G$896,7,FALSE)</f>
        <v>98</v>
      </c>
      <c r="G620">
        <v>189</v>
      </c>
    </row>
    <row r="621" spans="1:7" x14ac:dyDescent="0.2">
      <c r="A621">
        <v>620</v>
      </c>
      <c r="B621">
        <v>38</v>
      </c>
      <c r="C621" t="s">
        <v>619</v>
      </c>
      <c r="D621" s="13" t="s">
        <v>913</v>
      </c>
      <c r="E621" s="1">
        <v>2.8682251964484702</v>
      </c>
      <c r="F621">
        <f>VLOOKUP(C621,'[1]phenotypes-895'!$A$2:$G$896,7,FALSE)</f>
        <v>95</v>
      </c>
      <c r="G621">
        <v>200</v>
      </c>
    </row>
    <row r="622" spans="1:7" x14ac:dyDescent="0.2">
      <c r="A622">
        <v>621</v>
      </c>
      <c r="B622">
        <v>25</v>
      </c>
      <c r="C622" t="s">
        <v>620</v>
      </c>
      <c r="D622" s="13" t="s">
        <v>913</v>
      </c>
      <c r="E622" s="1">
        <v>3.9917592289895198</v>
      </c>
      <c r="F622">
        <f>VLOOKUP(C622,'[1]phenotypes-895'!$A$2:$G$896,7,FALSE)</f>
        <v>94</v>
      </c>
      <c r="G622">
        <v>208</v>
      </c>
    </row>
    <row r="623" spans="1:7" x14ac:dyDescent="0.2">
      <c r="A623">
        <v>622</v>
      </c>
      <c r="B623">
        <v>40</v>
      </c>
      <c r="C623" t="s">
        <v>621</v>
      </c>
      <c r="D623" s="13" t="s">
        <v>913</v>
      </c>
      <c r="E623" s="1">
        <v>-1.1252083427674999</v>
      </c>
      <c r="F623">
        <f>VLOOKUP(C623,'[1]phenotypes-895'!$A$2:$G$896,7,FALSE)</f>
        <v>98</v>
      </c>
      <c r="G623">
        <v>202</v>
      </c>
    </row>
    <row r="624" spans="1:7" x14ac:dyDescent="0.2">
      <c r="A624">
        <v>623</v>
      </c>
      <c r="B624">
        <v>23</v>
      </c>
      <c r="C624" t="s">
        <v>622</v>
      </c>
      <c r="D624" s="13" t="s">
        <v>913</v>
      </c>
      <c r="E624" s="1">
        <v>3.0655183822296301</v>
      </c>
      <c r="F624">
        <f>VLOOKUP(C624,'[1]phenotypes-895'!$A$2:$G$896,7,FALSE)</f>
        <v>98</v>
      </c>
      <c r="G624">
        <v>189</v>
      </c>
    </row>
    <row r="625" spans="1:7" x14ac:dyDescent="0.2">
      <c r="A625">
        <v>624</v>
      </c>
      <c r="B625">
        <v>27</v>
      </c>
      <c r="C625" t="s">
        <v>623</v>
      </c>
      <c r="D625" s="13" t="s">
        <v>913</v>
      </c>
      <c r="E625" s="1">
        <v>1.53179503584347</v>
      </c>
      <c r="F625">
        <f>VLOOKUP(C625,'[1]phenotypes-895'!$A$2:$G$896,7,FALSE)</f>
        <v>58</v>
      </c>
      <c r="G625">
        <v>208</v>
      </c>
    </row>
    <row r="626" spans="1:7" x14ac:dyDescent="0.2">
      <c r="A626">
        <v>625</v>
      </c>
      <c r="B626">
        <v>30</v>
      </c>
      <c r="C626" t="s">
        <v>624</v>
      </c>
      <c r="D626" s="13" t="s">
        <v>913</v>
      </c>
      <c r="E626" s="1">
        <v>1.0370870191408299</v>
      </c>
      <c r="F626">
        <f>VLOOKUP(C626,'[1]phenotypes-895'!$A$2:$G$896,7,FALSE)</f>
        <v>98</v>
      </c>
      <c r="G626">
        <v>202</v>
      </c>
    </row>
    <row r="627" spans="1:7" x14ac:dyDescent="0.2">
      <c r="A627">
        <v>626</v>
      </c>
      <c r="B627">
        <v>27</v>
      </c>
      <c r="C627" t="s">
        <v>625</v>
      </c>
      <c r="D627" s="13" t="s">
        <v>913</v>
      </c>
      <c r="E627" s="1">
        <v>4.0647574000649298</v>
      </c>
      <c r="F627">
        <f>VLOOKUP(C627,'[1]phenotypes-895'!$A$2:$G$896,7,FALSE)</f>
        <v>70</v>
      </c>
      <c r="G627">
        <v>208</v>
      </c>
    </row>
    <row r="628" spans="1:7" x14ac:dyDescent="0.2">
      <c r="A628">
        <v>627</v>
      </c>
      <c r="B628">
        <v>32</v>
      </c>
      <c r="C628" t="s">
        <v>626</v>
      </c>
      <c r="D628" s="13" t="s">
        <v>913</v>
      </c>
      <c r="E628" s="1">
        <v>-1.42717277608208</v>
      </c>
      <c r="F628">
        <f>VLOOKUP(C628,'[1]phenotypes-895'!$A$2:$G$896,7,FALSE)</f>
        <v>60</v>
      </c>
      <c r="G628">
        <v>199</v>
      </c>
    </row>
    <row r="629" spans="1:7" x14ac:dyDescent="0.2">
      <c r="A629">
        <v>628</v>
      </c>
      <c r="B629">
        <v>40</v>
      </c>
      <c r="C629" t="s">
        <v>627</v>
      </c>
      <c r="D629" s="13" t="s">
        <v>913</v>
      </c>
      <c r="E629" s="1">
        <v>-0.97887692045181396</v>
      </c>
      <c r="F629">
        <f>VLOOKUP(C629,'[1]phenotypes-895'!$A$2:$G$896,7,FALSE)</f>
        <v>74</v>
      </c>
      <c r="G629">
        <v>202</v>
      </c>
    </row>
    <row r="630" spans="1:7" x14ac:dyDescent="0.2">
      <c r="A630">
        <v>629</v>
      </c>
      <c r="B630">
        <v>27</v>
      </c>
      <c r="C630" t="s">
        <v>628</v>
      </c>
      <c r="D630" s="13" t="s">
        <v>913</v>
      </c>
      <c r="E630" s="1">
        <v>5.3320016061782702</v>
      </c>
      <c r="F630">
        <f>VLOOKUP(C630,'[1]phenotypes-895'!$A$2:$G$896,7,FALSE)</f>
        <v>98</v>
      </c>
      <c r="G630">
        <v>208</v>
      </c>
    </row>
    <row r="631" spans="1:7" x14ac:dyDescent="0.2">
      <c r="A631">
        <v>630</v>
      </c>
      <c r="B631">
        <v>36</v>
      </c>
      <c r="C631" t="s">
        <v>629</v>
      </c>
      <c r="D631" s="13" t="s">
        <v>913</v>
      </c>
      <c r="E631" s="1">
        <v>2.10741230187628</v>
      </c>
      <c r="F631">
        <f>VLOOKUP(C631,'[1]phenotypes-895'!$A$2:$G$896,7,FALSE)</f>
        <v>65</v>
      </c>
      <c r="G631">
        <v>192</v>
      </c>
    </row>
    <row r="632" spans="1:7" x14ac:dyDescent="0.2">
      <c r="A632">
        <v>631</v>
      </c>
      <c r="B632">
        <v>28</v>
      </c>
      <c r="C632" t="s">
        <v>630</v>
      </c>
      <c r="D632" s="13" t="s">
        <v>913</v>
      </c>
      <c r="E632" s="1">
        <v>2.9487085564432101</v>
      </c>
      <c r="F632">
        <f>VLOOKUP(C632,'[1]phenotypes-895'!$A$2:$G$896,7,FALSE)</f>
        <v>98</v>
      </c>
      <c r="G632">
        <v>242</v>
      </c>
    </row>
    <row r="633" spans="1:7" x14ac:dyDescent="0.2">
      <c r="A633">
        <v>632</v>
      </c>
      <c r="B633">
        <v>29</v>
      </c>
      <c r="C633" t="s">
        <v>631</v>
      </c>
      <c r="D633" s="13" t="s">
        <v>913</v>
      </c>
      <c r="E633" s="1">
        <v>-5.4907373581129999</v>
      </c>
      <c r="F633">
        <f>VLOOKUP(C633,'[1]phenotypes-895'!$A$2:$G$896,7,FALSE)</f>
        <v>44</v>
      </c>
      <c r="G633">
        <v>202</v>
      </c>
    </row>
    <row r="634" spans="1:7" x14ac:dyDescent="0.2">
      <c r="A634">
        <v>633</v>
      </c>
      <c r="B634">
        <v>23</v>
      </c>
      <c r="C634" t="s">
        <v>632</v>
      </c>
      <c r="D634" s="13" t="s">
        <v>913</v>
      </c>
      <c r="E634" s="1">
        <v>3.7428032902188799</v>
      </c>
      <c r="F634">
        <f>VLOOKUP(C634,'[1]phenotypes-895'!$A$2:$G$896,7,FALSE)</f>
        <v>98</v>
      </c>
      <c r="G634">
        <v>189</v>
      </c>
    </row>
    <row r="635" spans="1:7" x14ac:dyDescent="0.2">
      <c r="A635">
        <v>634</v>
      </c>
      <c r="B635">
        <v>26</v>
      </c>
      <c r="C635" t="s">
        <v>633</v>
      </c>
      <c r="D635" s="13" t="s">
        <v>913</v>
      </c>
      <c r="E635" s="1">
        <v>4.7246109646440697</v>
      </c>
      <c r="F635">
        <f>VLOOKUP(C635,'[1]phenotypes-895'!$A$2:$G$896,7,FALSE)</f>
        <v>76</v>
      </c>
      <c r="G635">
        <v>208</v>
      </c>
    </row>
    <row r="636" spans="1:7" x14ac:dyDescent="0.2">
      <c r="A636">
        <v>635</v>
      </c>
      <c r="B636">
        <v>50</v>
      </c>
      <c r="C636" t="s">
        <v>634</v>
      </c>
      <c r="D636" s="13" t="s">
        <v>912</v>
      </c>
      <c r="E636" s="1">
        <v>-0.32596360447651102</v>
      </c>
      <c r="F636">
        <f>VLOOKUP(C636,'[1]phenotypes-895'!$A$2:$G$896,7,FALSE)</f>
        <v>72</v>
      </c>
      <c r="G636">
        <v>172</v>
      </c>
    </row>
    <row r="637" spans="1:7" x14ac:dyDescent="0.2">
      <c r="A637">
        <v>636</v>
      </c>
      <c r="B637">
        <v>40</v>
      </c>
      <c r="C637" t="s">
        <v>635</v>
      </c>
      <c r="D637" s="13" t="s">
        <v>913</v>
      </c>
      <c r="E637" s="1">
        <v>7.4666782322520595E-2</v>
      </c>
      <c r="F637">
        <f>VLOOKUP(C637,'[1]phenotypes-895'!$A$2:$G$896,7,FALSE)</f>
        <v>70</v>
      </c>
      <c r="G637">
        <v>202</v>
      </c>
    </row>
    <row r="638" spans="1:7" x14ac:dyDescent="0.2">
      <c r="A638">
        <v>637</v>
      </c>
      <c r="B638">
        <v>46</v>
      </c>
      <c r="C638" t="s">
        <v>636</v>
      </c>
      <c r="D638" s="13" t="s">
        <v>912</v>
      </c>
      <c r="E638" s="1">
        <v>3.2037962769934998</v>
      </c>
      <c r="F638">
        <f>VLOOKUP(C638,'[1]phenotypes-895'!$A$2:$G$896,7,FALSE)</f>
        <v>98</v>
      </c>
      <c r="G638">
        <v>160</v>
      </c>
    </row>
    <row r="639" spans="1:7" x14ac:dyDescent="0.2">
      <c r="A639">
        <v>638</v>
      </c>
      <c r="B639">
        <v>22</v>
      </c>
      <c r="C639" t="s">
        <v>637</v>
      </c>
      <c r="D639" s="13" t="s">
        <v>913</v>
      </c>
      <c r="E639" s="1">
        <v>1.7304312731867</v>
      </c>
      <c r="F639">
        <f>VLOOKUP(C639,'[1]phenotypes-895'!$A$2:$G$896,7,FALSE)</f>
        <v>60</v>
      </c>
      <c r="G639">
        <v>173</v>
      </c>
    </row>
    <row r="640" spans="1:7" x14ac:dyDescent="0.2">
      <c r="A640">
        <v>639</v>
      </c>
      <c r="B640">
        <v>34</v>
      </c>
      <c r="C640" t="s">
        <v>638</v>
      </c>
      <c r="D640" s="13" t="s">
        <v>913</v>
      </c>
      <c r="E640" s="1">
        <v>1.34110684709838</v>
      </c>
      <c r="F640">
        <f>VLOOKUP(C640,'[1]phenotypes-895'!$A$2:$G$896,7,FALSE)</f>
        <v>75</v>
      </c>
      <c r="G640">
        <v>189</v>
      </c>
    </row>
    <row r="641" spans="1:7" x14ac:dyDescent="0.2">
      <c r="A641">
        <v>640</v>
      </c>
      <c r="B641">
        <v>40</v>
      </c>
      <c r="C641" t="s">
        <v>639</v>
      </c>
      <c r="D641" s="13" t="s">
        <v>913</v>
      </c>
      <c r="E641" s="1">
        <v>-4.3970119822444396</v>
      </c>
      <c r="F641">
        <f>VLOOKUP(C641,'[1]phenotypes-895'!$A$2:$G$896,7,FALSE)</f>
        <v>65</v>
      </c>
      <c r="G641">
        <v>202</v>
      </c>
    </row>
    <row r="642" spans="1:7" x14ac:dyDescent="0.2">
      <c r="A642">
        <v>641</v>
      </c>
      <c r="B642">
        <v>21</v>
      </c>
      <c r="C642" t="s">
        <v>640</v>
      </c>
      <c r="D642" s="13" t="s">
        <v>913</v>
      </c>
      <c r="E642" s="1">
        <v>3.9808432481913698</v>
      </c>
      <c r="F642">
        <f>VLOOKUP(C642,'[1]phenotypes-895'!$A$2:$G$896,7,FALSE)</f>
        <v>98</v>
      </c>
      <c r="G642">
        <v>333</v>
      </c>
    </row>
    <row r="643" spans="1:7" x14ac:dyDescent="0.2">
      <c r="A643">
        <v>642</v>
      </c>
      <c r="B643">
        <v>29</v>
      </c>
      <c r="C643" t="s">
        <v>641</v>
      </c>
      <c r="D643" s="13" t="s">
        <v>913</v>
      </c>
      <c r="E643" s="1">
        <v>0.336502742224768</v>
      </c>
      <c r="F643">
        <f>VLOOKUP(C643,'[1]phenotypes-895'!$A$2:$G$896,7,FALSE)</f>
        <v>70</v>
      </c>
      <c r="G643">
        <v>202</v>
      </c>
    </row>
    <row r="644" spans="1:7" x14ac:dyDescent="0.2">
      <c r="A644">
        <v>643</v>
      </c>
      <c r="B644">
        <v>22</v>
      </c>
      <c r="C644" t="s">
        <v>642</v>
      </c>
      <c r="D644" s="13" t="s">
        <v>913</v>
      </c>
      <c r="E644" s="1">
        <v>3.7367509435660802</v>
      </c>
      <c r="F644">
        <f>VLOOKUP(C644,'[1]phenotypes-895'!$A$2:$G$896,7,FALSE)</f>
        <v>98</v>
      </c>
      <c r="G644">
        <v>173</v>
      </c>
    </row>
    <row r="645" spans="1:7" x14ac:dyDescent="0.2">
      <c r="A645">
        <v>644</v>
      </c>
      <c r="B645">
        <v>26</v>
      </c>
      <c r="C645" t="s">
        <v>643</v>
      </c>
      <c r="D645" s="13" t="s">
        <v>913</v>
      </c>
      <c r="E645" s="1">
        <v>6.2052655922406403</v>
      </c>
      <c r="F645">
        <f>VLOOKUP(C645,'[1]phenotypes-895'!$A$2:$G$896,7,FALSE)</f>
        <v>98</v>
      </c>
      <c r="G645">
        <v>323</v>
      </c>
    </row>
    <row r="646" spans="1:7" x14ac:dyDescent="0.2">
      <c r="A646">
        <v>645</v>
      </c>
      <c r="B646">
        <v>52</v>
      </c>
      <c r="C646" t="s">
        <v>644</v>
      </c>
      <c r="D646" s="13" t="s">
        <v>912</v>
      </c>
      <c r="E646" s="1">
        <v>1.1505907368475501</v>
      </c>
      <c r="F646">
        <f>VLOOKUP(C646,'[1]phenotypes-895'!$A$2:$G$896,7,FALSE)</f>
        <v>79</v>
      </c>
      <c r="G646">
        <v>164</v>
      </c>
    </row>
    <row r="647" spans="1:7" x14ac:dyDescent="0.2">
      <c r="A647">
        <v>646</v>
      </c>
      <c r="B647">
        <v>26</v>
      </c>
      <c r="C647" t="s">
        <v>645</v>
      </c>
      <c r="D647" s="13" t="s">
        <v>913</v>
      </c>
      <c r="E647" s="1">
        <v>3.26730769790408</v>
      </c>
      <c r="F647">
        <f>VLOOKUP(C647,'[1]phenotypes-895'!$A$2:$G$896,7,FALSE)</f>
        <v>88</v>
      </c>
      <c r="G647">
        <v>323</v>
      </c>
    </row>
    <row r="648" spans="1:7" x14ac:dyDescent="0.2">
      <c r="A648">
        <v>647</v>
      </c>
      <c r="B648">
        <v>31</v>
      </c>
      <c r="C648" t="s">
        <v>646</v>
      </c>
      <c r="D648" s="13" t="s">
        <v>913</v>
      </c>
      <c r="E648" s="1">
        <v>2.7112705724356601</v>
      </c>
      <c r="F648">
        <f>VLOOKUP(C648,'[1]phenotypes-895'!$A$2:$G$896,7,FALSE)</f>
        <v>84</v>
      </c>
      <c r="G648">
        <v>199</v>
      </c>
    </row>
    <row r="649" spans="1:7" x14ac:dyDescent="0.2">
      <c r="A649">
        <v>648</v>
      </c>
      <c r="B649">
        <v>30</v>
      </c>
      <c r="C649" t="s">
        <v>647</v>
      </c>
      <c r="D649" s="13" t="s">
        <v>913</v>
      </c>
      <c r="E649" s="1">
        <v>-7.9085418168125601E-2</v>
      </c>
      <c r="F649">
        <f>VLOOKUP(C649,'[1]phenotypes-895'!$A$2:$G$896,7,FALSE)</f>
        <v>98</v>
      </c>
      <c r="G649">
        <v>317</v>
      </c>
    </row>
    <row r="650" spans="1:7" x14ac:dyDescent="0.2">
      <c r="A650">
        <v>649</v>
      </c>
      <c r="B650">
        <v>39</v>
      </c>
      <c r="C650" t="s">
        <v>648</v>
      </c>
      <c r="D650" s="13" t="s">
        <v>913</v>
      </c>
      <c r="E650" s="1">
        <v>4.0239232972541403</v>
      </c>
      <c r="F650">
        <f>VLOOKUP(C650,'[1]phenotypes-895'!$A$2:$G$896,7,FALSE)</f>
        <v>98</v>
      </c>
      <c r="G650">
        <v>321</v>
      </c>
    </row>
    <row r="651" spans="1:7" x14ac:dyDescent="0.2">
      <c r="A651">
        <v>650</v>
      </c>
      <c r="B651">
        <v>31</v>
      </c>
      <c r="C651" t="s">
        <v>649</v>
      </c>
      <c r="D651" s="13" t="s">
        <v>913</v>
      </c>
      <c r="E651" s="1">
        <v>2.6225811329376301</v>
      </c>
      <c r="F651">
        <f>VLOOKUP(C651,'[1]phenotypes-895'!$A$2:$G$896,7,FALSE)</f>
        <v>98</v>
      </c>
      <c r="G651">
        <v>314</v>
      </c>
    </row>
    <row r="652" spans="1:7" x14ac:dyDescent="0.2">
      <c r="A652">
        <v>651</v>
      </c>
      <c r="B652">
        <v>27</v>
      </c>
      <c r="C652" t="s">
        <v>650</v>
      </c>
      <c r="D652" s="13" t="s">
        <v>913</v>
      </c>
      <c r="E652" s="1">
        <v>-2.24781566225032</v>
      </c>
      <c r="F652">
        <f>VLOOKUP(C652,'[1]phenotypes-895'!$A$2:$G$896,7,FALSE)</f>
        <v>78</v>
      </c>
      <c r="G652">
        <v>323</v>
      </c>
    </row>
    <row r="653" spans="1:7" x14ac:dyDescent="0.2">
      <c r="A653">
        <v>652</v>
      </c>
      <c r="B653">
        <v>23</v>
      </c>
      <c r="C653" t="s">
        <v>651</v>
      </c>
      <c r="D653" s="13" t="s">
        <v>913</v>
      </c>
      <c r="E653" s="1">
        <v>1.07997586484136</v>
      </c>
      <c r="F653">
        <f>VLOOKUP(C653,'[1]phenotypes-895'!$A$2:$G$896,7,FALSE)</f>
        <v>98</v>
      </c>
      <c r="G653">
        <v>304</v>
      </c>
    </row>
    <row r="654" spans="1:7" x14ac:dyDescent="0.2">
      <c r="A654">
        <v>653</v>
      </c>
      <c r="B654">
        <v>23</v>
      </c>
      <c r="C654" t="s">
        <v>652</v>
      </c>
      <c r="D654" s="13" t="s">
        <v>913</v>
      </c>
      <c r="E654" s="1">
        <v>4.0549588146336397</v>
      </c>
      <c r="F654">
        <f>VLOOKUP(C654,'[1]phenotypes-895'!$A$2:$G$896,7,FALSE)</f>
        <v>98</v>
      </c>
      <c r="G654">
        <v>304</v>
      </c>
    </row>
    <row r="655" spans="1:7" x14ac:dyDescent="0.2">
      <c r="A655">
        <v>654</v>
      </c>
      <c r="B655">
        <v>39</v>
      </c>
      <c r="C655" t="s">
        <v>653</v>
      </c>
      <c r="D655" s="13" t="s">
        <v>913</v>
      </c>
      <c r="E655" s="1">
        <v>5.3567910527112996</v>
      </c>
      <c r="F655">
        <f>VLOOKUP(C655,'[1]phenotypes-895'!$A$2:$G$896,7,FALSE)</f>
        <v>98</v>
      </c>
      <c r="G655">
        <v>321</v>
      </c>
    </row>
    <row r="656" spans="1:7" x14ac:dyDescent="0.2">
      <c r="A656">
        <v>655</v>
      </c>
      <c r="B656">
        <v>27</v>
      </c>
      <c r="C656" t="s">
        <v>654</v>
      </c>
      <c r="D656" s="13" t="s">
        <v>913</v>
      </c>
      <c r="E656" s="1">
        <v>2.1327545218156598</v>
      </c>
      <c r="F656">
        <f>VLOOKUP(C656,'[1]phenotypes-895'!$A$2:$G$896,7,FALSE)</f>
        <v>73</v>
      </c>
      <c r="G656">
        <v>323</v>
      </c>
    </row>
    <row r="657" spans="1:7" x14ac:dyDescent="0.2">
      <c r="A657">
        <v>656</v>
      </c>
      <c r="B657">
        <v>26</v>
      </c>
      <c r="C657" t="s">
        <v>655</v>
      </c>
      <c r="D657" s="13" t="s">
        <v>913</v>
      </c>
      <c r="E657" s="1">
        <v>0.78516203681102703</v>
      </c>
      <c r="F657">
        <f>VLOOKUP(C657,'[1]phenotypes-895'!$A$2:$G$896,7,FALSE)</f>
        <v>98</v>
      </c>
      <c r="G657">
        <v>323</v>
      </c>
    </row>
    <row r="658" spans="1:7" x14ac:dyDescent="0.2">
      <c r="A658">
        <v>657</v>
      </c>
      <c r="B658">
        <v>36</v>
      </c>
      <c r="C658" t="s">
        <v>656</v>
      </c>
      <c r="D658" s="13" t="s">
        <v>913</v>
      </c>
      <c r="E658" s="1">
        <v>0.37332882275467899</v>
      </c>
      <c r="F658">
        <f>VLOOKUP(C658,'[1]phenotypes-895'!$A$2:$G$896,7,FALSE)</f>
        <v>68</v>
      </c>
      <c r="G658">
        <v>307</v>
      </c>
    </row>
    <row r="659" spans="1:7" x14ac:dyDescent="0.2">
      <c r="A659">
        <v>658</v>
      </c>
      <c r="B659">
        <v>32</v>
      </c>
      <c r="C659" t="s">
        <v>657</v>
      </c>
      <c r="D659" s="13" t="s">
        <v>913</v>
      </c>
      <c r="E659" s="1">
        <v>3.8694428386644901</v>
      </c>
      <c r="F659">
        <f>VLOOKUP(C659,'[1]phenotypes-895'!$A$2:$G$896,7,FALSE)</f>
        <v>98</v>
      </c>
      <c r="G659">
        <v>314</v>
      </c>
    </row>
    <row r="660" spans="1:7" x14ac:dyDescent="0.2">
      <c r="A660">
        <v>659</v>
      </c>
      <c r="B660">
        <v>36</v>
      </c>
      <c r="C660" t="s">
        <v>658</v>
      </c>
      <c r="D660" s="13" t="s">
        <v>913</v>
      </c>
      <c r="E660" s="1">
        <v>8.2886637615912608</v>
      </c>
      <c r="F660">
        <f>VLOOKUP(C660,'[1]phenotypes-895'!$A$2:$G$896,7,FALSE)</f>
        <v>98</v>
      </c>
      <c r="G660">
        <v>307</v>
      </c>
    </row>
    <row r="661" spans="1:7" x14ac:dyDescent="0.2">
      <c r="A661">
        <v>660</v>
      </c>
      <c r="B661">
        <v>34</v>
      </c>
      <c r="C661" t="s">
        <v>659</v>
      </c>
      <c r="D661" s="13" t="s">
        <v>913</v>
      </c>
      <c r="E661" s="1">
        <v>5.0556350388606202</v>
      </c>
      <c r="F661">
        <f>VLOOKUP(C661,'[1]phenotypes-895'!$A$2:$G$896,7,FALSE)</f>
        <v>98</v>
      </c>
      <c r="G661">
        <v>304</v>
      </c>
    </row>
    <row r="662" spans="1:7" x14ac:dyDescent="0.2">
      <c r="A662">
        <v>661</v>
      </c>
      <c r="B662">
        <v>37</v>
      </c>
      <c r="C662" t="s">
        <v>660</v>
      </c>
      <c r="D662" s="13" t="s">
        <v>913</v>
      </c>
      <c r="E662" s="1">
        <v>8.1721230235748497</v>
      </c>
      <c r="F662">
        <f>VLOOKUP(C662,'[1]phenotypes-895'!$A$2:$G$896,7,FALSE)</f>
        <v>98</v>
      </c>
      <c r="G662">
        <v>200</v>
      </c>
    </row>
    <row r="663" spans="1:7" x14ac:dyDescent="0.2">
      <c r="A663">
        <v>662</v>
      </c>
      <c r="B663">
        <v>39</v>
      </c>
      <c r="C663" t="s">
        <v>661</v>
      </c>
      <c r="D663" s="13" t="s">
        <v>913</v>
      </c>
      <c r="E663" s="1">
        <v>4.8403535559270896</v>
      </c>
      <c r="F663">
        <f>VLOOKUP(C663,'[1]phenotypes-895'!$A$2:$G$896,7,FALSE)</f>
        <v>98</v>
      </c>
      <c r="G663">
        <v>206</v>
      </c>
    </row>
    <row r="664" spans="1:7" x14ac:dyDescent="0.2">
      <c r="A664">
        <v>663</v>
      </c>
      <c r="B664">
        <v>42</v>
      </c>
      <c r="C664" t="s">
        <v>662</v>
      </c>
      <c r="D664" s="13" t="s">
        <v>912</v>
      </c>
      <c r="E664" s="1">
        <v>4.1701195353703504</v>
      </c>
      <c r="F664">
        <f>VLOOKUP(C664,'[1]phenotypes-895'!$A$2:$G$896,7,FALSE)</f>
        <v>98</v>
      </c>
      <c r="G664">
        <v>185</v>
      </c>
    </row>
    <row r="665" spans="1:7" x14ac:dyDescent="0.2">
      <c r="A665">
        <v>664</v>
      </c>
      <c r="B665">
        <v>42</v>
      </c>
      <c r="C665" t="s">
        <v>663</v>
      </c>
      <c r="D665" s="13" t="s">
        <v>912</v>
      </c>
      <c r="E665" s="1">
        <v>1.32664311201606</v>
      </c>
      <c r="F665">
        <f>VLOOKUP(C665,'[1]phenotypes-895'!$A$2:$G$896,7,FALSE)</f>
        <v>98</v>
      </c>
      <c r="G665">
        <v>185</v>
      </c>
    </row>
    <row r="666" spans="1:7" x14ac:dyDescent="0.2">
      <c r="A666">
        <v>665</v>
      </c>
      <c r="B666">
        <v>46</v>
      </c>
      <c r="C666" t="s">
        <v>664</v>
      </c>
      <c r="D666" s="13" t="s">
        <v>912</v>
      </c>
      <c r="E666" s="1">
        <v>1.3853698194798001</v>
      </c>
      <c r="F666">
        <f>VLOOKUP(C666,'[1]phenotypes-895'!$A$2:$G$896,7,FALSE)</f>
        <v>74</v>
      </c>
      <c r="G666">
        <v>160</v>
      </c>
    </row>
    <row r="667" spans="1:7" x14ac:dyDescent="0.2">
      <c r="A667">
        <v>666</v>
      </c>
      <c r="B667">
        <v>54</v>
      </c>
      <c r="C667" t="s">
        <v>665</v>
      </c>
      <c r="D667" s="13" t="s">
        <v>912</v>
      </c>
      <c r="E667" s="1">
        <v>0.163578934741543</v>
      </c>
      <c r="F667">
        <f>VLOOKUP(C667,'[1]phenotypes-895'!$A$2:$G$896,7,FALSE)</f>
        <v>63</v>
      </c>
      <c r="G667">
        <v>170</v>
      </c>
    </row>
    <row r="668" spans="1:7" x14ac:dyDescent="0.2">
      <c r="A668">
        <v>667</v>
      </c>
      <c r="B668">
        <v>51</v>
      </c>
      <c r="C668" t="s">
        <v>666</v>
      </c>
      <c r="D668" s="13" t="s">
        <v>912</v>
      </c>
      <c r="E668" s="1">
        <v>5.2458238963512596</v>
      </c>
      <c r="F668">
        <f>VLOOKUP(C668,'[1]phenotypes-895'!$A$2:$G$896,7,FALSE)</f>
        <v>98</v>
      </c>
      <c r="G668">
        <v>159</v>
      </c>
    </row>
    <row r="669" spans="1:7" x14ac:dyDescent="0.2">
      <c r="A669">
        <v>668</v>
      </c>
      <c r="B669">
        <v>32</v>
      </c>
      <c r="C669" t="s">
        <v>667</v>
      </c>
      <c r="D669" s="13" t="s">
        <v>913</v>
      </c>
      <c r="E669" s="1">
        <v>2.1340441872670199</v>
      </c>
      <c r="F669">
        <f>VLOOKUP(C669,'[1]phenotypes-895'!$A$2:$G$896,7,FALSE)</f>
        <v>65</v>
      </c>
      <c r="G669">
        <v>199</v>
      </c>
    </row>
    <row r="670" spans="1:7" x14ac:dyDescent="0.2">
      <c r="A670">
        <v>669</v>
      </c>
      <c r="B670">
        <v>50</v>
      </c>
      <c r="C670" t="s">
        <v>668</v>
      </c>
      <c r="D670" s="13" t="s">
        <v>912</v>
      </c>
      <c r="E670" s="1">
        <v>5.8688963462004198</v>
      </c>
      <c r="F670">
        <f>VLOOKUP(C670,'[1]phenotypes-895'!$A$2:$G$896,7,FALSE)</f>
        <v>98</v>
      </c>
      <c r="G670">
        <v>172</v>
      </c>
    </row>
    <row r="671" spans="1:7" x14ac:dyDescent="0.2">
      <c r="A671">
        <v>670</v>
      </c>
      <c r="B671">
        <v>42</v>
      </c>
      <c r="C671" t="s">
        <v>669</v>
      </c>
      <c r="D671" s="13" t="s">
        <v>912</v>
      </c>
      <c r="E671" s="1">
        <v>0.77463730758801097</v>
      </c>
      <c r="F671">
        <f>VLOOKUP(C671,'[1]phenotypes-895'!$A$2:$G$896,7,FALSE)</f>
        <v>65</v>
      </c>
      <c r="G671">
        <v>185</v>
      </c>
    </row>
    <row r="672" spans="1:7" x14ac:dyDescent="0.2">
      <c r="A672">
        <v>671</v>
      </c>
      <c r="B672">
        <v>22</v>
      </c>
      <c r="C672" t="s">
        <v>670</v>
      </c>
      <c r="D672" s="13" t="s">
        <v>913</v>
      </c>
      <c r="E672" s="1">
        <v>5.7746902113398502</v>
      </c>
      <c r="F672">
        <f>VLOOKUP(C672,'[1]phenotypes-895'!$A$2:$G$896,7,FALSE)</f>
        <v>98</v>
      </c>
      <c r="G672">
        <v>173</v>
      </c>
    </row>
    <row r="673" spans="1:7" x14ac:dyDescent="0.2">
      <c r="A673">
        <v>672</v>
      </c>
      <c r="B673">
        <v>49</v>
      </c>
      <c r="C673" t="s">
        <v>671</v>
      </c>
      <c r="D673" s="13" t="s">
        <v>912</v>
      </c>
      <c r="E673" s="1">
        <v>4.0264801322807902</v>
      </c>
      <c r="F673">
        <f>VLOOKUP(C673,'[1]phenotypes-895'!$A$2:$G$896,7,FALSE)</f>
        <v>98</v>
      </c>
      <c r="G673">
        <v>175</v>
      </c>
    </row>
    <row r="674" spans="1:7" x14ac:dyDescent="0.2">
      <c r="A674">
        <v>673</v>
      </c>
      <c r="B674">
        <v>29</v>
      </c>
      <c r="C674" t="s">
        <v>672</v>
      </c>
      <c r="D674" s="13" t="s">
        <v>913</v>
      </c>
      <c r="E674" s="1">
        <v>-0.89919234562016104</v>
      </c>
      <c r="F674">
        <f>VLOOKUP(C674,'[1]phenotypes-895'!$A$2:$G$896,7,FALSE)</f>
        <v>63</v>
      </c>
      <c r="G674">
        <v>202</v>
      </c>
    </row>
    <row r="675" spans="1:7" x14ac:dyDescent="0.2">
      <c r="A675">
        <v>674</v>
      </c>
      <c r="B675">
        <v>40</v>
      </c>
      <c r="C675" t="s">
        <v>673</v>
      </c>
      <c r="D675" s="13" t="s">
        <v>913</v>
      </c>
      <c r="E675" s="1">
        <v>-5.1676515718999596</v>
      </c>
      <c r="F675">
        <f>VLOOKUP(C675,'[1]phenotypes-895'!$A$2:$G$896,7,FALSE)</f>
        <v>63</v>
      </c>
      <c r="G675">
        <v>202</v>
      </c>
    </row>
    <row r="676" spans="1:7" x14ac:dyDescent="0.2">
      <c r="A676">
        <v>675</v>
      </c>
      <c r="B676">
        <v>25</v>
      </c>
      <c r="C676" t="s">
        <v>674</v>
      </c>
      <c r="D676" s="13" t="s">
        <v>913</v>
      </c>
      <c r="E676" s="1">
        <v>5.3899249187697</v>
      </c>
      <c r="F676">
        <f>VLOOKUP(C676,'[1]phenotypes-895'!$A$2:$G$896,7,FALSE)</f>
        <v>98</v>
      </c>
      <c r="G676">
        <v>208</v>
      </c>
    </row>
    <row r="677" spans="1:7" x14ac:dyDescent="0.2">
      <c r="A677">
        <v>676</v>
      </c>
      <c r="B677">
        <v>31</v>
      </c>
      <c r="C677" t="s">
        <v>675</v>
      </c>
      <c r="D677" s="13" t="s">
        <v>913</v>
      </c>
      <c r="E677" s="1">
        <v>1.8701488841792799</v>
      </c>
      <c r="F677">
        <f>VLOOKUP(C677,'[1]phenotypes-895'!$A$2:$G$896,7,FALSE)</f>
        <v>98</v>
      </c>
      <c r="G677">
        <v>199</v>
      </c>
    </row>
    <row r="678" spans="1:7" x14ac:dyDescent="0.2">
      <c r="A678">
        <v>677</v>
      </c>
      <c r="B678">
        <v>31</v>
      </c>
      <c r="C678" t="s">
        <v>676</v>
      </c>
      <c r="D678" s="13" t="s">
        <v>913</v>
      </c>
      <c r="E678" s="1">
        <v>3.7746753089588299</v>
      </c>
      <c r="F678">
        <f>VLOOKUP(C678,'[1]phenotypes-895'!$A$2:$G$896,7,FALSE)</f>
        <v>86</v>
      </c>
      <c r="G678">
        <v>199</v>
      </c>
    </row>
    <row r="679" spans="1:7" x14ac:dyDescent="0.2">
      <c r="A679">
        <v>678</v>
      </c>
      <c r="B679">
        <v>52</v>
      </c>
      <c r="C679" t="s">
        <v>677</v>
      </c>
      <c r="D679" s="13" t="s">
        <v>912</v>
      </c>
      <c r="E679" s="1">
        <v>-1.3499016620386901</v>
      </c>
      <c r="F679">
        <f>VLOOKUP(C679,'[1]phenotypes-895'!$A$2:$G$896,7,FALSE)</f>
        <v>45</v>
      </c>
      <c r="G679">
        <v>164</v>
      </c>
    </row>
    <row r="680" spans="1:7" x14ac:dyDescent="0.2">
      <c r="A680">
        <v>679</v>
      </c>
      <c r="B680">
        <v>51</v>
      </c>
      <c r="C680" t="s">
        <v>678</v>
      </c>
      <c r="D680" s="13" t="s">
        <v>912</v>
      </c>
      <c r="E680" s="1">
        <v>1.29835345267749</v>
      </c>
      <c r="F680">
        <f>VLOOKUP(C680,'[1]phenotypes-895'!$A$2:$G$896,7,FALSE)</f>
        <v>54</v>
      </c>
      <c r="G680">
        <v>159</v>
      </c>
    </row>
    <row r="681" spans="1:7" x14ac:dyDescent="0.2">
      <c r="A681">
        <v>680</v>
      </c>
      <c r="B681">
        <v>35</v>
      </c>
      <c r="C681" t="s">
        <v>679</v>
      </c>
      <c r="D681" s="13" t="s">
        <v>913</v>
      </c>
      <c r="E681" s="1">
        <v>4.08389893259484</v>
      </c>
      <c r="F681">
        <f>VLOOKUP(C681,'[1]phenotypes-895'!$A$2:$G$896,7,FALSE)</f>
        <v>98</v>
      </c>
      <c r="G681">
        <v>189</v>
      </c>
    </row>
    <row r="682" spans="1:7" x14ac:dyDescent="0.2">
      <c r="A682">
        <v>681</v>
      </c>
      <c r="B682">
        <v>38</v>
      </c>
      <c r="C682" t="s">
        <v>680</v>
      </c>
      <c r="D682" s="13" t="s">
        <v>913</v>
      </c>
      <c r="E682" s="1">
        <v>6.6786829012297302</v>
      </c>
      <c r="F682">
        <f>VLOOKUP(C682,'[1]phenotypes-895'!$A$2:$G$896,7,FALSE)</f>
        <v>98</v>
      </c>
      <c r="G682">
        <v>200</v>
      </c>
    </row>
    <row r="683" spans="1:7" x14ac:dyDescent="0.2">
      <c r="A683">
        <v>682</v>
      </c>
      <c r="B683">
        <v>35</v>
      </c>
      <c r="C683" t="s">
        <v>681</v>
      </c>
      <c r="D683" s="13" t="s">
        <v>913</v>
      </c>
      <c r="E683" s="1">
        <v>2.69550590029385</v>
      </c>
      <c r="F683">
        <f>VLOOKUP(C683,'[1]phenotypes-895'!$A$2:$G$896,7,FALSE)</f>
        <v>75</v>
      </c>
      <c r="G683">
        <v>189</v>
      </c>
    </row>
    <row r="684" spans="1:7" x14ac:dyDescent="0.2">
      <c r="A684">
        <v>683</v>
      </c>
      <c r="B684">
        <v>42</v>
      </c>
      <c r="C684" t="s">
        <v>682</v>
      </c>
      <c r="D684" s="13" t="s">
        <v>912</v>
      </c>
      <c r="E684" s="1">
        <v>3.58388523373472</v>
      </c>
      <c r="F684">
        <f>VLOOKUP(C684,'[1]phenotypes-895'!$A$2:$G$896,7,FALSE)</f>
        <v>58</v>
      </c>
      <c r="G684">
        <v>185</v>
      </c>
    </row>
    <row r="685" spans="1:7" x14ac:dyDescent="0.2">
      <c r="A685">
        <v>684</v>
      </c>
      <c r="B685">
        <v>24</v>
      </c>
      <c r="C685" t="s">
        <v>683</v>
      </c>
      <c r="D685" s="13" t="s">
        <v>913</v>
      </c>
      <c r="E685" s="1">
        <v>-4.0576977196269297</v>
      </c>
      <c r="F685">
        <f>VLOOKUP(C685,'[1]phenotypes-895'!$A$2:$G$896,7,FALSE)</f>
        <v>65</v>
      </c>
      <c r="G685">
        <v>239</v>
      </c>
    </row>
    <row r="686" spans="1:7" x14ac:dyDescent="0.2">
      <c r="A686">
        <v>685</v>
      </c>
      <c r="B686">
        <v>30</v>
      </c>
      <c r="C686" t="s">
        <v>684</v>
      </c>
      <c r="D686" s="13" t="s">
        <v>913</v>
      </c>
      <c r="E686" s="1">
        <v>-3.1531975925334699</v>
      </c>
      <c r="F686">
        <f>VLOOKUP(C686,'[1]phenotypes-895'!$A$2:$G$896,7,FALSE)</f>
        <v>51</v>
      </c>
      <c r="G686">
        <v>202</v>
      </c>
    </row>
    <row r="687" spans="1:7" x14ac:dyDescent="0.2">
      <c r="A687">
        <v>686</v>
      </c>
      <c r="B687">
        <v>35</v>
      </c>
      <c r="C687" t="s">
        <v>685</v>
      </c>
      <c r="D687" s="13" t="s">
        <v>913</v>
      </c>
      <c r="E687" s="1">
        <v>1.49412581218142</v>
      </c>
      <c r="F687">
        <f>VLOOKUP(C687,'[1]phenotypes-895'!$A$2:$G$896,7,FALSE)</f>
        <v>92</v>
      </c>
      <c r="G687">
        <v>304</v>
      </c>
    </row>
    <row r="688" spans="1:7" x14ac:dyDescent="0.2">
      <c r="A688">
        <v>687</v>
      </c>
      <c r="B688">
        <v>44</v>
      </c>
      <c r="C688" t="s">
        <v>686</v>
      </c>
      <c r="D688" s="13" t="s">
        <v>912</v>
      </c>
      <c r="E688" s="1">
        <v>6.6995568928147504</v>
      </c>
      <c r="F688">
        <f>VLOOKUP(C688,'[1]phenotypes-895'!$A$2:$G$896,7,FALSE)</f>
        <v>62</v>
      </c>
      <c r="G688">
        <v>173</v>
      </c>
    </row>
    <row r="689" spans="1:7" x14ac:dyDescent="0.2">
      <c r="A689">
        <v>688</v>
      </c>
      <c r="B689">
        <v>33</v>
      </c>
      <c r="C689" t="s">
        <v>687</v>
      </c>
      <c r="D689" s="13" t="s">
        <v>913</v>
      </c>
      <c r="E689" s="1">
        <v>1.1733475900316801</v>
      </c>
      <c r="F689">
        <f>VLOOKUP(C689,'[1]phenotypes-895'!$A$2:$G$896,7,FALSE)</f>
        <v>74</v>
      </c>
      <c r="G689">
        <v>304</v>
      </c>
    </row>
    <row r="690" spans="1:7" x14ac:dyDescent="0.2">
      <c r="A690">
        <v>689</v>
      </c>
      <c r="B690">
        <v>50</v>
      </c>
      <c r="C690" t="s">
        <v>688</v>
      </c>
      <c r="D690" s="13" t="s">
        <v>912</v>
      </c>
      <c r="E690" s="1">
        <v>4.3860513393269303</v>
      </c>
      <c r="F690">
        <f>VLOOKUP(C690,'[1]phenotypes-895'!$A$2:$G$896,7,FALSE)</f>
        <v>59</v>
      </c>
      <c r="G690">
        <v>172</v>
      </c>
    </row>
    <row r="691" spans="1:7" x14ac:dyDescent="0.2">
      <c r="A691">
        <v>690</v>
      </c>
      <c r="B691">
        <v>37</v>
      </c>
      <c r="C691" t="s">
        <v>689</v>
      </c>
      <c r="D691" s="13" t="s">
        <v>913</v>
      </c>
      <c r="E691" s="1">
        <v>2.0166992184243102</v>
      </c>
      <c r="F691">
        <f>VLOOKUP(C691,'[1]phenotypes-895'!$A$2:$G$896,7,FALSE)</f>
        <v>98</v>
      </c>
      <c r="G691">
        <v>315</v>
      </c>
    </row>
    <row r="692" spans="1:7" x14ac:dyDescent="0.2">
      <c r="A692">
        <v>691</v>
      </c>
      <c r="B692">
        <v>48</v>
      </c>
      <c r="C692" t="s">
        <v>690</v>
      </c>
      <c r="D692" s="13" t="s">
        <v>912</v>
      </c>
      <c r="E692" s="1">
        <v>0.35052217790958901</v>
      </c>
      <c r="F692">
        <f>VLOOKUP(C692,'[1]phenotypes-895'!$A$2:$G$896,7,FALSE)</f>
        <v>48</v>
      </c>
      <c r="G692">
        <v>173</v>
      </c>
    </row>
    <row r="693" spans="1:7" x14ac:dyDescent="0.2">
      <c r="A693">
        <v>692</v>
      </c>
      <c r="B693">
        <v>37</v>
      </c>
      <c r="C693" t="s">
        <v>691</v>
      </c>
      <c r="D693" s="13" t="s">
        <v>913</v>
      </c>
      <c r="E693" s="1">
        <v>6.4448045434425598</v>
      </c>
      <c r="F693">
        <f>VLOOKUP(C693,'[1]phenotypes-895'!$A$2:$G$896,7,FALSE)</f>
        <v>98</v>
      </c>
      <c r="G693">
        <v>315</v>
      </c>
    </row>
    <row r="694" spans="1:7" x14ac:dyDescent="0.2">
      <c r="A694">
        <v>693</v>
      </c>
      <c r="B694">
        <v>47</v>
      </c>
      <c r="C694" t="s">
        <v>692</v>
      </c>
      <c r="D694" s="13" t="s">
        <v>912</v>
      </c>
      <c r="E694" s="1">
        <v>3.4203989203263401</v>
      </c>
      <c r="F694">
        <f>VLOOKUP(C694,'[1]phenotypes-895'!$A$2:$G$896,7,FALSE)</f>
        <v>78</v>
      </c>
      <c r="G694">
        <v>175</v>
      </c>
    </row>
    <row r="695" spans="1:7" x14ac:dyDescent="0.2">
      <c r="A695">
        <v>694</v>
      </c>
      <c r="B695">
        <v>30</v>
      </c>
      <c r="C695" t="s">
        <v>693</v>
      </c>
      <c r="D695" s="13" t="s">
        <v>913</v>
      </c>
      <c r="E695" s="1">
        <v>-0.81421642895813395</v>
      </c>
      <c r="F695">
        <f>VLOOKUP(C695,'[1]phenotypes-895'!$A$2:$G$896,7,FALSE)</f>
        <v>98</v>
      </c>
      <c r="G695">
        <v>317</v>
      </c>
    </row>
    <row r="696" spans="1:7" x14ac:dyDescent="0.2">
      <c r="A696">
        <v>695</v>
      </c>
      <c r="B696">
        <v>23</v>
      </c>
      <c r="C696" t="s">
        <v>694</v>
      </c>
      <c r="D696" s="13" t="s">
        <v>913</v>
      </c>
      <c r="E696" s="1">
        <v>4.8983506570177502</v>
      </c>
      <c r="F696">
        <f>VLOOKUP(C696,'[1]phenotypes-895'!$A$2:$G$896,7,FALSE)</f>
        <v>73</v>
      </c>
      <c r="G696">
        <v>304</v>
      </c>
    </row>
    <row r="697" spans="1:7" x14ac:dyDescent="0.2">
      <c r="A697">
        <v>696</v>
      </c>
      <c r="B697">
        <v>23</v>
      </c>
      <c r="C697" t="s">
        <v>695</v>
      </c>
      <c r="D697" s="13" t="s">
        <v>913</v>
      </c>
      <c r="E697" s="1">
        <v>0.277325321615426</v>
      </c>
      <c r="F697">
        <f>VLOOKUP(C697,'[1]phenotypes-895'!$A$2:$G$896,7,FALSE)</f>
        <v>98</v>
      </c>
      <c r="G697">
        <v>304</v>
      </c>
    </row>
    <row r="698" spans="1:7" x14ac:dyDescent="0.2">
      <c r="A698">
        <v>697</v>
      </c>
      <c r="B698">
        <v>39</v>
      </c>
      <c r="C698" t="s">
        <v>696</v>
      </c>
      <c r="D698" s="13" t="s">
        <v>913</v>
      </c>
      <c r="E698" s="1">
        <v>3.9832383286831301</v>
      </c>
      <c r="F698">
        <f>VLOOKUP(C698,'[1]phenotypes-895'!$A$2:$G$896,7,FALSE)</f>
        <v>98</v>
      </c>
      <c r="G698">
        <v>321</v>
      </c>
    </row>
    <row r="699" spans="1:7" x14ac:dyDescent="0.2">
      <c r="A699">
        <v>698</v>
      </c>
      <c r="B699">
        <v>27</v>
      </c>
      <c r="C699" t="s">
        <v>697</v>
      </c>
      <c r="D699" s="13" t="s">
        <v>913</v>
      </c>
      <c r="E699" s="1">
        <v>4.2626206397946298</v>
      </c>
      <c r="F699">
        <f>VLOOKUP(C699,'[1]phenotypes-895'!$A$2:$G$896,7,FALSE)</f>
        <v>98</v>
      </c>
      <c r="G699">
        <v>323</v>
      </c>
    </row>
    <row r="700" spans="1:7" x14ac:dyDescent="0.2">
      <c r="A700">
        <v>699</v>
      </c>
      <c r="B700">
        <v>25</v>
      </c>
      <c r="C700" t="s">
        <v>698</v>
      </c>
      <c r="D700" s="13" t="s">
        <v>913</v>
      </c>
      <c r="E700" s="1">
        <v>0.299209475203286</v>
      </c>
      <c r="F700">
        <f>VLOOKUP(C700,'[1]phenotypes-895'!$A$2:$G$896,7,FALSE)</f>
        <v>76</v>
      </c>
      <c r="G700">
        <v>323</v>
      </c>
    </row>
    <row r="701" spans="1:7" x14ac:dyDescent="0.2">
      <c r="A701">
        <v>700</v>
      </c>
      <c r="B701">
        <v>23</v>
      </c>
      <c r="C701" t="s">
        <v>699</v>
      </c>
      <c r="D701" s="13" t="s">
        <v>913</v>
      </c>
      <c r="E701" s="1">
        <v>5.1619705187699401</v>
      </c>
      <c r="F701">
        <f>VLOOKUP(C701,'[1]phenotypes-895'!$A$2:$G$896,7,FALSE)</f>
        <v>98</v>
      </c>
      <c r="G701">
        <v>304</v>
      </c>
    </row>
    <row r="702" spans="1:7" x14ac:dyDescent="0.2">
      <c r="A702">
        <v>701</v>
      </c>
      <c r="B702">
        <v>30</v>
      </c>
      <c r="C702" t="s">
        <v>700</v>
      </c>
      <c r="D702" s="13" t="s">
        <v>913</v>
      </c>
      <c r="E702" s="1">
        <v>3.3615890138436302</v>
      </c>
      <c r="F702">
        <f>VLOOKUP(C702,'[1]phenotypes-895'!$A$2:$G$896,7,FALSE)</f>
        <v>80</v>
      </c>
      <c r="G702">
        <v>317</v>
      </c>
    </row>
    <row r="703" spans="1:7" x14ac:dyDescent="0.2">
      <c r="A703">
        <v>702</v>
      </c>
      <c r="B703">
        <v>24</v>
      </c>
      <c r="C703" t="s">
        <v>701</v>
      </c>
      <c r="D703" s="13" t="s">
        <v>913</v>
      </c>
      <c r="E703" s="1">
        <v>2.99084648898554</v>
      </c>
      <c r="F703">
        <f>VLOOKUP(C703,'[1]phenotypes-895'!$A$2:$G$896,7,FALSE)</f>
        <v>98</v>
      </c>
      <c r="G703">
        <v>354</v>
      </c>
    </row>
    <row r="704" spans="1:7" x14ac:dyDescent="0.2">
      <c r="A704">
        <v>703</v>
      </c>
      <c r="B704">
        <v>26</v>
      </c>
      <c r="C704" t="s">
        <v>702</v>
      </c>
      <c r="D704" s="13" t="s">
        <v>913</v>
      </c>
      <c r="E704" s="1">
        <v>3.2243223866078501</v>
      </c>
      <c r="F704">
        <f>VLOOKUP(C704,'[1]phenotypes-895'!$A$2:$G$896,7,FALSE)</f>
        <v>98</v>
      </c>
      <c r="G704">
        <v>323</v>
      </c>
    </row>
    <row r="705" spans="1:7" x14ac:dyDescent="0.2">
      <c r="A705">
        <v>704</v>
      </c>
      <c r="B705">
        <v>26</v>
      </c>
      <c r="C705" t="s">
        <v>703</v>
      </c>
      <c r="D705" s="13" t="s">
        <v>913</v>
      </c>
      <c r="E705" s="1">
        <v>-4.5642801930798997</v>
      </c>
      <c r="F705">
        <f>VLOOKUP(C705,'[1]phenotypes-895'!$A$2:$G$896,7,FALSE)</f>
        <v>83</v>
      </c>
      <c r="G705">
        <v>323</v>
      </c>
    </row>
    <row r="706" spans="1:7" x14ac:dyDescent="0.2">
      <c r="A706">
        <v>705</v>
      </c>
      <c r="B706">
        <v>25</v>
      </c>
      <c r="C706" t="s">
        <v>704</v>
      </c>
      <c r="D706" s="13" t="s">
        <v>913</v>
      </c>
      <c r="E706" s="1">
        <v>2.7482247756065599</v>
      </c>
      <c r="F706">
        <f>VLOOKUP(C706,'[1]phenotypes-895'!$A$2:$G$896,7,FALSE)</f>
        <v>63</v>
      </c>
      <c r="G706">
        <v>323</v>
      </c>
    </row>
    <row r="707" spans="1:7" x14ac:dyDescent="0.2">
      <c r="A707">
        <v>706</v>
      </c>
      <c r="B707">
        <v>31</v>
      </c>
      <c r="C707" t="s">
        <v>705</v>
      </c>
      <c r="D707" s="13" t="s">
        <v>913</v>
      </c>
      <c r="E707" s="1">
        <v>1.4683584020390199</v>
      </c>
      <c r="F707">
        <f>VLOOKUP(C707,'[1]phenotypes-895'!$A$2:$G$896,7,FALSE)</f>
        <v>74</v>
      </c>
      <c r="G707">
        <v>314</v>
      </c>
    </row>
    <row r="708" spans="1:7" x14ac:dyDescent="0.2">
      <c r="A708">
        <v>707</v>
      </c>
      <c r="B708">
        <v>50</v>
      </c>
      <c r="C708" t="s">
        <v>706</v>
      </c>
      <c r="D708" s="13" t="s">
        <v>912</v>
      </c>
      <c r="E708" s="1">
        <v>7.1641591301378602</v>
      </c>
      <c r="F708">
        <f>VLOOKUP(C708,'[1]phenotypes-895'!$A$2:$G$896,7,FALSE)</f>
        <v>98</v>
      </c>
      <c r="G708">
        <v>172</v>
      </c>
    </row>
    <row r="709" spans="1:7" x14ac:dyDescent="0.2">
      <c r="A709">
        <v>708</v>
      </c>
      <c r="B709">
        <v>44</v>
      </c>
      <c r="C709" t="s">
        <v>707</v>
      </c>
      <c r="D709" s="13" t="s">
        <v>912</v>
      </c>
      <c r="E709" s="1">
        <v>4.9079350340310999</v>
      </c>
      <c r="F709">
        <f>VLOOKUP(C709,'[1]phenotypes-895'!$A$2:$G$896,7,FALSE)</f>
        <v>98</v>
      </c>
      <c r="G709">
        <v>173</v>
      </c>
    </row>
    <row r="710" spans="1:7" x14ac:dyDescent="0.2">
      <c r="A710">
        <v>709</v>
      </c>
      <c r="B710">
        <v>36</v>
      </c>
      <c r="C710" t="s">
        <v>708</v>
      </c>
      <c r="D710" s="13" t="s">
        <v>913</v>
      </c>
      <c r="E710" s="1">
        <v>6.9034256170206296</v>
      </c>
      <c r="F710">
        <f>VLOOKUP(C710,'[1]phenotypes-895'!$A$2:$G$896,7,FALSE)</f>
        <v>98</v>
      </c>
      <c r="G710">
        <v>192</v>
      </c>
    </row>
    <row r="711" spans="1:7" x14ac:dyDescent="0.2">
      <c r="A711">
        <v>710</v>
      </c>
      <c r="B711">
        <v>22</v>
      </c>
      <c r="C711" t="s">
        <v>709</v>
      </c>
      <c r="D711" s="13" t="s">
        <v>913</v>
      </c>
      <c r="E711" s="1">
        <v>-0.29096501128241298</v>
      </c>
      <c r="F711">
        <f>VLOOKUP(C711,'[1]phenotypes-895'!$A$2:$G$896,7,FALSE)</f>
        <v>56</v>
      </c>
      <c r="G711">
        <v>173</v>
      </c>
    </row>
    <row r="712" spans="1:7" x14ac:dyDescent="0.2">
      <c r="A712">
        <v>711</v>
      </c>
      <c r="B712">
        <v>26</v>
      </c>
      <c r="C712" t="s">
        <v>710</v>
      </c>
      <c r="D712" s="13" t="s">
        <v>913</v>
      </c>
      <c r="E712" s="1">
        <v>5.3234347678605296</v>
      </c>
      <c r="F712">
        <f>VLOOKUP(C712,'[1]phenotypes-895'!$A$2:$G$896,7,FALSE)</f>
        <v>98</v>
      </c>
      <c r="G712">
        <v>208</v>
      </c>
    </row>
    <row r="713" spans="1:7" x14ac:dyDescent="0.2">
      <c r="A713">
        <v>712</v>
      </c>
      <c r="B713">
        <v>50</v>
      </c>
      <c r="C713" t="s">
        <v>711</v>
      </c>
      <c r="D713" s="13" t="s">
        <v>912</v>
      </c>
      <c r="E713" s="1">
        <v>6.2473285402154</v>
      </c>
      <c r="F713">
        <f>VLOOKUP(C713,'[1]phenotypes-895'!$A$2:$G$896,7,FALSE)</f>
        <v>98</v>
      </c>
      <c r="G713">
        <v>172</v>
      </c>
    </row>
    <row r="714" spans="1:7" x14ac:dyDescent="0.2">
      <c r="A714">
        <v>713</v>
      </c>
      <c r="B714">
        <v>35</v>
      </c>
      <c r="C714" t="s">
        <v>712</v>
      </c>
      <c r="D714" s="13" t="s">
        <v>913</v>
      </c>
      <c r="E714" s="1">
        <v>3.3313943126108598</v>
      </c>
      <c r="F714">
        <f>VLOOKUP(C714,'[1]phenotypes-895'!$A$2:$G$896,7,FALSE)</f>
        <v>98</v>
      </c>
      <c r="G714">
        <v>189</v>
      </c>
    </row>
    <row r="715" spans="1:7" x14ac:dyDescent="0.2">
      <c r="A715">
        <v>714</v>
      </c>
      <c r="B715">
        <v>50</v>
      </c>
      <c r="C715" t="s">
        <v>713</v>
      </c>
      <c r="D715" s="13" t="s">
        <v>912</v>
      </c>
      <c r="E715" s="1">
        <v>-0.564029955592115</v>
      </c>
      <c r="F715">
        <f>VLOOKUP(C715,'[1]phenotypes-895'!$A$2:$G$896,7,FALSE)</f>
        <v>59</v>
      </c>
      <c r="G715">
        <v>172</v>
      </c>
    </row>
    <row r="716" spans="1:7" x14ac:dyDescent="0.2">
      <c r="A716">
        <v>715</v>
      </c>
      <c r="B716">
        <v>31</v>
      </c>
      <c r="C716" t="s">
        <v>714</v>
      </c>
      <c r="D716" s="13" t="s">
        <v>913</v>
      </c>
      <c r="E716" s="1">
        <v>1.61555220230829</v>
      </c>
      <c r="F716">
        <f>VLOOKUP(C716,'[1]phenotypes-895'!$A$2:$G$896,7,FALSE)</f>
        <v>98</v>
      </c>
      <c r="G716">
        <v>199</v>
      </c>
    </row>
    <row r="717" spans="1:7" x14ac:dyDescent="0.2">
      <c r="A717">
        <v>716</v>
      </c>
      <c r="B717">
        <v>50</v>
      </c>
      <c r="C717" t="s">
        <v>715</v>
      </c>
      <c r="D717" s="13" t="s">
        <v>912</v>
      </c>
      <c r="E717" s="1">
        <v>6.8725379514086899</v>
      </c>
      <c r="F717">
        <f>VLOOKUP(C717,'[1]phenotypes-895'!$A$2:$G$896,7,FALSE)</f>
        <v>98</v>
      </c>
      <c r="G717">
        <v>172</v>
      </c>
    </row>
    <row r="718" spans="1:7" x14ac:dyDescent="0.2">
      <c r="A718">
        <v>717</v>
      </c>
      <c r="B718">
        <v>49</v>
      </c>
      <c r="C718" t="s">
        <v>716</v>
      </c>
      <c r="D718" s="13" t="s">
        <v>912</v>
      </c>
      <c r="E718" s="1">
        <v>3.39873620816679</v>
      </c>
      <c r="F718">
        <f>VLOOKUP(C718,'[1]phenotypes-895'!$A$2:$G$896,7,FALSE)</f>
        <v>63</v>
      </c>
      <c r="G718">
        <v>175</v>
      </c>
    </row>
    <row r="719" spans="1:7" x14ac:dyDescent="0.2">
      <c r="A719">
        <v>718</v>
      </c>
      <c r="B719">
        <v>50</v>
      </c>
      <c r="C719" t="s">
        <v>717</v>
      </c>
      <c r="D719" s="13" t="s">
        <v>912</v>
      </c>
      <c r="E719" s="1">
        <v>2.32875144677763</v>
      </c>
      <c r="F719">
        <f>VLOOKUP(C719,'[1]phenotypes-895'!$A$2:$G$896,7,FALSE)</f>
        <v>59</v>
      </c>
      <c r="G719">
        <v>172</v>
      </c>
    </row>
    <row r="720" spans="1:7" x14ac:dyDescent="0.2">
      <c r="A720">
        <v>719</v>
      </c>
      <c r="B720">
        <v>50</v>
      </c>
      <c r="C720" t="s">
        <v>718</v>
      </c>
      <c r="D720" s="13" t="s">
        <v>912</v>
      </c>
      <c r="E720" s="1">
        <v>3.29041282769583</v>
      </c>
      <c r="F720">
        <f>VLOOKUP(C720,'[1]phenotypes-895'!$A$2:$G$896,7,FALSE)</f>
        <v>65</v>
      </c>
      <c r="G720">
        <v>172</v>
      </c>
    </row>
    <row r="721" spans="1:7" x14ac:dyDescent="0.2">
      <c r="A721">
        <v>720</v>
      </c>
      <c r="B721">
        <v>39</v>
      </c>
      <c r="C721" t="s">
        <v>719</v>
      </c>
      <c r="D721" s="13" t="s">
        <v>913</v>
      </c>
      <c r="E721" s="1">
        <v>0.631928469442119</v>
      </c>
      <c r="F721">
        <f>VLOOKUP(C721,'[1]phenotypes-895'!$A$2:$G$896,7,FALSE)</f>
        <v>51</v>
      </c>
      <c r="G721">
        <v>206</v>
      </c>
    </row>
    <row r="722" spans="1:7" x14ac:dyDescent="0.2">
      <c r="A722">
        <v>721</v>
      </c>
      <c r="B722">
        <v>46</v>
      </c>
      <c r="C722" t="s">
        <v>720</v>
      </c>
      <c r="D722" s="13" t="s">
        <v>912</v>
      </c>
      <c r="E722" s="1">
        <v>1.6957803468536901</v>
      </c>
      <c r="F722">
        <f>VLOOKUP(C722,'[1]phenotypes-895'!$A$2:$G$896,7,FALSE)</f>
        <v>74</v>
      </c>
      <c r="G722">
        <v>160</v>
      </c>
    </row>
    <row r="723" spans="1:7" x14ac:dyDescent="0.2">
      <c r="A723">
        <v>722</v>
      </c>
      <c r="B723">
        <v>35</v>
      </c>
      <c r="C723" t="s">
        <v>721</v>
      </c>
      <c r="D723" s="13" t="s">
        <v>913</v>
      </c>
      <c r="E723" s="1">
        <v>1.32038516251083</v>
      </c>
      <c r="F723">
        <f>VLOOKUP(C723,'[1]phenotypes-895'!$A$2:$G$896,7,FALSE)</f>
        <v>77</v>
      </c>
      <c r="G723">
        <v>189</v>
      </c>
    </row>
    <row r="724" spans="1:7" x14ac:dyDescent="0.2">
      <c r="A724">
        <v>723</v>
      </c>
      <c r="B724">
        <v>53</v>
      </c>
      <c r="C724" t="s">
        <v>722</v>
      </c>
      <c r="D724" s="13" t="s">
        <v>912</v>
      </c>
      <c r="E724" s="1">
        <v>5.4975027689279603</v>
      </c>
      <c r="F724">
        <f>VLOOKUP(C724,'[1]phenotypes-895'!$A$2:$G$896,7,FALSE)</f>
        <v>98</v>
      </c>
      <c r="G724">
        <v>161</v>
      </c>
    </row>
    <row r="725" spans="1:7" x14ac:dyDescent="0.2">
      <c r="A725">
        <v>724</v>
      </c>
      <c r="B725">
        <v>50</v>
      </c>
      <c r="C725" t="s">
        <v>723</v>
      </c>
      <c r="D725" s="13" t="s">
        <v>912</v>
      </c>
      <c r="E725" s="1">
        <v>-2.57547298610866</v>
      </c>
      <c r="F725">
        <f>VLOOKUP(C725,'[1]phenotypes-895'!$A$2:$G$896,7,FALSE)</f>
        <v>63</v>
      </c>
      <c r="G725">
        <v>172</v>
      </c>
    </row>
    <row r="726" spans="1:7" x14ac:dyDescent="0.2">
      <c r="A726">
        <v>725</v>
      </c>
      <c r="B726">
        <v>50</v>
      </c>
      <c r="C726" t="s">
        <v>724</v>
      </c>
      <c r="D726" s="13" t="s">
        <v>912</v>
      </c>
      <c r="E726" s="1">
        <v>2.8483492484160999</v>
      </c>
      <c r="F726">
        <f>VLOOKUP(C726,'[1]phenotypes-895'!$A$2:$G$896,7,FALSE)</f>
        <v>80</v>
      </c>
      <c r="G726">
        <v>172</v>
      </c>
    </row>
    <row r="727" spans="1:7" x14ac:dyDescent="0.2">
      <c r="A727">
        <v>726</v>
      </c>
      <c r="B727">
        <v>26</v>
      </c>
      <c r="C727" t="s">
        <v>725</v>
      </c>
      <c r="D727" s="13" t="s">
        <v>913</v>
      </c>
      <c r="E727" s="1">
        <v>6.6151261254476097</v>
      </c>
      <c r="F727">
        <f>VLOOKUP(C727,'[1]phenotypes-895'!$A$2:$G$896,7,FALSE)</f>
        <v>98</v>
      </c>
      <c r="G727">
        <v>208</v>
      </c>
    </row>
    <row r="728" spans="1:7" x14ac:dyDescent="0.2">
      <c r="A728">
        <v>727</v>
      </c>
      <c r="B728">
        <v>37</v>
      </c>
      <c r="C728" t="s">
        <v>726</v>
      </c>
      <c r="D728" s="13" t="s">
        <v>913</v>
      </c>
      <c r="E728" s="1">
        <v>5.3770987623908004</v>
      </c>
      <c r="F728">
        <f>VLOOKUP(C728,'[1]phenotypes-895'!$A$2:$G$896,7,FALSE)</f>
        <v>92</v>
      </c>
      <c r="G728">
        <v>200</v>
      </c>
    </row>
    <row r="729" spans="1:7" x14ac:dyDescent="0.2">
      <c r="A729">
        <v>728</v>
      </c>
      <c r="B729">
        <v>23</v>
      </c>
      <c r="C729" t="s">
        <v>727</v>
      </c>
      <c r="D729" s="13" t="s">
        <v>913</v>
      </c>
      <c r="E729" s="1">
        <v>2.2855045400353302</v>
      </c>
      <c r="F729">
        <f>VLOOKUP(C729,'[1]phenotypes-895'!$A$2:$G$896,7,FALSE)</f>
        <v>91</v>
      </c>
      <c r="G729">
        <v>189</v>
      </c>
    </row>
    <row r="730" spans="1:7" x14ac:dyDescent="0.2">
      <c r="A730">
        <v>729</v>
      </c>
      <c r="B730">
        <v>21</v>
      </c>
      <c r="C730" t="s">
        <v>728</v>
      </c>
      <c r="D730" s="13" t="s">
        <v>913</v>
      </c>
      <c r="E730" s="1">
        <v>1.1123676111054199</v>
      </c>
      <c r="F730">
        <f>VLOOKUP(C730,'[1]phenotypes-895'!$A$2:$G$896,7,FALSE)</f>
        <v>95</v>
      </c>
      <c r="G730">
        <v>218</v>
      </c>
    </row>
    <row r="731" spans="1:7" x14ac:dyDescent="0.2">
      <c r="A731">
        <v>730</v>
      </c>
      <c r="B731">
        <v>25</v>
      </c>
      <c r="C731" t="s">
        <v>729</v>
      </c>
      <c r="D731" s="13" t="s">
        <v>913</v>
      </c>
      <c r="E731" s="1">
        <v>2.6886187992112398</v>
      </c>
      <c r="F731">
        <f>VLOOKUP(C731,'[1]phenotypes-895'!$A$2:$G$896,7,FALSE)</f>
        <v>77</v>
      </c>
      <c r="G731">
        <v>208</v>
      </c>
    </row>
    <row r="732" spans="1:7" x14ac:dyDescent="0.2">
      <c r="A732">
        <v>731</v>
      </c>
      <c r="B732">
        <v>46</v>
      </c>
      <c r="C732" t="s">
        <v>730</v>
      </c>
      <c r="D732" s="13" t="s">
        <v>912</v>
      </c>
      <c r="E732" s="1">
        <v>1.2066237357657901</v>
      </c>
      <c r="F732">
        <f>VLOOKUP(C732,'[1]phenotypes-895'!$A$2:$G$896,7,FALSE)</f>
        <v>51</v>
      </c>
      <c r="G732">
        <v>160</v>
      </c>
    </row>
    <row r="733" spans="1:7" x14ac:dyDescent="0.2">
      <c r="A733">
        <v>732</v>
      </c>
      <c r="B733">
        <v>30</v>
      </c>
      <c r="C733" t="s">
        <v>731</v>
      </c>
      <c r="D733" s="13" t="s">
        <v>913</v>
      </c>
      <c r="E733" s="1">
        <v>2.1263926066963701</v>
      </c>
      <c r="F733">
        <f>VLOOKUP(C733,'[1]phenotypes-895'!$A$2:$G$896,7,FALSE)</f>
        <v>85</v>
      </c>
      <c r="G733">
        <v>317</v>
      </c>
    </row>
    <row r="734" spans="1:7" x14ac:dyDescent="0.2">
      <c r="A734">
        <v>733</v>
      </c>
      <c r="B734">
        <v>39</v>
      </c>
      <c r="C734" t="s">
        <v>732</v>
      </c>
      <c r="D734" s="13" t="s">
        <v>913</v>
      </c>
      <c r="E734" s="1">
        <v>5.7366738786606302</v>
      </c>
      <c r="F734">
        <f>VLOOKUP(C734,'[1]phenotypes-895'!$A$2:$G$896,7,FALSE)</f>
        <v>98</v>
      </c>
      <c r="G734">
        <v>206</v>
      </c>
    </row>
    <row r="735" spans="1:7" x14ac:dyDescent="0.2">
      <c r="A735">
        <v>734</v>
      </c>
      <c r="B735">
        <v>24</v>
      </c>
      <c r="C735" t="s">
        <v>733</v>
      </c>
      <c r="D735" s="13" t="s">
        <v>913</v>
      </c>
      <c r="E735" s="1">
        <v>2.06719566212981</v>
      </c>
      <c r="F735">
        <f>VLOOKUP(C735,'[1]phenotypes-895'!$A$2:$G$896,7,FALSE)</f>
        <v>98</v>
      </c>
      <c r="G735">
        <v>354</v>
      </c>
    </row>
    <row r="736" spans="1:7" x14ac:dyDescent="0.2">
      <c r="A736">
        <v>735</v>
      </c>
      <c r="B736">
        <v>32</v>
      </c>
      <c r="C736" t="s">
        <v>734</v>
      </c>
      <c r="D736" s="13" t="s">
        <v>913</v>
      </c>
      <c r="E736" s="1">
        <v>-2.0617894892333801</v>
      </c>
      <c r="F736">
        <f>VLOOKUP(C736,'[1]phenotypes-895'!$A$2:$G$896,7,FALSE)</f>
        <v>64</v>
      </c>
      <c r="G736">
        <v>199</v>
      </c>
    </row>
    <row r="737" spans="1:7" x14ac:dyDescent="0.2">
      <c r="A737">
        <v>736</v>
      </c>
      <c r="B737">
        <v>29</v>
      </c>
      <c r="C737" t="s">
        <v>735</v>
      </c>
      <c r="D737" s="13" t="s">
        <v>913</v>
      </c>
      <c r="E737" s="1">
        <v>5.8576964331179404</v>
      </c>
      <c r="F737">
        <f>VLOOKUP(C737,'[1]phenotypes-895'!$A$2:$G$896,7,FALSE)</f>
        <v>98</v>
      </c>
      <c r="G737">
        <v>317</v>
      </c>
    </row>
    <row r="738" spans="1:7" x14ac:dyDescent="0.2">
      <c r="A738">
        <v>737</v>
      </c>
      <c r="B738">
        <v>52</v>
      </c>
      <c r="C738" t="s">
        <v>736</v>
      </c>
      <c r="D738" s="13" t="s">
        <v>912</v>
      </c>
      <c r="E738" s="1">
        <v>-1.63925780867198</v>
      </c>
      <c r="F738">
        <f>VLOOKUP(C738,'[1]phenotypes-895'!$A$2:$G$896,7,FALSE)</f>
        <v>52</v>
      </c>
      <c r="G738">
        <v>164</v>
      </c>
    </row>
    <row r="739" spans="1:7" x14ac:dyDescent="0.2">
      <c r="A739">
        <v>738</v>
      </c>
      <c r="B739">
        <v>22</v>
      </c>
      <c r="C739" t="s">
        <v>737</v>
      </c>
      <c r="D739" s="13" t="s">
        <v>913</v>
      </c>
      <c r="E739" s="1">
        <v>-0.73576542020938396</v>
      </c>
      <c r="F739">
        <f>VLOOKUP(C739,'[1]phenotypes-895'!$A$2:$G$896,7,FALSE)</f>
        <v>57</v>
      </c>
      <c r="G739">
        <v>288</v>
      </c>
    </row>
    <row r="740" spans="1:7" x14ac:dyDescent="0.2">
      <c r="A740">
        <v>739</v>
      </c>
      <c r="B740">
        <v>49</v>
      </c>
      <c r="C740" t="s">
        <v>738</v>
      </c>
      <c r="D740" s="13" t="s">
        <v>912</v>
      </c>
      <c r="E740" s="1">
        <v>-0.76237941981641</v>
      </c>
      <c r="F740">
        <f>VLOOKUP(C740,'[1]phenotypes-895'!$A$2:$G$896,7,FALSE)</f>
        <v>62</v>
      </c>
      <c r="G740">
        <v>175</v>
      </c>
    </row>
    <row r="741" spans="1:7" x14ac:dyDescent="0.2">
      <c r="A741">
        <v>740</v>
      </c>
      <c r="B741">
        <v>38</v>
      </c>
      <c r="C741" t="s">
        <v>739</v>
      </c>
      <c r="D741" s="13" t="s">
        <v>913</v>
      </c>
      <c r="E741" s="1">
        <v>1.15971560580254</v>
      </c>
      <c r="F741">
        <f>VLOOKUP(C741,'[1]phenotypes-895'!$A$2:$G$896,7,FALSE)</f>
        <v>98</v>
      </c>
      <c r="G741">
        <v>315</v>
      </c>
    </row>
    <row r="742" spans="1:7" x14ac:dyDescent="0.2">
      <c r="A742">
        <v>741</v>
      </c>
      <c r="B742">
        <v>33</v>
      </c>
      <c r="C742" t="s">
        <v>740</v>
      </c>
      <c r="D742" s="13" t="s">
        <v>913</v>
      </c>
      <c r="E742" s="1">
        <v>3.4570717660713099</v>
      </c>
      <c r="F742">
        <f>VLOOKUP(C742,'[1]phenotypes-895'!$A$2:$G$896,7,FALSE)</f>
        <v>98</v>
      </c>
      <c r="G742">
        <v>304</v>
      </c>
    </row>
    <row r="743" spans="1:7" x14ac:dyDescent="0.2">
      <c r="A743">
        <v>742</v>
      </c>
      <c r="B743">
        <v>35</v>
      </c>
      <c r="C743" t="s">
        <v>741</v>
      </c>
      <c r="D743" s="13" t="s">
        <v>913</v>
      </c>
      <c r="E743" s="1">
        <v>2.9441562088477902</v>
      </c>
      <c r="F743">
        <f>VLOOKUP(C743,'[1]phenotypes-895'!$A$2:$G$896,7,FALSE)</f>
        <v>98</v>
      </c>
      <c r="G743">
        <v>304</v>
      </c>
    </row>
    <row r="744" spans="1:7" x14ac:dyDescent="0.2">
      <c r="A744">
        <v>743</v>
      </c>
      <c r="B744">
        <v>25</v>
      </c>
      <c r="C744" t="s">
        <v>742</v>
      </c>
      <c r="D744" s="13" t="s">
        <v>913</v>
      </c>
      <c r="E744" s="1">
        <v>3.1435543748935699</v>
      </c>
      <c r="F744">
        <f>VLOOKUP(C744,'[1]phenotypes-895'!$A$2:$G$896,7,FALSE)</f>
        <v>98</v>
      </c>
      <c r="G744">
        <v>323</v>
      </c>
    </row>
    <row r="745" spans="1:7" x14ac:dyDescent="0.2">
      <c r="A745">
        <v>744</v>
      </c>
      <c r="B745">
        <v>24</v>
      </c>
      <c r="C745" t="s">
        <v>743</v>
      </c>
      <c r="D745" s="13" t="s">
        <v>913</v>
      </c>
      <c r="E745" s="1">
        <v>-4.0218585575396197</v>
      </c>
      <c r="F745">
        <f>VLOOKUP(C745,'[1]phenotypes-895'!$A$2:$G$896,7,FALSE)</f>
        <v>69</v>
      </c>
      <c r="G745">
        <v>354</v>
      </c>
    </row>
    <row r="746" spans="1:7" x14ac:dyDescent="0.2">
      <c r="A746">
        <v>745</v>
      </c>
      <c r="B746">
        <v>23</v>
      </c>
      <c r="C746" t="s">
        <v>744</v>
      </c>
      <c r="D746" s="13" t="s">
        <v>913</v>
      </c>
      <c r="E746" s="1">
        <v>4.4558632696179696</v>
      </c>
      <c r="F746">
        <f>VLOOKUP(C746,'[1]phenotypes-895'!$A$2:$G$896,7,FALSE)</f>
        <v>98</v>
      </c>
      <c r="G746">
        <v>304</v>
      </c>
    </row>
    <row r="747" spans="1:7" x14ac:dyDescent="0.2">
      <c r="A747">
        <v>746</v>
      </c>
      <c r="B747">
        <v>21</v>
      </c>
      <c r="C747" t="s">
        <v>745</v>
      </c>
      <c r="D747" s="13" t="s">
        <v>913</v>
      </c>
      <c r="E747" s="1">
        <v>3.4318311797327699</v>
      </c>
      <c r="F747">
        <f>VLOOKUP(C747,'[1]phenotypes-895'!$A$2:$G$896,7,FALSE)</f>
        <v>98</v>
      </c>
      <c r="G747">
        <v>333</v>
      </c>
    </row>
    <row r="748" spans="1:7" x14ac:dyDescent="0.2">
      <c r="A748">
        <v>747</v>
      </c>
      <c r="B748">
        <v>22</v>
      </c>
      <c r="C748" t="s">
        <v>746</v>
      </c>
      <c r="D748" s="13" t="s">
        <v>913</v>
      </c>
      <c r="E748" s="1">
        <v>4.1988628347237897</v>
      </c>
      <c r="F748">
        <f>VLOOKUP(C748,'[1]phenotypes-895'!$A$2:$G$896,7,FALSE)</f>
        <v>98</v>
      </c>
      <c r="G748">
        <v>288</v>
      </c>
    </row>
    <row r="749" spans="1:7" x14ac:dyDescent="0.2">
      <c r="A749">
        <v>748</v>
      </c>
      <c r="B749">
        <v>33</v>
      </c>
      <c r="C749" t="s">
        <v>747</v>
      </c>
      <c r="D749" s="13" t="s">
        <v>913</v>
      </c>
      <c r="E749" s="1">
        <v>8.7314327750031602</v>
      </c>
      <c r="F749">
        <f>VLOOKUP(C749,'[1]phenotypes-895'!$A$2:$G$896,7,FALSE)</f>
        <v>98</v>
      </c>
      <c r="G749">
        <v>304</v>
      </c>
    </row>
    <row r="750" spans="1:7" x14ac:dyDescent="0.2">
      <c r="A750">
        <v>749</v>
      </c>
      <c r="B750">
        <v>30</v>
      </c>
      <c r="C750" t="s">
        <v>748</v>
      </c>
      <c r="D750" s="13" t="s">
        <v>913</v>
      </c>
      <c r="E750" s="1">
        <v>2.7169513602011599</v>
      </c>
      <c r="F750">
        <f>VLOOKUP(C750,'[1]phenotypes-895'!$A$2:$G$896,7,FALSE)</f>
        <v>98</v>
      </c>
      <c r="G750">
        <v>317</v>
      </c>
    </row>
    <row r="751" spans="1:7" x14ac:dyDescent="0.2">
      <c r="A751">
        <v>750</v>
      </c>
      <c r="B751">
        <v>22</v>
      </c>
      <c r="C751" t="s">
        <v>749</v>
      </c>
      <c r="D751" s="13" t="s">
        <v>913</v>
      </c>
      <c r="E751" s="1">
        <v>5.4311498644157599</v>
      </c>
      <c r="F751">
        <f>VLOOKUP(C751,'[1]phenotypes-895'!$A$2:$G$896,7,FALSE)</f>
        <v>98</v>
      </c>
      <c r="G751">
        <v>288</v>
      </c>
    </row>
    <row r="752" spans="1:7" x14ac:dyDescent="0.2">
      <c r="A752">
        <v>751</v>
      </c>
      <c r="B752">
        <v>25</v>
      </c>
      <c r="C752" t="s">
        <v>750</v>
      </c>
      <c r="D752" s="13" t="s">
        <v>913</v>
      </c>
      <c r="E752" s="1">
        <v>0.18359954810781001</v>
      </c>
      <c r="F752">
        <f>VLOOKUP(C752,'[1]phenotypes-895'!$A$2:$G$896,7,FALSE)</f>
        <v>98</v>
      </c>
      <c r="G752">
        <v>323</v>
      </c>
    </row>
    <row r="753" spans="1:7" x14ac:dyDescent="0.2">
      <c r="A753">
        <v>752</v>
      </c>
      <c r="B753">
        <v>32</v>
      </c>
      <c r="C753" t="s">
        <v>751</v>
      </c>
      <c r="D753" s="13" t="s">
        <v>913</v>
      </c>
      <c r="E753" s="1">
        <v>0.94554839333212004</v>
      </c>
      <c r="F753">
        <f>VLOOKUP(C753,'[1]phenotypes-895'!$A$2:$G$896,7,FALSE)</f>
        <v>63</v>
      </c>
      <c r="G753">
        <v>314</v>
      </c>
    </row>
    <row r="754" spans="1:7" x14ac:dyDescent="0.2">
      <c r="A754">
        <v>753</v>
      </c>
      <c r="B754">
        <v>30</v>
      </c>
      <c r="C754" t="s">
        <v>752</v>
      </c>
      <c r="D754" s="13" t="s">
        <v>913</v>
      </c>
      <c r="E754" s="1">
        <v>1.89121480791519</v>
      </c>
      <c r="F754">
        <f>VLOOKUP(C754,'[1]phenotypes-895'!$A$2:$G$896,7,FALSE)</f>
        <v>70</v>
      </c>
      <c r="G754">
        <v>317</v>
      </c>
    </row>
    <row r="755" spans="1:7" x14ac:dyDescent="0.2">
      <c r="A755">
        <v>754</v>
      </c>
      <c r="B755">
        <v>29</v>
      </c>
      <c r="C755" t="s">
        <v>753</v>
      </c>
      <c r="D755" s="13" t="s">
        <v>913</v>
      </c>
      <c r="E755" s="1">
        <v>7.7766094230607701</v>
      </c>
      <c r="F755">
        <f>VLOOKUP(C755,'[1]phenotypes-895'!$A$2:$G$896,7,FALSE)</f>
        <v>98</v>
      </c>
      <c r="G755">
        <v>317</v>
      </c>
    </row>
    <row r="756" spans="1:7" x14ac:dyDescent="0.2">
      <c r="A756">
        <v>755</v>
      </c>
      <c r="B756">
        <v>50</v>
      </c>
      <c r="C756" t="s">
        <v>754</v>
      </c>
      <c r="D756" s="13" t="s">
        <v>912</v>
      </c>
      <c r="E756" s="1">
        <v>2.8257950516652999</v>
      </c>
      <c r="F756">
        <f>VLOOKUP(C756,'[1]phenotypes-895'!$A$2:$G$896,7,FALSE)</f>
        <v>98</v>
      </c>
      <c r="G756">
        <v>172</v>
      </c>
    </row>
    <row r="757" spans="1:7" x14ac:dyDescent="0.2">
      <c r="A757">
        <v>756</v>
      </c>
      <c r="B757">
        <v>37</v>
      </c>
      <c r="C757" t="s">
        <v>755</v>
      </c>
      <c r="D757" s="13" t="s">
        <v>913</v>
      </c>
      <c r="E757" s="1">
        <v>5.17559089143045</v>
      </c>
      <c r="F757">
        <f>VLOOKUP(C757,'[1]phenotypes-895'!$A$2:$G$896,7,FALSE)</f>
        <v>98</v>
      </c>
      <c r="G757">
        <v>200</v>
      </c>
    </row>
    <row r="758" spans="1:7" x14ac:dyDescent="0.2">
      <c r="A758">
        <v>757</v>
      </c>
      <c r="B758">
        <v>35</v>
      </c>
      <c r="C758" t="s">
        <v>756</v>
      </c>
      <c r="D758" s="13" t="s">
        <v>913</v>
      </c>
      <c r="E758" s="1">
        <v>5.9459116229045001</v>
      </c>
      <c r="F758">
        <f>VLOOKUP(C758,'[1]phenotypes-895'!$A$2:$G$896,7,FALSE)</f>
        <v>98</v>
      </c>
      <c r="G758">
        <v>189</v>
      </c>
    </row>
    <row r="759" spans="1:7" x14ac:dyDescent="0.2">
      <c r="A759">
        <v>758</v>
      </c>
      <c r="B759">
        <v>51</v>
      </c>
      <c r="C759" t="s">
        <v>757</v>
      </c>
      <c r="D759" s="13" t="s">
        <v>912</v>
      </c>
      <c r="E759" s="1">
        <v>7.2653241393763901</v>
      </c>
      <c r="F759">
        <f>VLOOKUP(C759,'[1]phenotypes-895'!$A$2:$G$896,7,FALSE)</f>
        <v>98</v>
      </c>
      <c r="G759">
        <v>159</v>
      </c>
    </row>
    <row r="760" spans="1:7" x14ac:dyDescent="0.2">
      <c r="A760">
        <v>759</v>
      </c>
      <c r="B760">
        <v>24</v>
      </c>
      <c r="C760" t="s">
        <v>758</v>
      </c>
      <c r="D760" s="13" t="s">
        <v>913</v>
      </c>
      <c r="E760" s="1">
        <v>-4.8853107608525601</v>
      </c>
      <c r="F760">
        <f>VLOOKUP(C760,'[1]phenotypes-895'!$A$2:$G$896,7,FALSE)</f>
        <v>98</v>
      </c>
      <c r="G760">
        <v>239</v>
      </c>
    </row>
    <row r="761" spans="1:7" x14ac:dyDescent="0.2">
      <c r="A761">
        <v>760</v>
      </c>
      <c r="B761">
        <v>22</v>
      </c>
      <c r="C761" t="s">
        <v>759</v>
      </c>
      <c r="D761" s="13" t="s">
        <v>913</v>
      </c>
      <c r="E761" s="1">
        <v>-1.21807843487584</v>
      </c>
      <c r="F761">
        <f>VLOOKUP(C761,'[1]phenotypes-895'!$A$2:$G$896,7,FALSE)</f>
        <v>67</v>
      </c>
      <c r="G761">
        <v>173</v>
      </c>
    </row>
    <row r="762" spans="1:7" x14ac:dyDescent="0.2">
      <c r="A762">
        <v>761</v>
      </c>
      <c r="B762">
        <v>30</v>
      </c>
      <c r="C762" t="s">
        <v>760</v>
      </c>
      <c r="D762" s="13" t="s">
        <v>913</v>
      </c>
      <c r="E762" s="1">
        <v>-3.2497669542812901</v>
      </c>
      <c r="F762">
        <f>VLOOKUP(C762,'[1]phenotypes-895'!$A$2:$G$896,7,FALSE)</f>
        <v>98</v>
      </c>
      <c r="G762">
        <v>202</v>
      </c>
    </row>
    <row r="763" spans="1:7" x14ac:dyDescent="0.2">
      <c r="A763">
        <v>762</v>
      </c>
      <c r="B763">
        <v>44</v>
      </c>
      <c r="C763" t="s">
        <v>761</v>
      </c>
      <c r="D763" s="13" t="s">
        <v>912</v>
      </c>
      <c r="E763" s="1">
        <v>3.4625274586285602</v>
      </c>
      <c r="F763">
        <f>VLOOKUP(C763,'[1]phenotypes-895'!$A$2:$G$896,7,FALSE)</f>
        <v>68</v>
      </c>
      <c r="G763">
        <v>173</v>
      </c>
    </row>
    <row r="764" spans="1:7" x14ac:dyDescent="0.2">
      <c r="A764">
        <v>763</v>
      </c>
      <c r="B764">
        <v>49</v>
      </c>
      <c r="C764" t="s">
        <v>762</v>
      </c>
      <c r="D764" s="13" t="s">
        <v>912</v>
      </c>
      <c r="E764" s="1">
        <v>3.7889246400130898</v>
      </c>
      <c r="F764">
        <f>VLOOKUP(C764,'[1]phenotypes-895'!$A$2:$G$896,7,FALSE)</f>
        <v>71</v>
      </c>
      <c r="G764">
        <v>175</v>
      </c>
    </row>
    <row r="765" spans="1:7" x14ac:dyDescent="0.2">
      <c r="A765">
        <v>764</v>
      </c>
      <c r="B765">
        <v>40</v>
      </c>
      <c r="C765" t="s">
        <v>763</v>
      </c>
      <c r="D765" s="13" t="s">
        <v>913</v>
      </c>
      <c r="E765" s="1">
        <v>-3.4445410161897798</v>
      </c>
      <c r="F765">
        <f>VLOOKUP(C765,'[1]phenotypes-895'!$A$2:$G$896,7,FALSE)</f>
        <v>64</v>
      </c>
      <c r="G765">
        <v>202</v>
      </c>
    </row>
    <row r="766" spans="1:7" x14ac:dyDescent="0.2">
      <c r="A766">
        <v>765</v>
      </c>
      <c r="B766">
        <v>26</v>
      </c>
      <c r="C766" t="s">
        <v>764</v>
      </c>
      <c r="D766" s="13" t="s">
        <v>913</v>
      </c>
      <c r="E766" s="1">
        <v>3.5517481958058599</v>
      </c>
      <c r="F766">
        <f>VLOOKUP(C766,'[1]phenotypes-895'!$A$2:$G$896,7,FALSE)</f>
        <v>71</v>
      </c>
      <c r="G766">
        <v>208</v>
      </c>
    </row>
    <row r="767" spans="1:7" x14ac:dyDescent="0.2">
      <c r="A767">
        <v>766</v>
      </c>
      <c r="B767">
        <v>42</v>
      </c>
      <c r="C767" t="s">
        <v>765</v>
      </c>
      <c r="D767" s="13" t="s">
        <v>912</v>
      </c>
      <c r="E767" s="1">
        <v>2.9954609101480401</v>
      </c>
      <c r="F767">
        <f>VLOOKUP(C767,'[1]phenotypes-895'!$A$2:$G$896,7,FALSE)</f>
        <v>98</v>
      </c>
      <c r="G767">
        <v>185</v>
      </c>
    </row>
    <row r="768" spans="1:7" x14ac:dyDescent="0.2">
      <c r="A768">
        <v>767</v>
      </c>
      <c r="B768">
        <v>33</v>
      </c>
      <c r="C768" t="s">
        <v>766</v>
      </c>
      <c r="D768" s="13" t="s">
        <v>913</v>
      </c>
      <c r="E768" s="1">
        <v>-3.6183524717213502</v>
      </c>
      <c r="F768">
        <f>VLOOKUP(C768,'[1]phenotypes-895'!$A$2:$G$896,7,FALSE)</f>
        <v>51</v>
      </c>
      <c r="G768">
        <v>189</v>
      </c>
    </row>
    <row r="769" spans="1:7" x14ac:dyDescent="0.2">
      <c r="A769">
        <v>768</v>
      </c>
      <c r="B769">
        <v>50</v>
      </c>
      <c r="C769" t="s">
        <v>767</v>
      </c>
      <c r="D769" s="13" t="s">
        <v>912</v>
      </c>
      <c r="E769" s="1">
        <v>-0.74155926305342501</v>
      </c>
      <c r="F769">
        <f>VLOOKUP(C769,'[1]phenotypes-895'!$A$2:$G$896,7,FALSE)</f>
        <v>59</v>
      </c>
      <c r="G769">
        <v>172</v>
      </c>
    </row>
    <row r="770" spans="1:7" x14ac:dyDescent="0.2">
      <c r="A770">
        <v>769</v>
      </c>
      <c r="B770">
        <v>45</v>
      </c>
      <c r="C770" t="s">
        <v>768</v>
      </c>
      <c r="D770" s="13" t="s">
        <v>912</v>
      </c>
      <c r="E770" s="1">
        <v>3.7306367146553199</v>
      </c>
      <c r="F770">
        <f>VLOOKUP(C770,'[1]phenotypes-895'!$A$2:$G$896,7,FALSE)</f>
        <v>47</v>
      </c>
      <c r="G770">
        <v>182</v>
      </c>
    </row>
    <row r="771" spans="1:7" x14ac:dyDescent="0.2">
      <c r="A771">
        <v>770</v>
      </c>
      <c r="B771">
        <v>50</v>
      </c>
      <c r="C771" t="s">
        <v>769</v>
      </c>
      <c r="D771" s="13" t="s">
        <v>912</v>
      </c>
      <c r="E771" s="1">
        <v>1.65506961471992</v>
      </c>
      <c r="F771">
        <f>VLOOKUP(C771,'[1]phenotypes-895'!$A$2:$G$896,7,FALSE)</f>
        <v>45</v>
      </c>
      <c r="G771">
        <v>172</v>
      </c>
    </row>
    <row r="772" spans="1:7" x14ac:dyDescent="0.2">
      <c r="A772">
        <v>771</v>
      </c>
      <c r="B772">
        <v>21</v>
      </c>
      <c r="C772" t="s">
        <v>770</v>
      </c>
      <c r="D772" s="13" t="s">
        <v>913</v>
      </c>
      <c r="E772" s="1">
        <v>0.712858032803519</v>
      </c>
      <c r="F772">
        <f>VLOOKUP(C772,'[1]phenotypes-895'!$A$2:$G$896,7,FALSE)</f>
        <v>98</v>
      </c>
      <c r="G772">
        <v>218</v>
      </c>
    </row>
    <row r="773" spans="1:7" x14ac:dyDescent="0.2">
      <c r="A773">
        <v>772</v>
      </c>
      <c r="B773">
        <v>29</v>
      </c>
      <c r="C773" t="s">
        <v>771</v>
      </c>
      <c r="D773" s="13" t="s">
        <v>913</v>
      </c>
      <c r="E773" s="1">
        <v>-5.4471860536375596</v>
      </c>
      <c r="F773">
        <f>VLOOKUP(C773,'[1]phenotypes-895'!$A$2:$G$896,7,FALSE)</f>
        <v>60</v>
      </c>
      <c r="G773">
        <v>202</v>
      </c>
    </row>
    <row r="774" spans="1:7" x14ac:dyDescent="0.2">
      <c r="A774">
        <v>773</v>
      </c>
      <c r="B774">
        <v>30</v>
      </c>
      <c r="C774" t="s">
        <v>772</v>
      </c>
      <c r="D774" s="13" t="s">
        <v>913</v>
      </c>
      <c r="E774" s="1">
        <v>-6.7976793104608202</v>
      </c>
      <c r="F774">
        <f>VLOOKUP(C774,'[1]phenotypes-895'!$A$2:$G$896,7,FALSE)</f>
        <v>70</v>
      </c>
      <c r="G774">
        <v>202</v>
      </c>
    </row>
    <row r="775" spans="1:7" x14ac:dyDescent="0.2">
      <c r="A775">
        <v>774</v>
      </c>
      <c r="B775">
        <v>26</v>
      </c>
      <c r="C775" t="s">
        <v>773</v>
      </c>
      <c r="D775" s="13" t="s">
        <v>913</v>
      </c>
      <c r="E775" s="1">
        <v>6.1212769634794197</v>
      </c>
      <c r="F775">
        <f>VLOOKUP(C775,'[1]phenotypes-895'!$A$2:$G$896,7,FALSE)</f>
        <v>98</v>
      </c>
      <c r="G775">
        <v>208</v>
      </c>
    </row>
    <row r="776" spans="1:7" x14ac:dyDescent="0.2">
      <c r="A776">
        <v>775</v>
      </c>
      <c r="B776">
        <v>21</v>
      </c>
      <c r="C776" t="s">
        <v>774</v>
      </c>
      <c r="D776" s="13" t="s">
        <v>913</v>
      </c>
      <c r="E776" s="1">
        <v>3.1314742263592801</v>
      </c>
      <c r="F776">
        <f>VLOOKUP(C776,'[1]phenotypes-895'!$A$2:$G$896,7,FALSE)</f>
        <v>98</v>
      </c>
      <c r="G776">
        <v>218</v>
      </c>
    </row>
    <row r="777" spans="1:7" x14ac:dyDescent="0.2">
      <c r="A777">
        <v>776</v>
      </c>
      <c r="B777">
        <v>23</v>
      </c>
      <c r="C777" t="s">
        <v>775</v>
      </c>
      <c r="D777" s="13" t="s">
        <v>913</v>
      </c>
      <c r="E777" s="1">
        <v>0.57574677934123797</v>
      </c>
      <c r="F777">
        <f>VLOOKUP(C777,'[1]phenotypes-895'!$A$2:$G$896,7,FALSE)</f>
        <v>77</v>
      </c>
      <c r="G777">
        <v>189</v>
      </c>
    </row>
    <row r="778" spans="1:7" x14ac:dyDescent="0.2">
      <c r="A778">
        <v>777</v>
      </c>
      <c r="B778">
        <v>39</v>
      </c>
      <c r="C778" t="s">
        <v>776</v>
      </c>
      <c r="D778" s="13" t="s">
        <v>913</v>
      </c>
      <c r="E778" s="1">
        <v>4.2491681670174</v>
      </c>
      <c r="F778">
        <f>VLOOKUP(C778,'[1]phenotypes-895'!$A$2:$G$896,7,FALSE)</f>
        <v>98</v>
      </c>
      <c r="G778">
        <v>206</v>
      </c>
    </row>
    <row r="779" spans="1:7" x14ac:dyDescent="0.2">
      <c r="A779">
        <v>778</v>
      </c>
      <c r="B779">
        <v>39</v>
      </c>
      <c r="C779" t="s">
        <v>777</v>
      </c>
      <c r="D779" s="13" t="s">
        <v>913</v>
      </c>
      <c r="E779" s="1">
        <v>4.5322309388345197</v>
      </c>
      <c r="F779">
        <f>VLOOKUP(C779,'[1]phenotypes-895'!$A$2:$G$896,7,FALSE)</f>
        <v>81</v>
      </c>
      <c r="G779">
        <v>206</v>
      </c>
    </row>
    <row r="780" spans="1:7" x14ac:dyDescent="0.2">
      <c r="A780">
        <v>779</v>
      </c>
      <c r="B780">
        <v>28</v>
      </c>
      <c r="C780" t="s">
        <v>778</v>
      </c>
      <c r="D780" s="13" t="s">
        <v>913</v>
      </c>
      <c r="E780" s="1">
        <v>-8.6865011706803603</v>
      </c>
      <c r="F780">
        <f>VLOOKUP(C780,'[1]phenotypes-895'!$A$2:$G$896,7,FALSE)</f>
        <v>63</v>
      </c>
      <c r="G780">
        <v>242</v>
      </c>
    </row>
    <row r="781" spans="1:7" x14ac:dyDescent="0.2">
      <c r="A781">
        <v>780</v>
      </c>
      <c r="B781">
        <v>35</v>
      </c>
      <c r="C781" t="s">
        <v>779</v>
      </c>
      <c r="D781" s="13" t="s">
        <v>913</v>
      </c>
      <c r="E781" s="1">
        <v>-2.5926047423745802</v>
      </c>
      <c r="F781">
        <f>VLOOKUP(C781,'[1]phenotypes-895'!$A$2:$G$896,7,FALSE)</f>
        <v>98</v>
      </c>
      <c r="G781">
        <v>304</v>
      </c>
    </row>
    <row r="782" spans="1:7" x14ac:dyDescent="0.2">
      <c r="A782">
        <v>781</v>
      </c>
      <c r="B782">
        <v>44</v>
      </c>
      <c r="C782" t="s">
        <v>780</v>
      </c>
      <c r="D782" s="13" t="s">
        <v>912</v>
      </c>
      <c r="E782" s="1">
        <v>-1.7771577656943101</v>
      </c>
      <c r="F782">
        <f>VLOOKUP(C782,'[1]phenotypes-895'!$A$2:$G$896,7,FALSE)</f>
        <v>44</v>
      </c>
      <c r="G782">
        <v>173</v>
      </c>
    </row>
    <row r="783" spans="1:7" x14ac:dyDescent="0.2">
      <c r="A783">
        <v>782</v>
      </c>
      <c r="B783">
        <v>24</v>
      </c>
      <c r="C783" t="s">
        <v>781</v>
      </c>
      <c r="D783" s="13" t="s">
        <v>913</v>
      </c>
      <c r="E783" s="1">
        <v>1.11028074111247</v>
      </c>
      <c r="F783">
        <f>VLOOKUP(C783,'[1]phenotypes-895'!$A$2:$G$896,7,FALSE)</f>
        <v>72</v>
      </c>
      <c r="G783">
        <v>354</v>
      </c>
    </row>
    <row r="784" spans="1:7" x14ac:dyDescent="0.2">
      <c r="A784">
        <v>783</v>
      </c>
      <c r="B784">
        <v>46</v>
      </c>
      <c r="C784" t="s">
        <v>782</v>
      </c>
      <c r="D784" s="13" t="s">
        <v>912</v>
      </c>
      <c r="E784" s="1">
        <v>2.3444887075207399</v>
      </c>
      <c r="F784">
        <f>VLOOKUP(C784,'[1]phenotypes-895'!$A$2:$G$896,7,FALSE)</f>
        <v>59</v>
      </c>
      <c r="G784">
        <v>160</v>
      </c>
    </row>
    <row r="785" spans="1:7" x14ac:dyDescent="0.2">
      <c r="A785">
        <v>784</v>
      </c>
      <c r="B785">
        <v>37</v>
      </c>
      <c r="C785" t="s">
        <v>783</v>
      </c>
      <c r="D785" s="13" t="s">
        <v>913</v>
      </c>
      <c r="E785" s="1">
        <v>0.519761976175387</v>
      </c>
      <c r="F785">
        <f>VLOOKUP(C785,'[1]phenotypes-895'!$A$2:$G$896,7,FALSE)</f>
        <v>98</v>
      </c>
      <c r="G785">
        <v>315</v>
      </c>
    </row>
    <row r="786" spans="1:7" x14ac:dyDescent="0.2">
      <c r="A786">
        <v>785</v>
      </c>
      <c r="B786">
        <v>54</v>
      </c>
      <c r="C786" t="s">
        <v>784</v>
      </c>
      <c r="D786" s="13" t="s">
        <v>912</v>
      </c>
      <c r="E786" s="1">
        <v>-0.39255670726071501</v>
      </c>
      <c r="F786">
        <f>VLOOKUP(C786,'[1]phenotypes-895'!$A$2:$G$896,7,FALSE)</f>
        <v>51</v>
      </c>
      <c r="G786">
        <v>170</v>
      </c>
    </row>
    <row r="787" spans="1:7" x14ac:dyDescent="0.2">
      <c r="A787">
        <v>786</v>
      </c>
      <c r="B787">
        <v>31</v>
      </c>
      <c r="C787" t="s">
        <v>785</v>
      </c>
      <c r="D787" s="13" t="s">
        <v>913</v>
      </c>
      <c r="E787" s="1">
        <v>-0.46979562365272098</v>
      </c>
      <c r="F787">
        <f>VLOOKUP(C787,'[1]phenotypes-895'!$A$2:$G$896,7,FALSE)</f>
        <v>98</v>
      </c>
      <c r="G787">
        <v>314</v>
      </c>
    </row>
    <row r="788" spans="1:7" x14ac:dyDescent="0.2">
      <c r="A788">
        <v>787</v>
      </c>
      <c r="B788">
        <v>42</v>
      </c>
      <c r="C788" t="s">
        <v>786</v>
      </c>
      <c r="D788" s="13" t="s">
        <v>912</v>
      </c>
      <c r="E788" s="1">
        <v>-0.11810885847080201</v>
      </c>
      <c r="F788">
        <f>VLOOKUP(C788,'[1]phenotypes-895'!$A$2:$G$896,7,FALSE)</f>
        <v>82</v>
      </c>
      <c r="G788">
        <v>185</v>
      </c>
    </row>
    <row r="789" spans="1:7" x14ac:dyDescent="0.2">
      <c r="A789">
        <v>788</v>
      </c>
      <c r="B789">
        <v>33</v>
      </c>
      <c r="C789" t="s">
        <v>787</v>
      </c>
      <c r="D789" s="13" t="s">
        <v>913</v>
      </c>
      <c r="E789" s="1">
        <v>-0.23196694897793901</v>
      </c>
      <c r="F789">
        <f>VLOOKUP(C789,'[1]phenotypes-895'!$A$2:$G$896,7,FALSE)</f>
        <v>98</v>
      </c>
      <c r="G789">
        <v>304</v>
      </c>
    </row>
    <row r="790" spans="1:7" x14ac:dyDescent="0.2">
      <c r="A790">
        <v>789</v>
      </c>
      <c r="B790">
        <v>37</v>
      </c>
      <c r="C790" t="s">
        <v>788</v>
      </c>
      <c r="D790" s="13" t="s">
        <v>913</v>
      </c>
      <c r="E790" s="1">
        <v>4.5528200345288896</v>
      </c>
      <c r="F790">
        <f>VLOOKUP(C790,'[1]phenotypes-895'!$A$2:$G$896,7,FALSE)</f>
        <v>98</v>
      </c>
      <c r="G790">
        <v>315</v>
      </c>
    </row>
    <row r="791" spans="1:7" x14ac:dyDescent="0.2">
      <c r="A791">
        <v>790</v>
      </c>
      <c r="B791">
        <v>39</v>
      </c>
      <c r="C791" t="s">
        <v>789</v>
      </c>
      <c r="D791" s="13" t="s">
        <v>913</v>
      </c>
      <c r="E791" s="1">
        <v>4.5053479107874601</v>
      </c>
      <c r="F791">
        <f>VLOOKUP(C791,'[1]phenotypes-895'!$A$2:$G$896,7,FALSE)</f>
        <v>98</v>
      </c>
      <c r="G791">
        <v>321</v>
      </c>
    </row>
    <row r="792" spans="1:7" x14ac:dyDescent="0.2">
      <c r="A792">
        <v>791</v>
      </c>
      <c r="B792">
        <v>25</v>
      </c>
      <c r="C792" t="s">
        <v>790</v>
      </c>
      <c r="D792" s="13" t="s">
        <v>913</v>
      </c>
      <c r="E792" s="1">
        <v>4.0300089923045599</v>
      </c>
      <c r="F792">
        <f>VLOOKUP(C792,'[1]phenotypes-895'!$A$2:$G$896,7,FALSE)</f>
        <v>98</v>
      </c>
      <c r="G792">
        <v>323</v>
      </c>
    </row>
    <row r="793" spans="1:7" x14ac:dyDescent="0.2">
      <c r="A793">
        <v>792</v>
      </c>
      <c r="B793">
        <v>34</v>
      </c>
      <c r="C793" t="s">
        <v>791</v>
      </c>
      <c r="D793" s="13" t="s">
        <v>913</v>
      </c>
      <c r="E793" s="1">
        <v>1.7477612805540299</v>
      </c>
      <c r="F793">
        <f>VLOOKUP(C793,'[1]phenotypes-895'!$A$2:$G$896,7,FALSE)</f>
        <v>98</v>
      </c>
      <c r="G793">
        <v>304</v>
      </c>
    </row>
    <row r="794" spans="1:7" x14ac:dyDescent="0.2">
      <c r="A794">
        <v>793</v>
      </c>
      <c r="B794">
        <v>30</v>
      </c>
      <c r="C794" t="s">
        <v>792</v>
      </c>
      <c r="D794" s="13" t="s">
        <v>913</v>
      </c>
      <c r="E794" s="1">
        <v>3.0969537796040298</v>
      </c>
      <c r="F794">
        <f>VLOOKUP(C794,'[1]phenotypes-895'!$A$2:$G$896,7,FALSE)</f>
        <v>98</v>
      </c>
      <c r="G794">
        <v>317</v>
      </c>
    </row>
    <row r="795" spans="1:7" x14ac:dyDescent="0.2">
      <c r="A795">
        <v>794</v>
      </c>
      <c r="B795">
        <v>35</v>
      </c>
      <c r="C795" t="s">
        <v>793</v>
      </c>
      <c r="D795" s="13" t="s">
        <v>913</v>
      </c>
      <c r="E795" s="1">
        <v>2.1112299031080202</v>
      </c>
      <c r="F795">
        <f>VLOOKUP(C795,'[1]phenotypes-895'!$A$2:$G$896,7,FALSE)</f>
        <v>98</v>
      </c>
      <c r="G795">
        <v>304</v>
      </c>
    </row>
    <row r="796" spans="1:7" x14ac:dyDescent="0.2">
      <c r="A796">
        <v>795</v>
      </c>
      <c r="B796">
        <v>28</v>
      </c>
      <c r="C796" t="s">
        <v>794</v>
      </c>
      <c r="D796" s="13" t="s">
        <v>913</v>
      </c>
      <c r="E796" s="1">
        <v>5.0122039476283602</v>
      </c>
      <c r="F796">
        <f>VLOOKUP(C796,'[1]phenotypes-895'!$A$2:$G$896,7,FALSE)</f>
        <v>98</v>
      </c>
      <c r="G796">
        <v>357</v>
      </c>
    </row>
    <row r="797" spans="1:7" x14ac:dyDescent="0.2">
      <c r="A797">
        <v>796</v>
      </c>
      <c r="B797">
        <v>31</v>
      </c>
      <c r="C797" t="s">
        <v>795</v>
      </c>
      <c r="D797" s="13" t="s">
        <v>913</v>
      </c>
      <c r="E797" s="1">
        <v>0.87098188485841699</v>
      </c>
      <c r="F797">
        <f>VLOOKUP(C797,'[1]phenotypes-895'!$A$2:$G$896,7,FALSE)</f>
        <v>98</v>
      </c>
      <c r="G797">
        <v>314</v>
      </c>
    </row>
    <row r="798" spans="1:7" x14ac:dyDescent="0.2">
      <c r="A798">
        <v>797</v>
      </c>
      <c r="B798">
        <v>21</v>
      </c>
      <c r="C798" t="s">
        <v>796</v>
      </c>
      <c r="D798" s="13" t="s">
        <v>913</v>
      </c>
      <c r="E798" s="1">
        <v>4.0362047543390602</v>
      </c>
      <c r="F798">
        <f>VLOOKUP(C798,'[1]phenotypes-895'!$A$2:$G$896,7,FALSE)</f>
        <v>98</v>
      </c>
      <c r="G798">
        <v>333</v>
      </c>
    </row>
    <row r="799" spans="1:7" x14ac:dyDescent="0.2">
      <c r="A799">
        <v>798</v>
      </c>
      <c r="B799">
        <v>40</v>
      </c>
      <c r="C799" t="s">
        <v>797</v>
      </c>
      <c r="D799" s="13" t="s">
        <v>913</v>
      </c>
      <c r="E799" s="1">
        <v>0.37203492770009</v>
      </c>
      <c r="F799">
        <f>VLOOKUP(C799,'[1]phenotypes-895'!$A$2:$G$896,7,FALSE)</f>
        <v>51</v>
      </c>
      <c r="G799">
        <v>317</v>
      </c>
    </row>
    <row r="800" spans="1:7" x14ac:dyDescent="0.2">
      <c r="A800">
        <v>799</v>
      </c>
      <c r="B800">
        <v>32</v>
      </c>
      <c r="C800" t="s">
        <v>798</v>
      </c>
      <c r="D800" s="13" t="s">
        <v>913</v>
      </c>
      <c r="E800" s="1">
        <v>3.90493000640395</v>
      </c>
      <c r="F800">
        <f>VLOOKUP(C800,'[1]phenotypes-895'!$A$2:$G$896,7,FALSE)</f>
        <v>98</v>
      </c>
      <c r="G800">
        <v>314</v>
      </c>
    </row>
    <row r="801" spans="1:7" x14ac:dyDescent="0.2">
      <c r="A801">
        <v>800</v>
      </c>
      <c r="B801">
        <v>39</v>
      </c>
      <c r="C801" t="s">
        <v>799</v>
      </c>
      <c r="D801" s="13" t="s">
        <v>913</v>
      </c>
      <c r="E801" s="1">
        <v>2.9543887127196098</v>
      </c>
      <c r="F801">
        <f>VLOOKUP(C801,'[1]phenotypes-895'!$A$2:$G$896,7,FALSE)</f>
        <v>98</v>
      </c>
      <c r="G801">
        <v>321</v>
      </c>
    </row>
    <row r="802" spans="1:7" x14ac:dyDescent="0.2">
      <c r="A802">
        <v>801</v>
      </c>
      <c r="B802">
        <v>24</v>
      </c>
      <c r="C802" t="s">
        <v>800</v>
      </c>
      <c r="D802" s="13" t="s">
        <v>913</v>
      </c>
      <c r="E802" s="1">
        <v>-6.7080067871265197</v>
      </c>
      <c r="F802">
        <f>VLOOKUP(C802,'[1]phenotypes-895'!$A$2:$G$896,7,FALSE)</f>
        <v>60</v>
      </c>
      <c r="G802">
        <v>354</v>
      </c>
    </row>
    <row r="803" spans="1:7" x14ac:dyDescent="0.2">
      <c r="A803">
        <v>802</v>
      </c>
      <c r="B803">
        <v>34</v>
      </c>
      <c r="C803" t="s">
        <v>801</v>
      </c>
      <c r="D803" s="13" t="s">
        <v>913</v>
      </c>
      <c r="E803" s="1">
        <v>2.6301918873630399</v>
      </c>
      <c r="F803">
        <f>VLOOKUP(C803,'[1]phenotypes-895'!$A$2:$G$896,7,FALSE)</f>
        <v>98</v>
      </c>
      <c r="G803">
        <v>189</v>
      </c>
    </row>
    <row r="804" spans="1:7" x14ac:dyDescent="0.2">
      <c r="A804">
        <v>803</v>
      </c>
      <c r="B804">
        <v>48</v>
      </c>
      <c r="C804" t="s">
        <v>802</v>
      </c>
      <c r="D804" s="13" t="s">
        <v>912</v>
      </c>
      <c r="E804" s="1">
        <v>3.7269135512755902</v>
      </c>
      <c r="F804">
        <f>VLOOKUP(C804,'[1]phenotypes-895'!$A$2:$G$896,7,FALSE)</f>
        <v>98</v>
      </c>
      <c r="G804">
        <v>173</v>
      </c>
    </row>
    <row r="805" spans="1:7" x14ac:dyDescent="0.2">
      <c r="A805">
        <v>804</v>
      </c>
      <c r="B805">
        <v>53</v>
      </c>
      <c r="C805" t="s">
        <v>803</v>
      </c>
      <c r="D805" s="13" t="s">
        <v>912</v>
      </c>
      <c r="E805" s="1">
        <v>6.4797879104081701</v>
      </c>
      <c r="F805">
        <f>VLOOKUP(C805,'[1]phenotypes-895'!$A$2:$G$896,7,FALSE)</f>
        <v>98</v>
      </c>
      <c r="G805">
        <v>161</v>
      </c>
    </row>
    <row r="806" spans="1:7" x14ac:dyDescent="0.2">
      <c r="A806">
        <v>805</v>
      </c>
      <c r="B806">
        <v>48</v>
      </c>
      <c r="C806" t="s">
        <v>804</v>
      </c>
      <c r="D806" s="13" t="s">
        <v>912</v>
      </c>
      <c r="E806" s="1">
        <v>3.1447947685225</v>
      </c>
      <c r="F806">
        <f>VLOOKUP(C806,'[1]phenotypes-895'!$A$2:$G$896,7,FALSE)</f>
        <v>98</v>
      </c>
      <c r="G806">
        <v>173</v>
      </c>
    </row>
    <row r="807" spans="1:7" x14ac:dyDescent="0.2">
      <c r="A807">
        <v>806</v>
      </c>
      <c r="B807">
        <v>27</v>
      </c>
      <c r="C807" t="s">
        <v>805</v>
      </c>
      <c r="D807" s="13" t="s">
        <v>913</v>
      </c>
      <c r="E807" s="1">
        <v>2.4457335678431198</v>
      </c>
      <c r="F807">
        <f>VLOOKUP(C807,'[1]phenotypes-895'!$A$2:$G$896,7,FALSE)</f>
        <v>94</v>
      </c>
      <c r="G807">
        <v>208</v>
      </c>
    </row>
    <row r="808" spans="1:7" x14ac:dyDescent="0.2">
      <c r="A808">
        <v>807</v>
      </c>
      <c r="B808">
        <v>54</v>
      </c>
      <c r="C808" t="s">
        <v>806</v>
      </c>
      <c r="D808" s="13" t="s">
        <v>912</v>
      </c>
      <c r="E808" s="1">
        <v>-2.60104283741068E-2</v>
      </c>
      <c r="F808">
        <f>VLOOKUP(C808,'[1]phenotypes-895'!$A$2:$G$896,7,FALSE)</f>
        <v>51</v>
      </c>
      <c r="G808">
        <v>170</v>
      </c>
    </row>
    <row r="809" spans="1:7" x14ac:dyDescent="0.2">
      <c r="A809">
        <v>808</v>
      </c>
      <c r="B809">
        <v>49</v>
      </c>
      <c r="C809" t="s">
        <v>807</v>
      </c>
      <c r="D809" s="13" t="s">
        <v>912</v>
      </c>
      <c r="E809" s="1">
        <v>3.7988908838844702</v>
      </c>
      <c r="F809">
        <f>VLOOKUP(C809,'[1]phenotypes-895'!$A$2:$G$896,7,FALSE)</f>
        <v>98</v>
      </c>
      <c r="G809">
        <v>175</v>
      </c>
    </row>
    <row r="810" spans="1:7" x14ac:dyDescent="0.2">
      <c r="A810">
        <v>809</v>
      </c>
      <c r="B810">
        <v>24</v>
      </c>
      <c r="C810" t="s">
        <v>808</v>
      </c>
      <c r="D810" s="13" t="s">
        <v>913</v>
      </c>
      <c r="E810" s="1">
        <v>-4.0268783050465604</v>
      </c>
      <c r="F810">
        <f>VLOOKUP(C810,'[1]phenotypes-895'!$A$2:$G$896,7,FALSE)</f>
        <v>52</v>
      </c>
      <c r="G810">
        <v>239</v>
      </c>
    </row>
    <row r="811" spans="1:7" x14ac:dyDescent="0.2">
      <c r="A811">
        <v>810</v>
      </c>
      <c r="B811">
        <v>24</v>
      </c>
      <c r="C811" t="s">
        <v>809</v>
      </c>
      <c r="D811" s="13" t="s">
        <v>913</v>
      </c>
      <c r="E811" s="1">
        <v>-3.0875857129276301</v>
      </c>
      <c r="F811">
        <f>VLOOKUP(C811,'[1]phenotypes-895'!$A$2:$G$896,7,FALSE)</f>
        <v>98</v>
      </c>
      <c r="G811">
        <v>239</v>
      </c>
    </row>
    <row r="812" spans="1:7" x14ac:dyDescent="0.2">
      <c r="A812">
        <v>811</v>
      </c>
      <c r="B812">
        <v>41</v>
      </c>
      <c r="C812" t="s">
        <v>810</v>
      </c>
      <c r="D812" s="13" t="s">
        <v>912</v>
      </c>
      <c r="E812" s="1">
        <v>-3.49904667909879</v>
      </c>
      <c r="F812">
        <f>VLOOKUP(C812,'[1]phenotypes-895'!$A$2:$G$896,7,FALSE)</f>
        <v>58</v>
      </c>
      <c r="G812">
        <v>146</v>
      </c>
    </row>
    <row r="813" spans="1:7" x14ac:dyDescent="0.2">
      <c r="A813">
        <v>812</v>
      </c>
      <c r="B813">
        <v>29</v>
      </c>
      <c r="C813" t="s">
        <v>811</v>
      </c>
      <c r="D813" s="13" t="s">
        <v>913</v>
      </c>
      <c r="E813" s="1">
        <v>-3.2938172168016102</v>
      </c>
      <c r="F813">
        <f>VLOOKUP(C813,'[1]phenotypes-895'!$A$2:$G$896,7,FALSE)</f>
        <v>65</v>
      </c>
      <c r="G813">
        <v>202</v>
      </c>
    </row>
    <row r="814" spans="1:7" x14ac:dyDescent="0.2">
      <c r="A814">
        <v>813</v>
      </c>
      <c r="B814">
        <v>23</v>
      </c>
      <c r="C814" t="s">
        <v>812</v>
      </c>
      <c r="D814" s="13" t="s">
        <v>913</v>
      </c>
      <c r="E814" s="1">
        <v>3.9073680675667499</v>
      </c>
      <c r="F814">
        <f>VLOOKUP(C814,'[1]phenotypes-895'!$A$2:$G$896,7,FALSE)</f>
        <v>89</v>
      </c>
      <c r="G814">
        <v>189</v>
      </c>
    </row>
    <row r="815" spans="1:7" x14ac:dyDescent="0.2">
      <c r="A815">
        <v>814</v>
      </c>
      <c r="B815">
        <v>50</v>
      </c>
      <c r="C815" t="s">
        <v>813</v>
      </c>
      <c r="D815" s="13" t="s">
        <v>912</v>
      </c>
      <c r="E815" s="1">
        <v>4.1554979244961601</v>
      </c>
      <c r="F815">
        <f>VLOOKUP(C815,'[1]phenotypes-895'!$A$2:$G$896,7,FALSE)</f>
        <v>79</v>
      </c>
      <c r="G815">
        <v>172</v>
      </c>
    </row>
    <row r="816" spans="1:7" x14ac:dyDescent="0.2">
      <c r="A816">
        <v>815</v>
      </c>
      <c r="B816">
        <v>33</v>
      </c>
      <c r="C816" t="s">
        <v>814</v>
      </c>
      <c r="D816" s="13" t="s">
        <v>913</v>
      </c>
      <c r="E816" s="1">
        <v>-4.3330896930102298</v>
      </c>
      <c r="F816">
        <f>VLOOKUP(C816,'[1]phenotypes-895'!$A$2:$G$896,7,FALSE)</f>
        <v>44</v>
      </c>
      <c r="G816">
        <v>189</v>
      </c>
    </row>
    <row r="817" spans="1:7" x14ac:dyDescent="0.2">
      <c r="A817">
        <v>816</v>
      </c>
      <c r="B817">
        <v>33</v>
      </c>
      <c r="C817" t="s">
        <v>815</v>
      </c>
      <c r="D817" s="13" t="s">
        <v>913</v>
      </c>
      <c r="E817" s="1">
        <v>3.14430708665699</v>
      </c>
      <c r="F817">
        <f>VLOOKUP(C817,'[1]phenotypes-895'!$A$2:$G$896,7,FALSE)</f>
        <v>73</v>
      </c>
      <c r="G817">
        <v>189</v>
      </c>
    </row>
    <row r="818" spans="1:7" x14ac:dyDescent="0.2">
      <c r="A818">
        <v>817</v>
      </c>
      <c r="B818">
        <v>40</v>
      </c>
      <c r="C818" t="s">
        <v>816</v>
      </c>
      <c r="D818" s="13" t="s">
        <v>913</v>
      </c>
      <c r="E818" s="1">
        <v>-1.07619743463452</v>
      </c>
      <c r="F818">
        <f>VLOOKUP(C818,'[1]phenotypes-895'!$A$2:$G$896,7,FALSE)</f>
        <v>71</v>
      </c>
      <c r="G818">
        <v>202</v>
      </c>
    </row>
    <row r="819" spans="1:7" x14ac:dyDescent="0.2">
      <c r="A819">
        <v>818</v>
      </c>
      <c r="B819">
        <v>48</v>
      </c>
      <c r="C819" t="s">
        <v>817</v>
      </c>
      <c r="D819" s="13" t="s">
        <v>912</v>
      </c>
      <c r="E819" s="1">
        <v>3.0130186691182201</v>
      </c>
      <c r="F819">
        <f>VLOOKUP(C819,'[1]phenotypes-895'!$A$2:$G$896,7,FALSE)</f>
        <v>63</v>
      </c>
      <c r="G819">
        <v>173</v>
      </c>
    </row>
    <row r="820" spans="1:7" x14ac:dyDescent="0.2">
      <c r="A820">
        <v>819</v>
      </c>
      <c r="B820">
        <v>42</v>
      </c>
      <c r="C820" t="s">
        <v>818</v>
      </c>
      <c r="D820" s="13" t="s">
        <v>912</v>
      </c>
      <c r="E820" s="1">
        <v>1.48844544047342</v>
      </c>
      <c r="F820">
        <f>VLOOKUP(C820,'[1]phenotypes-895'!$A$2:$G$896,7,FALSE)</f>
        <v>76</v>
      </c>
      <c r="G820">
        <v>185</v>
      </c>
    </row>
    <row r="821" spans="1:7" x14ac:dyDescent="0.2">
      <c r="A821">
        <v>820</v>
      </c>
      <c r="B821">
        <v>49</v>
      </c>
      <c r="C821" t="s">
        <v>819</v>
      </c>
      <c r="D821" s="13" t="s">
        <v>912</v>
      </c>
      <c r="E821" s="1">
        <v>2.7803209684116701</v>
      </c>
      <c r="F821">
        <f>VLOOKUP(C821,'[1]phenotypes-895'!$A$2:$G$896,7,FALSE)</f>
        <v>65</v>
      </c>
      <c r="G821">
        <v>175</v>
      </c>
    </row>
    <row r="822" spans="1:7" x14ac:dyDescent="0.2">
      <c r="A822">
        <v>821</v>
      </c>
      <c r="B822">
        <v>46</v>
      </c>
      <c r="C822" t="s">
        <v>820</v>
      </c>
      <c r="D822" s="13" t="s">
        <v>912</v>
      </c>
      <c r="E822" s="1">
        <v>1.7922319421661099</v>
      </c>
      <c r="F822">
        <f>VLOOKUP(C822,'[1]phenotypes-895'!$A$2:$G$896,7,FALSE)</f>
        <v>62</v>
      </c>
      <c r="G822">
        <v>160</v>
      </c>
    </row>
    <row r="823" spans="1:7" x14ac:dyDescent="0.2">
      <c r="A823">
        <v>822</v>
      </c>
      <c r="B823">
        <v>50</v>
      </c>
      <c r="C823" t="s">
        <v>821</v>
      </c>
      <c r="D823" s="13" t="s">
        <v>912</v>
      </c>
      <c r="E823" s="1">
        <v>0.63531466579318197</v>
      </c>
      <c r="F823">
        <f>VLOOKUP(C823,'[1]phenotypes-895'!$A$2:$G$896,7,FALSE)</f>
        <v>81</v>
      </c>
      <c r="G823">
        <v>172</v>
      </c>
    </row>
    <row r="824" spans="1:7" x14ac:dyDescent="0.2">
      <c r="A824">
        <v>823</v>
      </c>
      <c r="B824">
        <v>29</v>
      </c>
      <c r="C824" t="s">
        <v>822</v>
      </c>
      <c r="D824" s="13" t="s">
        <v>913</v>
      </c>
      <c r="E824" s="1">
        <v>-3.8698625994893199</v>
      </c>
      <c r="F824">
        <f>VLOOKUP(C824,'[1]phenotypes-895'!$A$2:$G$896,7,FALSE)</f>
        <v>64</v>
      </c>
      <c r="G824">
        <v>202</v>
      </c>
    </row>
    <row r="825" spans="1:7" x14ac:dyDescent="0.2">
      <c r="A825">
        <v>824</v>
      </c>
      <c r="B825">
        <v>49</v>
      </c>
      <c r="C825" t="s">
        <v>823</v>
      </c>
      <c r="D825" s="13" t="s">
        <v>912</v>
      </c>
      <c r="E825" s="1">
        <v>2.59774818472737</v>
      </c>
      <c r="F825">
        <f>VLOOKUP(C825,'[1]phenotypes-895'!$A$2:$G$896,7,FALSE)</f>
        <v>67</v>
      </c>
      <c r="G825">
        <v>175</v>
      </c>
    </row>
    <row r="826" spans="1:7" x14ac:dyDescent="0.2">
      <c r="A826">
        <v>825</v>
      </c>
      <c r="B826">
        <v>35</v>
      </c>
      <c r="C826" t="s">
        <v>824</v>
      </c>
      <c r="D826" s="13" t="s">
        <v>913</v>
      </c>
      <c r="E826" s="1">
        <v>0.76983496546413799</v>
      </c>
      <c r="F826">
        <f>VLOOKUP(C826,'[1]phenotypes-895'!$A$2:$G$896,7,FALSE)</f>
        <v>63</v>
      </c>
      <c r="G826">
        <v>189</v>
      </c>
    </row>
    <row r="827" spans="1:7" x14ac:dyDescent="0.2">
      <c r="A827">
        <v>826</v>
      </c>
      <c r="B827">
        <v>49</v>
      </c>
      <c r="C827" t="s">
        <v>825</v>
      </c>
      <c r="D827" s="13" t="s">
        <v>912</v>
      </c>
      <c r="E827" s="1">
        <v>5.8606530529788703</v>
      </c>
      <c r="F827">
        <f>VLOOKUP(C827,'[1]phenotypes-895'!$A$2:$G$896,7,FALSE)</f>
        <v>98</v>
      </c>
      <c r="G827">
        <v>175</v>
      </c>
    </row>
    <row r="828" spans="1:7" x14ac:dyDescent="0.2">
      <c r="A828">
        <v>827</v>
      </c>
      <c r="B828">
        <v>28</v>
      </c>
      <c r="C828" t="s">
        <v>826</v>
      </c>
      <c r="D828" s="13" t="s">
        <v>913</v>
      </c>
      <c r="E828" s="1">
        <v>2.3270272064359698</v>
      </c>
      <c r="F828">
        <f>VLOOKUP(C828,'[1]phenotypes-895'!$A$2:$G$896,7,FALSE)</f>
        <v>98</v>
      </c>
      <c r="G828">
        <v>357</v>
      </c>
    </row>
    <row r="829" spans="1:7" x14ac:dyDescent="0.2">
      <c r="A829">
        <v>828</v>
      </c>
      <c r="B829">
        <v>42</v>
      </c>
      <c r="C829" t="s">
        <v>827</v>
      </c>
      <c r="D829" s="13" t="s">
        <v>912</v>
      </c>
      <c r="E829" s="1">
        <v>3.2885040370496901</v>
      </c>
      <c r="F829">
        <f>VLOOKUP(C829,'[1]phenotypes-895'!$A$2:$G$896,7,FALSE)</f>
        <v>98</v>
      </c>
      <c r="G829">
        <v>185</v>
      </c>
    </row>
    <row r="830" spans="1:7" x14ac:dyDescent="0.2">
      <c r="A830">
        <v>829</v>
      </c>
      <c r="B830">
        <v>31</v>
      </c>
      <c r="C830" t="s">
        <v>828</v>
      </c>
      <c r="D830" s="13" t="s">
        <v>913</v>
      </c>
      <c r="E830" s="1">
        <v>-0.77754031476880103</v>
      </c>
      <c r="F830">
        <f>VLOOKUP(C830,'[1]phenotypes-895'!$A$2:$G$896,7,FALSE)</f>
        <v>98</v>
      </c>
      <c r="G830">
        <v>314</v>
      </c>
    </row>
    <row r="831" spans="1:7" x14ac:dyDescent="0.2">
      <c r="A831">
        <v>830</v>
      </c>
      <c r="B831">
        <v>35</v>
      </c>
      <c r="C831" t="s">
        <v>829</v>
      </c>
      <c r="D831" s="13" t="s">
        <v>913</v>
      </c>
      <c r="E831" s="1">
        <v>3.0575220127240201</v>
      </c>
      <c r="F831">
        <f>VLOOKUP(C831,'[1]phenotypes-895'!$A$2:$G$896,7,FALSE)</f>
        <v>35</v>
      </c>
      <c r="G831">
        <v>189</v>
      </c>
    </row>
    <row r="832" spans="1:7" x14ac:dyDescent="0.2">
      <c r="A832">
        <v>831</v>
      </c>
      <c r="B832">
        <v>40</v>
      </c>
      <c r="C832" t="s">
        <v>830</v>
      </c>
      <c r="D832" s="13" t="s">
        <v>913</v>
      </c>
      <c r="E832" s="1">
        <v>1.43123602509583</v>
      </c>
      <c r="F832">
        <f>VLOOKUP(C832,'[1]phenotypes-895'!$A$2:$G$896,7,FALSE)</f>
        <v>98</v>
      </c>
      <c r="G832">
        <v>317</v>
      </c>
    </row>
    <row r="833" spans="1:7" x14ac:dyDescent="0.2">
      <c r="A833">
        <v>832</v>
      </c>
      <c r="B833">
        <v>53</v>
      </c>
      <c r="C833" t="s">
        <v>831</v>
      </c>
      <c r="D833" s="13" t="s">
        <v>912</v>
      </c>
      <c r="E833" s="1">
        <v>5.0075175717962797</v>
      </c>
      <c r="F833">
        <f>VLOOKUP(C833,'[1]phenotypes-895'!$A$2:$G$896,7,FALSE)</f>
        <v>82</v>
      </c>
      <c r="G833">
        <v>161</v>
      </c>
    </row>
    <row r="834" spans="1:7" x14ac:dyDescent="0.2">
      <c r="A834">
        <v>833</v>
      </c>
      <c r="B834">
        <v>25</v>
      </c>
      <c r="C834" t="s">
        <v>832</v>
      </c>
      <c r="D834" s="13" t="s">
        <v>913</v>
      </c>
      <c r="E834" s="1">
        <v>0.63737329064150905</v>
      </c>
      <c r="F834">
        <f>VLOOKUP(C834,'[1]phenotypes-895'!$A$2:$G$896,7,FALSE)</f>
        <v>98</v>
      </c>
      <c r="G834">
        <v>323</v>
      </c>
    </row>
    <row r="835" spans="1:7" x14ac:dyDescent="0.2">
      <c r="A835">
        <v>834</v>
      </c>
      <c r="B835">
        <v>42</v>
      </c>
      <c r="C835" t="s">
        <v>833</v>
      </c>
      <c r="D835" s="13" t="s">
        <v>912</v>
      </c>
      <c r="E835" s="1">
        <v>-1.25444885642811</v>
      </c>
      <c r="F835">
        <f>VLOOKUP(C835,'[1]phenotypes-895'!$A$2:$G$896,7,FALSE)</f>
        <v>63</v>
      </c>
      <c r="G835">
        <v>185</v>
      </c>
    </row>
    <row r="836" spans="1:7" x14ac:dyDescent="0.2">
      <c r="A836">
        <v>835</v>
      </c>
      <c r="B836">
        <v>27</v>
      </c>
      <c r="C836" t="s">
        <v>834</v>
      </c>
      <c r="D836" s="13" t="s">
        <v>913</v>
      </c>
      <c r="E836" s="1">
        <v>-13.4071161422061</v>
      </c>
      <c r="F836">
        <f>VLOOKUP(C836,'[1]phenotypes-895'!$A$2:$G$896,7,FALSE)</f>
        <v>58</v>
      </c>
      <c r="G836">
        <v>323</v>
      </c>
    </row>
    <row r="837" spans="1:7" x14ac:dyDescent="0.2">
      <c r="A837">
        <v>836</v>
      </c>
      <c r="B837">
        <v>29</v>
      </c>
      <c r="C837" t="s">
        <v>835</v>
      </c>
      <c r="D837" s="13" t="s">
        <v>913</v>
      </c>
      <c r="E837" s="1">
        <v>-0.47424205317662399</v>
      </c>
      <c r="F837">
        <f>VLOOKUP(C837,'[1]phenotypes-895'!$A$2:$G$896,7,FALSE)</f>
        <v>98</v>
      </c>
      <c r="G837">
        <v>317</v>
      </c>
    </row>
    <row r="838" spans="1:7" x14ac:dyDescent="0.2">
      <c r="A838">
        <v>837</v>
      </c>
      <c r="B838">
        <v>28</v>
      </c>
      <c r="C838" t="s">
        <v>836</v>
      </c>
      <c r="D838" s="13" t="s">
        <v>913</v>
      </c>
      <c r="E838" s="1">
        <v>1.0909658610669299</v>
      </c>
      <c r="F838">
        <f>VLOOKUP(C838,'[1]phenotypes-895'!$A$2:$G$896,7,FALSE)</f>
        <v>65</v>
      </c>
      <c r="G838">
        <v>357</v>
      </c>
    </row>
    <row r="839" spans="1:7" x14ac:dyDescent="0.2">
      <c r="A839">
        <v>838</v>
      </c>
      <c r="B839">
        <v>33</v>
      </c>
      <c r="C839" t="s">
        <v>837</v>
      </c>
      <c r="D839" s="13" t="s">
        <v>913</v>
      </c>
      <c r="E839" s="1">
        <v>1.25594300322648</v>
      </c>
      <c r="F839">
        <f>VLOOKUP(C839,'[1]phenotypes-895'!$A$2:$G$896,7,FALSE)</f>
        <v>95</v>
      </c>
      <c r="G839">
        <v>304</v>
      </c>
    </row>
    <row r="840" spans="1:7" x14ac:dyDescent="0.2">
      <c r="A840">
        <v>839</v>
      </c>
      <c r="B840">
        <v>37</v>
      </c>
      <c r="C840" t="s">
        <v>838</v>
      </c>
      <c r="D840" s="13" t="s">
        <v>913</v>
      </c>
      <c r="E840" s="1">
        <v>4.3579975165664999</v>
      </c>
      <c r="F840">
        <f>VLOOKUP(C840,'[1]phenotypes-895'!$A$2:$G$896,7,FALSE)</f>
        <v>98</v>
      </c>
      <c r="G840">
        <v>315</v>
      </c>
    </row>
    <row r="841" spans="1:7" x14ac:dyDescent="0.2">
      <c r="A841">
        <v>840</v>
      </c>
      <c r="B841">
        <v>39</v>
      </c>
      <c r="C841" t="s">
        <v>839</v>
      </c>
      <c r="D841" s="13" t="s">
        <v>913</v>
      </c>
      <c r="E841" s="1">
        <v>-2.2929491223534</v>
      </c>
      <c r="F841">
        <f>VLOOKUP(C841,'[1]phenotypes-895'!$A$2:$G$896,7,FALSE)</f>
        <v>98</v>
      </c>
      <c r="G841">
        <v>321</v>
      </c>
    </row>
    <row r="842" spans="1:7" x14ac:dyDescent="0.2">
      <c r="A842">
        <v>841</v>
      </c>
      <c r="B842">
        <v>34</v>
      </c>
      <c r="C842" t="s">
        <v>840</v>
      </c>
      <c r="D842" s="13" t="s">
        <v>913</v>
      </c>
      <c r="E842" s="1">
        <v>2.6013797778282299</v>
      </c>
      <c r="F842">
        <f>VLOOKUP(C842,'[1]phenotypes-895'!$A$2:$G$896,7,FALSE)</f>
        <v>98</v>
      </c>
      <c r="G842">
        <v>304</v>
      </c>
    </row>
    <row r="843" spans="1:7" x14ac:dyDescent="0.2">
      <c r="A843">
        <v>842</v>
      </c>
      <c r="B843">
        <v>37</v>
      </c>
      <c r="C843" t="s">
        <v>841</v>
      </c>
      <c r="D843" s="13" t="s">
        <v>913</v>
      </c>
      <c r="E843" s="1">
        <v>5.9491441355691501</v>
      </c>
      <c r="F843">
        <f>VLOOKUP(C843,'[1]phenotypes-895'!$A$2:$G$896,7,FALSE)</f>
        <v>98</v>
      </c>
      <c r="G843">
        <v>315</v>
      </c>
    </row>
    <row r="844" spans="1:7" x14ac:dyDescent="0.2">
      <c r="A844">
        <v>843</v>
      </c>
      <c r="B844">
        <v>35</v>
      </c>
      <c r="C844" t="s">
        <v>842</v>
      </c>
      <c r="D844" s="13" t="s">
        <v>913</v>
      </c>
      <c r="E844" s="1">
        <v>-3.68872523171924E-2</v>
      </c>
      <c r="F844">
        <f>VLOOKUP(C844,'[1]phenotypes-895'!$A$2:$G$896,7,FALSE)</f>
        <v>98</v>
      </c>
      <c r="G844">
        <v>304</v>
      </c>
    </row>
    <row r="845" spans="1:7" x14ac:dyDescent="0.2">
      <c r="A845">
        <v>844</v>
      </c>
      <c r="B845">
        <v>27</v>
      </c>
      <c r="C845" t="s">
        <v>843</v>
      </c>
      <c r="D845" s="13" t="s">
        <v>913</v>
      </c>
      <c r="E845" s="1">
        <v>0.20138932489098099</v>
      </c>
      <c r="F845">
        <f>VLOOKUP(C845,'[1]phenotypes-895'!$A$2:$G$896,7,FALSE)</f>
        <v>84</v>
      </c>
      <c r="G845">
        <v>323</v>
      </c>
    </row>
    <row r="846" spans="1:7" x14ac:dyDescent="0.2">
      <c r="A846">
        <v>845</v>
      </c>
      <c r="B846">
        <v>29</v>
      </c>
      <c r="C846" t="s">
        <v>844</v>
      </c>
      <c r="D846" s="13" t="s">
        <v>913</v>
      </c>
      <c r="E846" s="1">
        <v>-0.65952956006667596</v>
      </c>
      <c r="F846">
        <f>VLOOKUP(C846,'[1]phenotypes-895'!$A$2:$G$896,7,FALSE)</f>
        <v>91</v>
      </c>
      <c r="G846">
        <v>317</v>
      </c>
    </row>
    <row r="847" spans="1:7" x14ac:dyDescent="0.2">
      <c r="A847">
        <v>846</v>
      </c>
      <c r="B847">
        <v>33</v>
      </c>
      <c r="C847" t="s">
        <v>845</v>
      </c>
      <c r="D847" s="13" t="s">
        <v>913</v>
      </c>
      <c r="E847" s="1">
        <v>7.0549917838479699</v>
      </c>
      <c r="F847">
        <f>VLOOKUP(C847,'[1]phenotypes-895'!$A$2:$G$896,7,FALSE)</f>
        <v>98</v>
      </c>
      <c r="G847">
        <v>304</v>
      </c>
    </row>
    <row r="848" spans="1:7" x14ac:dyDescent="0.2">
      <c r="A848">
        <v>847</v>
      </c>
      <c r="B848">
        <v>40</v>
      </c>
      <c r="C848" t="s">
        <v>846</v>
      </c>
      <c r="D848" s="13" t="s">
        <v>913</v>
      </c>
      <c r="E848" s="1">
        <v>0.33720382913629598</v>
      </c>
      <c r="F848">
        <f>VLOOKUP(C848,'[1]phenotypes-895'!$A$2:$G$896,7,FALSE)</f>
        <v>74</v>
      </c>
      <c r="G848">
        <v>317</v>
      </c>
    </row>
    <row r="849" spans="1:7" x14ac:dyDescent="0.2">
      <c r="A849">
        <v>848</v>
      </c>
      <c r="B849">
        <v>22</v>
      </c>
      <c r="C849" t="s">
        <v>847</v>
      </c>
      <c r="D849" s="13" t="s">
        <v>913</v>
      </c>
      <c r="E849" s="1">
        <v>1.9983038471224699</v>
      </c>
      <c r="F849">
        <f>VLOOKUP(C849,'[1]phenotypes-895'!$A$2:$G$896,7,FALSE)</f>
        <v>98</v>
      </c>
      <c r="G849">
        <v>288</v>
      </c>
    </row>
    <row r="850" spans="1:7" x14ac:dyDescent="0.2">
      <c r="A850">
        <v>849</v>
      </c>
      <c r="B850">
        <v>35</v>
      </c>
      <c r="C850" t="s">
        <v>848</v>
      </c>
      <c r="D850" s="13" t="s">
        <v>913</v>
      </c>
      <c r="E850" s="1">
        <v>3.1817599136999002</v>
      </c>
      <c r="F850">
        <f>VLOOKUP(C850,'[1]phenotypes-895'!$A$2:$G$896,7,FALSE)</f>
        <v>98</v>
      </c>
      <c r="G850">
        <v>304</v>
      </c>
    </row>
    <row r="851" spans="1:7" x14ac:dyDescent="0.2">
      <c r="A851">
        <v>850</v>
      </c>
      <c r="B851">
        <v>22</v>
      </c>
      <c r="C851" t="s">
        <v>849</v>
      </c>
      <c r="D851" s="13" t="s">
        <v>913</v>
      </c>
      <c r="E851" s="1">
        <v>2.6888128140984402</v>
      </c>
      <c r="F851">
        <f>VLOOKUP(C851,'[1]phenotypes-895'!$A$2:$G$896,7,FALSE)</f>
        <v>98</v>
      </c>
      <c r="G851">
        <v>173</v>
      </c>
    </row>
    <row r="852" spans="1:7" x14ac:dyDescent="0.2">
      <c r="A852">
        <v>851</v>
      </c>
      <c r="B852">
        <v>52</v>
      </c>
      <c r="C852" t="s">
        <v>850</v>
      </c>
      <c r="D852" s="13" t="s">
        <v>912</v>
      </c>
      <c r="E852" s="1">
        <v>2.6032919325356398</v>
      </c>
      <c r="F852">
        <f>VLOOKUP(C852,'[1]phenotypes-895'!$A$2:$G$896,7,FALSE)</f>
        <v>98</v>
      </c>
      <c r="G852">
        <v>164</v>
      </c>
    </row>
    <row r="853" spans="1:7" x14ac:dyDescent="0.2">
      <c r="A853">
        <v>852</v>
      </c>
      <c r="B853">
        <v>49</v>
      </c>
      <c r="C853" t="s">
        <v>851</v>
      </c>
      <c r="D853" s="13" t="s">
        <v>912</v>
      </c>
      <c r="E853" s="1">
        <v>-0.53764311365020101</v>
      </c>
      <c r="F853">
        <f>VLOOKUP(C853,'[1]phenotypes-895'!$A$2:$G$896,7,FALSE)</f>
        <v>67</v>
      </c>
      <c r="G853">
        <v>175</v>
      </c>
    </row>
    <row r="854" spans="1:7" x14ac:dyDescent="0.2">
      <c r="A854">
        <v>853</v>
      </c>
      <c r="B854">
        <v>30</v>
      </c>
      <c r="C854" t="s">
        <v>852</v>
      </c>
      <c r="D854" s="13" t="s">
        <v>913</v>
      </c>
      <c r="E854" s="1">
        <v>0.18523372741942001</v>
      </c>
      <c r="F854">
        <f>VLOOKUP(C854,'[1]phenotypes-895'!$A$2:$G$896,7,FALSE)</f>
        <v>98</v>
      </c>
      <c r="G854">
        <v>202</v>
      </c>
    </row>
    <row r="855" spans="1:7" x14ac:dyDescent="0.2">
      <c r="A855">
        <v>854</v>
      </c>
      <c r="B855">
        <v>35</v>
      </c>
      <c r="C855" t="s">
        <v>853</v>
      </c>
      <c r="D855" s="13" t="s">
        <v>913</v>
      </c>
      <c r="E855" s="1">
        <v>3.3558123132753699</v>
      </c>
      <c r="F855">
        <f>VLOOKUP(C855,'[1]phenotypes-895'!$A$2:$G$896,7,FALSE)</f>
        <v>76</v>
      </c>
      <c r="G855">
        <v>189</v>
      </c>
    </row>
    <row r="856" spans="1:7" x14ac:dyDescent="0.2">
      <c r="A856">
        <v>855</v>
      </c>
      <c r="B856">
        <v>46</v>
      </c>
      <c r="C856" t="s">
        <v>854</v>
      </c>
      <c r="D856" s="13" t="s">
        <v>912</v>
      </c>
      <c r="E856" s="1">
        <v>2.5629234970507202</v>
      </c>
      <c r="F856">
        <f>VLOOKUP(C856,'[1]phenotypes-895'!$A$2:$G$896,7,FALSE)</f>
        <v>70</v>
      </c>
      <c r="G856">
        <v>160</v>
      </c>
    </row>
    <row r="857" spans="1:7" x14ac:dyDescent="0.2">
      <c r="A857">
        <v>856</v>
      </c>
      <c r="B857">
        <v>38</v>
      </c>
      <c r="C857" t="s">
        <v>855</v>
      </c>
      <c r="D857" s="13" t="s">
        <v>913</v>
      </c>
      <c r="E857" s="1">
        <v>8.9315335012721508</v>
      </c>
      <c r="F857">
        <f>VLOOKUP(C857,'[1]phenotypes-895'!$A$2:$G$896,7,FALSE)</f>
        <v>98</v>
      </c>
      <c r="G857">
        <v>200</v>
      </c>
    </row>
    <row r="858" spans="1:7" x14ac:dyDescent="0.2">
      <c r="A858">
        <v>857</v>
      </c>
      <c r="B858">
        <v>35</v>
      </c>
      <c r="C858" t="s">
        <v>856</v>
      </c>
      <c r="D858" s="13" t="s">
        <v>913</v>
      </c>
      <c r="E858" s="1">
        <v>1.5542678858160699</v>
      </c>
      <c r="F858">
        <f>VLOOKUP(C858,'[1]phenotypes-895'!$A$2:$G$896,7,FALSE)</f>
        <v>71</v>
      </c>
      <c r="G858">
        <v>189</v>
      </c>
    </row>
    <row r="859" spans="1:7" x14ac:dyDescent="0.2">
      <c r="A859">
        <v>858</v>
      </c>
      <c r="B859">
        <v>32</v>
      </c>
      <c r="C859" t="s">
        <v>857</v>
      </c>
      <c r="D859" s="13" t="s">
        <v>913</v>
      </c>
      <c r="E859" s="1">
        <v>0.98233546718481901</v>
      </c>
      <c r="F859">
        <f>VLOOKUP(C859,'[1]phenotypes-895'!$A$2:$G$896,7,FALSE)</f>
        <v>49</v>
      </c>
      <c r="G859">
        <v>199</v>
      </c>
    </row>
    <row r="860" spans="1:7" x14ac:dyDescent="0.2">
      <c r="A860">
        <v>859</v>
      </c>
      <c r="B860">
        <v>54</v>
      </c>
      <c r="C860" t="s">
        <v>858</v>
      </c>
      <c r="D860" s="13" t="s">
        <v>912</v>
      </c>
      <c r="E860" s="1">
        <v>0.32042670848147797</v>
      </c>
      <c r="F860">
        <f>VLOOKUP(C860,'[1]phenotypes-895'!$A$2:$G$896,7,FALSE)</f>
        <v>67</v>
      </c>
      <c r="G860">
        <v>170</v>
      </c>
    </row>
    <row r="861" spans="1:7" x14ac:dyDescent="0.2">
      <c r="A861">
        <v>860</v>
      </c>
      <c r="B861">
        <v>36</v>
      </c>
      <c r="C861" t="s">
        <v>859</v>
      </c>
      <c r="D861" s="13" t="s">
        <v>913</v>
      </c>
      <c r="E861" s="1">
        <v>2.4100769067224999</v>
      </c>
      <c r="F861">
        <f>VLOOKUP(C861,'[1]phenotypes-895'!$A$2:$G$896,7,FALSE)</f>
        <v>63</v>
      </c>
      <c r="G861">
        <v>192</v>
      </c>
    </row>
    <row r="862" spans="1:7" x14ac:dyDescent="0.2">
      <c r="A862">
        <v>861</v>
      </c>
      <c r="B862">
        <v>51</v>
      </c>
      <c r="C862" t="s">
        <v>860</v>
      </c>
      <c r="D862" s="13" t="s">
        <v>912</v>
      </c>
      <c r="E862" s="1">
        <v>4.3817965408132196</v>
      </c>
      <c r="F862">
        <f>VLOOKUP(C862,'[1]phenotypes-895'!$A$2:$G$896,7,FALSE)</f>
        <v>98</v>
      </c>
      <c r="G862">
        <v>159</v>
      </c>
    </row>
    <row r="863" spans="1:7" x14ac:dyDescent="0.2">
      <c r="A863">
        <v>862</v>
      </c>
      <c r="B863">
        <v>40</v>
      </c>
      <c r="C863" t="s">
        <v>861</v>
      </c>
      <c r="D863" s="13" t="s">
        <v>913</v>
      </c>
      <c r="E863" s="1">
        <v>-1.7615918367722301</v>
      </c>
      <c r="F863">
        <f>VLOOKUP(C863,'[1]phenotypes-895'!$A$2:$G$896,7,FALSE)</f>
        <v>63</v>
      </c>
      <c r="G863">
        <v>202</v>
      </c>
    </row>
    <row r="864" spans="1:7" x14ac:dyDescent="0.2">
      <c r="A864">
        <v>863</v>
      </c>
      <c r="B864">
        <v>31</v>
      </c>
      <c r="C864" t="s">
        <v>862</v>
      </c>
      <c r="D864" s="13" t="s">
        <v>913</v>
      </c>
      <c r="E864" s="1">
        <v>1.78622838353715</v>
      </c>
      <c r="F864">
        <f>VLOOKUP(C864,'[1]phenotypes-895'!$A$2:$G$896,7,FALSE)</f>
        <v>68</v>
      </c>
      <c r="G864">
        <v>199</v>
      </c>
    </row>
    <row r="865" spans="1:7" x14ac:dyDescent="0.2">
      <c r="A865">
        <v>864</v>
      </c>
      <c r="B865">
        <v>50</v>
      </c>
      <c r="C865" t="s">
        <v>863</v>
      </c>
      <c r="D865" s="13" t="s">
        <v>912</v>
      </c>
      <c r="E865" s="1">
        <v>4.4812851665632403</v>
      </c>
      <c r="F865">
        <f>VLOOKUP(C865,'[1]phenotypes-895'!$A$2:$G$896,7,FALSE)</f>
        <v>77</v>
      </c>
      <c r="G865">
        <v>172</v>
      </c>
    </row>
    <row r="866" spans="1:7" x14ac:dyDescent="0.2">
      <c r="A866">
        <v>865</v>
      </c>
      <c r="B866">
        <v>32</v>
      </c>
      <c r="C866" t="s">
        <v>864</v>
      </c>
      <c r="D866" s="13" t="s">
        <v>913</v>
      </c>
      <c r="E866" s="1">
        <v>2.67318991836426</v>
      </c>
      <c r="F866">
        <f>VLOOKUP(C866,'[1]phenotypes-895'!$A$2:$G$896,7,FALSE)</f>
        <v>71</v>
      </c>
      <c r="G866">
        <v>199</v>
      </c>
    </row>
    <row r="867" spans="1:7" x14ac:dyDescent="0.2">
      <c r="A867">
        <v>866</v>
      </c>
      <c r="B867">
        <v>42</v>
      </c>
      <c r="C867" t="s">
        <v>865</v>
      </c>
      <c r="D867" s="13" t="s">
        <v>912</v>
      </c>
      <c r="E867" s="1">
        <v>-5.23302537120552E-2</v>
      </c>
      <c r="F867">
        <f>VLOOKUP(C867,'[1]phenotypes-895'!$A$2:$G$896,7,FALSE)</f>
        <v>48</v>
      </c>
      <c r="G867">
        <v>185</v>
      </c>
    </row>
    <row r="868" spans="1:7" x14ac:dyDescent="0.2">
      <c r="A868">
        <v>867</v>
      </c>
      <c r="B868">
        <v>50</v>
      </c>
      <c r="C868" t="s">
        <v>866</v>
      </c>
      <c r="D868" s="13" t="s">
        <v>912</v>
      </c>
      <c r="E868" s="1">
        <v>3.3635669757520601</v>
      </c>
      <c r="F868">
        <f>VLOOKUP(C868,'[1]phenotypes-895'!$A$2:$G$896,7,FALSE)</f>
        <v>65</v>
      </c>
      <c r="G868">
        <v>172</v>
      </c>
    </row>
    <row r="869" spans="1:7" x14ac:dyDescent="0.2">
      <c r="A869">
        <v>868</v>
      </c>
      <c r="B869">
        <v>38</v>
      </c>
      <c r="C869" t="s">
        <v>867</v>
      </c>
      <c r="D869" s="13" t="s">
        <v>913</v>
      </c>
      <c r="E869" s="1">
        <v>4.49247507646953</v>
      </c>
      <c r="F869">
        <f>VLOOKUP(C869,'[1]phenotypes-895'!$A$2:$G$896,7,FALSE)</f>
        <v>98</v>
      </c>
      <c r="G869">
        <v>200</v>
      </c>
    </row>
    <row r="870" spans="1:7" x14ac:dyDescent="0.2">
      <c r="A870">
        <v>869</v>
      </c>
      <c r="B870">
        <v>52</v>
      </c>
      <c r="C870" t="s">
        <v>868</v>
      </c>
      <c r="D870" s="13" t="s">
        <v>912</v>
      </c>
      <c r="E870" s="1">
        <v>3.85767957765021</v>
      </c>
      <c r="F870">
        <f>VLOOKUP(C870,'[1]phenotypes-895'!$A$2:$G$896,7,FALSE)</f>
        <v>74</v>
      </c>
      <c r="G870">
        <v>164</v>
      </c>
    </row>
    <row r="871" spans="1:7" x14ac:dyDescent="0.2">
      <c r="A871">
        <v>870</v>
      </c>
      <c r="B871">
        <v>48</v>
      </c>
      <c r="C871" t="s">
        <v>869</v>
      </c>
      <c r="D871" s="13" t="s">
        <v>912</v>
      </c>
      <c r="E871" s="1">
        <v>5.3610438184343598</v>
      </c>
      <c r="F871">
        <f>VLOOKUP(C871,'[1]phenotypes-895'!$A$2:$G$896,7,FALSE)</f>
        <v>98</v>
      </c>
      <c r="G871">
        <v>173</v>
      </c>
    </row>
    <row r="872" spans="1:7" x14ac:dyDescent="0.2">
      <c r="A872">
        <v>871</v>
      </c>
      <c r="B872">
        <v>21</v>
      </c>
      <c r="C872" t="s">
        <v>870</v>
      </c>
      <c r="D872" s="13" t="s">
        <v>913</v>
      </c>
      <c r="E872" s="1">
        <v>1.5266405928268401</v>
      </c>
      <c r="F872">
        <f>VLOOKUP(C872,'[1]phenotypes-895'!$A$2:$G$896,7,FALSE)</f>
        <v>98</v>
      </c>
      <c r="G872">
        <v>218</v>
      </c>
    </row>
    <row r="873" spans="1:7" x14ac:dyDescent="0.2">
      <c r="A873">
        <v>872</v>
      </c>
      <c r="B873">
        <v>21</v>
      </c>
      <c r="C873" t="s">
        <v>871</v>
      </c>
      <c r="D873" s="13" t="s">
        <v>913</v>
      </c>
      <c r="E873" s="1">
        <v>0.47804611641368799</v>
      </c>
      <c r="F873">
        <f>VLOOKUP(C873,'[1]phenotypes-895'!$A$2:$G$896,7,FALSE)</f>
        <v>67</v>
      </c>
      <c r="G873">
        <v>218</v>
      </c>
    </row>
    <row r="874" spans="1:7" x14ac:dyDescent="0.2">
      <c r="A874">
        <v>873</v>
      </c>
      <c r="B874">
        <v>31</v>
      </c>
      <c r="C874" t="s">
        <v>872</v>
      </c>
      <c r="D874" s="13" t="s">
        <v>913</v>
      </c>
      <c r="E874" s="1">
        <v>4.0372885263542404</v>
      </c>
      <c r="F874">
        <f>VLOOKUP(C874,'[1]phenotypes-895'!$A$2:$G$896,7,FALSE)</f>
        <v>98</v>
      </c>
      <c r="G874">
        <v>199</v>
      </c>
    </row>
    <row r="875" spans="1:7" x14ac:dyDescent="0.2">
      <c r="A875">
        <v>874</v>
      </c>
      <c r="B875">
        <v>50</v>
      </c>
      <c r="C875" t="s">
        <v>873</v>
      </c>
      <c r="D875" s="13" t="s">
        <v>912</v>
      </c>
      <c r="E875" s="1">
        <v>3.5815874084609098</v>
      </c>
      <c r="F875">
        <f>VLOOKUP(C875,'[1]phenotypes-895'!$A$2:$G$896,7,FALSE)</f>
        <v>80</v>
      </c>
      <c r="G875">
        <v>172</v>
      </c>
    </row>
    <row r="876" spans="1:7" x14ac:dyDescent="0.2">
      <c r="A876">
        <v>875</v>
      </c>
      <c r="B876">
        <v>35</v>
      </c>
      <c r="C876" t="s">
        <v>874</v>
      </c>
      <c r="D876" s="13" t="s">
        <v>913</v>
      </c>
      <c r="E876" s="1">
        <v>7.02396423158803</v>
      </c>
      <c r="F876">
        <f>VLOOKUP(C876,'[1]phenotypes-895'!$A$2:$G$896,7,FALSE)</f>
        <v>98</v>
      </c>
      <c r="G876">
        <v>304</v>
      </c>
    </row>
    <row r="877" spans="1:7" x14ac:dyDescent="0.2">
      <c r="A877">
        <v>876</v>
      </c>
      <c r="B877">
        <v>38</v>
      </c>
      <c r="C877" t="s">
        <v>875</v>
      </c>
      <c r="D877" s="13" t="s">
        <v>913</v>
      </c>
      <c r="E877" s="1">
        <v>2.1226508982607202</v>
      </c>
      <c r="F877">
        <f>VLOOKUP(C877,'[1]phenotypes-895'!$A$2:$G$896,7,FALSE)</f>
        <v>65</v>
      </c>
      <c r="G877">
        <v>200</v>
      </c>
    </row>
    <row r="878" spans="1:7" x14ac:dyDescent="0.2">
      <c r="A878">
        <v>877</v>
      </c>
      <c r="B878">
        <v>37</v>
      </c>
      <c r="C878" t="s">
        <v>876</v>
      </c>
      <c r="D878" s="13" t="s">
        <v>913</v>
      </c>
      <c r="E878" s="1">
        <v>0.95320154298723203</v>
      </c>
      <c r="F878">
        <f>VLOOKUP(C878,'[1]phenotypes-895'!$A$2:$G$896,7,FALSE)</f>
        <v>64</v>
      </c>
      <c r="G878">
        <v>315</v>
      </c>
    </row>
    <row r="879" spans="1:7" x14ac:dyDescent="0.2">
      <c r="A879">
        <v>878</v>
      </c>
      <c r="B879">
        <v>44</v>
      </c>
      <c r="C879" t="s">
        <v>877</v>
      </c>
      <c r="D879" s="13" t="s">
        <v>912</v>
      </c>
      <c r="E879" s="1">
        <v>0.32656637399069499</v>
      </c>
      <c r="F879">
        <f>VLOOKUP(C879,'[1]phenotypes-895'!$A$2:$G$896,7,FALSE)</f>
        <v>63</v>
      </c>
      <c r="G879">
        <v>173</v>
      </c>
    </row>
    <row r="880" spans="1:7" x14ac:dyDescent="0.2">
      <c r="A880">
        <v>879</v>
      </c>
      <c r="B880">
        <v>35</v>
      </c>
      <c r="C880" t="s">
        <v>878</v>
      </c>
      <c r="D880" s="13" t="s">
        <v>913</v>
      </c>
      <c r="E880" s="1">
        <v>0.32985806084226099</v>
      </c>
      <c r="F880">
        <f>VLOOKUP(C880,'[1]phenotypes-895'!$A$2:$G$896,7,FALSE)</f>
        <v>65</v>
      </c>
      <c r="G880">
        <v>304</v>
      </c>
    </row>
    <row r="881" spans="1:7" x14ac:dyDescent="0.2">
      <c r="A881">
        <v>880</v>
      </c>
      <c r="B881">
        <v>23</v>
      </c>
      <c r="C881" t="s">
        <v>879</v>
      </c>
      <c r="D881" s="13" t="s">
        <v>913</v>
      </c>
      <c r="E881" s="1">
        <v>-1.1352758763059601</v>
      </c>
      <c r="F881">
        <f>VLOOKUP(C881,'[1]phenotypes-895'!$A$2:$G$896,7,FALSE)</f>
        <v>49</v>
      </c>
      <c r="G881">
        <v>189</v>
      </c>
    </row>
    <row r="882" spans="1:7" x14ac:dyDescent="0.2">
      <c r="A882">
        <v>881</v>
      </c>
      <c r="B882">
        <v>31</v>
      </c>
      <c r="C882" t="s">
        <v>880</v>
      </c>
      <c r="D882" s="13" t="s">
        <v>913</v>
      </c>
      <c r="E882" s="1">
        <v>-0.256794980235453</v>
      </c>
      <c r="F882">
        <f>VLOOKUP(C882,'[1]phenotypes-895'!$A$2:$G$896,7,FALSE)</f>
        <v>63</v>
      </c>
      <c r="G882">
        <v>314</v>
      </c>
    </row>
    <row r="883" spans="1:7" x14ac:dyDescent="0.2">
      <c r="A883">
        <v>882</v>
      </c>
      <c r="B883">
        <v>54</v>
      </c>
      <c r="C883" t="s">
        <v>881</v>
      </c>
      <c r="D883" s="13" t="s">
        <v>912</v>
      </c>
      <c r="E883" s="1">
        <v>2.5973896771918201</v>
      </c>
      <c r="F883">
        <f>VLOOKUP(C883,'[1]phenotypes-895'!$A$2:$G$896,7,FALSE)</f>
        <v>98</v>
      </c>
      <c r="G883">
        <v>170</v>
      </c>
    </row>
    <row r="884" spans="1:7" x14ac:dyDescent="0.2">
      <c r="A884">
        <v>883</v>
      </c>
      <c r="B884">
        <v>22</v>
      </c>
      <c r="C884" t="s">
        <v>882</v>
      </c>
      <c r="D884" s="13" t="s">
        <v>913</v>
      </c>
      <c r="E884" s="1">
        <v>0.92316351415480802</v>
      </c>
      <c r="F884">
        <f>VLOOKUP(C884,'[1]phenotypes-895'!$A$2:$G$896,7,FALSE)</f>
        <v>98</v>
      </c>
      <c r="G884">
        <v>288</v>
      </c>
    </row>
    <row r="885" spans="1:7" x14ac:dyDescent="0.2">
      <c r="A885">
        <v>884</v>
      </c>
      <c r="B885">
        <v>31</v>
      </c>
      <c r="C885" t="s">
        <v>883</v>
      </c>
      <c r="D885" s="13" t="s">
        <v>913</v>
      </c>
      <c r="E885" s="1">
        <v>1.4862981020582799</v>
      </c>
      <c r="F885">
        <f>VLOOKUP(C885,'[1]phenotypes-895'!$A$2:$G$896,7,FALSE)</f>
        <v>63</v>
      </c>
      <c r="G885">
        <v>314</v>
      </c>
    </row>
    <row r="886" spans="1:7" x14ac:dyDescent="0.2">
      <c r="A886">
        <v>885</v>
      </c>
      <c r="B886">
        <v>22</v>
      </c>
      <c r="C886" t="s">
        <v>884</v>
      </c>
      <c r="D886" s="13" t="s">
        <v>913</v>
      </c>
      <c r="E886" s="1">
        <v>6.1340644723576796</v>
      </c>
      <c r="F886">
        <f>VLOOKUP(C886,'[1]phenotypes-895'!$A$2:$G$896,7,FALSE)</f>
        <v>98</v>
      </c>
      <c r="G886">
        <v>288</v>
      </c>
    </row>
    <row r="887" spans="1:7" x14ac:dyDescent="0.2">
      <c r="A887">
        <v>886</v>
      </c>
      <c r="B887">
        <v>36</v>
      </c>
      <c r="C887" t="s">
        <v>885</v>
      </c>
      <c r="D887" s="13" t="s">
        <v>913</v>
      </c>
      <c r="E887" s="1">
        <v>1.8528988156100299</v>
      </c>
      <c r="F887">
        <f>VLOOKUP(C887,'[1]phenotypes-895'!$A$2:$G$896,7,FALSE)</f>
        <v>63</v>
      </c>
      <c r="G887">
        <v>307</v>
      </c>
    </row>
    <row r="888" spans="1:7" x14ac:dyDescent="0.2">
      <c r="A888">
        <v>887</v>
      </c>
      <c r="B888">
        <v>24</v>
      </c>
      <c r="C888" t="s">
        <v>886</v>
      </c>
      <c r="D888" s="13" t="s">
        <v>913</v>
      </c>
      <c r="E888" s="1">
        <v>-0.43503150137977797</v>
      </c>
      <c r="F888">
        <f>VLOOKUP(C888,'[1]phenotypes-895'!$A$2:$G$896,7,FALSE)</f>
        <v>98</v>
      </c>
      <c r="G888">
        <v>354</v>
      </c>
    </row>
    <row r="889" spans="1:7" x14ac:dyDescent="0.2">
      <c r="A889">
        <v>888</v>
      </c>
      <c r="B889">
        <v>29</v>
      </c>
      <c r="C889" t="s">
        <v>887</v>
      </c>
      <c r="D889" s="13" t="s">
        <v>913</v>
      </c>
      <c r="E889" s="1">
        <v>-2.2503001029695899</v>
      </c>
      <c r="F889">
        <f>VLOOKUP(C889,'[1]phenotypes-895'!$A$2:$G$896,7,FALSE)</f>
        <v>69</v>
      </c>
      <c r="G889">
        <v>317</v>
      </c>
    </row>
    <row r="890" spans="1:7" x14ac:dyDescent="0.2">
      <c r="A890">
        <v>889</v>
      </c>
      <c r="B890">
        <v>24</v>
      </c>
      <c r="C890" t="s">
        <v>888</v>
      </c>
      <c r="D890" s="13" t="s">
        <v>913</v>
      </c>
      <c r="E890" s="1">
        <v>4.2092591831531703</v>
      </c>
      <c r="F890">
        <f>VLOOKUP(C890,'[1]phenotypes-895'!$A$2:$G$896,7,FALSE)</f>
        <v>80</v>
      </c>
      <c r="G890">
        <v>354</v>
      </c>
    </row>
    <row r="891" spans="1:7" x14ac:dyDescent="0.2">
      <c r="A891">
        <v>890</v>
      </c>
      <c r="B891">
        <v>38</v>
      </c>
      <c r="C891" t="s">
        <v>889</v>
      </c>
      <c r="D891" s="13" t="s">
        <v>913</v>
      </c>
      <c r="E891" s="1">
        <v>2.1152079304425699</v>
      </c>
      <c r="F891">
        <f>VLOOKUP(C891,'[1]phenotypes-895'!$A$2:$G$896,7,FALSE)</f>
        <v>98</v>
      </c>
      <c r="G891">
        <v>315</v>
      </c>
    </row>
    <row r="892" spans="1:7" x14ac:dyDescent="0.2">
      <c r="A892">
        <v>891</v>
      </c>
      <c r="B892">
        <v>27</v>
      </c>
      <c r="C892" t="s">
        <v>890</v>
      </c>
      <c r="D892" s="13" t="s">
        <v>913</v>
      </c>
      <c r="E892" s="1">
        <v>2.8760896585317899</v>
      </c>
      <c r="F892">
        <f>VLOOKUP(C892,'[1]phenotypes-895'!$A$2:$G$896,7,FALSE)</f>
        <v>98</v>
      </c>
      <c r="G892">
        <v>323</v>
      </c>
    </row>
    <row r="893" spans="1:7" x14ac:dyDescent="0.2">
      <c r="A893">
        <v>892</v>
      </c>
      <c r="B893">
        <v>28</v>
      </c>
      <c r="C893" t="s">
        <v>891</v>
      </c>
      <c r="D893" s="13" t="s">
        <v>913</v>
      </c>
      <c r="E893" s="1">
        <v>1.2923100430641099</v>
      </c>
      <c r="F893">
        <f>VLOOKUP(C893,'[1]phenotypes-895'!$A$2:$G$896,7,FALSE)</f>
        <v>57</v>
      </c>
      <c r="G893">
        <v>357</v>
      </c>
    </row>
    <row r="894" spans="1:7" x14ac:dyDescent="0.2">
      <c r="A894">
        <v>893</v>
      </c>
      <c r="B894">
        <v>38</v>
      </c>
      <c r="C894" t="s">
        <v>892</v>
      </c>
      <c r="D894" s="13" t="s">
        <v>913</v>
      </c>
      <c r="E894" s="1">
        <v>5.6561355662124599</v>
      </c>
      <c r="F894">
        <f>VLOOKUP(C894,'[1]phenotypes-895'!$A$2:$G$896,7,FALSE)</f>
        <v>98</v>
      </c>
      <c r="G894">
        <v>315</v>
      </c>
    </row>
    <row r="895" spans="1:7" x14ac:dyDescent="0.2">
      <c r="A895">
        <v>894</v>
      </c>
      <c r="B895">
        <v>33</v>
      </c>
      <c r="C895" t="s">
        <v>893</v>
      </c>
      <c r="D895" s="13" t="s">
        <v>913</v>
      </c>
      <c r="E895" s="1">
        <v>-6.5633772376321797</v>
      </c>
      <c r="F895">
        <f>VLOOKUP(C895,'[1]phenotypes-895'!$A$2:$G$896,7,FALSE)</f>
        <v>98</v>
      </c>
      <c r="G895">
        <v>304</v>
      </c>
    </row>
    <row r="896" spans="1:7" x14ac:dyDescent="0.2">
      <c r="A896">
        <v>895</v>
      </c>
      <c r="B896">
        <v>31</v>
      </c>
      <c r="C896" t="s">
        <v>894</v>
      </c>
      <c r="D896" s="13" t="s">
        <v>913</v>
      </c>
      <c r="E896" s="1">
        <v>-2.45732E-2</v>
      </c>
      <c r="F896" s="15">
        <v>98</v>
      </c>
      <c r="G896">
        <v>314</v>
      </c>
    </row>
  </sheetData>
  <sortState xmlns:xlrd2="http://schemas.microsoft.com/office/spreadsheetml/2017/richdata2" ref="A2:F896">
    <sortCondition ref="A2:A89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17E2-1D65-F940-901D-1EF58884AC91}">
  <dimension ref="A1:O896"/>
  <sheetViews>
    <sheetView tabSelected="1" topLeftCell="A871" zoomScale="110" zoomScaleNormal="110" workbookViewId="0">
      <selection activeCell="E896" sqref="E896"/>
    </sheetView>
  </sheetViews>
  <sheetFormatPr baseColWidth="10" defaultColWidth="11" defaultRowHeight="16" x14ac:dyDescent="0.2"/>
  <cols>
    <col min="1" max="1" width="10.33203125" bestFit="1" customWidth="1"/>
    <col min="2" max="2" width="4.83203125" bestFit="1" customWidth="1"/>
    <col min="3" max="3" width="10.6640625" bestFit="1" customWidth="1"/>
    <col min="4" max="4" width="4" style="12" bestFit="1" customWidth="1"/>
    <col min="5" max="5" width="20.1640625" bestFit="1" customWidth="1"/>
    <col min="6" max="6" width="17.6640625" customWidth="1"/>
    <col min="7" max="7" width="12.6640625" bestFit="1" customWidth="1"/>
  </cols>
  <sheetData>
    <row r="1" spans="1:15" s="10" customFormat="1" x14ac:dyDescent="0.2">
      <c r="A1" s="10" t="s">
        <v>897</v>
      </c>
      <c r="B1" s="10" t="s">
        <v>914</v>
      </c>
      <c r="C1" s="10" t="s">
        <v>895</v>
      </c>
      <c r="D1" s="11" t="s">
        <v>911</v>
      </c>
      <c r="E1" s="10" t="s">
        <v>896</v>
      </c>
      <c r="F1" s="10" t="s">
        <v>919</v>
      </c>
      <c r="G1" s="10" t="s">
        <v>898</v>
      </c>
      <c r="H1" s="10" t="s">
        <v>924</v>
      </c>
      <c r="K1" s="3" t="s">
        <v>925</v>
      </c>
      <c r="L1" s="3" t="s">
        <v>927</v>
      </c>
      <c r="M1" s="3" t="s">
        <v>926</v>
      </c>
      <c r="N1" s="10" t="s">
        <v>928</v>
      </c>
      <c r="O1" s="10" t="s">
        <v>929</v>
      </c>
    </row>
    <row r="2" spans="1:15" x14ac:dyDescent="0.2">
      <c r="A2">
        <v>69</v>
      </c>
      <c r="B2">
        <v>19</v>
      </c>
      <c r="C2" t="s">
        <v>68</v>
      </c>
      <c r="D2" s="12" t="s">
        <v>912</v>
      </c>
      <c r="E2" s="1">
        <v>-12.4609389289728</v>
      </c>
      <c r="F2" s="1">
        <v>-12.573469912594501</v>
      </c>
      <c r="G2">
        <f>VLOOKUP(C2,'[1]phenotypes-895'!$A$2:$G$896,7,FALSE)</f>
        <v>48</v>
      </c>
      <c r="K2" s="3">
        <v>1</v>
      </c>
      <c r="L2" s="1">
        <f>AVERAGE(E2:E10)</f>
        <v>-11.522926420005579</v>
      </c>
      <c r="M2" cm="1">
        <f t="array" ref="M2">SUM(1/ COUNTIF(B2:B10,B2:B10))</f>
        <v>3</v>
      </c>
      <c r="N2" s="17">
        <v>100</v>
      </c>
      <c r="O2" s="17">
        <v>0</v>
      </c>
    </row>
    <row r="3" spans="1:15" x14ac:dyDescent="0.2">
      <c r="A3">
        <v>19</v>
      </c>
      <c r="B3">
        <v>19</v>
      </c>
      <c r="C3" t="s">
        <v>18</v>
      </c>
      <c r="D3" s="12" t="s">
        <v>912</v>
      </c>
      <c r="E3" s="1">
        <v>-11.986935130675</v>
      </c>
      <c r="F3" s="1">
        <v>-11.8138724022985</v>
      </c>
      <c r="G3">
        <f>VLOOKUP(C3,'[1]phenotypes-895'!$A$2:$G$896,7,FALSE)</f>
        <v>61</v>
      </c>
      <c r="K3" s="3">
        <v>2</v>
      </c>
      <c r="L3" s="1">
        <f>AVERAGE(E2:E19)</f>
        <v>-11.023804405317149</v>
      </c>
      <c r="M3" cm="1">
        <f t="array" ref="M3">SUM(1/ COUNTIF(B2:B19,B2:B19))</f>
        <v>3.0000000000000009</v>
      </c>
      <c r="N3" s="17">
        <v>88.235290000000006</v>
      </c>
      <c r="O3" s="17">
        <v>11.764709999999999</v>
      </c>
    </row>
    <row r="4" spans="1:15" x14ac:dyDescent="0.2">
      <c r="A4">
        <v>33</v>
      </c>
      <c r="B4">
        <v>15</v>
      </c>
      <c r="C4" t="s">
        <v>32</v>
      </c>
      <c r="D4" s="12" t="s">
        <v>912</v>
      </c>
      <c r="E4" s="1">
        <v>-11.9851634704952</v>
      </c>
      <c r="F4" s="1">
        <v>-13.099553023043001</v>
      </c>
      <c r="G4">
        <f>VLOOKUP(C4,'[1]phenotypes-895'!$A$2:$G$896,7,FALSE)</f>
        <v>46</v>
      </c>
      <c r="K4" s="3">
        <v>3</v>
      </c>
      <c r="L4" s="1">
        <f>AVERAGE(E2:E28)</f>
        <v>-10.634247964592008</v>
      </c>
      <c r="M4" cm="1">
        <f t="array" ref="M4">SUM(1/ COUNTIF(B2:B28,B2:B28))</f>
        <v>5</v>
      </c>
      <c r="N4" s="17">
        <v>80.769229999999993</v>
      </c>
      <c r="O4" s="17">
        <v>19.23077</v>
      </c>
    </row>
    <row r="5" spans="1:15" x14ac:dyDescent="0.2">
      <c r="A5">
        <v>189</v>
      </c>
      <c r="B5">
        <v>16</v>
      </c>
      <c r="C5" t="s">
        <v>188</v>
      </c>
      <c r="D5" s="12" t="s">
        <v>912</v>
      </c>
      <c r="E5" s="1">
        <v>-11.909958140818301</v>
      </c>
      <c r="F5" s="1">
        <v>-12.0442913914397</v>
      </c>
      <c r="G5">
        <f>VLOOKUP(C5,'[1]phenotypes-895'!$A$2:$G$896,7,FALSE)</f>
        <v>49</v>
      </c>
      <c r="K5" s="3">
        <v>4</v>
      </c>
      <c r="L5" s="1">
        <f>AVERAGE(E2:E37)</f>
        <v>-10.226202783357758</v>
      </c>
      <c r="M5" cm="1">
        <f t="array" ref="M5">SUM(1/ COUNTIF(B2:B37,B2:B37))</f>
        <v>6.9999999999999991</v>
      </c>
      <c r="N5" s="17">
        <v>80</v>
      </c>
      <c r="O5" s="17">
        <v>20</v>
      </c>
    </row>
    <row r="6" spans="1:15" x14ac:dyDescent="0.2">
      <c r="A6">
        <v>23</v>
      </c>
      <c r="B6">
        <v>19</v>
      </c>
      <c r="C6" t="s">
        <v>22</v>
      </c>
      <c r="D6" s="12" t="s">
        <v>912</v>
      </c>
      <c r="E6" s="1">
        <v>-11.570048655413199</v>
      </c>
      <c r="F6" s="1">
        <v>-12.825642314401501</v>
      </c>
      <c r="G6">
        <f>VLOOKUP(C6,'[1]phenotypes-895'!$A$2:$G$896,7,FALSE)</f>
        <v>51</v>
      </c>
      <c r="K6" s="3">
        <v>5</v>
      </c>
      <c r="L6" s="1">
        <f>AVERAGE(E2:E46)</f>
        <v>-9.7803658023360658</v>
      </c>
      <c r="M6" cm="1">
        <f t="array" ref="M6">SUM(1/ COUNTIF(B2:B46,B2:B46))</f>
        <v>9.9999999999999982</v>
      </c>
      <c r="N6" s="17">
        <v>72.727270000000004</v>
      </c>
      <c r="O6" s="17">
        <v>27.272729999999999</v>
      </c>
    </row>
    <row r="7" spans="1:15" x14ac:dyDescent="0.2">
      <c r="A7">
        <v>73</v>
      </c>
      <c r="B7">
        <v>19</v>
      </c>
      <c r="C7" t="s">
        <v>72</v>
      </c>
      <c r="D7" s="12" t="s">
        <v>912</v>
      </c>
      <c r="E7" s="1">
        <v>-11.110775031547499</v>
      </c>
      <c r="F7" s="1">
        <v>-11.2927466363251</v>
      </c>
      <c r="G7">
        <f>VLOOKUP(C7,'[1]phenotypes-895'!$A$2:$G$896,7,FALSE)</f>
        <v>48</v>
      </c>
      <c r="K7" s="3">
        <v>6</v>
      </c>
      <c r="L7" s="1">
        <f>AVERAGE(E2:E55)</f>
        <v>-9.4055722114675646</v>
      </c>
      <c r="M7" cm="1">
        <f t="array" ref="M7">SUM(1/ COUNTIF(B2:B55,B2:B55))</f>
        <v>12.999999999999998</v>
      </c>
      <c r="N7" s="17">
        <v>71.69811</v>
      </c>
      <c r="O7" s="17">
        <v>28.30189</v>
      </c>
    </row>
    <row r="8" spans="1:15" x14ac:dyDescent="0.2">
      <c r="A8">
        <v>105</v>
      </c>
      <c r="B8">
        <v>19</v>
      </c>
      <c r="C8" t="s">
        <v>104</v>
      </c>
      <c r="D8" s="12" t="s">
        <v>912</v>
      </c>
      <c r="E8" s="1">
        <v>-11.075767630651701</v>
      </c>
      <c r="F8" s="1">
        <v>-11.1901053506227</v>
      </c>
      <c r="G8">
        <f>VLOOKUP(C8,'[1]phenotypes-895'!$A$2:$G$896,7,FALSE)</f>
        <v>56</v>
      </c>
      <c r="K8" s="3">
        <v>7</v>
      </c>
      <c r="L8" s="1">
        <f>AVERAGE(E2:E64)</f>
        <v>-9.0888022101699626</v>
      </c>
      <c r="M8" cm="1">
        <f t="array" ref="M8">SUM(1/ COUNTIF(B2:B64,B2:B64))</f>
        <v>12.999999999999995</v>
      </c>
      <c r="N8" s="17">
        <v>70.967740000000006</v>
      </c>
      <c r="O8" s="17">
        <v>29.032260000000001</v>
      </c>
    </row>
    <row r="9" spans="1:15" x14ac:dyDescent="0.2">
      <c r="A9">
        <v>4</v>
      </c>
      <c r="B9">
        <v>15</v>
      </c>
      <c r="C9" t="s">
        <v>3</v>
      </c>
      <c r="D9" s="12" t="s">
        <v>912</v>
      </c>
      <c r="E9" s="1">
        <v>-10.8304973045135</v>
      </c>
      <c r="F9" s="1">
        <v>-11.817503256592801</v>
      </c>
      <c r="G9">
        <f>VLOOKUP(C9,'[1]phenotypes-895'!$A$2:$G$896,7,FALSE)</f>
        <v>63</v>
      </c>
      <c r="K9" s="3">
        <v>8</v>
      </c>
      <c r="L9" s="1">
        <f>AVERAGE(E2:E73)</f>
        <v>-8.7965502391086474</v>
      </c>
      <c r="M9" cm="1">
        <f t="array" ref="M9">SUM(1/ COUNTIF(B2:B73,B2:B73))</f>
        <v>15.999999999999998</v>
      </c>
      <c r="N9" s="17">
        <v>74.647890000000004</v>
      </c>
      <c r="O9" s="17">
        <v>25.35211</v>
      </c>
    </row>
    <row r="10" spans="1:15" x14ac:dyDescent="0.2">
      <c r="A10">
        <v>124</v>
      </c>
      <c r="B10">
        <v>16</v>
      </c>
      <c r="C10" t="s">
        <v>123</v>
      </c>
      <c r="D10" s="12" t="s">
        <v>912</v>
      </c>
      <c r="E10" s="1">
        <v>-10.776253486963</v>
      </c>
      <c r="F10" s="1">
        <v>-11.032130779917001</v>
      </c>
      <c r="G10">
        <f>VLOOKUP(C10,'[1]phenotypes-895'!$A$2:$G$896,7,FALSE)</f>
        <v>53</v>
      </c>
      <c r="K10" s="3">
        <v>9</v>
      </c>
      <c r="L10" s="1">
        <f>AVERAGE(E2:E82)</f>
        <v>-8.5266884339799134</v>
      </c>
      <c r="M10" cm="1">
        <f t="array" ref="M10">SUM(1/ COUNTIF(B2:B82,B2:B82))</f>
        <v>15.999999999999991</v>
      </c>
      <c r="N10" s="17">
        <v>73.75</v>
      </c>
      <c r="O10" s="17">
        <v>26.25</v>
      </c>
    </row>
    <row r="11" spans="1:15" x14ac:dyDescent="0.2">
      <c r="A11">
        <v>264</v>
      </c>
      <c r="B11">
        <v>15</v>
      </c>
      <c r="C11" t="s">
        <v>263</v>
      </c>
      <c r="D11" s="12" t="s">
        <v>912</v>
      </c>
      <c r="E11" s="1">
        <v>-10.759152654088799</v>
      </c>
      <c r="F11" s="1">
        <v>-11.988002366701499</v>
      </c>
      <c r="G11">
        <f>VLOOKUP(C11,'[1]phenotypes-895'!$A$2:$G$896,7,FALSE)</f>
        <v>53</v>
      </c>
      <c r="K11" s="3">
        <v>10</v>
      </c>
      <c r="L11" s="1">
        <f>AVERAGE(E2:E91)</f>
        <v>-8.2565022665300543</v>
      </c>
      <c r="M11" cm="1">
        <f t="array" ref="M11">SUM(1/ COUNTIF(B2:B91,B2:B91))</f>
        <v>17.999999999999989</v>
      </c>
      <c r="N11" s="17">
        <v>75.280900000000003</v>
      </c>
      <c r="O11" s="17">
        <v>24.719100000000001</v>
      </c>
    </row>
    <row r="12" spans="1:15" x14ac:dyDescent="0.2">
      <c r="A12">
        <v>272</v>
      </c>
      <c r="B12">
        <v>19</v>
      </c>
      <c r="C12" t="s">
        <v>271</v>
      </c>
      <c r="D12" s="12" t="s">
        <v>912</v>
      </c>
      <c r="E12" s="1">
        <v>-10.694252747541499</v>
      </c>
      <c r="F12" s="1">
        <v>-10.817016846422399</v>
      </c>
      <c r="G12">
        <f>VLOOKUP(C12,'[1]phenotypes-895'!$A$2:$G$896,7,FALSE)</f>
        <v>60</v>
      </c>
      <c r="K12" s="3">
        <v>20</v>
      </c>
      <c r="L12" s="1">
        <f>AVERAGE(E2:E181)</f>
        <v>-6.2100315942360389</v>
      </c>
      <c r="M12" cm="1">
        <f t="array" ref="M12">SUM(1/ COUNTIF(B2:B181,B2:B181))</f>
        <v>37.999999999999993</v>
      </c>
      <c r="N12" s="17">
        <v>72.067040000000006</v>
      </c>
      <c r="O12" s="17">
        <v>27.932960000000001</v>
      </c>
    </row>
    <row r="13" spans="1:15" x14ac:dyDescent="0.2">
      <c r="A13">
        <v>61</v>
      </c>
      <c r="B13">
        <v>19</v>
      </c>
      <c r="C13" t="s">
        <v>60</v>
      </c>
      <c r="D13" s="12" t="s">
        <v>912</v>
      </c>
      <c r="E13" s="1">
        <v>-10.674335989126099</v>
      </c>
      <c r="F13" s="1">
        <v>-10.456807951901901</v>
      </c>
      <c r="G13">
        <f>VLOOKUP(C13,'[1]phenotypes-895'!$A$2:$G$896,7,FALSE)</f>
        <v>74</v>
      </c>
      <c r="K13" s="3">
        <v>30</v>
      </c>
      <c r="L13" s="1">
        <f>AVERAGE(E2:E271)</f>
        <v>-4.910706414784463</v>
      </c>
      <c r="M13" cm="1">
        <f t="array" ref="M13">SUM(1/ COUNTIF(B2:B271,B2:B271))</f>
        <v>46.000000000000071</v>
      </c>
      <c r="N13" s="17">
        <v>66.417910000000006</v>
      </c>
      <c r="O13" s="17">
        <v>33.582090000000001</v>
      </c>
    </row>
    <row r="14" spans="1:15" x14ac:dyDescent="0.2">
      <c r="A14">
        <v>145</v>
      </c>
      <c r="B14">
        <v>15</v>
      </c>
      <c r="C14" t="s">
        <v>144</v>
      </c>
      <c r="D14" s="12" t="s">
        <v>912</v>
      </c>
      <c r="E14" s="1">
        <v>-10.5708410141805</v>
      </c>
      <c r="F14" s="1">
        <v>-11.959428113945</v>
      </c>
      <c r="G14">
        <f>VLOOKUP(C14,'[1]phenotypes-895'!$A$2:$G$896,7,FALSE)</f>
        <v>61</v>
      </c>
      <c r="K14" s="3">
        <v>40</v>
      </c>
      <c r="L14" s="1">
        <f>AVERAGE(E2:E361)</f>
        <v>-3.9622533145935197</v>
      </c>
      <c r="M14" cm="1">
        <f t="array" ref="M14">SUM(1/ COUNTIF(B2:B361,B2:B361))</f>
        <v>51.000000000000156</v>
      </c>
      <c r="N14" s="17">
        <v>62.01117</v>
      </c>
      <c r="O14" s="17">
        <v>37.98883</v>
      </c>
    </row>
    <row r="15" spans="1:15" x14ac:dyDescent="0.2">
      <c r="A15">
        <v>66</v>
      </c>
      <c r="B15">
        <v>19</v>
      </c>
      <c r="C15" t="s">
        <v>65</v>
      </c>
      <c r="D15" s="12" t="s">
        <v>912</v>
      </c>
      <c r="E15" s="1">
        <v>-10.518092507916901</v>
      </c>
      <c r="F15" s="1">
        <v>-10.394763858082801</v>
      </c>
      <c r="G15">
        <f>VLOOKUP(C15,'[1]phenotypes-895'!$A$2:$G$896,7,FALSE)</f>
        <v>72</v>
      </c>
      <c r="K15" s="3">
        <v>50</v>
      </c>
      <c r="L15" s="1">
        <f>AVERAGE(E2:E451)</f>
        <v>-3.1780505441300906</v>
      </c>
      <c r="M15" cm="1">
        <f t="array" ref="M15">SUM(1/ COUNTIF(B2:B451,B2:B451))</f>
        <v>54.000000000000149</v>
      </c>
      <c r="N15" s="17">
        <v>60.402679999999997</v>
      </c>
      <c r="O15" s="17">
        <v>39.597320000000003</v>
      </c>
    </row>
    <row r="16" spans="1:15" x14ac:dyDescent="0.2">
      <c r="A16">
        <v>198</v>
      </c>
      <c r="B16">
        <v>19</v>
      </c>
      <c r="C16" t="s">
        <v>197</v>
      </c>
      <c r="D16" s="12" t="s">
        <v>912</v>
      </c>
      <c r="E16" s="1">
        <v>-10.4581553848332</v>
      </c>
      <c r="F16" s="1">
        <v>-10.565097944035299</v>
      </c>
      <c r="G16">
        <f>VLOOKUP(C16,'[1]phenotypes-895'!$A$2:$G$896,7,FALSE)</f>
        <v>51</v>
      </c>
      <c r="K16" s="3"/>
    </row>
    <row r="17" spans="1:13" x14ac:dyDescent="0.2">
      <c r="A17">
        <v>229</v>
      </c>
      <c r="B17">
        <v>15</v>
      </c>
      <c r="C17" t="s">
        <v>228</v>
      </c>
      <c r="D17" s="12" t="s">
        <v>912</v>
      </c>
      <c r="E17" s="1">
        <v>-10.441750307938999</v>
      </c>
      <c r="F17" s="1">
        <v>-11.5111141998443</v>
      </c>
      <c r="G17">
        <f>VLOOKUP(C17,'[1]phenotypes-895'!$A$2:$G$896,7,FALSE)</f>
        <v>58</v>
      </c>
    </row>
    <row r="18" spans="1:13" x14ac:dyDescent="0.2">
      <c r="A18">
        <v>268</v>
      </c>
      <c r="B18">
        <v>19</v>
      </c>
      <c r="C18" t="s">
        <v>267</v>
      </c>
      <c r="D18" s="12" t="s">
        <v>912</v>
      </c>
      <c r="E18" s="1">
        <v>-10.4057163780721</v>
      </c>
      <c r="F18" s="1">
        <v>-10.558461223201</v>
      </c>
      <c r="G18">
        <f>VLOOKUP(C18,'[1]phenotypes-895'!$A$2:$G$896,7,FALSE)</f>
        <v>50</v>
      </c>
      <c r="K18" s="3"/>
    </row>
    <row r="19" spans="1:13" x14ac:dyDescent="0.2">
      <c r="A19">
        <v>7</v>
      </c>
      <c r="B19">
        <v>16</v>
      </c>
      <c r="C19" t="s">
        <v>6</v>
      </c>
      <c r="D19" s="12" t="s">
        <v>912</v>
      </c>
      <c r="E19" s="1">
        <v>-10.1998445319604</v>
      </c>
      <c r="F19" s="1">
        <v>-10.461524947411901</v>
      </c>
      <c r="G19">
        <f>VLOOKUP(C19,'[1]phenotypes-895'!$A$2:$G$896,7,FALSE)</f>
        <v>53</v>
      </c>
    </row>
    <row r="20" spans="1:13" x14ac:dyDescent="0.2">
      <c r="A20">
        <v>135</v>
      </c>
      <c r="B20">
        <v>16</v>
      </c>
      <c r="C20" t="s">
        <v>134</v>
      </c>
      <c r="D20" s="12" t="s">
        <v>912</v>
      </c>
      <c r="E20" s="1">
        <v>-10.100020015284301</v>
      </c>
      <c r="F20" s="1">
        <v>-9.8777346975271403</v>
      </c>
      <c r="G20">
        <f>VLOOKUP(C20,'[1]phenotypes-895'!$A$2:$G$896,7,FALSE)</f>
        <v>46</v>
      </c>
    </row>
    <row r="21" spans="1:13" x14ac:dyDescent="0.2">
      <c r="A21">
        <v>109</v>
      </c>
      <c r="B21">
        <v>16</v>
      </c>
      <c r="C21" t="s">
        <v>108</v>
      </c>
      <c r="D21" s="12" t="s">
        <v>912</v>
      </c>
      <c r="E21" s="1">
        <v>-9.9829837942069002</v>
      </c>
      <c r="F21" s="1">
        <v>-10.0447670935527</v>
      </c>
      <c r="G21">
        <f>VLOOKUP(C21,'[1]phenotypes-895'!$A$2:$G$896,7,FALSE)</f>
        <v>73</v>
      </c>
    </row>
    <row r="22" spans="1:13" x14ac:dyDescent="0.2">
      <c r="A22">
        <v>235</v>
      </c>
      <c r="B22">
        <v>19</v>
      </c>
      <c r="C22" t="s">
        <v>234</v>
      </c>
      <c r="D22" s="12" t="s">
        <v>912</v>
      </c>
      <c r="E22" s="1">
        <v>-9.9703562698708996</v>
      </c>
      <c r="F22" s="1">
        <v>-9.9011937187595507</v>
      </c>
      <c r="G22">
        <f>VLOOKUP(C22,'[1]phenotypes-895'!$A$2:$G$896,7,FALSE)</f>
        <v>61</v>
      </c>
      <c r="K22" s="14"/>
      <c r="L22" s="14"/>
      <c r="M22" s="14"/>
    </row>
    <row r="23" spans="1:13" x14ac:dyDescent="0.2">
      <c r="A23">
        <v>519</v>
      </c>
      <c r="B23">
        <v>16</v>
      </c>
      <c r="C23" t="s">
        <v>518</v>
      </c>
      <c r="D23" s="12" t="s">
        <v>912</v>
      </c>
      <c r="E23" s="1">
        <v>-9.9362592678821304</v>
      </c>
      <c r="F23" s="1">
        <v>-10.2663625564514</v>
      </c>
      <c r="G23">
        <f>VLOOKUP(C23,'[1]phenotypes-895'!$A$2:$G$896,7,FALSE)</f>
        <v>44</v>
      </c>
      <c r="K23" s="16"/>
      <c r="L23" s="16"/>
      <c r="M23" s="16"/>
    </row>
    <row r="24" spans="1:13" x14ac:dyDescent="0.2">
      <c r="A24">
        <v>835</v>
      </c>
      <c r="B24">
        <v>27</v>
      </c>
      <c r="C24" t="s">
        <v>834</v>
      </c>
      <c r="D24" s="13" t="s">
        <v>913</v>
      </c>
      <c r="E24" s="1">
        <v>-9.9343812583524596</v>
      </c>
      <c r="F24" s="1">
        <v>-13.4071161422061</v>
      </c>
      <c r="G24">
        <f>VLOOKUP(C24,'[1]phenotypes-895'!$A$2:$G$896,7,FALSE)</f>
        <v>58</v>
      </c>
      <c r="K24" s="16"/>
      <c r="L24" s="16"/>
      <c r="M24" s="16"/>
    </row>
    <row r="25" spans="1:13" x14ac:dyDescent="0.2">
      <c r="A25">
        <v>114</v>
      </c>
      <c r="B25">
        <v>5</v>
      </c>
      <c r="C25" t="s">
        <v>113</v>
      </c>
      <c r="D25" s="12" t="s">
        <v>913</v>
      </c>
      <c r="E25" s="1">
        <v>-9.8630701986425002</v>
      </c>
      <c r="F25" s="1">
        <v>-12.880627949125801</v>
      </c>
      <c r="G25">
        <f>VLOOKUP(C25,'[1]phenotypes-895'!$A$2:$G$896,7,FALSE)</f>
        <v>56</v>
      </c>
      <c r="K25" s="16"/>
      <c r="L25" s="16"/>
      <c r="M25" s="16"/>
    </row>
    <row r="26" spans="1:13" x14ac:dyDescent="0.2">
      <c r="A26">
        <v>112</v>
      </c>
      <c r="B26">
        <v>19</v>
      </c>
      <c r="C26" t="s">
        <v>111</v>
      </c>
      <c r="D26" s="12" t="s">
        <v>912</v>
      </c>
      <c r="E26" s="1">
        <v>-9.7282557802196692</v>
      </c>
      <c r="F26" s="1">
        <v>-9.7393119599659901</v>
      </c>
      <c r="G26">
        <f>VLOOKUP(C26,'[1]phenotypes-895'!$A$2:$G$896,7,FALSE)</f>
        <v>61</v>
      </c>
      <c r="K26" s="16"/>
      <c r="L26" s="16"/>
      <c r="M26" s="16"/>
    </row>
    <row r="27" spans="1:13" x14ac:dyDescent="0.2">
      <c r="A27">
        <v>196</v>
      </c>
      <c r="B27">
        <v>5</v>
      </c>
      <c r="C27" t="s">
        <v>195</v>
      </c>
      <c r="D27" s="12" t="s">
        <v>913</v>
      </c>
      <c r="E27" s="1">
        <v>-9.6379303317110594</v>
      </c>
      <c r="F27" s="1">
        <v>-12.932592100325399</v>
      </c>
      <c r="G27">
        <f>VLOOKUP(C27,'[1]phenotypes-895'!$A$2:$G$896,7,FALSE)</f>
        <v>55</v>
      </c>
      <c r="K27" s="16"/>
      <c r="L27" s="16"/>
      <c r="M27" s="16"/>
    </row>
    <row r="28" spans="1:13" x14ac:dyDescent="0.2">
      <c r="A28">
        <v>57</v>
      </c>
      <c r="B28">
        <v>15</v>
      </c>
      <c r="C28" t="s">
        <v>56</v>
      </c>
      <c r="D28" s="12" t="s">
        <v>912</v>
      </c>
      <c r="E28" s="1">
        <v>-9.5429588321056507</v>
      </c>
      <c r="F28" s="1">
        <v>-10.906655660471699</v>
      </c>
      <c r="G28">
        <f>VLOOKUP(C28,'[1]phenotypes-895'!$A$2:$G$896,7,FALSE)</f>
        <v>45</v>
      </c>
      <c r="K28" s="16"/>
      <c r="L28" s="16"/>
      <c r="M28" s="16"/>
    </row>
    <row r="29" spans="1:13" x14ac:dyDescent="0.2">
      <c r="A29">
        <v>294</v>
      </c>
      <c r="B29">
        <v>15</v>
      </c>
      <c r="C29" t="s">
        <v>293</v>
      </c>
      <c r="D29" s="12" t="s">
        <v>912</v>
      </c>
      <c r="E29" s="1">
        <v>-9.3874575378984009</v>
      </c>
      <c r="F29" s="1">
        <v>-10.3131466879921</v>
      </c>
      <c r="G29">
        <f>VLOOKUP(C29,'[1]phenotypes-895'!$A$2:$G$896,7,FALSE)</f>
        <v>58</v>
      </c>
      <c r="K29" s="16"/>
      <c r="L29" s="16"/>
      <c r="M29" s="16"/>
    </row>
    <row r="30" spans="1:13" x14ac:dyDescent="0.2">
      <c r="A30">
        <v>270</v>
      </c>
      <c r="B30">
        <v>19</v>
      </c>
      <c r="C30" t="s">
        <v>269</v>
      </c>
      <c r="D30" s="12" t="s">
        <v>912</v>
      </c>
      <c r="E30" s="1">
        <v>-9.3363189621670397</v>
      </c>
      <c r="F30" s="1">
        <v>-10.395342504274099</v>
      </c>
      <c r="G30">
        <f>VLOOKUP(C30,'[1]phenotypes-895'!$A$2:$G$896,7,FALSE)</f>
        <v>56</v>
      </c>
      <c r="K30" s="16"/>
      <c r="L30" s="16"/>
      <c r="M30" s="16"/>
    </row>
    <row r="31" spans="1:13" x14ac:dyDescent="0.2">
      <c r="A31">
        <v>332</v>
      </c>
      <c r="B31">
        <v>5</v>
      </c>
      <c r="C31" t="s">
        <v>331</v>
      </c>
      <c r="D31" s="12" t="s">
        <v>913</v>
      </c>
      <c r="E31" s="1">
        <v>-9.3295795308114595</v>
      </c>
      <c r="F31" s="1">
        <v>-12.5644024185432</v>
      </c>
      <c r="G31">
        <f>VLOOKUP(C31,'[1]phenotypes-895'!$A$2:$G$896,7,FALSE)</f>
        <v>51</v>
      </c>
      <c r="K31" s="16"/>
      <c r="L31" s="16"/>
      <c r="M31" s="16"/>
    </row>
    <row r="32" spans="1:13" x14ac:dyDescent="0.2">
      <c r="A32">
        <v>59</v>
      </c>
      <c r="B32">
        <v>17</v>
      </c>
      <c r="C32" t="s">
        <v>58</v>
      </c>
      <c r="D32" s="12" t="s">
        <v>912</v>
      </c>
      <c r="E32" s="1">
        <v>-9.1767259561584407</v>
      </c>
      <c r="F32" s="1">
        <v>-9.1978720123195199</v>
      </c>
      <c r="G32">
        <f>VLOOKUP(C32,'[1]phenotypes-895'!$A$2:$G$896,7,FALSE)</f>
        <v>51</v>
      </c>
      <c r="K32" s="16"/>
      <c r="L32" s="16"/>
      <c r="M32" s="16"/>
    </row>
    <row r="33" spans="1:13" x14ac:dyDescent="0.2">
      <c r="A33">
        <v>304</v>
      </c>
      <c r="B33">
        <v>13</v>
      </c>
      <c r="C33" t="s">
        <v>303</v>
      </c>
      <c r="D33" s="12" t="s">
        <v>912</v>
      </c>
      <c r="E33" s="1">
        <v>-8.9247514107861008</v>
      </c>
      <c r="F33" s="1">
        <v>-8.8788279091257198</v>
      </c>
      <c r="G33">
        <f>VLOOKUP(C33,'[1]phenotypes-895'!$A$2:$G$896,7,FALSE)</f>
        <v>49</v>
      </c>
      <c r="K33" s="16"/>
      <c r="L33" s="16"/>
      <c r="M33" s="16"/>
    </row>
    <row r="34" spans="1:13" x14ac:dyDescent="0.2">
      <c r="A34">
        <v>49</v>
      </c>
      <c r="B34">
        <v>17</v>
      </c>
      <c r="C34" t="s">
        <v>48</v>
      </c>
      <c r="D34" s="12" t="s">
        <v>912</v>
      </c>
      <c r="E34" s="1">
        <v>-8.8591471689410195</v>
      </c>
      <c r="F34" s="1">
        <v>-8.8014426148947305</v>
      </c>
      <c r="G34">
        <f>VLOOKUP(C34,'[1]phenotypes-895'!$A$2:$G$896,7,FALSE)</f>
        <v>64</v>
      </c>
      <c r="K34" s="16"/>
      <c r="L34" s="16"/>
      <c r="M34" s="16"/>
    </row>
    <row r="35" spans="1:13" x14ac:dyDescent="0.2">
      <c r="A35">
        <v>326</v>
      </c>
      <c r="B35">
        <v>16</v>
      </c>
      <c r="C35" t="s">
        <v>325</v>
      </c>
      <c r="D35" s="12" t="s">
        <v>912</v>
      </c>
      <c r="E35" s="1">
        <v>-8.8585123311067004</v>
      </c>
      <c r="F35" s="1">
        <v>-8.7249637936794606</v>
      </c>
      <c r="G35">
        <f>VLOOKUP(C35,'[1]phenotypes-895'!$A$2:$G$896,7,FALSE)</f>
        <v>61</v>
      </c>
      <c r="K35" s="16"/>
      <c r="L35" s="16"/>
      <c r="M35" s="16"/>
    </row>
    <row r="36" spans="1:13" x14ac:dyDescent="0.2">
      <c r="A36">
        <v>31</v>
      </c>
      <c r="B36">
        <v>17</v>
      </c>
      <c r="C36" t="s">
        <v>30</v>
      </c>
      <c r="D36" s="12" t="s">
        <v>912</v>
      </c>
      <c r="E36" s="1">
        <v>-8.6051417375638906</v>
      </c>
      <c r="F36" s="1">
        <v>-8.3554538257917503</v>
      </c>
      <c r="G36">
        <f>VLOOKUP(C36,'[1]phenotypes-895'!$A$2:$G$896,7,FALSE)</f>
        <v>52</v>
      </c>
      <c r="K36" s="16"/>
      <c r="L36" s="16"/>
      <c r="M36" s="16"/>
    </row>
    <row r="37" spans="1:13" x14ac:dyDescent="0.2">
      <c r="A37">
        <v>241</v>
      </c>
      <c r="B37">
        <v>19</v>
      </c>
      <c r="C37" t="s">
        <v>240</v>
      </c>
      <c r="D37" s="12" t="s">
        <v>912</v>
      </c>
      <c r="E37" s="1">
        <v>-8.5409705214620306</v>
      </c>
      <c r="F37" s="1">
        <v>-8.8927172049235104</v>
      </c>
      <c r="G37">
        <f>VLOOKUP(C37,'[1]phenotypes-895'!$A$2:$G$896,7,FALSE)</f>
        <v>71</v>
      </c>
    </row>
    <row r="38" spans="1:13" x14ac:dyDescent="0.2">
      <c r="A38">
        <v>62</v>
      </c>
      <c r="B38">
        <v>14</v>
      </c>
      <c r="C38" t="s">
        <v>61</v>
      </c>
      <c r="D38" s="12" t="s">
        <v>912</v>
      </c>
      <c r="E38" s="1">
        <v>-8.3564485030610207</v>
      </c>
      <c r="F38" s="1">
        <v>-7.3169403523848304</v>
      </c>
      <c r="G38">
        <f>VLOOKUP(C38,'[1]phenotypes-895'!$A$2:$G$896,7,FALSE)</f>
        <v>68</v>
      </c>
    </row>
    <row r="39" spans="1:13" x14ac:dyDescent="0.2">
      <c r="A39">
        <v>150</v>
      </c>
      <c r="B39">
        <v>15</v>
      </c>
      <c r="C39" t="s">
        <v>149</v>
      </c>
      <c r="D39" s="12" t="s">
        <v>912</v>
      </c>
      <c r="E39" s="1">
        <v>-8.3088883047821795</v>
      </c>
      <c r="F39" s="1">
        <v>-9.1120235342014606</v>
      </c>
      <c r="G39">
        <f>VLOOKUP(C39,'[1]phenotypes-895'!$A$2:$G$896,7,FALSE)</f>
        <v>56</v>
      </c>
    </row>
    <row r="40" spans="1:13" x14ac:dyDescent="0.2">
      <c r="A40">
        <v>20</v>
      </c>
      <c r="B40">
        <v>15</v>
      </c>
      <c r="C40" t="s">
        <v>19</v>
      </c>
      <c r="D40" s="12" t="s">
        <v>912</v>
      </c>
      <c r="E40" s="1">
        <v>-8.2882056966382507</v>
      </c>
      <c r="F40" s="1">
        <v>-9.2118049977541805</v>
      </c>
      <c r="G40">
        <f>VLOOKUP(C40,'[1]phenotypes-895'!$A$2:$G$896,7,FALSE)</f>
        <v>61</v>
      </c>
    </row>
    <row r="41" spans="1:13" x14ac:dyDescent="0.2">
      <c r="A41">
        <v>322</v>
      </c>
      <c r="B41">
        <v>11</v>
      </c>
      <c r="C41" t="s">
        <v>321</v>
      </c>
      <c r="D41" s="12" t="s">
        <v>912</v>
      </c>
      <c r="E41" s="1">
        <v>-8.0427826473516308</v>
      </c>
      <c r="F41" s="1">
        <v>-7.8748929741171896</v>
      </c>
      <c r="G41">
        <f>VLOOKUP(C41,'[1]phenotypes-895'!$A$2:$G$896,7,FALSE)</f>
        <v>53</v>
      </c>
    </row>
    <row r="42" spans="1:13" x14ac:dyDescent="0.2">
      <c r="A42">
        <v>283</v>
      </c>
      <c r="B42">
        <v>17</v>
      </c>
      <c r="C42" t="s">
        <v>282</v>
      </c>
      <c r="D42" s="12" t="s">
        <v>912</v>
      </c>
      <c r="E42" s="1">
        <v>-7.9611871554605198</v>
      </c>
      <c r="F42" s="1">
        <v>-7.6541617875165304</v>
      </c>
      <c r="G42">
        <f>VLOOKUP(C42,'[1]phenotypes-895'!$A$2:$G$896,7,FALSE)</f>
        <v>53</v>
      </c>
    </row>
    <row r="43" spans="1:13" x14ac:dyDescent="0.2">
      <c r="A43">
        <v>299</v>
      </c>
      <c r="B43">
        <v>10</v>
      </c>
      <c r="C43" t="s">
        <v>298</v>
      </c>
      <c r="D43" s="12" t="s">
        <v>912</v>
      </c>
      <c r="E43" s="1">
        <v>-7.8654186364234899</v>
      </c>
      <c r="F43" s="1">
        <v>-7.3512841157772897</v>
      </c>
      <c r="G43">
        <f>VLOOKUP(C43,'[1]phenotypes-895'!$A$2:$G$896,7,FALSE)</f>
        <v>45</v>
      </c>
    </row>
    <row r="44" spans="1:13" x14ac:dyDescent="0.2">
      <c r="A44">
        <v>129</v>
      </c>
      <c r="B44">
        <v>16</v>
      </c>
      <c r="C44" t="s">
        <v>128</v>
      </c>
      <c r="D44" s="12" t="s">
        <v>912</v>
      </c>
      <c r="E44" s="1">
        <v>-7.7434953687654202</v>
      </c>
      <c r="F44" s="1">
        <v>-7.6744201070561697</v>
      </c>
      <c r="G44">
        <f>VLOOKUP(C44,'[1]phenotypes-895'!$A$2:$G$896,7,FALSE)</f>
        <v>98</v>
      </c>
    </row>
    <row r="45" spans="1:13" x14ac:dyDescent="0.2">
      <c r="A45">
        <v>107</v>
      </c>
      <c r="B45">
        <v>17</v>
      </c>
      <c r="C45" t="s">
        <v>106</v>
      </c>
      <c r="D45" s="12" t="s">
        <v>912</v>
      </c>
      <c r="E45" s="1">
        <v>-7.7359396920399197</v>
      </c>
      <c r="F45" s="1">
        <v>-7.4281461475909802</v>
      </c>
      <c r="G45">
        <f>VLOOKUP(C45,'[1]phenotypes-895'!$A$2:$G$896,7,FALSE)</f>
        <v>44</v>
      </c>
    </row>
    <row r="46" spans="1:13" x14ac:dyDescent="0.2">
      <c r="A46">
        <v>328</v>
      </c>
      <c r="B46">
        <v>5</v>
      </c>
      <c r="C46" t="s">
        <v>327</v>
      </c>
      <c r="D46" s="12" t="s">
        <v>913</v>
      </c>
      <c r="E46" s="1">
        <v>-7.6707948997212299</v>
      </c>
      <c r="F46" s="1">
        <v>-10.522486401954501</v>
      </c>
      <c r="G46">
        <f>VLOOKUP(C46,'[1]phenotypes-895'!$A$2:$G$896,7,FALSE)</f>
        <v>62</v>
      </c>
    </row>
    <row r="47" spans="1:13" x14ac:dyDescent="0.2">
      <c r="A47">
        <v>512</v>
      </c>
      <c r="B47">
        <v>50</v>
      </c>
      <c r="C47" t="s">
        <v>511</v>
      </c>
      <c r="D47" s="13" t="s">
        <v>912</v>
      </c>
      <c r="E47" s="1">
        <v>-7.6233397526601001</v>
      </c>
      <c r="F47" s="1">
        <v>-6.2783689344140496</v>
      </c>
      <c r="G47">
        <f>VLOOKUP(C47,'[1]phenotypes-895'!$A$2:$G$896,7,FALSE)</f>
        <v>44</v>
      </c>
    </row>
    <row r="48" spans="1:13" x14ac:dyDescent="0.2">
      <c r="A48">
        <v>545</v>
      </c>
      <c r="B48">
        <v>28</v>
      </c>
      <c r="C48" t="s">
        <v>544</v>
      </c>
      <c r="D48" s="13" t="s">
        <v>913</v>
      </c>
      <c r="E48" s="1">
        <v>-7.6130127268063896</v>
      </c>
      <c r="F48" s="1">
        <v>-9.97579027624937</v>
      </c>
      <c r="G48">
        <f>VLOOKUP(C48,'[1]phenotypes-895'!$A$2:$G$896,7,FALSE)</f>
        <v>62</v>
      </c>
    </row>
    <row r="49" spans="1:7" x14ac:dyDescent="0.2">
      <c r="A49">
        <v>317</v>
      </c>
      <c r="B49">
        <v>16</v>
      </c>
      <c r="C49" t="s">
        <v>316</v>
      </c>
      <c r="D49" s="12" t="s">
        <v>912</v>
      </c>
      <c r="E49" s="1">
        <v>-7.5943394849981098</v>
      </c>
      <c r="F49" s="1">
        <v>-7.54335571136206</v>
      </c>
      <c r="G49">
        <f>VLOOKUP(C49,'[1]phenotypes-895'!$A$2:$G$896,7,FALSE)</f>
        <v>49</v>
      </c>
    </row>
    <row r="50" spans="1:7" x14ac:dyDescent="0.2">
      <c r="A50">
        <v>204</v>
      </c>
      <c r="B50">
        <v>17</v>
      </c>
      <c r="C50" t="s">
        <v>203</v>
      </c>
      <c r="D50" s="12" t="s">
        <v>912</v>
      </c>
      <c r="E50" s="1">
        <v>-7.5126636403011604</v>
      </c>
      <c r="F50" s="1">
        <v>-7.5679348336816599</v>
      </c>
      <c r="G50">
        <f>VLOOKUP(C50,'[1]phenotypes-895'!$A$2:$G$896,7,FALSE)</f>
        <v>43</v>
      </c>
    </row>
    <row r="51" spans="1:7" x14ac:dyDescent="0.2">
      <c r="A51">
        <v>131</v>
      </c>
      <c r="B51">
        <v>11</v>
      </c>
      <c r="C51" t="s">
        <v>130</v>
      </c>
      <c r="D51" s="12" t="s">
        <v>912</v>
      </c>
      <c r="E51" s="1">
        <v>-7.5098245402179504</v>
      </c>
      <c r="F51" s="1">
        <v>-7.2334927963014897</v>
      </c>
      <c r="G51">
        <f>VLOOKUP(C51,'[1]phenotypes-895'!$A$2:$G$896,7,FALSE)</f>
        <v>64</v>
      </c>
    </row>
    <row r="52" spans="1:7" x14ac:dyDescent="0.2">
      <c r="A52">
        <v>556</v>
      </c>
      <c r="B52">
        <v>42</v>
      </c>
      <c r="C52" t="s">
        <v>555</v>
      </c>
      <c r="D52" s="13" t="s">
        <v>912</v>
      </c>
      <c r="E52" s="1">
        <v>-7.5073363097677897</v>
      </c>
      <c r="F52" s="1">
        <v>-5.8267324715167303</v>
      </c>
      <c r="G52">
        <f>VLOOKUP(C52,'[1]phenotypes-895'!$A$2:$G$896,7,FALSE)</f>
        <v>62</v>
      </c>
    </row>
    <row r="53" spans="1:7" x14ac:dyDescent="0.2">
      <c r="A53">
        <v>155</v>
      </c>
      <c r="B53">
        <v>5</v>
      </c>
      <c r="C53" t="s">
        <v>154</v>
      </c>
      <c r="D53" s="12" t="s">
        <v>913</v>
      </c>
      <c r="E53" s="1">
        <v>-7.5041335212462998</v>
      </c>
      <c r="F53" s="1">
        <v>-10.2896113768553</v>
      </c>
      <c r="G53">
        <f>VLOOKUP(C53,'[1]phenotypes-895'!$A$2:$G$896,7,FALSE)</f>
        <v>56</v>
      </c>
    </row>
    <row r="54" spans="1:7" x14ac:dyDescent="0.2">
      <c r="A54">
        <v>1</v>
      </c>
      <c r="B54">
        <v>13</v>
      </c>
      <c r="C54" t="s">
        <v>0</v>
      </c>
      <c r="D54" s="12" t="s">
        <v>912</v>
      </c>
      <c r="E54" s="1">
        <v>-7.4691425745525599</v>
      </c>
      <c r="F54" s="1">
        <v>-7.2808866625886104</v>
      </c>
      <c r="G54">
        <f>VLOOKUP(C54,'[1]phenotypes-895'!$A$2:$G$896,7,FALSE)</f>
        <v>56</v>
      </c>
    </row>
    <row r="55" spans="1:7" x14ac:dyDescent="0.2">
      <c r="A55">
        <v>327</v>
      </c>
      <c r="B55">
        <v>17</v>
      </c>
      <c r="C55" t="s">
        <v>326</v>
      </c>
      <c r="D55" s="12" t="s">
        <v>912</v>
      </c>
      <c r="E55" s="1">
        <v>-7.4506457635752303</v>
      </c>
      <c r="F55" s="1">
        <v>-7.31687681413747</v>
      </c>
      <c r="G55">
        <f>VLOOKUP(C55,'[1]phenotypes-895'!$A$2:$G$896,7,FALSE)</f>
        <v>53</v>
      </c>
    </row>
    <row r="56" spans="1:7" x14ac:dyDescent="0.2">
      <c r="A56">
        <v>78</v>
      </c>
      <c r="B56">
        <v>28</v>
      </c>
      <c r="C56" t="s">
        <v>77</v>
      </c>
      <c r="D56" s="13" t="s">
        <v>913</v>
      </c>
      <c r="E56" s="1">
        <v>-7.3789525762155801</v>
      </c>
      <c r="F56" s="1">
        <v>-10.184509414623401</v>
      </c>
      <c r="G56">
        <f>VLOOKUP(C56,'[1]phenotypes-895'!$A$2:$G$896,7,FALSE)</f>
        <v>67</v>
      </c>
    </row>
    <row r="57" spans="1:7" x14ac:dyDescent="0.2">
      <c r="A57">
        <v>213</v>
      </c>
      <c r="B57">
        <v>5</v>
      </c>
      <c r="C57" t="s">
        <v>212</v>
      </c>
      <c r="D57" s="12" t="s">
        <v>913</v>
      </c>
      <c r="E57" s="1">
        <v>-7.2657962800628599</v>
      </c>
      <c r="F57" s="1">
        <v>-9.9603945426447602</v>
      </c>
      <c r="G57">
        <f>VLOOKUP(C57,'[1]phenotypes-895'!$A$2:$G$896,7,FALSE)</f>
        <v>65</v>
      </c>
    </row>
    <row r="58" spans="1:7" x14ac:dyDescent="0.2">
      <c r="A58">
        <v>67</v>
      </c>
      <c r="B58">
        <v>13</v>
      </c>
      <c r="C58" t="s">
        <v>66</v>
      </c>
      <c r="D58" s="12" t="s">
        <v>912</v>
      </c>
      <c r="E58" s="1">
        <v>-7.2561588596947804</v>
      </c>
      <c r="F58" s="1">
        <v>-6.973435685109</v>
      </c>
      <c r="G58">
        <f>VLOOKUP(C58,'[1]phenotypes-895'!$A$2:$G$896,7,FALSE)</f>
        <v>46</v>
      </c>
    </row>
    <row r="59" spans="1:7" x14ac:dyDescent="0.2">
      <c r="A59">
        <v>141</v>
      </c>
      <c r="B59">
        <v>5</v>
      </c>
      <c r="C59" t="s">
        <v>140</v>
      </c>
      <c r="D59" s="12" t="s">
        <v>913</v>
      </c>
      <c r="E59" s="1">
        <v>-7.2281155794034202</v>
      </c>
      <c r="F59" s="1">
        <v>-10.364855629618001</v>
      </c>
      <c r="G59">
        <f>VLOOKUP(C59,'[1]phenotypes-895'!$A$2:$G$896,7,FALSE)</f>
        <v>51</v>
      </c>
    </row>
    <row r="60" spans="1:7" x14ac:dyDescent="0.2">
      <c r="A60">
        <v>64</v>
      </c>
      <c r="B60">
        <v>5</v>
      </c>
      <c r="C60" t="s">
        <v>63</v>
      </c>
      <c r="D60" s="12" t="s">
        <v>913</v>
      </c>
      <c r="E60" s="1">
        <v>-7.1788810147934399</v>
      </c>
      <c r="F60" s="1">
        <v>-10.055572658599299</v>
      </c>
      <c r="G60">
        <f>VLOOKUP(C60,'[1]phenotypes-895'!$A$2:$G$896,7,FALSE)</f>
        <v>98</v>
      </c>
    </row>
    <row r="61" spans="1:7" x14ac:dyDescent="0.2">
      <c r="A61">
        <v>254</v>
      </c>
      <c r="B61">
        <v>11</v>
      </c>
      <c r="C61" t="s">
        <v>253</v>
      </c>
      <c r="D61" s="12" t="s">
        <v>912</v>
      </c>
      <c r="E61" s="1">
        <v>-7.1455743662116404</v>
      </c>
      <c r="F61" s="1">
        <v>-6.4973635768927904</v>
      </c>
      <c r="G61">
        <f>VLOOKUP(C61,'[1]phenotypes-895'!$A$2:$G$896,7,FALSE)</f>
        <v>51</v>
      </c>
    </row>
    <row r="62" spans="1:7" x14ac:dyDescent="0.2">
      <c r="A62">
        <v>152</v>
      </c>
      <c r="B62">
        <v>5</v>
      </c>
      <c r="C62" t="s">
        <v>151</v>
      </c>
      <c r="D62" s="12" t="s">
        <v>913</v>
      </c>
      <c r="E62" s="1">
        <v>-7.1434419327022098</v>
      </c>
      <c r="F62" s="1">
        <v>-9.7047726355697197</v>
      </c>
      <c r="G62">
        <f>VLOOKUP(C62,'[1]phenotypes-895'!$A$2:$G$896,7,FALSE)</f>
        <v>72</v>
      </c>
    </row>
    <row r="63" spans="1:7" x14ac:dyDescent="0.2">
      <c r="A63">
        <v>185</v>
      </c>
      <c r="B63">
        <v>11</v>
      </c>
      <c r="C63" t="s">
        <v>184</v>
      </c>
      <c r="D63" s="12" t="s">
        <v>912</v>
      </c>
      <c r="E63" s="1">
        <v>-7.1333966927816403</v>
      </c>
      <c r="F63" s="1">
        <v>-7.2568778469574902</v>
      </c>
      <c r="G63">
        <f>VLOOKUP(C63,'[1]phenotypes-895'!$A$2:$G$896,7,FALSE)</f>
        <v>66</v>
      </c>
    </row>
    <row r="64" spans="1:7" x14ac:dyDescent="0.2">
      <c r="A64">
        <v>37</v>
      </c>
      <c r="B64">
        <v>11</v>
      </c>
      <c r="C64" t="s">
        <v>36</v>
      </c>
      <c r="D64" s="12" t="s">
        <v>912</v>
      </c>
      <c r="E64" s="1">
        <v>-6.9633225195934498</v>
      </c>
      <c r="F64" s="1">
        <v>-6.6820191520542203</v>
      </c>
      <c r="G64">
        <f>VLOOKUP(C64,'[1]phenotypes-895'!$A$2:$G$896,7,FALSE)</f>
        <v>63</v>
      </c>
    </row>
    <row r="65" spans="1:7" x14ac:dyDescent="0.2">
      <c r="A65">
        <v>359</v>
      </c>
      <c r="B65">
        <v>2</v>
      </c>
      <c r="C65" t="s">
        <v>358</v>
      </c>
      <c r="D65" s="12" t="s">
        <v>913</v>
      </c>
      <c r="E65" s="1">
        <v>-6.90437225799303</v>
      </c>
      <c r="F65" s="1">
        <v>-9.4596759860478308</v>
      </c>
      <c r="G65">
        <f>VLOOKUP(C65,'[1]phenotypes-895'!$A$2:$G$896,7,FALSE)</f>
        <v>42</v>
      </c>
    </row>
    <row r="66" spans="1:7" x14ac:dyDescent="0.2">
      <c r="A66">
        <v>100</v>
      </c>
      <c r="B66">
        <v>13</v>
      </c>
      <c r="C66" t="s">
        <v>99</v>
      </c>
      <c r="D66" s="12" t="s">
        <v>912</v>
      </c>
      <c r="E66" s="1">
        <v>-6.8663408016603702</v>
      </c>
      <c r="F66" s="1">
        <v>-7.1192777450070297</v>
      </c>
      <c r="G66">
        <f>VLOOKUP(C66,'[1]phenotypes-895'!$A$2:$G$896,7,FALSE)</f>
        <v>46</v>
      </c>
    </row>
    <row r="67" spans="1:7" x14ac:dyDescent="0.2">
      <c r="A67">
        <v>200</v>
      </c>
      <c r="B67">
        <v>13</v>
      </c>
      <c r="C67" t="s">
        <v>199</v>
      </c>
      <c r="D67" s="12" t="s">
        <v>912</v>
      </c>
      <c r="E67" s="1">
        <v>-6.8532648190852399</v>
      </c>
      <c r="F67" s="1">
        <v>-6.9407866102229896</v>
      </c>
      <c r="G67">
        <f>VLOOKUP(C67,'[1]phenotypes-895'!$A$2:$G$896,7,FALSE)</f>
        <v>50</v>
      </c>
    </row>
    <row r="68" spans="1:7" x14ac:dyDescent="0.2">
      <c r="A68">
        <v>325</v>
      </c>
      <c r="B68">
        <v>5</v>
      </c>
      <c r="C68" t="s">
        <v>324</v>
      </c>
      <c r="D68" s="12" t="s">
        <v>913</v>
      </c>
      <c r="E68" s="1">
        <v>-6.7858545393817797</v>
      </c>
      <c r="F68" s="1">
        <v>-9.1272354917631606</v>
      </c>
      <c r="G68">
        <f>VLOOKUP(C68,'[1]phenotypes-895'!$A$2:$G$896,7,FALSE)</f>
        <v>57</v>
      </c>
    </row>
    <row r="69" spans="1:7" x14ac:dyDescent="0.2">
      <c r="A69">
        <v>24</v>
      </c>
      <c r="B69">
        <v>1</v>
      </c>
      <c r="C69" t="s">
        <v>23</v>
      </c>
      <c r="D69" s="12" t="s">
        <v>913</v>
      </c>
      <c r="E69" s="1">
        <v>-6.7635042995881198</v>
      </c>
      <c r="F69" s="1">
        <v>-8.9127847945386094</v>
      </c>
      <c r="G69">
        <f>VLOOKUP(C69,'[1]phenotypes-895'!$A$2:$G$896,7,FALSE)</f>
        <v>50</v>
      </c>
    </row>
    <row r="70" spans="1:7" x14ac:dyDescent="0.2">
      <c r="A70">
        <v>211</v>
      </c>
      <c r="B70">
        <v>9</v>
      </c>
      <c r="C70" t="s">
        <v>210</v>
      </c>
      <c r="D70" s="12" t="s">
        <v>912</v>
      </c>
      <c r="E70" s="1">
        <v>-6.7487626982017597</v>
      </c>
      <c r="F70" s="1">
        <v>-7.7965027821703101</v>
      </c>
      <c r="G70">
        <f>VLOOKUP(C70,'[1]phenotypes-895'!$A$2:$G$896,7,FALSE)</f>
        <v>56</v>
      </c>
    </row>
    <row r="71" spans="1:7" x14ac:dyDescent="0.2">
      <c r="A71">
        <v>143</v>
      </c>
      <c r="B71">
        <v>14</v>
      </c>
      <c r="C71" t="s">
        <v>142</v>
      </c>
      <c r="D71" s="12" t="s">
        <v>912</v>
      </c>
      <c r="E71" s="1">
        <v>-6.7170139976778804</v>
      </c>
      <c r="F71" s="1">
        <v>-7.2774475088331503</v>
      </c>
      <c r="G71">
        <f>VLOOKUP(C71,'[1]phenotypes-895'!$A$2:$G$896,7,FALSE)</f>
        <v>56</v>
      </c>
    </row>
    <row r="72" spans="1:7" x14ac:dyDescent="0.2">
      <c r="A72">
        <v>315</v>
      </c>
      <c r="B72">
        <v>5</v>
      </c>
      <c r="C72" t="s">
        <v>314</v>
      </c>
      <c r="D72" s="12" t="s">
        <v>913</v>
      </c>
      <c r="E72" s="1">
        <v>-6.5719667006471303</v>
      </c>
      <c r="F72" s="1">
        <v>-9.3344704636122202</v>
      </c>
      <c r="G72">
        <f>VLOOKUP(C72,'[1]phenotypes-895'!$A$2:$G$896,7,FALSE)</f>
        <v>98</v>
      </c>
    </row>
    <row r="73" spans="1:7" x14ac:dyDescent="0.2">
      <c r="A73">
        <v>273</v>
      </c>
      <c r="B73">
        <v>5</v>
      </c>
      <c r="C73" t="s">
        <v>272</v>
      </c>
      <c r="D73" s="12" t="s">
        <v>913</v>
      </c>
      <c r="E73" s="1">
        <v>-6.5459978608795799</v>
      </c>
      <c r="F73" s="1">
        <v>-8.7365482568296002</v>
      </c>
      <c r="G73">
        <f>VLOOKUP(C73,'[1]phenotypes-895'!$A$2:$G$896,7,FALSE)</f>
        <v>50</v>
      </c>
    </row>
    <row r="74" spans="1:7" x14ac:dyDescent="0.2">
      <c r="A74">
        <v>351</v>
      </c>
      <c r="B74">
        <v>13</v>
      </c>
      <c r="C74" t="s">
        <v>350</v>
      </c>
      <c r="D74" s="12" t="s">
        <v>912</v>
      </c>
      <c r="E74" s="1">
        <v>-6.5300736868106997</v>
      </c>
      <c r="F74" s="1">
        <v>-5.7665885167103204</v>
      </c>
      <c r="G74">
        <f>VLOOKUP(C74,'[1]phenotypes-895'!$A$2:$G$896,7,FALSE)</f>
        <v>71</v>
      </c>
    </row>
    <row r="75" spans="1:7" x14ac:dyDescent="0.2">
      <c r="A75">
        <v>103</v>
      </c>
      <c r="B75">
        <v>11</v>
      </c>
      <c r="C75" t="s">
        <v>102</v>
      </c>
      <c r="D75" s="12" t="s">
        <v>912</v>
      </c>
      <c r="E75" s="1">
        <v>-6.5270908244383099</v>
      </c>
      <c r="F75" s="1">
        <v>-6.3938251759734301</v>
      </c>
      <c r="G75">
        <f>VLOOKUP(C75,'[1]phenotypes-895'!$A$2:$G$896,7,FALSE)</f>
        <v>58</v>
      </c>
    </row>
    <row r="76" spans="1:7" x14ac:dyDescent="0.2">
      <c r="A76">
        <v>186</v>
      </c>
      <c r="B76">
        <v>5</v>
      </c>
      <c r="C76" t="s">
        <v>185</v>
      </c>
      <c r="D76" s="12" t="s">
        <v>913</v>
      </c>
      <c r="E76" s="1">
        <v>-6.4462316325381304</v>
      </c>
      <c r="F76" s="1">
        <v>-9.3369103770697706</v>
      </c>
      <c r="G76">
        <f>VLOOKUP(C76,'[1]phenotypes-895'!$A$2:$G$896,7,FALSE)</f>
        <v>55</v>
      </c>
    </row>
    <row r="77" spans="1:7" x14ac:dyDescent="0.2">
      <c r="A77">
        <v>279</v>
      </c>
      <c r="B77">
        <v>17</v>
      </c>
      <c r="C77" t="s">
        <v>278</v>
      </c>
      <c r="D77" s="12" t="s">
        <v>912</v>
      </c>
      <c r="E77" s="1">
        <v>-6.4319196429330798</v>
      </c>
      <c r="F77" s="1">
        <v>-6.1287265030964502</v>
      </c>
      <c r="G77">
        <f>VLOOKUP(C77,'[1]phenotypes-895'!$A$2:$G$896,7,FALSE)</f>
        <v>68</v>
      </c>
    </row>
    <row r="78" spans="1:7" x14ac:dyDescent="0.2">
      <c r="A78">
        <v>250</v>
      </c>
      <c r="B78">
        <v>16</v>
      </c>
      <c r="C78" t="s">
        <v>249</v>
      </c>
      <c r="D78" s="12" t="s">
        <v>912</v>
      </c>
      <c r="E78" s="1">
        <v>-6.4104430939534902</v>
      </c>
      <c r="F78" s="1">
        <v>-6.45728631043559</v>
      </c>
      <c r="G78">
        <f>VLOOKUP(C78,'[1]phenotypes-895'!$A$2:$G$896,7,FALSE)</f>
        <v>64</v>
      </c>
    </row>
    <row r="79" spans="1:7" x14ac:dyDescent="0.2">
      <c r="A79">
        <v>346</v>
      </c>
      <c r="B79">
        <v>13</v>
      </c>
      <c r="C79" t="s">
        <v>345</v>
      </c>
      <c r="D79" s="12" t="s">
        <v>912</v>
      </c>
      <c r="E79" s="1">
        <v>-6.2893618453939402</v>
      </c>
      <c r="F79" s="1">
        <v>-6.0543146805802497</v>
      </c>
      <c r="G79">
        <f>VLOOKUP(C79,'[1]phenotypes-895'!$A$2:$G$896,7,FALSE)</f>
        <v>91</v>
      </c>
    </row>
    <row r="80" spans="1:7" x14ac:dyDescent="0.2">
      <c r="A80">
        <v>126</v>
      </c>
      <c r="B80">
        <v>13</v>
      </c>
      <c r="C80" t="s">
        <v>125</v>
      </c>
      <c r="D80" s="12" t="s">
        <v>912</v>
      </c>
      <c r="E80" s="1">
        <v>-6.2599765352470902</v>
      </c>
      <c r="F80" s="1">
        <v>-5.9250859155483298</v>
      </c>
      <c r="G80">
        <f>VLOOKUP(C80,'[1]phenotypes-895'!$A$2:$G$896,7,FALSE)</f>
        <v>51</v>
      </c>
    </row>
    <row r="81" spans="1:7" x14ac:dyDescent="0.2">
      <c r="A81">
        <v>252</v>
      </c>
      <c r="B81">
        <v>1</v>
      </c>
      <c r="C81" t="s">
        <v>251</v>
      </c>
      <c r="D81" s="12" t="s">
        <v>913</v>
      </c>
      <c r="E81" s="1">
        <v>-6.2227208691402698</v>
      </c>
      <c r="F81" s="1">
        <v>-8.3822512566553993</v>
      </c>
      <c r="G81">
        <f>VLOOKUP(C81,'[1]phenotypes-895'!$A$2:$G$896,7,FALSE)</f>
        <v>63</v>
      </c>
    </row>
    <row r="82" spans="1:7" x14ac:dyDescent="0.2">
      <c r="A82">
        <v>258</v>
      </c>
      <c r="B82">
        <v>17</v>
      </c>
      <c r="C82" t="s">
        <v>257</v>
      </c>
      <c r="D82" s="12" t="s">
        <v>912</v>
      </c>
      <c r="E82" s="1">
        <v>-6.1923278060953004</v>
      </c>
      <c r="F82" s="1">
        <v>-5.9251179351509604</v>
      </c>
      <c r="G82">
        <f>VLOOKUP(C82,'[1]phenotypes-895'!$A$2:$G$896,7,FALSE)</f>
        <v>67</v>
      </c>
    </row>
    <row r="83" spans="1:7" x14ac:dyDescent="0.2">
      <c r="A83">
        <v>779</v>
      </c>
      <c r="B83">
        <v>28</v>
      </c>
      <c r="C83" t="s">
        <v>778</v>
      </c>
      <c r="D83" s="13" t="s">
        <v>913</v>
      </c>
      <c r="E83" s="1">
        <v>-6.1736690373643599</v>
      </c>
      <c r="F83" s="1">
        <v>-8.6865011706803603</v>
      </c>
      <c r="G83">
        <f>VLOOKUP(C83,'[1]phenotypes-895'!$A$2:$G$896,7,FALSE)</f>
        <v>63</v>
      </c>
    </row>
    <row r="84" spans="1:7" x14ac:dyDescent="0.2">
      <c r="A84">
        <v>195</v>
      </c>
      <c r="B84">
        <v>16</v>
      </c>
      <c r="C84" t="s">
        <v>194</v>
      </c>
      <c r="D84" s="12" t="s">
        <v>912</v>
      </c>
      <c r="E84" s="1">
        <v>-5.9806084868468803</v>
      </c>
      <c r="F84" s="1">
        <v>-6.5848074261404896</v>
      </c>
      <c r="G84">
        <f>VLOOKUP(C84,'[1]phenotypes-895'!$A$2:$G$896,7,FALSE)</f>
        <v>76</v>
      </c>
    </row>
    <row r="85" spans="1:7" x14ac:dyDescent="0.2">
      <c r="A85">
        <v>483</v>
      </c>
      <c r="B85">
        <v>36</v>
      </c>
      <c r="C85" t="s">
        <v>482</v>
      </c>
      <c r="D85" s="13" t="s">
        <v>913</v>
      </c>
      <c r="E85" s="1">
        <v>-5.9444924109360304</v>
      </c>
      <c r="F85" s="1">
        <v>-8.5799010593173204</v>
      </c>
      <c r="G85">
        <f>VLOOKUP(C85,'[1]phenotypes-895'!$A$2:$G$896,7,FALSE)</f>
        <v>57</v>
      </c>
    </row>
    <row r="86" spans="1:7" x14ac:dyDescent="0.2">
      <c r="A86">
        <v>256</v>
      </c>
      <c r="B86">
        <v>2</v>
      </c>
      <c r="C86" t="s">
        <v>255</v>
      </c>
      <c r="D86" s="12" t="s">
        <v>913</v>
      </c>
      <c r="E86" s="1">
        <v>-5.7987850858252701</v>
      </c>
      <c r="F86" s="1">
        <v>-8.4321965479020307</v>
      </c>
      <c r="G86">
        <f>VLOOKUP(C86,'[1]phenotypes-895'!$A$2:$G$896,7,FALSE)</f>
        <v>62</v>
      </c>
    </row>
    <row r="87" spans="1:7" x14ac:dyDescent="0.2">
      <c r="A87">
        <v>48</v>
      </c>
      <c r="B87">
        <v>16</v>
      </c>
      <c r="C87" t="s">
        <v>47</v>
      </c>
      <c r="D87" s="12" t="s">
        <v>912</v>
      </c>
      <c r="E87" s="1">
        <v>-5.7956682241730002</v>
      </c>
      <c r="F87" s="1">
        <v>-5.4741160269088702</v>
      </c>
      <c r="G87">
        <f>VLOOKUP(C87,'[1]phenotypes-895'!$A$2:$G$896,7,FALSE)</f>
        <v>61</v>
      </c>
    </row>
    <row r="88" spans="1:7" x14ac:dyDescent="0.2">
      <c r="A88">
        <v>5</v>
      </c>
      <c r="B88">
        <v>13</v>
      </c>
      <c r="C88" t="s">
        <v>4</v>
      </c>
      <c r="D88" s="12" t="s">
        <v>912</v>
      </c>
      <c r="E88" s="1">
        <v>-5.7425925862139904</v>
      </c>
      <c r="F88" s="1">
        <v>-5.4339637937580001</v>
      </c>
      <c r="G88">
        <f>VLOOKUP(C88,'[1]phenotypes-895'!$A$2:$G$896,7,FALSE)</f>
        <v>62</v>
      </c>
    </row>
    <row r="89" spans="1:7" x14ac:dyDescent="0.2">
      <c r="A89">
        <v>26</v>
      </c>
      <c r="B89">
        <v>6</v>
      </c>
      <c r="C89" t="s">
        <v>25</v>
      </c>
      <c r="D89" s="12" t="s">
        <v>913</v>
      </c>
      <c r="E89" s="1">
        <v>-5.7277995231110497</v>
      </c>
      <c r="F89" s="1">
        <v>-7.9714464236918099</v>
      </c>
      <c r="G89">
        <f>VLOOKUP(C89,'[1]phenotypes-895'!$A$2:$G$896,7,FALSE)</f>
        <v>58</v>
      </c>
    </row>
    <row r="90" spans="1:7" x14ac:dyDescent="0.2">
      <c r="A90">
        <v>289</v>
      </c>
      <c r="B90">
        <v>2</v>
      </c>
      <c r="C90" t="s">
        <v>288</v>
      </c>
      <c r="D90" s="12" t="s">
        <v>913</v>
      </c>
      <c r="E90" s="1">
        <v>-5.6709912045665103</v>
      </c>
      <c r="F90" s="1">
        <v>-8.4244078978257999</v>
      </c>
      <c r="G90">
        <f>VLOOKUP(C90,'[1]phenotypes-895'!$A$2:$G$896,7,FALSE)</f>
        <v>53</v>
      </c>
    </row>
    <row r="91" spans="1:7" x14ac:dyDescent="0.2">
      <c r="A91">
        <v>275</v>
      </c>
      <c r="B91">
        <v>2</v>
      </c>
      <c r="C91" t="s">
        <v>274</v>
      </c>
      <c r="D91" s="12" t="s">
        <v>913</v>
      </c>
      <c r="E91" s="1">
        <v>-5.5888342762949197</v>
      </c>
      <c r="F91" s="1">
        <v>-7.7381294013557396</v>
      </c>
      <c r="G91">
        <f>VLOOKUP(C91,'[1]phenotypes-895'!$A$2:$G$896,7,FALSE)</f>
        <v>56</v>
      </c>
    </row>
    <row r="92" spans="1:7" x14ac:dyDescent="0.2">
      <c r="A92">
        <v>260</v>
      </c>
      <c r="B92">
        <v>11</v>
      </c>
      <c r="C92" t="s">
        <v>259</v>
      </c>
      <c r="D92" s="12" t="s">
        <v>912</v>
      </c>
      <c r="E92" s="1">
        <v>-5.5508209635489703</v>
      </c>
      <c r="F92" s="1">
        <v>-5.4393037740793302</v>
      </c>
      <c r="G92">
        <f>VLOOKUP(C92,'[1]phenotypes-895'!$A$2:$G$896,7,FALSE)</f>
        <v>59</v>
      </c>
    </row>
    <row r="93" spans="1:7" x14ac:dyDescent="0.2">
      <c r="A93">
        <v>811</v>
      </c>
      <c r="B93">
        <v>41</v>
      </c>
      <c r="C93" t="s">
        <v>810</v>
      </c>
      <c r="D93" s="13" t="s">
        <v>912</v>
      </c>
      <c r="E93" s="1">
        <v>-5.5476692396607303</v>
      </c>
      <c r="F93" s="1">
        <v>-3.49904667909879</v>
      </c>
      <c r="G93">
        <f>VLOOKUP(C93,'[1]phenotypes-895'!$A$2:$G$896,7,FALSE)</f>
        <v>58</v>
      </c>
    </row>
    <row r="94" spans="1:7" x14ac:dyDescent="0.2">
      <c r="A94">
        <v>461</v>
      </c>
      <c r="B94">
        <v>51</v>
      </c>
      <c r="C94" t="s">
        <v>460</v>
      </c>
      <c r="D94" s="13" t="s">
        <v>912</v>
      </c>
      <c r="E94" s="1">
        <v>-5.3496746229883696</v>
      </c>
      <c r="F94" s="1">
        <v>-7.6719491574502197</v>
      </c>
      <c r="G94">
        <f>VLOOKUP(C94,'[1]phenotypes-895'!$A$2:$G$896,7,FALSE)</f>
        <v>86</v>
      </c>
    </row>
    <row r="95" spans="1:7" x14ac:dyDescent="0.2">
      <c r="A95">
        <v>52</v>
      </c>
      <c r="B95">
        <v>14</v>
      </c>
      <c r="C95" t="s">
        <v>51</v>
      </c>
      <c r="D95" s="12" t="s">
        <v>912</v>
      </c>
      <c r="E95" s="1">
        <v>-5.3167153675305903</v>
      </c>
      <c r="F95" s="1">
        <v>-4.14177955814157</v>
      </c>
      <c r="G95">
        <f>VLOOKUP(C95,'[1]phenotypes-895'!$A$2:$G$896,7,FALSE)</f>
        <v>53</v>
      </c>
    </row>
    <row r="96" spans="1:7" x14ac:dyDescent="0.2">
      <c r="A96">
        <v>296</v>
      </c>
      <c r="B96">
        <v>14</v>
      </c>
      <c r="C96" t="s">
        <v>295</v>
      </c>
      <c r="D96" s="12" t="s">
        <v>912</v>
      </c>
      <c r="E96" s="1">
        <v>-5.3129169209934703</v>
      </c>
      <c r="F96" s="1">
        <v>-6.6222607230496804</v>
      </c>
      <c r="G96">
        <f>VLOOKUP(C96,'[1]phenotypes-895'!$A$2:$G$896,7,FALSE)</f>
        <v>43</v>
      </c>
    </row>
    <row r="97" spans="1:7" x14ac:dyDescent="0.2">
      <c r="A97">
        <v>291</v>
      </c>
      <c r="B97">
        <v>16</v>
      </c>
      <c r="C97" t="s">
        <v>290</v>
      </c>
      <c r="D97" s="12" t="s">
        <v>912</v>
      </c>
      <c r="E97" s="1">
        <v>-5.2815548437605102</v>
      </c>
      <c r="F97" s="1">
        <v>-5.0432421095009401</v>
      </c>
      <c r="G97">
        <f>VLOOKUP(C97,'[1]phenotypes-895'!$A$2:$G$896,7,FALSE)</f>
        <v>98</v>
      </c>
    </row>
    <row r="98" spans="1:7" x14ac:dyDescent="0.2">
      <c r="A98">
        <v>251</v>
      </c>
      <c r="B98">
        <v>34</v>
      </c>
      <c r="C98" t="s">
        <v>250</v>
      </c>
      <c r="D98" s="13" t="s">
        <v>913</v>
      </c>
      <c r="E98" s="1">
        <v>-5.2564145990798696</v>
      </c>
      <c r="F98" s="1">
        <v>-6.0575339480665598</v>
      </c>
      <c r="G98">
        <f>VLOOKUP(C98,'[1]phenotypes-895'!$A$2:$G$896,7,FALSE)</f>
        <v>47</v>
      </c>
    </row>
    <row r="99" spans="1:7" x14ac:dyDescent="0.2">
      <c r="A99">
        <v>153</v>
      </c>
      <c r="B99">
        <v>15</v>
      </c>
      <c r="C99" t="s">
        <v>152</v>
      </c>
      <c r="D99" s="12" t="s">
        <v>912</v>
      </c>
      <c r="E99" s="1">
        <v>-5.1980857947300496</v>
      </c>
      <c r="F99" s="1">
        <v>-5.6823414072163398</v>
      </c>
      <c r="G99">
        <f>VLOOKUP(C99,'[1]phenotypes-895'!$A$2:$G$896,7,FALSE)</f>
        <v>98</v>
      </c>
    </row>
    <row r="100" spans="1:7" x14ac:dyDescent="0.2">
      <c r="A100">
        <v>63</v>
      </c>
      <c r="B100">
        <v>11</v>
      </c>
      <c r="C100" t="s">
        <v>62</v>
      </c>
      <c r="D100" s="12" t="s">
        <v>912</v>
      </c>
      <c r="E100" s="1">
        <v>-5.0692217565235103</v>
      </c>
      <c r="F100" s="1">
        <v>-4.5330986099237096</v>
      </c>
      <c r="G100">
        <f>VLOOKUP(C100,'[1]phenotypes-895'!$A$2:$G$896,7,FALSE)</f>
        <v>53</v>
      </c>
    </row>
    <row r="101" spans="1:7" x14ac:dyDescent="0.2">
      <c r="A101">
        <v>80</v>
      </c>
      <c r="B101">
        <v>44</v>
      </c>
      <c r="C101" t="s">
        <v>79</v>
      </c>
      <c r="D101" s="13" t="s">
        <v>912</v>
      </c>
      <c r="E101" s="1">
        <v>-5.0673430801100601</v>
      </c>
      <c r="F101" s="1">
        <v>-3.8283574340144799</v>
      </c>
      <c r="G101">
        <f>VLOOKUP(C101,'[1]phenotypes-895'!$A$2:$G$896,7,FALSE)</f>
        <v>58</v>
      </c>
    </row>
    <row r="102" spans="1:7" x14ac:dyDescent="0.2">
      <c r="A102">
        <v>154</v>
      </c>
      <c r="B102">
        <v>1</v>
      </c>
      <c r="C102" t="s">
        <v>153</v>
      </c>
      <c r="D102" s="12" t="s">
        <v>913</v>
      </c>
      <c r="E102" s="1">
        <v>-4.99594818317241</v>
      </c>
      <c r="F102" s="1">
        <v>-6.8829021532618899</v>
      </c>
      <c r="G102">
        <f>VLOOKUP(C102,'[1]phenotypes-895'!$A$2:$G$896,7,FALSE)</f>
        <v>57</v>
      </c>
    </row>
    <row r="103" spans="1:7" x14ac:dyDescent="0.2">
      <c r="A103">
        <v>179</v>
      </c>
      <c r="B103">
        <v>28</v>
      </c>
      <c r="C103" t="s">
        <v>178</v>
      </c>
      <c r="D103" s="13" t="s">
        <v>913</v>
      </c>
      <c r="E103" s="1">
        <v>-4.9937224676829697</v>
      </c>
      <c r="F103" s="1">
        <v>-7.2436372865992702</v>
      </c>
      <c r="G103">
        <f>VLOOKUP(C103,'[1]phenotypes-895'!$A$2:$G$896,7,FALSE)</f>
        <v>98</v>
      </c>
    </row>
    <row r="104" spans="1:7" x14ac:dyDescent="0.2">
      <c r="A104">
        <v>147</v>
      </c>
      <c r="B104">
        <v>10</v>
      </c>
      <c r="C104" t="s">
        <v>146</v>
      </c>
      <c r="D104" s="12" t="s">
        <v>912</v>
      </c>
      <c r="E104" s="1">
        <v>-4.9534618046925898</v>
      </c>
      <c r="F104" s="1">
        <v>-4.4732814610616298</v>
      </c>
      <c r="G104">
        <f>VLOOKUP(C104,'[1]phenotypes-895'!$A$2:$G$896,7,FALSE)</f>
        <v>61</v>
      </c>
    </row>
    <row r="105" spans="1:7" x14ac:dyDescent="0.2">
      <c r="A105">
        <v>447</v>
      </c>
      <c r="B105">
        <v>50</v>
      </c>
      <c r="C105" t="s">
        <v>446</v>
      </c>
      <c r="D105" s="13" t="s">
        <v>912</v>
      </c>
      <c r="E105" s="1">
        <v>-4.9372549670406602</v>
      </c>
      <c r="F105" s="1">
        <v>-3.3716506685216499</v>
      </c>
      <c r="G105">
        <f>VLOOKUP(C105,'[1]phenotypes-895'!$A$2:$G$896,7,FALSE)</f>
        <v>60</v>
      </c>
    </row>
    <row r="106" spans="1:7" x14ac:dyDescent="0.2">
      <c r="A106">
        <v>290</v>
      </c>
      <c r="B106">
        <v>5</v>
      </c>
      <c r="C106" t="s">
        <v>289</v>
      </c>
      <c r="D106" s="12" t="s">
        <v>913</v>
      </c>
      <c r="E106" s="1">
        <v>-4.9142329826167099</v>
      </c>
      <c r="F106" s="1">
        <v>-7.6513942092702196</v>
      </c>
      <c r="G106">
        <f>VLOOKUP(C106,'[1]phenotypes-895'!$A$2:$G$896,7,FALSE)</f>
        <v>66</v>
      </c>
    </row>
    <row r="107" spans="1:7" x14ac:dyDescent="0.2">
      <c r="A107">
        <v>35</v>
      </c>
      <c r="B107">
        <v>14</v>
      </c>
      <c r="C107" t="s">
        <v>34</v>
      </c>
      <c r="D107" s="12" t="s">
        <v>912</v>
      </c>
      <c r="E107" s="1">
        <v>-4.8835317633984996</v>
      </c>
      <c r="F107" s="1">
        <v>-3.8423057074316298</v>
      </c>
      <c r="G107">
        <f>VLOOKUP(C107,'[1]phenotypes-895'!$A$2:$G$896,7,FALSE)</f>
        <v>65</v>
      </c>
    </row>
    <row r="108" spans="1:7" x14ac:dyDescent="0.2">
      <c r="A108">
        <v>13</v>
      </c>
      <c r="B108">
        <v>5</v>
      </c>
      <c r="C108" t="s">
        <v>12</v>
      </c>
      <c r="D108" s="12" t="s">
        <v>913</v>
      </c>
      <c r="E108" s="1">
        <v>-4.8596753080778798</v>
      </c>
      <c r="F108" s="1">
        <v>-7.127405695567</v>
      </c>
      <c r="G108">
        <f>VLOOKUP(C108,'[1]phenotypes-895'!$A$2:$G$896,7,FALSE)</f>
        <v>98</v>
      </c>
    </row>
    <row r="109" spans="1:7" x14ac:dyDescent="0.2">
      <c r="A109">
        <v>230</v>
      </c>
      <c r="B109">
        <v>13</v>
      </c>
      <c r="C109" t="s">
        <v>229</v>
      </c>
      <c r="D109" s="12" t="s">
        <v>912</v>
      </c>
      <c r="E109" s="1">
        <v>-4.7126477792256098</v>
      </c>
      <c r="F109" s="1">
        <v>-4.3921277615260204</v>
      </c>
      <c r="G109">
        <f>VLOOKUP(C109,'[1]phenotypes-895'!$A$2:$G$896,7,FALSE)</f>
        <v>98</v>
      </c>
    </row>
    <row r="110" spans="1:7" x14ac:dyDescent="0.2">
      <c r="A110">
        <v>469</v>
      </c>
      <c r="B110">
        <v>47</v>
      </c>
      <c r="C110" t="s">
        <v>468</v>
      </c>
      <c r="D110" s="13" t="s">
        <v>912</v>
      </c>
      <c r="E110" s="1">
        <v>-4.6834830859273699</v>
      </c>
      <c r="F110" s="1">
        <v>-3.2018719258364099</v>
      </c>
      <c r="G110">
        <f>VLOOKUP(C110,'[1]phenotypes-895'!$A$2:$G$896,7,FALSE)</f>
        <v>60</v>
      </c>
    </row>
    <row r="111" spans="1:7" x14ac:dyDescent="0.2">
      <c r="A111">
        <v>773</v>
      </c>
      <c r="B111">
        <v>30</v>
      </c>
      <c r="C111" t="s">
        <v>772</v>
      </c>
      <c r="D111" s="13" t="s">
        <v>913</v>
      </c>
      <c r="E111" s="1">
        <v>-4.6108448605442396</v>
      </c>
      <c r="F111" s="1">
        <v>-6.7976793104608202</v>
      </c>
      <c r="G111">
        <f>VLOOKUP(C111,'[1]phenotypes-895'!$A$2:$G$896,7,FALSE)</f>
        <v>70</v>
      </c>
    </row>
    <row r="112" spans="1:7" x14ac:dyDescent="0.2">
      <c r="A112">
        <v>238</v>
      </c>
      <c r="B112">
        <v>17</v>
      </c>
      <c r="C112" t="s">
        <v>237</v>
      </c>
      <c r="D112" s="12" t="s">
        <v>912</v>
      </c>
      <c r="E112" s="1">
        <v>-4.5952363778929799</v>
      </c>
      <c r="F112" s="1">
        <v>-4.4130511556292999</v>
      </c>
      <c r="G112">
        <f>VLOOKUP(C112,'[1]phenotypes-895'!$A$2:$G$896,7,FALSE)</f>
        <v>63</v>
      </c>
    </row>
    <row r="113" spans="1:7" x14ac:dyDescent="0.2">
      <c r="A113">
        <v>83</v>
      </c>
      <c r="B113">
        <v>10</v>
      </c>
      <c r="C113" t="s">
        <v>82</v>
      </c>
      <c r="D113" s="12" t="s">
        <v>912</v>
      </c>
      <c r="E113" s="1">
        <v>-4.5951309144919597</v>
      </c>
      <c r="F113" s="1">
        <v>-4.2156058327931998</v>
      </c>
      <c r="G113">
        <f>VLOOKUP(C113,'[1]phenotypes-895'!$A$2:$G$896,7,FALSE)</f>
        <v>54</v>
      </c>
    </row>
    <row r="114" spans="1:7" x14ac:dyDescent="0.2">
      <c r="A114">
        <v>190</v>
      </c>
      <c r="B114">
        <v>3</v>
      </c>
      <c r="C114" t="s">
        <v>189</v>
      </c>
      <c r="D114" s="12" t="s">
        <v>913</v>
      </c>
      <c r="E114" s="1">
        <v>-4.5817984211304603</v>
      </c>
      <c r="F114" s="1">
        <v>-7.08313182598053</v>
      </c>
      <c r="G114">
        <f>VLOOKUP(C114,'[1]phenotypes-895'!$A$2:$G$896,7,FALSE)</f>
        <v>62</v>
      </c>
    </row>
    <row r="115" spans="1:7" x14ac:dyDescent="0.2">
      <c r="A115">
        <v>674</v>
      </c>
      <c r="B115">
        <v>40</v>
      </c>
      <c r="C115" t="s">
        <v>673</v>
      </c>
      <c r="D115" s="13" t="s">
        <v>913</v>
      </c>
      <c r="E115" s="1">
        <v>-4.5574875925115403</v>
      </c>
      <c r="F115" s="1">
        <v>-5.1676515718999596</v>
      </c>
      <c r="G115">
        <f>VLOOKUP(C115,'[1]phenotypes-895'!$A$2:$G$896,7,FALSE)</f>
        <v>63</v>
      </c>
    </row>
    <row r="116" spans="1:7" x14ac:dyDescent="0.2">
      <c r="A116">
        <v>333</v>
      </c>
      <c r="B116">
        <v>4</v>
      </c>
      <c r="C116" t="s">
        <v>332</v>
      </c>
      <c r="D116" s="12" t="s">
        <v>913</v>
      </c>
      <c r="E116" s="1">
        <v>-4.5332131951600099</v>
      </c>
      <c r="F116" s="1">
        <v>-7.1263139102674904</v>
      </c>
      <c r="G116">
        <f>VLOOKUP(C116,'[1]phenotypes-895'!$A$2:$G$896,7,FALSE)</f>
        <v>62</v>
      </c>
    </row>
    <row r="117" spans="1:7" x14ac:dyDescent="0.2">
      <c r="A117">
        <v>71</v>
      </c>
      <c r="B117">
        <v>16</v>
      </c>
      <c r="C117" t="s">
        <v>70</v>
      </c>
      <c r="D117" s="12" t="s">
        <v>912</v>
      </c>
      <c r="E117" s="1">
        <v>-4.5231874647300696</v>
      </c>
      <c r="F117" s="1">
        <v>-4.4289432766297603</v>
      </c>
      <c r="G117">
        <f>VLOOKUP(C117,'[1]phenotypes-895'!$A$2:$G$896,7,FALSE)</f>
        <v>98</v>
      </c>
    </row>
    <row r="118" spans="1:7" x14ac:dyDescent="0.2">
      <c r="A118">
        <v>245</v>
      </c>
      <c r="B118">
        <v>18</v>
      </c>
      <c r="C118" t="s">
        <v>244</v>
      </c>
      <c r="D118" s="12" t="s">
        <v>912</v>
      </c>
      <c r="E118" s="1">
        <v>-4.4746796791578003</v>
      </c>
      <c r="F118" s="1">
        <v>-3.69218419486843</v>
      </c>
      <c r="G118">
        <f>VLOOKUP(C118,'[1]phenotypes-895'!$A$2:$G$896,7,FALSE)</f>
        <v>63</v>
      </c>
    </row>
    <row r="119" spans="1:7" x14ac:dyDescent="0.2">
      <c r="A119">
        <v>70</v>
      </c>
      <c r="B119">
        <v>13</v>
      </c>
      <c r="C119" t="s">
        <v>69</v>
      </c>
      <c r="D119" s="12" t="s">
        <v>912</v>
      </c>
      <c r="E119" s="1">
        <v>-4.4643142166333396</v>
      </c>
      <c r="F119" s="1">
        <v>-4.2135398042652099</v>
      </c>
      <c r="G119">
        <f>VLOOKUP(C119,'[1]phenotypes-895'!$A$2:$G$896,7,FALSE)</f>
        <v>54</v>
      </c>
    </row>
    <row r="120" spans="1:7" x14ac:dyDescent="0.2">
      <c r="A120">
        <v>29</v>
      </c>
      <c r="B120">
        <v>4</v>
      </c>
      <c r="C120" t="s">
        <v>28</v>
      </c>
      <c r="D120" s="12" t="s">
        <v>913</v>
      </c>
      <c r="E120" s="1">
        <v>-4.4585721432533703</v>
      </c>
      <c r="F120" s="1">
        <v>-6.6615678093573703</v>
      </c>
      <c r="G120">
        <f>VLOOKUP(C120,'[1]phenotypes-895'!$A$2:$G$896,7,FALSE)</f>
        <v>49</v>
      </c>
    </row>
    <row r="121" spans="1:7" x14ac:dyDescent="0.2">
      <c r="A121">
        <v>12</v>
      </c>
      <c r="B121">
        <v>5</v>
      </c>
      <c r="C121" t="s">
        <v>11</v>
      </c>
      <c r="D121" s="12" t="s">
        <v>913</v>
      </c>
      <c r="E121" s="1">
        <v>-4.4528542202766399</v>
      </c>
      <c r="F121" s="1">
        <v>-7.2515961778776896</v>
      </c>
      <c r="G121">
        <f>VLOOKUP(C121,'[1]phenotypes-895'!$A$2:$G$896,7,FALSE)</f>
        <v>60</v>
      </c>
    </row>
    <row r="122" spans="1:7" x14ac:dyDescent="0.2">
      <c r="A122">
        <v>288</v>
      </c>
      <c r="B122">
        <v>6</v>
      </c>
      <c r="C122" t="s">
        <v>287</v>
      </c>
      <c r="D122" s="12" t="s">
        <v>913</v>
      </c>
      <c r="E122" s="1">
        <v>-4.4524972021187104</v>
      </c>
      <c r="F122" s="1">
        <v>-6.7116005449388396</v>
      </c>
      <c r="G122">
        <f>VLOOKUP(C122,'[1]phenotypes-895'!$A$2:$G$896,7,FALSE)</f>
        <v>57</v>
      </c>
    </row>
    <row r="123" spans="1:7" x14ac:dyDescent="0.2">
      <c r="A123">
        <v>234</v>
      </c>
      <c r="B123">
        <v>17</v>
      </c>
      <c r="C123" t="s">
        <v>233</v>
      </c>
      <c r="D123" s="12" t="s">
        <v>912</v>
      </c>
      <c r="E123" s="1">
        <v>-4.44319261887654</v>
      </c>
      <c r="F123" s="1">
        <v>-3.9117490902908001</v>
      </c>
      <c r="G123">
        <f>VLOOKUP(C123,'[1]phenotypes-895'!$A$2:$G$896,7,FALSE)</f>
        <v>98</v>
      </c>
    </row>
    <row r="124" spans="1:7" x14ac:dyDescent="0.2">
      <c r="A124">
        <v>385</v>
      </c>
      <c r="B124">
        <v>49</v>
      </c>
      <c r="C124" t="s">
        <v>384</v>
      </c>
      <c r="D124" s="13" t="s">
        <v>912</v>
      </c>
      <c r="E124" s="1">
        <v>-4.4369668320327902</v>
      </c>
      <c r="F124" s="1">
        <v>-4.1565717966769302</v>
      </c>
      <c r="G124">
        <f>VLOOKUP(C124,'[1]phenotypes-895'!$A$2:$G$896,7,FALSE)</f>
        <v>51</v>
      </c>
    </row>
    <row r="125" spans="1:7" x14ac:dyDescent="0.2">
      <c r="A125">
        <v>6</v>
      </c>
      <c r="B125">
        <v>3</v>
      </c>
      <c r="C125" t="s">
        <v>5</v>
      </c>
      <c r="D125" s="12" t="s">
        <v>913</v>
      </c>
      <c r="E125" s="1">
        <v>-4.4106253651324003</v>
      </c>
      <c r="F125" s="1">
        <v>-6.8681574845300801</v>
      </c>
      <c r="G125">
        <f>VLOOKUP(C125,'[1]phenotypes-895'!$A$2:$G$896,7,FALSE)</f>
        <v>64</v>
      </c>
    </row>
    <row r="126" spans="1:7" x14ac:dyDescent="0.2">
      <c r="A126">
        <v>302</v>
      </c>
      <c r="B126">
        <v>13</v>
      </c>
      <c r="C126" t="s">
        <v>301</v>
      </c>
      <c r="D126" s="12" t="s">
        <v>912</v>
      </c>
      <c r="E126" s="1">
        <v>-4.3815987990796499</v>
      </c>
      <c r="F126" s="1">
        <v>-4.2267138261585204</v>
      </c>
      <c r="G126">
        <f>VLOOKUP(C126,'[1]phenotypes-895'!$A$2:$G$896,7,FALSE)</f>
        <v>98</v>
      </c>
    </row>
    <row r="127" spans="1:7" x14ac:dyDescent="0.2">
      <c r="A127">
        <v>311</v>
      </c>
      <c r="B127">
        <v>1</v>
      </c>
      <c r="C127" t="s">
        <v>310</v>
      </c>
      <c r="D127" s="12" t="s">
        <v>913</v>
      </c>
      <c r="E127" s="1">
        <v>-4.3732637907260496</v>
      </c>
      <c r="F127" s="1">
        <v>-6.1843349171220297</v>
      </c>
      <c r="G127">
        <f>VLOOKUP(C127,'[1]phenotypes-895'!$A$2:$G$896,7,FALSE)</f>
        <v>37</v>
      </c>
    </row>
    <row r="128" spans="1:7" x14ac:dyDescent="0.2">
      <c r="A128">
        <v>277</v>
      </c>
      <c r="B128">
        <v>10</v>
      </c>
      <c r="C128" t="s">
        <v>276</v>
      </c>
      <c r="D128" s="12" t="s">
        <v>912</v>
      </c>
      <c r="E128" s="1">
        <v>-4.3584487329860204</v>
      </c>
      <c r="F128" s="1">
        <v>-3.6667358602351601</v>
      </c>
      <c r="G128">
        <f>VLOOKUP(C128,'[1]phenotypes-895'!$A$2:$G$896,7,FALSE)</f>
        <v>56</v>
      </c>
    </row>
    <row r="129" spans="1:7" x14ac:dyDescent="0.2">
      <c r="A129">
        <v>56</v>
      </c>
      <c r="B129">
        <v>12</v>
      </c>
      <c r="C129" t="s">
        <v>55</v>
      </c>
      <c r="D129" s="12" t="s">
        <v>912</v>
      </c>
      <c r="E129" s="1">
        <v>-4.3441251504150298</v>
      </c>
      <c r="F129" s="1">
        <v>-3.7591304500541902</v>
      </c>
      <c r="G129">
        <f>VLOOKUP(C129,'[1]phenotypes-895'!$A$2:$G$896,7,FALSE)</f>
        <v>48</v>
      </c>
    </row>
    <row r="130" spans="1:7" x14ac:dyDescent="0.2">
      <c r="A130">
        <v>801</v>
      </c>
      <c r="B130">
        <v>24</v>
      </c>
      <c r="C130" t="s">
        <v>800</v>
      </c>
      <c r="D130" s="13" t="s">
        <v>913</v>
      </c>
      <c r="E130" s="1">
        <v>-4.3283444874845296</v>
      </c>
      <c r="F130" s="1">
        <v>-6.7080067871265197</v>
      </c>
      <c r="G130">
        <f>VLOOKUP(C130,'[1]phenotypes-895'!$A$2:$G$896,7,FALSE)</f>
        <v>60</v>
      </c>
    </row>
    <row r="131" spans="1:7" x14ac:dyDescent="0.2">
      <c r="A131">
        <v>724</v>
      </c>
      <c r="B131">
        <v>50</v>
      </c>
      <c r="C131" t="s">
        <v>723</v>
      </c>
      <c r="D131" s="13" t="s">
        <v>912</v>
      </c>
      <c r="E131" s="1">
        <v>-4.3210757909220598</v>
      </c>
      <c r="F131" s="1">
        <v>-2.57547298610866</v>
      </c>
      <c r="G131">
        <f>VLOOKUP(C131,'[1]phenotypes-895'!$A$2:$G$896,7,FALSE)</f>
        <v>63</v>
      </c>
    </row>
    <row r="132" spans="1:7" x14ac:dyDescent="0.2">
      <c r="A132">
        <v>97</v>
      </c>
      <c r="B132">
        <v>14</v>
      </c>
      <c r="C132" t="s">
        <v>96</v>
      </c>
      <c r="D132" s="12" t="s">
        <v>912</v>
      </c>
      <c r="E132" s="1">
        <v>-4.3106490015685699</v>
      </c>
      <c r="F132" s="1">
        <v>-4.8486827688199696</v>
      </c>
      <c r="G132">
        <f>VLOOKUP(C132,'[1]phenotypes-895'!$A$2:$G$896,7,FALSE)</f>
        <v>56</v>
      </c>
    </row>
    <row r="133" spans="1:7" x14ac:dyDescent="0.2">
      <c r="A133">
        <v>500</v>
      </c>
      <c r="B133">
        <v>36</v>
      </c>
      <c r="C133" t="s">
        <v>499</v>
      </c>
      <c r="D133" s="13" t="s">
        <v>913</v>
      </c>
      <c r="E133" s="1">
        <v>-4.2718752151044903</v>
      </c>
      <c r="F133" s="1">
        <v>-3.1475682028977698</v>
      </c>
      <c r="G133">
        <f>VLOOKUP(C133,'[1]phenotypes-895'!$A$2:$G$896,7,FALSE)</f>
        <v>55</v>
      </c>
    </row>
    <row r="134" spans="1:7" x14ac:dyDescent="0.2">
      <c r="A134">
        <v>335</v>
      </c>
      <c r="B134">
        <v>4</v>
      </c>
      <c r="C134" t="s">
        <v>334</v>
      </c>
      <c r="D134" s="12" t="s">
        <v>913</v>
      </c>
      <c r="E134" s="1">
        <v>-4.2412533144518303</v>
      </c>
      <c r="F134" s="1">
        <v>-6.3043474564004498</v>
      </c>
      <c r="G134">
        <f>VLOOKUP(C134,'[1]phenotypes-895'!$A$2:$G$896,7,FALSE)</f>
        <v>63</v>
      </c>
    </row>
    <row r="135" spans="1:7" x14ac:dyDescent="0.2">
      <c r="A135">
        <v>39</v>
      </c>
      <c r="B135">
        <v>17</v>
      </c>
      <c r="C135" t="s">
        <v>38</v>
      </c>
      <c r="D135" s="12" t="s">
        <v>912</v>
      </c>
      <c r="E135" s="1">
        <v>-4.21292885659392</v>
      </c>
      <c r="F135" s="1">
        <v>-3.7071537666737902</v>
      </c>
      <c r="G135">
        <f>VLOOKUP(C135,'[1]phenotypes-895'!$A$2:$G$896,7,FALSE)</f>
        <v>76</v>
      </c>
    </row>
    <row r="136" spans="1:7" x14ac:dyDescent="0.2">
      <c r="A136">
        <v>180</v>
      </c>
      <c r="B136">
        <v>11</v>
      </c>
      <c r="C136" t="s">
        <v>179</v>
      </c>
      <c r="D136" s="12" t="s">
        <v>912</v>
      </c>
      <c r="E136" s="1">
        <v>-4.1573061762636101</v>
      </c>
      <c r="F136" s="1">
        <v>-3.3960409217170402</v>
      </c>
      <c r="G136">
        <f>VLOOKUP(C136,'[1]phenotypes-895'!$A$2:$G$896,7,FALSE)</f>
        <v>66</v>
      </c>
    </row>
    <row r="137" spans="1:7" x14ac:dyDescent="0.2">
      <c r="A137">
        <v>287</v>
      </c>
      <c r="B137">
        <v>1</v>
      </c>
      <c r="C137" t="s">
        <v>286</v>
      </c>
      <c r="D137" s="12" t="s">
        <v>913</v>
      </c>
      <c r="E137" s="1">
        <v>-4.1429339439666597</v>
      </c>
      <c r="F137" s="1">
        <v>-6.0759721539542602</v>
      </c>
      <c r="G137">
        <f>VLOOKUP(C137,'[1]phenotypes-895'!$A$2:$G$896,7,FALSE)</f>
        <v>49</v>
      </c>
    </row>
    <row r="138" spans="1:7" x14ac:dyDescent="0.2">
      <c r="A138">
        <v>55</v>
      </c>
      <c r="B138">
        <v>3</v>
      </c>
      <c r="C138" t="s">
        <v>54</v>
      </c>
      <c r="D138" s="12" t="s">
        <v>913</v>
      </c>
      <c r="E138" s="1">
        <v>-4.1384733788730399</v>
      </c>
      <c r="F138" s="1">
        <v>-7.1030167634175196</v>
      </c>
      <c r="G138">
        <f>VLOOKUP(C138,'[1]phenotypes-895'!$A$2:$G$896,7,FALSE)</f>
        <v>55</v>
      </c>
    </row>
    <row r="139" spans="1:7" x14ac:dyDescent="0.2">
      <c r="A139">
        <v>894</v>
      </c>
      <c r="B139">
        <v>33</v>
      </c>
      <c r="C139" t="s">
        <v>893</v>
      </c>
      <c r="D139" s="13" t="s">
        <v>913</v>
      </c>
      <c r="E139" s="1">
        <v>-4.1204646674709497</v>
      </c>
      <c r="F139" s="1">
        <v>-6.5633772376321797</v>
      </c>
      <c r="G139">
        <f>VLOOKUP(C139,'[1]phenotypes-895'!$A$2:$G$896,7,FALSE)</f>
        <v>98</v>
      </c>
    </row>
    <row r="140" spans="1:7" x14ac:dyDescent="0.2">
      <c r="A140">
        <v>122</v>
      </c>
      <c r="B140">
        <v>12</v>
      </c>
      <c r="C140" t="s">
        <v>121</v>
      </c>
      <c r="D140" s="12" t="s">
        <v>912</v>
      </c>
      <c r="E140" s="1">
        <v>-4.0615633237498399</v>
      </c>
      <c r="F140" s="1">
        <v>-3.4982518575512902</v>
      </c>
      <c r="G140">
        <f>VLOOKUP(C140,'[1]phenotypes-895'!$A$2:$G$896,7,FALSE)</f>
        <v>58</v>
      </c>
    </row>
    <row r="141" spans="1:7" x14ac:dyDescent="0.2">
      <c r="A141">
        <v>815</v>
      </c>
      <c r="B141">
        <v>33</v>
      </c>
      <c r="C141" t="s">
        <v>814</v>
      </c>
      <c r="D141" s="13" t="s">
        <v>913</v>
      </c>
      <c r="E141" s="1">
        <v>-4.0193599856567799</v>
      </c>
      <c r="F141" s="1">
        <v>-4.3330896930102298</v>
      </c>
      <c r="G141">
        <f>VLOOKUP(C141,'[1]phenotypes-895'!$A$2:$G$896,7,FALSE)</f>
        <v>44</v>
      </c>
    </row>
    <row r="142" spans="1:7" x14ac:dyDescent="0.2">
      <c r="A142">
        <v>191</v>
      </c>
      <c r="B142">
        <v>6</v>
      </c>
      <c r="C142" t="s">
        <v>190</v>
      </c>
      <c r="D142" s="12" t="s">
        <v>913</v>
      </c>
      <c r="E142" s="1">
        <v>-3.9988202485955999</v>
      </c>
      <c r="F142" s="1">
        <v>-6.1139181417801103</v>
      </c>
      <c r="G142">
        <f>VLOOKUP(C142,'[1]phenotypes-895'!$A$2:$G$896,7,FALSE)</f>
        <v>56</v>
      </c>
    </row>
    <row r="143" spans="1:7" x14ac:dyDescent="0.2">
      <c r="A143">
        <v>349</v>
      </c>
      <c r="B143">
        <v>15</v>
      </c>
      <c r="C143" t="s">
        <v>348</v>
      </c>
      <c r="D143" s="12" t="s">
        <v>912</v>
      </c>
      <c r="E143" s="1">
        <v>-3.9456643437717198</v>
      </c>
      <c r="F143" s="1">
        <v>-4.3654422600538103</v>
      </c>
      <c r="G143">
        <f>VLOOKUP(C143,'[1]phenotypes-895'!$A$2:$G$896,7,FALSE)</f>
        <v>64</v>
      </c>
    </row>
    <row r="144" spans="1:7" x14ac:dyDescent="0.2">
      <c r="A144">
        <v>149</v>
      </c>
      <c r="B144">
        <v>9</v>
      </c>
      <c r="C144" t="s">
        <v>148</v>
      </c>
      <c r="D144" s="12" t="s">
        <v>912</v>
      </c>
      <c r="E144" s="1">
        <v>-3.8969849381498198</v>
      </c>
      <c r="F144" s="1">
        <v>-4.2624175858320896</v>
      </c>
      <c r="G144">
        <f>VLOOKUP(C144,'[1]phenotypes-895'!$A$2:$G$896,7,FALSE)</f>
        <v>62</v>
      </c>
    </row>
    <row r="145" spans="1:7" x14ac:dyDescent="0.2">
      <c r="A145">
        <v>834</v>
      </c>
      <c r="B145">
        <v>42</v>
      </c>
      <c r="C145" t="s">
        <v>833</v>
      </c>
      <c r="D145" s="13" t="s">
        <v>912</v>
      </c>
      <c r="E145" s="1">
        <v>-3.8936339266878801</v>
      </c>
      <c r="F145" s="1">
        <v>-1.25444885642811</v>
      </c>
      <c r="G145">
        <f>VLOOKUP(C145,'[1]phenotypes-895'!$A$2:$G$896,7,FALSE)</f>
        <v>63</v>
      </c>
    </row>
    <row r="146" spans="1:7" x14ac:dyDescent="0.2">
      <c r="A146">
        <v>94</v>
      </c>
      <c r="B146">
        <v>9</v>
      </c>
      <c r="C146" t="s">
        <v>93</v>
      </c>
      <c r="D146" s="12" t="s">
        <v>912</v>
      </c>
      <c r="E146" s="1">
        <v>-3.8841078724449201</v>
      </c>
      <c r="F146" s="1">
        <v>-3.5676870806943999</v>
      </c>
      <c r="G146">
        <f>VLOOKUP(C146,'[1]phenotypes-895'!$A$2:$G$896,7,FALSE)</f>
        <v>56</v>
      </c>
    </row>
    <row r="147" spans="1:7" x14ac:dyDescent="0.2">
      <c r="A147">
        <v>551</v>
      </c>
      <c r="B147">
        <v>33</v>
      </c>
      <c r="C147" t="s">
        <v>550</v>
      </c>
      <c r="D147" s="13" t="s">
        <v>913</v>
      </c>
      <c r="E147" s="1">
        <v>-3.8671705248054602</v>
      </c>
      <c r="F147" s="1">
        <v>-3.9601241446543098</v>
      </c>
      <c r="G147">
        <f>VLOOKUP(C147,'[1]phenotypes-895'!$A$2:$G$896,7,FALSE)</f>
        <v>63</v>
      </c>
    </row>
    <row r="148" spans="1:7" x14ac:dyDescent="0.2">
      <c r="A148">
        <v>68</v>
      </c>
      <c r="B148">
        <v>2</v>
      </c>
      <c r="C148" t="s">
        <v>67</v>
      </c>
      <c r="D148" s="12" t="s">
        <v>913</v>
      </c>
      <c r="E148" s="1">
        <v>-3.8639127633027899</v>
      </c>
      <c r="F148" s="1">
        <v>-6.3340409593153204</v>
      </c>
      <c r="G148">
        <f>VLOOKUP(C148,'[1]phenotypes-895'!$A$2:$G$896,7,FALSE)</f>
        <v>74</v>
      </c>
    </row>
    <row r="149" spans="1:7" x14ac:dyDescent="0.2">
      <c r="A149">
        <v>353</v>
      </c>
      <c r="B149">
        <v>6</v>
      </c>
      <c r="C149" t="s">
        <v>352</v>
      </c>
      <c r="D149" s="12" t="s">
        <v>913</v>
      </c>
      <c r="E149" s="1">
        <v>-3.8120751409193998</v>
      </c>
      <c r="F149" s="1">
        <v>-6.1413415033992296</v>
      </c>
      <c r="G149">
        <f>VLOOKUP(C149,'[1]phenotypes-895'!$A$2:$G$896,7,FALSE)</f>
        <v>53</v>
      </c>
    </row>
    <row r="150" spans="1:7" x14ac:dyDescent="0.2">
      <c r="A150">
        <v>15</v>
      </c>
      <c r="B150">
        <v>9</v>
      </c>
      <c r="C150" t="s">
        <v>14</v>
      </c>
      <c r="D150" s="12" t="s">
        <v>912</v>
      </c>
      <c r="E150" s="1">
        <v>-3.7569217402513502</v>
      </c>
      <c r="F150" s="1">
        <v>-4.1722462339659598</v>
      </c>
      <c r="G150">
        <f>VLOOKUP(C150,'[1]phenotypes-895'!$A$2:$G$896,7,FALSE)</f>
        <v>53</v>
      </c>
    </row>
    <row r="151" spans="1:7" x14ac:dyDescent="0.2">
      <c r="A151">
        <v>11</v>
      </c>
      <c r="B151">
        <v>1</v>
      </c>
      <c r="C151" t="s">
        <v>10</v>
      </c>
      <c r="D151" s="12" t="s">
        <v>913</v>
      </c>
      <c r="E151" s="1">
        <v>-3.7444373288908102</v>
      </c>
      <c r="F151" s="1">
        <v>-5.5303321966281</v>
      </c>
      <c r="G151">
        <f>VLOOKUP(C151,'[1]phenotypes-895'!$A$2:$G$896,7,FALSE)</f>
        <v>50</v>
      </c>
    </row>
    <row r="152" spans="1:7" x14ac:dyDescent="0.2">
      <c r="A152">
        <v>632</v>
      </c>
      <c r="B152">
        <v>29</v>
      </c>
      <c r="C152" t="s">
        <v>631</v>
      </c>
      <c r="D152" s="13" t="s">
        <v>913</v>
      </c>
      <c r="E152" s="1">
        <v>-3.6902216879554399</v>
      </c>
      <c r="F152" s="1">
        <v>-5.4907373581129999</v>
      </c>
      <c r="G152">
        <f>VLOOKUP(C152,'[1]phenotypes-895'!$A$2:$G$896,7,FALSE)</f>
        <v>44</v>
      </c>
    </row>
    <row r="153" spans="1:7" x14ac:dyDescent="0.2">
      <c r="A153">
        <v>531</v>
      </c>
      <c r="B153">
        <v>34</v>
      </c>
      <c r="C153" t="s">
        <v>530</v>
      </c>
      <c r="D153" s="13" t="s">
        <v>913</v>
      </c>
      <c r="E153" s="1">
        <v>-3.67184674720249</v>
      </c>
      <c r="F153" s="1">
        <v>-3.7837424141395699</v>
      </c>
      <c r="G153">
        <f>VLOOKUP(C153,'[1]phenotypes-895'!$A$2:$G$896,7,FALSE)</f>
        <v>58</v>
      </c>
    </row>
    <row r="154" spans="1:7" x14ac:dyDescent="0.2">
      <c r="A154">
        <v>781</v>
      </c>
      <c r="B154">
        <v>44</v>
      </c>
      <c r="C154" t="s">
        <v>780</v>
      </c>
      <c r="D154" s="13" t="s">
        <v>912</v>
      </c>
      <c r="E154" s="1">
        <v>-3.6565570373301099</v>
      </c>
      <c r="F154" s="1">
        <v>-1.7771577656943101</v>
      </c>
      <c r="G154">
        <f>VLOOKUP(C154,'[1]phenotypes-895'!$A$2:$G$896,7,FALSE)</f>
        <v>44</v>
      </c>
    </row>
    <row r="155" spans="1:7" x14ac:dyDescent="0.2">
      <c r="A155">
        <v>267</v>
      </c>
      <c r="B155">
        <v>43</v>
      </c>
      <c r="C155" t="s">
        <v>266</v>
      </c>
      <c r="D155" s="13" t="s">
        <v>912</v>
      </c>
      <c r="E155" s="1">
        <v>-3.6324581132445899</v>
      </c>
      <c r="F155" s="1">
        <v>-2.0758440226822801</v>
      </c>
      <c r="G155">
        <f>VLOOKUP(C155,'[1]phenotypes-895'!$A$2:$G$896,7,FALSE)</f>
        <v>54</v>
      </c>
    </row>
    <row r="156" spans="1:7" x14ac:dyDescent="0.2">
      <c r="A156">
        <v>54</v>
      </c>
      <c r="B156">
        <v>7</v>
      </c>
      <c r="C156" t="s">
        <v>53</v>
      </c>
      <c r="D156" s="12" t="s">
        <v>913</v>
      </c>
      <c r="E156" s="1">
        <v>-3.61747148541395</v>
      </c>
      <c r="F156" s="1">
        <v>-4.0321804372616796</v>
      </c>
      <c r="G156">
        <f>VLOOKUP(C156,'[1]phenotypes-895'!$A$2:$G$896,7,FALSE)</f>
        <v>61</v>
      </c>
    </row>
    <row r="157" spans="1:7" x14ac:dyDescent="0.2">
      <c r="A157">
        <v>266</v>
      </c>
      <c r="B157">
        <v>10</v>
      </c>
      <c r="C157" t="s">
        <v>265</v>
      </c>
      <c r="D157" s="12" t="s">
        <v>912</v>
      </c>
      <c r="E157" s="1">
        <v>-3.6157544559087902</v>
      </c>
      <c r="F157" s="1">
        <v>-3.5536184614102999</v>
      </c>
      <c r="G157">
        <f>VLOOKUP(C157,'[1]phenotypes-895'!$A$2:$G$896,7,FALSE)</f>
        <v>50</v>
      </c>
    </row>
    <row r="158" spans="1:7" x14ac:dyDescent="0.2">
      <c r="A158">
        <v>772</v>
      </c>
      <c r="B158">
        <v>29</v>
      </c>
      <c r="C158" t="s">
        <v>771</v>
      </c>
      <c r="D158" s="13" t="s">
        <v>913</v>
      </c>
      <c r="E158" s="1">
        <v>-3.6120556246322599</v>
      </c>
      <c r="F158" s="1">
        <v>-5.4471860536375596</v>
      </c>
      <c r="G158">
        <f>VLOOKUP(C158,'[1]phenotypes-895'!$A$2:$G$896,7,FALSE)</f>
        <v>60</v>
      </c>
    </row>
    <row r="159" spans="1:7" x14ac:dyDescent="0.2">
      <c r="A159">
        <v>737</v>
      </c>
      <c r="B159">
        <v>52</v>
      </c>
      <c r="C159" t="s">
        <v>736</v>
      </c>
      <c r="D159" s="13" t="s">
        <v>912</v>
      </c>
      <c r="E159" s="1">
        <v>-3.5892280339890701</v>
      </c>
      <c r="F159" s="1">
        <v>-1.63925780867198</v>
      </c>
      <c r="G159">
        <f>VLOOKUP(C159,'[1]phenotypes-895'!$A$2:$G$896,7,FALSE)</f>
        <v>52</v>
      </c>
    </row>
    <row r="160" spans="1:7" x14ac:dyDescent="0.2">
      <c r="A160">
        <v>284</v>
      </c>
      <c r="B160">
        <v>16</v>
      </c>
      <c r="C160" t="s">
        <v>283</v>
      </c>
      <c r="D160" s="12" t="s">
        <v>912</v>
      </c>
      <c r="E160" s="1">
        <v>-3.5782095605568802</v>
      </c>
      <c r="F160" s="1">
        <v>-3.44815347832286</v>
      </c>
      <c r="G160">
        <f>VLOOKUP(C160,'[1]phenotypes-895'!$A$2:$G$896,7,FALSE)</f>
        <v>66</v>
      </c>
    </row>
    <row r="161" spans="1:7" x14ac:dyDescent="0.2">
      <c r="A161">
        <v>38</v>
      </c>
      <c r="B161">
        <v>43</v>
      </c>
      <c r="C161" t="s">
        <v>37</v>
      </c>
      <c r="D161" s="13" t="s">
        <v>912</v>
      </c>
      <c r="E161" s="1">
        <v>-3.57041745365499</v>
      </c>
      <c r="F161" s="1">
        <v>-2.39820695675111</v>
      </c>
      <c r="G161">
        <f>VLOOKUP(C161,'[1]phenotypes-895'!$A$2:$G$896,7,FALSE)</f>
        <v>70</v>
      </c>
    </row>
    <row r="162" spans="1:7" x14ac:dyDescent="0.2">
      <c r="A162">
        <v>187</v>
      </c>
      <c r="B162">
        <v>13</v>
      </c>
      <c r="C162" t="s">
        <v>186</v>
      </c>
      <c r="D162" s="12" t="s">
        <v>912</v>
      </c>
      <c r="E162" s="1">
        <v>-3.5489909104883899</v>
      </c>
      <c r="F162" s="1">
        <v>-3.4633959162306498</v>
      </c>
      <c r="G162">
        <f>VLOOKUP(C162,'[1]phenotypes-895'!$A$2:$G$896,7,FALSE)</f>
        <v>64</v>
      </c>
    </row>
    <row r="163" spans="1:7" x14ac:dyDescent="0.2">
      <c r="A163">
        <v>137</v>
      </c>
      <c r="B163">
        <v>13</v>
      </c>
      <c r="C163" t="s">
        <v>136</v>
      </c>
      <c r="D163" s="12" t="s">
        <v>912</v>
      </c>
      <c r="E163" s="1">
        <v>-3.5451219725166601</v>
      </c>
      <c r="F163" s="1">
        <v>-2.88022898351648</v>
      </c>
      <c r="G163">
        <f>VLOOKUP(C163,'[1]phenotypes-895'!$A$2:$G$896,7,FALSE)</f>
        <v>60</v>
      </c>
    </row>
    <row r="164" spans="1:7" x14ac:dyDescent="0.2">
      <c r="A164">
        <v>330</v>
      </c>
      <c r="B164">
        <v>1</v>
      </c>
      <c r="C164" t="s">
        <v>329</v>
      </c>
      <c r="D164" s="12" t="s">
        <v>913</v>
      </c>
      <c r="E164" s="1">
        <v>-3.52538893567568</v>
      </c>
      <c r="F164" s="1">
        <v>-5.2136560022460703</v>
      </c>
      <c r="G164">
        <f>VLOOKUP(C164,'[1]phenotypes-895'!$A$2:$G$896,7,FALSE)</f>
        <v>48</v>
      </c>
    </row>
    <row r="165" spans="1:7" x14ac:dyDescent="0.2">
      <c r="A165">
        <v>144</v>
      </c>
      <c r="B165">
        <v>9</v>
      </c>
      <c r="C165" t="s">
        <v>143</v>
      </c>
      <c r="D165" s="12" t="s">
        <v>912</v>
      </c>
      <c r="E165" s="1">
        <v>-3.5223570956005501</v>
      </c>
      <c r="F165" s="1">
        <v>-3.5872803465293002</v>
      </c>
      <c r="G165">
        <f>VLOOKUP(C165,'[1]phenotypes-895'!$A$2:$G$896,7,FALSE)</f>
        <v>49</v>
      </c>
    </row>
    <row r="166" spans="1:7" x14ac:dyDescent="0.2">
      <c r="A166">
        <v>423</v>
      </c>
      <c r="B166">
        <v>48</v>
      </c>
      <c r="C166" t="s">
        <v>422</v>
      </c>
      <c r="D166" s="13" t="s">
        <v>912</v>
      </c>
      <c r="E166" s="1">
        <v>-3.4936634349507898</v>
      </c>
      <c r="F166" s="1">
        <v>-3.1912623136307601</v>
      </c>
      <c r="G166">
        <f>VLOOKUP(C166,'[1]phenotypes-895'!$A$2:$G$896,7,FALSE)</f>
        <v>58</v>
      </c>
    </row>
    <row r="167" spans="1:7" x14ac:dyDescent="0.2">
      <c r="A167">
        <v>34</v>
      </c>
      <c r="B167">
        <v>50</v>
      </c>
      <c r="C167" t="s">
        <v>33</v>
      </c>
      <c r="D167" s="13" t="s">
        <v>912</v>
      </c>
      <c r="E167" s="1">
        <v>-3.49354221621169</v>
      </c>
      <c r="F167" s="1">
        <v>-1.1074686985400499</v>
      </c>
      <c r="G167">
        <f>VLOOKUP(C167,'[1]phenotypes-895'!$A$2:$G$896,7,FALSE)</f>
        <v>62</v>
      </c>
    </row>
    <row r="168" spans="1:7" x14ac:dyDescent="0.2">
      <c r="A168">
        <v>343</v>
      </c>
      <c r="B168">
        <v>2</v>
      </c>
      <c r="C168" t="s">
        <v>342</v>
      </c>
      <c r="D168" s="12" t="s">
        <v>913</v>
      </c>
      <c r="E168" s="1">
        <v>-3.4901200816115199</v>
      </c>
      <c r="F168" s="1">
        <v>-5.5834252473666997</v>
      </c>
      <c r="G168">
        <f>VLOOKUP(C168,'[1]phenotypes-895'!$A$2:$G$896,7,FALSE)</f>
        <v>98</v>
      </c>
    </row>
    <row r="169" spans="1:7" x14ac:dyDescent="0.2">
      <c r="A169">
        <v>95</v>
      </c>
      <c r="B169">
        <v>4</v>
      </c>
      <c r="C169" t="s">
        <v>94</v>
      </c>
      <c r="D169" s="12" t="s">
        <v>913</v>
      </c>
      <c r="E169" s="1">
        <v>-3.4677736218798398</v>
      </c>
      <c r="F169" s="1">
        <v>-5.4680368022490704</v>
      </c>
      <c r="G169">
        <f>VLOOKUP(C169,'[1]phenotypes-895'!$A$2:$G$896,7,FALSE)</f>
        <v>71</v>
      </c>
    </row>
    <row r="170" spans="1:7" x14ac:dyDescent="0.2">
      <c r="A170">
        <v>248</v>
      </c>
      <c r="B170">
        <v>10</v>
      </c>
      <c r="C170" t="s">
        <v>247</v>
      </c>
      <c r="D170" s="12" t="s">
        <v>912</v>
      </c>
      <c r="E170" s="1">
        <v>-3.4676978964314999</v>
      </c>
      <c r="F170" s="1">
        <v>-2.6130933831425001</v>
      </c>
      <c r="G170">
        <f>VLOOKUP(C170,'[1]phenotypes-895'!$A$2:$G$896,7,FALSE)</f>
        <v>98</v>
      </c>
    </row>
    <row r="171" spans="1:7" x14ac:dyDescent="0.2">
      <c r="A171">
        <v>43</v>
      </c>
      <c r="B171">
        <v>15</v>
      </c>
      <c r="C171" t="s">
        <v>42</v>
      </c>
      <c r="D171" s="12" t="s">
        <v>912</v>
      </c>
      <c r="E171" s="1">
        <v>-3.4535236846327799</v>
      </c>
      <c r="F171" s="1">
        <v>-3.4800547362574701</v>
      </c>
      <c r="G171">
        <f>VLOOKUP(C171,'[1]phenotypes-895'!$A$2:$G$896,7,FALSE)</f>
        <v>78</v>
      </c>
    </row>
    <row r="172" spans="1:7" x14ac:dyDescent="0.2">
      <c r="A172">
        <v>511</v>
      </c>
      <c r="B172">
        <v>54</v>
      </c>
      <c r="C172" t="s">
        <v>510</v>
      </c>
      <c r="D172" s="13" t="s">
        <v>912</v>
      </c>
      <c r="E172" s="1">
        <v>-3.42968072757566</v>
      </c>
      <c r="F172" s="1">
        <v>-5.6281027763256999</v>
      </c>
      <c r="G172">
        <f>VLOOKUP(C172,'[1]phenotypes-895'!$A$2:$G$896,7,FALSE)</f>
        <v>98</v>
      </c>
    </row>
    <row r="173" spans="1:7" x14ac:dyDescent="0.2">
      <c r="A173">
        <v>767</v>
      </c>
      <c r="B173">
        <v>33</v>
      </c>
      <c r="C173" t="s">
        <v>766</v>
      </c>
      <c r="D173" s="13" t="s">
        <v>913</v>
      </c>
      <c r="E173" s="1">
        <v>-3.4065150114404901</v>
      </c>
      <c r="F173" s="1">
        <v>-3.6183524717213502</v>
      </c>
      <c r="G173">
        <f>VLOOKUP(C173,'[1]phenotypes-895'!$A$2:$G$896,7,FALSE)</f>
        <v>51</v>
      </c>
    </row>
    <row r="174" spans="1:7" x14ac:dyDescent="0.2">
      <c r="A174">
        <v>102</v>
      </c>
      <c r="B174">
        <v>14</v>
      </c>
      <c r="C174" t="s">
        <v>101</v>
      </c>
      <c r="D174" s="12" t="s">
        <v>912</v>
      </c>
      <c r="E174" s="1">
        <v>-3.3107393810447201</v>
      </c>
      <c r="F174" s="1">
        <v>-2.00743937543302</v>
      </c>
      <c r="G174">
        <f>VLOOKUP(C174,'[1]phenotypes-895'!$A$2:$G$896,7,FALSE)</f>
        <v>53</v>
      </c>
    </row>
    <row r="175" spans="1:7" x14ac:dyDescent="0.2">
      <c r="A175">
        <v>181</v>
      </c>
      <c r="B175">
        <v>3</v>
      </c>
      <c r="C175" t="s">
        <v>180</v>
      </c>
      <c r="D175" s="12" t="s">
        <v>913</v>
      </c>
      <c r="E175" s="1">
        <v>-3.2957257702345499</v>
      </c>
      <c r="F175" s="1">
        <v>-5.7237931489069798</v>
      </c>
      <c r="G175">
        <f>VLOOKUP(C175,'[1]phenotypes-895'!$A$2:$G$896,7,FALSE)</f>
        <v>66</v>
      </c>
    </row>
    <row r="176" spans="1:7" x14ac:dyDescent="0.2">
      <c r="A176">
        <v>309</v>
      </c>
      <c r="B176">
        <v>51</v>
      </c>
      <c r="C176" t="s">
        <v>308</v>
      </c>
      <c r="D176" s="13" t="s">
        <v>912</v>
      </c>
      <c r="E176" s="1">
        <v>-3.28685211217064</v>
      </c>
      <c r="F176" s="1">
        <v>-0.85332375740592104</v>
      </c>
      <c r="G176">
        <f>VLOOKUP(C176,'[1]phenotypes-895'!$A$2:$G$896,7,FALSE)</f>
        <v>59</v>
      </c>
    </row>
    <row r="177" spans="1:7" x14ac:dyDescent="0.2">
      <c r="A177">
        <v>236</v>
      </c>
      <c r="B177">
        <v>14</v>
      </c>
      <c r="C177" t="s">
        <v>235</v>
      </c>
      <c r="D177" s="12" t="s">
        <v>912</v>
      </c>
      <c r="E177" s="1">
        <v>-3.2604054808129801</v>
      </c>
      <c r="F177" s="1">
        <v>-4.1395715571668896</v>
      </c>
      <c r="G177">
        <f>VLOOKUP(C177,'[1]phenotypes-895'!$A$2:$G$896,7,FALSE)</f>
        <v>72</v>
      </c>
    </row>
    <row r="178" spans="1:7" x14ac:dyDescent="0.2">
      <c r="A178">
        <v>678</v>
      </c>
      <c r="B178">
        <v>52</v>
      </c>
      <c r="C178" t="s">
        <v>677</v>
      </c>
      <c r="D178" s="13" t="s">
        <v>912</v>
      </c>
      <c r="E178" s="1">
        <v>-3.21885583647859</v>
      </c>
      <c r="F178" s="1">
        <v>-1.3499016620386901</v>
      </c>
      <c r="G178">
        <f>VLOOKUP(C178,'[1]phenotypes-895'!$A$2:$G$896,7,FALSE)</f>
        <v>45</v>
      </c>
    </row>
    <row r="179" spans="1:7" x14ac:dyDescent="0.2">
      <c r="A179">
        <v>640</v>
      </c>
      <c r="B179">
        <v>40</v>
      </c>
      <c r="C179" t="s">
        <v>639</v>
      </c>
      <c r="D179" s="13" t="s">
        <v>913</v>
      </c>
      <c r="E179" s="1">
        <v>-3.1322646892197898</v>
      </c>
      <c r="F179" s="1">
        <v>-4.3970119822444396</v>
      </c>
      <c r="G179">
        <f>VLOOKUP(C179,'[1]phenotypes-895'!$A$2:$G$896,7,FALSE)</f>
        <v>65</v>
      </c>
    </row>
    <row r="180" spans="1:7" x14ac:dyDescent="0.2">
      <c r="A180">
        <v>246</v>
      </c>
      <c r="B180">
        <v>6</v>
      </c>
      <c r="C180" t="s">
        <v>245</v>
      </c>
      <c r="D180" s="12" t="s">
        <v>913</v>
      </c>
      <c r="E180" s="1">
        <v>-3.1186907957860899</v>
      </c>
      <c r="F180" s="1">
        <v>-5.6364842336098704</v>
      </c>
      <c r="G180">
        <f>VLOOKUP(C180,'[1]phenotypes-895'!$A$2:$G$896,7,FALSE)</f>
        <v>60</v>
      </c>
    </row>
    <row r="181" spans="1:7" x14ac:dyDescent="0.2">
      <c r="A181">
        <v>115</v>
      </c>
      <c r="B181">
        <v>1</v>
      </c>
      <c r="C181" t="s">
        <v>114</v>
      </c>
      <c r="D181" s="12" t="s">
        <v>913</v>
      </c>
      <c r="E181" s="1">
        <v>-3.0959830422949901</v>
      </c>
      <c r="F181" s="1">
        <v>-4.8379113913415104</v>
      </c>
      <c r="G181">
        <f>VLOOKUP(C181,'[1]phenotypes-895'!$A$2:$G$896,7,FALSE)</f>
        <v>98</v>
      </c>
    </row>
    <row r="182" spans="1:7" x14ac:dyDescent="0.2">
      <c r="A182">
        <v>371</v>
      </c>
      <c r="B182">
        <v>50</v>
      </c>
      <c r="C182" t="s">
        <v>370</v>
      </c>
      <c r="D182" s="13" t="s">
        <v>912</v>
      </c>
      <c r="E182" s="1">
        <v>-3.0197003293055098</v>
      </c>
      <c r="F182" s="1">
        <v>-2.4011630407880098</v>
      </c>
      <c r="G182">
        <f>VLOOKUP(C182,'[1]phenotypes-895'!$A$2:$G$896,7,FALSE)</f>
        <v>48</v>
      </c>
    </row>
    <row r="183" spans="1:7" x14ac:dyDescent="0.2">
      <c r="A183">
        <v>329</v>
      </c>
      <c r="B183">
        <v>13</v>
      </c>
      <c r="C183" t="s">
        <v>328</v>
      </c>
      <c r="D183" s="12" t="s">
        <v>912</v>
      </c>
      <c r="E183" s="1">
        <v>-3.0115893570366699</v>
      </c>
      <c r="F183" s="1">
        <v>-2.4968712697222299</v>
      </c>
      <c r="G183">
        <f>VLOOKUP(C183,'[1]phenotypes-895'!$A$2:$G$896,7,FALSE)</f>
        <v>98</v>
      </c>
    </row>
    <row r="184" spans="1:7" x14ac:dyDescent="0.2">
      <c r="A184">
        <v>280</v>
      </c>
      <c r="B184">
        <v>6</v>
      </c>
      <c r="C184" t="s">
        <v>279</v>
      </c>
      <c r="D184" s="12" t="s">
        <v>913</v>
      </c>
      <c r="E184" s="1">
        <v>-3.0034022852551301</v>
      </c>
      <c r="F184" s="1">
        <v>-5.2219688432900204</v>
      </c>
      <c r="G184">
        <f>VLOOKUP(C184,'[1]phenotypes-895'!$A$2:$G$896,7,FALSE)</f>
        <v>57</v>
      </c>
    </row>
    <row r="185" spans="1:7" x14ac:dyDescent="0.2">
      <c r="A185">
        <v>132</v>
      </c>
      <c r="B185">
        <v>34</v>
      </c>
      <c r="C185" t="s">
        <v>131</v>
      </c>
      <c r="D185" s="13" t="s">
        <v>913</v>
      </c>
      <c r="E185" s="1">
        <v>-2.9754545497269</v>
      </c>
      <c r="F185" s="1">
        <v>-2.8063480346948899</v>
      </c>
      <c r="G185">
        <f>VLOOKUP(C185,'[1]phenotypes-895'!$A$2:$G$896,7,FALSE)</f>
        <v>70</v>
      </c>
    </row>
    <row r="186" spans="1:7" x14ac:dyDescent="0.2">
      <c r="A186">
        <v>479</v>
      </c>
      <c r="B186">
        <v>54</v>
      </c>
      <c r="C186" t="s">
        <v>478</v>
      </c>
      <c r="D186" s="13" t="s">
        <v>912</v>
      </c>
      <c r="E186" s="1">
        <v>-2.9622518851397199</v>
      </c>
      <c r="F186" s="1">
        <v>-4.4132350176000701</v>
      </c>
      <c r="G186">
        <f>VLOOKUP(C186,'[1]phenotypes-895'!$A$2:$G$896,7,FALSE)</f>
        <v>62</v>
      </c>
    </row>
    <row r="187" spans="1:7" x14ac:dyDescent="0.2">
      <c r="A187">
        <v>146</v>
      </c>
      <c r="B187">
        <v>9</v>
      </c>
      <c r="C187" t="s">
        <v>145</v>
      </c>
      <c r="D187" s="12" t="s">
        <v>912</v>
      </c>
      <c r="E187" s="1">
        <v>-2.9452871143074701</v>
      </c>
      <c r="F187" s="1">
        <v>-2.4046755963986501</v>
      </c>
      <c r="G187">
        <f>VLOOKUP(C187,'[1]phenotypes-895'!$A$2:$G$896,7,FALSE)</f>
        <v>54</v>
      </c>
    </row>
    <row r="188" spans="1:7" x14ac:dyDescent="0.2">
      <c r="A188">
        <v>764</v>
      </c>
      <c r="B188">
        <v>40</v>
      </c>
      <c r="C188" t="s">
        <v>763</v>
      </c>
      <c r="D188" s="13" t="s">
        <v>913</v>
      </c>
      <c r="E188" s="1">
        <v>-2.94170596147285</v>
      </c>
      <c r="F188" s="1">
        <v>-3.4445410161897798</v>
      </c>
      <c r="G188">
        <f>VLOOKUP(C188,'[1]phenotypes-895'!$A$2:$G$896,7,FALSE)</f>
        <v>64</v>
      </c>
    </row>
    <row r="189" spans="1:7" x14ac:dyDescent="0.2">
      <c r="A189">
        <v>183</v>
      </c>
      <c r="B189">
        <v>3</v>
      </c>
      <c r="C189" t="s">
        <v>182</v>
      </c>
      <c r="D189" s="12" t="s">
        <v>913</v>
      </c>
      <c r="E189" s="1">
        <v>-2.9262794902818898</v>
      </c>
      <c r="F189" s="1">
        <v>-5.9562006603098601</v>
      </c>
      <c r="G189">
        <f>VLOOKUP(C189,'[1]phenotypes-895'!$A$2:$G$896,7,FALSE)</f>
        <v>53</v>
      </c>
    </row>
    <row r="190" spans="1:7" x14ac:dyDescent="0.2">
      <c r="A190">
        <v>140</v>
      </c>
      <c r="B190">
        <v>16</v>
      </c>
      <c r="C190" t="s">
        <v>139</v>
      </c>
      <c r="D190" s="12" t="s">
        <v>912</v>
      </c>
      <c r="E190" s="1">
        <v>-2.9211985578497801</v>
      </c>
      <c r="F190" s="1">
        <v>-2.87792182618937</v>
      </c>
      <c r="G190">
        <f>VLOOKUP(C190,'[1]phenotypes-895'!$A$2:$G$896,7,FALSE)</f>
        <v>49</v>
      </c>
    </row>
    <row r="191" spans="1:7" x14ac:dyDescent="0.2">
      <c r="A191">
        <v>182</v>
      </c>
      <c r="B191">
        <v>10</v>
      </c>
      <c r="C191" t="s">
        <v>181</v>
      </c>
      <c r="D191" s="12" t="s">
        <v>912</v>
      </c>
      <c r="E191" s="1">
        <v>-2.9051674263562601</v>
      </c>
      <c r="F191" s="1">
        <v>-3.2699277350207101</v>
      </c>
      <c r="G191">
        <f>VLOOKUP(C191,'[1]phenotypes-895'!$A$2:$G$896,7,FALSE)</f>
        <v>54</v>
      </c>
    </row>
    <row r="192" spans="1:7" x14ac:dyDescent="0.2">
      <c r="A192">
        <v>324</v>
      </c>
      <c r="B192">
        <v>8</v>
      </c>
      <c r="C192" t="s">
        <v>323</v>
      </c>
      <c r="D192" s="12" t="s">
        <v>913</v>
      </c>
      <c r="E192" s="1">
        <v>-2.9044815654875298</v>
      </c>
      <c r="F192" s="1">
        <v>-4.1593547766130303</v>
      </c>
      <c r="G192">
        <f>VLOOKUP(C192,'[1]phenotypes-895'!$A$2:$G$896,7,FALSE)</f>
        <v>53</v>
      </c>
    </row>
    <row r="193" spans="1:7" x14ac:dyDescent="0.2">
      <c r="A193">
        <v>232</v>
      </c>
      <c r="B193">
        <v>2</v>
      </c>
      <c r="C193" t="s">
        <v>231</v>
      </c>
      <c r="D193" s="12" t="s">
        <v>913</v>
      </c>
      <c r="E193" s="1">
        <v>-2.8632834176173998</v>
      </c>
      <c r="F193" s="1">
        <v>-4.9735927674770304</v>
      </c>
      <c r="G193">
        <f>VLOOKUP(C193,'[1]phenotypes-895'!$A$2:$G$896,7,FALSE)</f>
        <v>63</v>
      </c>
    </row>
    <row r="194" spans="1:7" x14ac:dyDescent="0.2">
      <c r="A194">
        <v>169</v>
      </c>
      <c r="B194">
        <v>24</v>
      </c>
      <c r="C194" t="s">
        <v>168</v>
      </c>
      <c r="D194" s="13" t="s">
        <v>913</v>
      </c>
      <c r="E194" s="1">
        <v>-2.85725471424055</v>
      </c>
      <c r="F194" s="1">
        <v>-4.6325059984937296</v>
      </c>
      <c r="G194">
        <f>VLOOKUP(C194,'[1]phenotypes-895'!$A$2:$G$896,7,FALSE)</f>
        <v>63</v>
      </c>
    </row>
    <row r="195" spans="1:7" x14ac:dyDescent="0.2">
      <c r="A195">
        <v>398</v>
      </c>
      <c r="B195">
        <v>43</v>
      </c>
      <c r="C195" t="s">
        <v>397</v>
      </c>
      <c r="D195" s="13" t="s">
        <v>912</v>
      </c>
      <c r="E195" s="1">
        <v>-2.8566650237274498</v>
      </c>
      <c r="F195" s="1">
        <v>-3.2549043413465002</v>
      </c>
      <c r="G195">
        <f>VLOOKUP(C195,'[1]phenotypes-895'!$A$2:$G$896,7,FALSE)</f>
        <v>69</v>
      </c>
    </row>
    <row r="196" spans="1:7" x14ac:dyDescent="0.2">
      <c r="A196">
        <v>133</v>
      </c>
      <c r="B196">
        <v>10</v>
      </c>
      <c r="C196" t="s">
        <v>132</v>
      </c>
      <c r="D196" s="12" t="s">
        <v>912</v>
      </c>
      <c r="E196" s="1">
        <v>-2.8551687075945802</v>
      </c>
      <c r="F196" s="1">
        <v>-3.4637318011414102</v>
      </c>
      <c r="G196">
        <f>VLOOKUP(C196,'[1]phenotypes-895'!$A$2:$G$896,7,FALSE)</f>
        <v>71</v>
      </c>
    </row>
    <row r="197" spans="1:7" x14ac:dyDescent="0.2">
      <c r="A197">
        <v>205</v>
      </c>
      <c r="B197">
        <v>11</v>
      </c>
      <c r="C197" t="s">
        <v>204</v>
      </c>
      <c r="D197" s="12" t="s">
        <v>912</v>
      </c>
      <c r="E197" s="1">
        <v>-2.8534588689351801</v>
      </c>
      <c r="F197" s="1">
        <v>-2.00437659281741</v>
      </c>
      <c r="G197">
        <f>VLOOKUP(C197,'[1]phenotypes-895'!$A$2:$G$896,7,FALSE)</f>
        <v>65</v>
      </c>
    </row>
    <row r="198" spans="1:7" x14ac:dyDescent="0.2">
      <c r="A198">
        <v>602</v>
      </c>
      <c r="B198">
        <v>49</v>
      </c>
      <c r="C198" t="s">
        <v>601</v>
      </c>
      <c r="D198" s="13" t="s">
        <v>912</v>
      </c>
      <c r="E198" s="1">
        <v>-2.79979439429898</v>
      </c>
      <c r="F198" s="1">
        <v>0.12710054910802099</v>
      </c>
      <c r="G198">
        <f>VLOOKUP(C198,'[1]phenotypes-895'!$A$2:$G$896,7,FALSE)</f>
        <v>63</v>
      </c>
    </row>
    <row r="199" spans="1:7" x14ac:dyDescent="0.2">
      <c r="A199">
        <v>428</v>
      </c>
      <c r="B199">
        <v>53</v>
      </c>
      <c r="C199" t="s">
        <v>427</v>
      </c>
      <c r="D199" s="13" t="s">
        <v>912</v>
      </c>
      <c r="E199" s="1">
        <v>-2.7876757324235002</v>
      </c>
      <c r="F199" s="1">
        <v>-2.2422700728341098</v>
      </c>
      <c r="G199">
        <f>VLOOKUP(C199,'[1]phenotypes-895'!$A$2:$G$896,7,FALSE)</f>
        <v>62</v>
      </c>
    </row>
    <row r="200" spans="1:7" x14ac:dyDescent="0.2">
      <c r="A200">
        <v>339</v>
      </c>
      <c r="B200">
        <v>4</v>
      </c>
      <c r="C200" t="s">
        <v>338</v>
      </c>
      <c r="D200" s="12" t="s">
        <v>913</v>
      </c>
      <c r="E200" s="1">
        <v>-2.7871460829435799</v>
      </c>
      <c r="F200" s="1">
        <v>-5.2970022415440798</v>
      </c>
      <c r="G200">
        <f>VLOOKUP(C200,'[1]phenotypes-895'!$A$2:$G$896,7,FALSE)</f>
        <v>62</v>
      </c>
    </row>
    <row r="201" spans="1:7" x14ac:dyDescent="0.2">
      <c r="A201">
        <v>99</v>
      </c>
      <c r="B201">
        <v>9</v>
      </c>
      <c r="C201" t="s">
        <v>98</v>
      </c>
      <c r="D201" s="12" t="s">
        <v>912</v>
      </c>
      <c r="E201" s="1">
        <v>-2.7536861312710501</v>
      </c>
      <c r="F201" s="1">
        <v>-1.85069601417685</v>
      </c>
      <c r="G201">
        <f>VLOOKUP(C201,'[1]phenotypes-895'!$A$2:$G$896,7,FALSE)</f>
        <v>72</v>
      </c>
    </row>
    <row r="202" spans="1:7" x14ac:dyDescent="0.2">
      <c r="A202">
        <v>448</v>
      </c>
      <c r="B202">
        <v>42</v>
      </c>
      <c r="C202" t="s">
        <v>447</v>
      </c>
      <c r="D202" s="13" t="s">
        <v>912</v>
      </c>
      <c r="E202" s="1">
        <v>-2.7465239669776098</v>
      </c>
      <c r="F202" s="1">
        <v>-3.5421439209751102</v>
      </c>
      <c r="G202">
        <f>VLOOKUP(C202,'[1]phenotypes-895'!$A$2:$G$896,7,FALSE)</f>
        <v>55</v>
      </c>
    </row>
    <row r="203" spans="1:7" x14ac:dyDescent="0.2">
      <c r="A203">
        <v>321</v>
      </c>
      <c r="B203">
        <v>20</v>
      </c>
      <c r="C203" t="s">
        <v>320</v>
      </c>
      <c r="D203" s="12" t="s">
        <v>912</v>
      </c>
      <c r="E203" s="1">
        <v>-2.74377006899471</v>
      </c>
      <c r="F203" s="1">
        <v>-1.46659234045177</v>
      </c>
      <c r="G203">
        <f>VLOOKUP(C203,'[1]phenotypes-895'!$A$2:$G$896,7,FALSE)</f>
        <v>72</v>
      </c>
    </row>
    <row r="204" spans="1:7" x14ac:dyDescent="0.2">
      <c r="A204">
        <v>162</v>
      </c>
      <c r="B204">
        <v>3</v>
      </c>
      <c r="C204" t="s">
        <v>161</v>
      </c>
      <c r="D204" s="12" t="s">
        <v>913</v>
      </c>
      <c r="E204" s="1">
        <v>-2.7009348955097998</v>
      </c>
      <c r="F204" s="1">
        <v>-5.0101168616556198</v>
      </c>
      <c r="G204">
        <f>VLOOKUP(C204,'[1]phenotypes-895'!$A$2:$G$896,7,FALSE)</f>
        <v>76</v>
      </c>
    </row>
    <row r="205" spans="1:7" x14ac:dyDescent="0.2">
      <c r="A205">
        <v>744</v>
      </c>
      <c r="B205">
        <v>24</v>
      </c>
      <c r="C205" t="s">
        <v>743</v>
      </c>
      <c r="D205" s="13" t="s">
        <v>913</v>
      </c>
      <c r="E205" s="1">
        <v>-2.6946768665553398</v>
      </c>
      <c r="F205" s="1">
        <v>-4.0218585575396197</v>
      </c>
      <c r="G205">
        <f>VLOOKUP(C205,'[1]phenotypes-895'!$A$2:$G$896,7,FALSE)</f>
        <v>69</v>
      </c>
    </row>
    <row r="206" spans="1:7" x14ac:dyDescent="0.2">
      <c r="A206">
        <v>110</v>
      </c>
      <c r="B206">
        <v>1</v>
      </c>
      <c r="C206" t="s">
        <v>109</v>
      </c>
      <c r="D206" s="12" t="s">
        <v>913</v>
      </c>
      <c r="E206" s="1">
        <v>-2.68533906058371</v>
      </c>
      <c r="F206" s="1">
        <v>-4.3331157425559796</v>
      </c>
      <c r="G206">
        <f>VLOOKUP(C206,'[1]phenotypes-895'!$A$2:$G$896,7,FALSE)</f>
        <v>76</v>
      </c>
    </row>
    <row r="207" spans="1:7" x14ac:dyDescent="0.2">
      <c r="A207">
        <v>533</v>
      </c>
      <c r="B207">
        <v>42</v>
      </c>
      <c r="C207" t="s">
        <v>532</v>
      </c>
      <c r="D207" s="13" t="s">
        <v>912</v>
      </c>
      <c r="E207" s="1">
        <v>-2.6622507658951</v>
      </c>
      <c r="F207" s="1">
        <v>4.3046184559469201E-2</v>
      </c>
      <c r="G207">
        <f>VLOOKUP(C207,'[1]phenotypes-895'!$A$2:$G$896,7,FALSE)</f>
        <v>40</v>
      </c>
    </row>
    <row r="208" spans="1:7" x14ac:dyDescent="0.2">
      <c r="A208">
        <v>399</v>
      </c>
      <c r="B208">
        <v>50</v>
      </c>
      <c r="C208" t="s">
        <v>398</v>
      </c>
      <c r="D208" s="13" t="s">
        <v>912</v>
      </c>
      <c r="E208" s="1">
        <v>-2.6555552719526898</v>
      </c>
      <c r="F208" s="1">
        <v>-1.8285242877221599</v>
      </c>
      <c r="G208">
        <f>VLOOKUP(C208,'[1]phenotypes-895'!$A$2:$G$896,7,FALSE)</f>
        <v>92</v>
      </c>
    </row>
    <row r="209" spans="1:7" x14ac:dyDescent="0.2">
      <c r="A209">
        <v>125</v>
      </c>
      <c r="B209">
        <v>29</v>
      </c>
      <c r="C209" t="s">
        <v>124</v>
      </c>
      <c r="D209" s="13" t="s">
        <v>913</v>
      </c>
      <c r="E209" s="1">
        <v>-2.6500416921833798</v>
      </c>
      <c r="F209" s="1">
        <v>-4.30980803747675</v>
      </c>
      <c r="G209">
        <f>VLOOKUP(C209,'[1]phenotypes-895'!$A$2:$G$896,7,FALSE)</f>
        <v>66</v>
      </c>
    </row>
    <row r="210" spans="1:7" x14ac:dyDescent="0.2">
      <c r="A210">
        <v>684</v>
      </c>
      <c r="B210">
        <v>24</v>
      </c>
      <c r="C210" t="s">
        <v>683</v>
      </c>
      <c r="D210" s="13" t="s">
        <v>913</v>
      </c>
      <c r="E210" s="1">
        <v>-2.6149871904331601</v>
      </c>
      <c r="F210" s="1">
        <v>-4.0576977196269297</v>
      </c>
      <c r="G210">
        <f>VLOOKUP(C210,'[1]phenotypes-895'!$A$2:$G$896,7,FALSE)</f>
        <v>65</v>
      </c>
    </row>
    <row r="211" spans="1:7" x14ac:dyDescent="0.2">
      <c r="A211">
        <v>259</v>
      </c>
      <c r="B211">
        <v>24</v>
      </c>
      <c r="C211" t="s">
        <v>258</v>
      </c>
      <c r="D211" s="13" t="s">
        <v>913</v>
      </c>
      <c r="E211" s="1">
        <v>-2.5937976148825701</v>
      </c>
      <c r="F211" s="1">
        <v>-4.23272187309058</v>
      </c>
      <c r="G211">
        <f>VLOOKUP(C211,'[1]phenotypes-895'!$A$2:$G$896,7,FALSE)</f>
        <v>84</v>
      </c>
    </row>
    <row r="212" spans="1:7" x14ac:dyDescent="0.2">
      <c r="A212">
        <v>759</v>
      </c>
      <c r="B212">
        <v>24</v>
      </c>
      <c r="C212" t="s">
        <v>758</v>
      </c>
      <c r="D212" s="13" t="s">
        <v>913</v>
      </c>
      <c r="E212" s="1">
        <v>-2.5913541563654601</v>
      </c>
      <c r="F212" s="1">
        <v>-4.8853107608525601</v>
      </c>
      <c r="G212">
        <f>VLOOKUP(C212,'[1]phenotypes-895'!$A$2:$G$896,7,FALSE)</f>
        <v>98</v>
      </c>
    </row>
    <row r="213" spans="1:7" x14ac:dyDescent="0.2">
      <c r="A213">
        <v>194</v>
      </c>
      <c r="B213">
        <v>4</v>
      </c>
      <c r="C213" t="s">
        <v>193</v>
      </c>
      <c r="D213" s="12" t="s">
        <v>913</v>
      </c>
      <c r="E213" s="1">
        <v>-2.5878310804501901</v>
      </c>
      <c r="F213" s="1">
        <v>-5.2788545536049503</v>
      </c>
      <c r="G213">
        <f>VLOOKUP(C213,'[1]phenotypes-895'!$A$2:$G$896,7,FALSE)</f>
        <v>61</v>
      </c>
    </row>
    <row r="214" spans="1:7" x14ac:dyDescent="0.2">
      <c r="A214">
        <v>397</v>
      </c>
      <c r="B214">
        <v>50</v>
      </c>
      <c r="C214" t="s">
        <v>396</v>
      </c>
      <c r="D214" s="13" t="s">
        <v>912</v>
      </c>
      <c r="E214" s="1">
        <v>-2.5854951541707298</v>
      </c>
      <c r="F214" s="1">
        <v>-4.5495419539091797</v>
      </c>
      <c r="G214">
        <f>VLOOKUP(C214,'[1]phenotypes-895'!$A$2:$G$896,7,FALSE)</f>
        <v>61</v>
      </c>
    </row>
    <row r="215" spans="1:7" x14ac:dyDescent="0.2">
      <c r="A215">
        <v>612</v>
      </c>
      <c r="B215">
        <v>29</v>
      </c>
      <c r="C215" t="s">
        <v>611</v>
      </c>
      <c r="D215" s="13" t="s">
        <v>913</v>
      </c>
      <c r="E215" s="1">
        <v>-2.58045732637492</v>
      </c>
      <c r="F215" s="1">
        <v>-3.6812137118810702</v>
      </c>
      <c r="G215">
        <f>VLOOKUP(C215,'[1]phenotypes-895'!$A$2:$G$896,7,FALSE)</f>
        <v>76</v>
      </c>
    </row>
    <row r="216" spans="1:7" x14ac:dyDescent="0.2">
      <c r="A216">
        <v>313</v>
      </c>
      <c r="B216">
        <v>3</v>
      </c>
      <c r="C216" t="s">
        <v>312</v>
      </c>
      <c r="D216" s="12" t="s">
        <v>913</v>
      </c>
      <c r="E216" s="1">
        <v>-2.5664778594406799</v>
      </c>
      <c r="F216" s="1">
        <v>-5.0744291866684499</v>
      </c>
      <c r="G216">
        <f>VLOOKUP(C216,'[1]phenotypes-895'!$A$2:$G$896,7,FALSE)</f>
        <v>50</v>
      </c>
    </row>
    <row r="217" spans="1:7" x14ac:dyDescent="0.2">
      <c r="A217">
        <v>25</v>
      </c>
      <c r="B217">
        <v>10</v>
      </c>
      <c r="C217" t="s">
        <v>24</v>
      </c>
      <c r="D217" s="12" t="s">
        <v>912</v>
      </c>
      <c r="E217" s="1">
        <v>-2.54009825280006</v>
      </c>
      <c r="F217" s="1">
        <v>-1.28635635643275</v>
      </c>
      <c r="G217">
        <f>VLOOKUP(C217,'[1]phenotypes-895'!$A$2:$G$896,7,FALSE)</f>
        <v>81</v>
      </c>
    </row>
    <row r="218" spans="1:7" x14ac:dyDescent="0.2">
      <c r="A218">
        <v>201</v>
      </c>
      <c r="B218">
        <v>18</v>
      </c>
      <c r="C218" t="s">
        <v>200</v>
      </c>
      <c r="D218" s="12" t="s">
        <v>912</v>
      </c>
      <c r="E218" s="1">
        <v>-2.5202138135149998</v>
      </c>
      <c r="F218" s="1">
        <v>-1.32087072062179</v>
      </c>
      <c r="G218">
        <f>VLOOKUP(C218,'[1]phenotypes-895'!$A$2:$G$896,7,FALSE)</f>
        <v>65</v>
      </c>
    </row>
    <row r="219" spans="1:7" x14ac:dyDescent="0.2">
      <c r="A219">
        <v>207</v>
      </c>
      <c r="B219">
        <v>3</v>
      </c>
      <c r="C219" t="s">
        <v>206</v>
      </c>
      <c r="D219" s="12" t="s">
        <v>913</v>
      </c>
      <c r="E219" s="1">
        <v>-2.4771073766674001</v>
      </c>
      <c r="F219" s="1">
        <v>-4.8439167564618</v>
      </c>
      <c r="G219">
        <f>VLOOKUP(C219,'[1]phenotypes-895'!$A$2:$G$896,7,FALSE)</f>
        <v>65</v>
      </c>
    </row>
    <row r="220" spans="1:7" x14ac:dyDescent="0.2">
      <c r="A220">
        <v>233</v>
      </c>
      <c r="B220">
        <v>14</v>
      </c>
      <c r="C220" t="s">
        <v>232</v>
      </c>
      <c r="D220" s="12" t="s">
        <v>912</v>
      </c>
      <c r="E220" s="1">
        <v>-2.44847862457679</v>
      </c>
      <c r="F220" s="1">
        <v>-3.2463719355360499</v>
      </c>
      <c r="G220">
        <f>VLOOKUP(C220,'[1]phenotypes-895'!$A$2:$G$896,7,FALSE)</f>
        <v>84</v>
      </c>
    </row>
    <row r="221" spans="1:7" x14ac:dyDescent="0.2">
      <c r="A221">
        <v>237</v>
      </c>
      <c r="B221">
        <v>10</v>
      </c>
      <c r="C221" t="s">
        <v>236</v>
      </c>
      <c r="D221" s="12" t="s">
        <v>912</v>
      </c>
      <c r="E221" s="1">
        <v>-2.4085457271976498</v>
      </c>
      <c r="F221" s="1">
        <v>-1.94489336452854</v>
      </c>
      <c r="G221">
        <f>VLOOKUP(C221,'[1]phenotypes-895'!$A$2:$G$896,7,FALSE)</f>
        <v>79</v>
      </c>
    </row>
    <row r="222" spans="1:7" x14ac:dyDescent="0.2">
      <c r="A222">
        <v>239</v>
      </c>
      <c r="B222">
        <v>2</v>
      </c>
      <c r="C222" t="s">
        <v>238</v>
      </c>
      <c r="D222" s="12" t="s">
        <v>913</v>
      </c>
      <c r="E222" s="1">
        <v>-2.4015107815121302</v>
      </c>
      <c r="F222" s="1">
        <v>-3.9686444775744798</v>
      </c>
      <c r="G222">
        <f>VLOOKUP(C222,'[1]phenotypes-895'!$A$2:$G$896,7,FALSE)</f>
        <v>53</v>
      </c>
    </row>
    <row r="223" spans="1:7" x14ac:dyDescent="0.2">
      <c r="A223">
        <v>552</v>
      </c>
      <c r="B223">
        <v>50</v>
      </c>
      <c r="C223" t="s">
        <v>551</v>
      </c>
      <c r="D223" s="13" t="s">
        <v>912</v>
      </c>
      <c r="E223" s="1">
        <v>-2.3933695121478999</v>
      </c>
      <c r="F223" s="1">
        <v>-0.24207369576146001</v>
      </c>
      <c r="G223">
        <f>VLOOKUP(C223,'[1]phenotypes-895'!$A$2:$G$896,7,FALSE)</f>
        <v>48</v>
      </c>
    </row>
    <row r="224" spans="1:7" x14ac:dyDescent="0.2">
      <c r="A224">
        <v>809</v>
      </c>
      <c r="B224">
        <v>24</v>
      </c>
      <c r="C224" t="s">
        <v>808</v>
      </c>
      <c r="D224" s="13" t="s">
        <v>913</v>
      </c>
      <c r="E224" s="1">
        <v>-2.3417526244030999</v>
      </c>
      <c r="F224" s="1">
        <v>-4.0268783050465604</v>
      </c>
      <c r="G224">
        <f>VLOOKUP(C224,'[1]phenotypes-895'!$A$2:$G$896,7,FALSE)</f>
        <v>52</v>
      </c>
    </row>
    <row r="225" spans="1:7" x14ac:dyDescent="0.2">
      <c r="A225">
        <v>532</v>
      </c>
      <c r="B225">
        <v>44</v>
      </c>
      <c r="C225" t="s">
        <v>531</v>
      </c>
      <c r="D225" s="13" t="s">
        <v>912</v>
      </c>
      <c r="E225" s="1">
        <v>-2.3131396875452199</v>
      </c>
      <c r="F225" s="1">
        <v>0.45694769785332301</v>
      </c>
      <c r="G225">
        <f>VLOOKUP(C225,'[1]phenotypes-895'!$A$2:$G$896,7,FALSE)</f>
        <v>77</v>
      </c>
    </row>
    <row r="226" spans="1:7" x14ac:dyDescent="0.2">
      <c r="A226">
        <v>9</v>
      </c>
      <c r="B226">
        <v>12</v>
      </c>
      <c r="C226" t="s">
        <v>8</v>
      </c>
      <c r="D226" s="12" t="s">
        <v>912</v>
      </c>
      <c r="E226" s="1">
        <v>-2.2606279867287302</v>
      </c>
      <c r="F226" s="1">
        <v>-1.3225028984109499</v>
      </c>
      <c r="G226">
        <f>VLOOKUP(C226,'[1]phenotypes-895'!$A$2:$G$896,7,FALSE)</f>
        <v>98</v>
      </c>
    </row>
    <row r="227" spans="1:7" x14ac:dyDescent="0.2">
      <c r="A227">
        <v>840</v>
      </c>
      <c r="B227">
        <v>39</v>
      </c>
      <c r="C227" t="s">
        <v>839</v>
      </c>
      <c r="D227" s="13" t="s">
        <v>913</v>
      </c>
      <c r="E227" s="1">
        <v>-2.23877447224943</v>
      </c>
      <c r="F227" s="1">
        <v>-2.2929491223534</v>
      </c>
      <c r="G227">
        <f>VLOOKUP(C227,'[1]phenotypes-895'!$A$2:$G$896,7,FALSE)</f>
        <v>98</v>
      </c>
    </row>
    <row r="228" spans="1:7" x14ac:dyDescent="0.2">
      <c r="A228">
        <v>40</v>
      </c>
      <c r="B228">
        <v>37</v>
      </c>
      <c r="C228" t="s">
        <v>39</v>
      </c>
      <c r="D228" s="13" t="s">
        <v>913</v>
      </c>
      <c r="E228" s="1">
        <v>-2.2069120290214199</v>
      </c>
      <c r="F228" s="1">
        <v>-2.3885133976938402</v>
      </c>
      <c r="G228">
        <f>VLOOKUP(C228,'[1]phenotypes-895'!$A$2:$G$896,7,FALSE)</f>
        <v>49</v>
      </c>
    </row>
    <row r="229" spans="1:7" x14ac:dyDescent="0.2">
      <c r="A229">
        <v>218</v>
      </c>
      <c r="B229">
        <v>49</v>
      </c>
      <c r="C229" t="s">
        <v>217</v>
      </c>
      <c r="D229" s="13" t="s">
        <v>912</v>
      </c>
      <c r="E229" s="1">
        <v>-2.20315421064603</v>
      </c>
      <c r="F229" s="1">
        <v>2.3437575272053299E-3</v>
      </c>
      <c r="G229">
        <f>VLOOKUP(C229,'[1]phenotypes-895'!$A$2:$G$896,7,FALSE)</f>
        <v>54</v>
      </c>
    </row>
    <row r="230" spans="1:7" x14ac:dyDescent="0.2">
      <c r="A230">
        <v>208</v>
      </c>
      <c r="B230">
        <v>52</v>
      </c>
      <c r="C230" t="s">
        <v>207</v>
      </c>
      <c r="D230" s="13" t="s">
        <v>912</v>
      </c>
      <c r="E230" s="1">
        <v>-2.1736551864828999</v>
      </c>
      <c r="F230" s="1">
        <v>-0.104800660606141</v>
      </c>
      <c r="G230">
        <f>VLOOKUP(C230,'[1]phenotypes-895'!$A$2:$G$896,7,FALSE)</f>
        <v>57</v>
      </c>
    </row>
    <row r="231" spans="1:7" x14ac:dyDescent="0.2">
      <c r="A231">
        <v>244</v>
      </c>
      <c r="B231">
        <v>5</v>
      </c>
      <c r="C231" t="s">
        <v>243</v>
      </c>
      <c r="D231" s="12" t="s">
        <v>913</v>
      </c>
      <c r="E231" s="1">
        <v>-2.15172858856217</v>
      </c>
      <c r="F231" s="1">
        <v>-3.7551611725455301</v>
      </c>
      <c r="G231">
        <f>VLOOKUP(C231,'[1]phenotypes-895'!$A$2:$G$896,7,FALSE)</f>
        <v>98</v>
      </c>
    </row>
    <row r="232" spans="1:7" x14ac:dyDescent="0.2">
      <c r="A232">
        <v>184</v>
      </c>
      <c r="B232">
        <v>6</v>
      </c>
      <c r="C232" t="s">
        <v>183</v>
      </c>
      <c r="D232" s="12" t="s">
        <v>913</v>
      </c>
      <c r="E232" s="1">
        <v>-2.1353180312781599</v>
      </c>
      <c r="F232" s="1">
        <v>-4.6323074090826104</v>
      </c>
      <c r="G232">
        <f>VLOOKUP(C232,'[1]phenotypes-895'!$A$2:$G$896,7,FALSE)</f>
        <v>62</v>
      </c>
    </row>
    <row r="233" spans="1:7" x14ac:dyDescent="0.2">
      <c r="A233">
        <v>303</v>
      </c>
      <c r="B233">
        <v>34</v>
      </c>
      <c r="C233" t="s">
        <v>302</v>
      </c>
      <c r="D233" s="13" t="s">
        <v>913</v>
      </c>
      <c r="E233" s="1">
        <v>-2.1166594755964399</v>
      </c>
      <c r="F233" s="1">
        <v>-2.6780442285758701</v>
      </c>
      <c r="G233">
        <f>VLOOKUP(C233,'[1]phenotypes-895'!$A$2:$G$896,7,FALSE)</f>
        <v>68</v>
      </c>
    </row>
    <row r="234" spans="1:7" x14ac:dyDescent="0.2">
      <c r="A234">
        <v>278</v>
      </c>
      <c r="B234">
        <v>5</v>
      </c>
      <c r="C234" t="s">
        <v>277</v>
      </c>
      <c r="D234" s="12" t="s">
        <v>913</v>
      </c>
      <c r="E234" s="1">
        <v>-2.0949382230900602</v>
      </c>
      <c r="F234" s="1">
        <v>-4.1434630644826598</v>
      </c>
      <c r="G234">
        <f>VLOOKUP(C234,'[1]phenotypes-895'!$A$2:$G$896,7,FALSE)</f>
        <v>70</v>
      </c>
    </row>
    <row r="235" spans="1:7" x14ac:dyDescent="0.2">
      <c r="A235">
        <v>787</v>
      </c>
      <c r="B235">
        <v>42</v>
      </c>
      <c r="C235" t="s">
        <v>786</v>
      </c>
      <c r="D235" s="13" t="s">
        <v>912</v>
      </c>
      <c r="E235" s="1">
        <v>-2.0874223930872402</v>
      </c>
      <c r="F235" s="1">
        <v>-0.11810885847080201</v>
      </c>
      <c r="G235">
        <f>VLOOKUP(C235,'[1]phenotypes-895'!$A$2:$G$896,7,FALSE)</f>
        <v>82</v>
      </c>
    </row>
    <row r="236" spans="1:7" x14ac:dyDescent="0.2">
      <c r="A236">
        <v>249</v>
      </c>
      <c r="B236">
        <v>10</v>
      </c>
      <c r="C236" t="s">
        <v>248</v>
      </c>
      <c r="D236" s="12" t="s">
        <v>912</v>
      </c>
      <c r="E236" s="1">
        <v>-2.0859437336386999</v>
      </c>
      <c r="F236" s="1">
        <v>-3.1664006659599102</v>
      </c>
      <c r="G236">
        <f>VLOOKUP(C236,'[1]phenotypes-895'!$A$2:$G$896,7,FALSE)</f>
        <v>56</v>
      </c>
    </row>
    <row r="237" spans="1:7" x14ac:dyDescent="0.2">
      <c r="A237">
        <v>704</v>
      </c>
      <c r="B237">
        <v>26</v>
      </c>
      <c r="C237" t="s">
        <v>703</v>
      </c>
      <c r="D237" s="13" t="s">
        <v>913</v>
      </c>
      <c r="E237" s="1">
        <v>-2.0745963757585701</v>
      </c>
      <c r="F237" s="1">
        <v>-4.5642801930798997</v>
      </c>
      <c r="G237">
        <f>VLOOKUP(C237,'[1]phenotypes-895'!$A$2:$G$896,7,FALSE)</f>
        <v>83</v>
      </c>
    </row>
    <row r="238" spans="1:7" x14ac:dyDescent="0.2">
      <c r="A238">
        <v>866</v>
      </c>
      <c r="B238">
        <v>42</v>
      </c>
      <c r="C238" t="s">
        <v>865</v>
      </c>
      <c r="D238" s="13" t="s">
        <v>912</v>
      </c>
      <c r="E238" s="1">
        <v>-2.0682248236853198</v>
      </c>
      <c r="F238" s="1">
        <v>-5.23302537120552E-2</v>
      </c>
      <c r="G238">
        <f>VLOOKUP(C238,'[1]phenotypes-895'!$A$2:$G$896,7,FALSE)</f>
        <v>48</v>
      </c>
    </row>
    <row r="239" spans="1:7" x14ac:dyDescent="0.2">
      <c r="A239">
        <v>431</v>
      </c>
      <c r="B239">
        <v>42</v>
      </c>
      <c r="C239" t="s">
        <v>430</v>
      </c>
      <c r="D239" s="13" t="s">
        <v>912</v>
      </c>
      <c r="E239" s="1">
        <v>-2.0667891525827198</v>
      </c>
      <c r="F239" s="1">
        <v>-4.04520457010935</v>
      </c>
      <c r="G239">
        <f>VLOOKUP(C239,'[1]phenotypes-895'!$A$2:$G$896,7,FALSE)</f>
        <v>65</v>
      </c>
    </row>
    <row r="240" spans="1:7" x14ac:dyDescent="0.2">
      <c r="A240">
        <v>422</v>
      </c>
      <c r="B240">
        <v>31</v>
      </c>
      <c r="C240" t="s">
        <v>421</v>
      </c>
      <c r="D240" s="13" t="s">
        <v>913</v>
      </c>
      <c r="E240" s="1">
        <v>-2.0324411775077702</v>
      </c>
      <c r="F240" s="1">
        <v>-4.2834191576376899</v>
      </c>
      <c r="G240">
        <f>VLOOKUP(C240,'[1]phenotypes-895'!$A$2:$G$896,7,FALSE)</f>
        <v>64</v>
      </c>
    </row>
    <row r="241" spans="1:7" x14ac:dyDescent="0.2">
      <c r="A241">
        <v>341</v>
      </c>
      <c r="B241">
        <v>3</v>
      </c>
      <c r="C241" t="s">
        <v>340</v>
      </c>
      <c r="D241" s="12" t="s">
        <v>913</v>
      </c>
      <c r="E241" s="1">
        <v>-2.0277591588627599</v>
      </c>
      <c r="F241" s="1">
        <v>-4.5001264191092396</v>
      </c>
      <c r="G241">
        <f>VLOOKUP(C241,'[1]phenotypes-895'!$A$2:$G$896,7,FALSE)</f>
        <v>57</v>
      </c>
    </row>
    <row r="242" spans="1:7" x14ac:dyDescent="0.2">
      <c r="A242">
        <v>334</v>
      </c>
      <c r="B242">
        <v>4</v>
      </c>
      <c r="C242" t="s">
        <v>333</v>
      </c>
      <c r="D242" s="12" t="s">
        <v>913</v>
      </c>
      <c r="E242" s="1">
        <v>-2.01268149394055</v>
      </c>
      <c r="F242" s="1">
        <v>-4.2218148035761702</v>
      </c>
      <c r="G242">
        <f>VLOOKUP(C242,'[1]phenotypes-895'!$A$2:$G$896,7,FALSE)</f>
        <v>80</v>
      </c>
    </row>
    <row r="243" spans="1:7" x14ac:dyDescent="0.2">
      <c r="A243">
        <v>127</v>
      </c>
      <c r="B243">
        <v>49</v>
      </c>
      <c r="C243" t="s">
        <v>126</v>
      </c>
      <c r="D243" s="13" t="s">
        <v>912</v>
      </c>
      <c r="E243" s="1">
        <v>-2.0086070434458501</v>
      </c>
      <c r="F243" s="1">
        <v>-0.68441843314509199</v>
      </c>
      <c r="G243">
        <f>VLOOKUP(C243,'[1]phenotypes-895'!$A$2:$G$896,7,FALSE)</f>
        <v>59</v>
      </c>
    </row>
    <row r="244" spans="1:7" x14ac:dyDescent="0.2">
      <c r="A244">
        <v>739</v>
      </c>
      <c r="B244">
        <v>49</v>
      </c>
      <c r="C244" t="s">
        <v>738</v>
      </c>
      <c r="D244" s="13" t="s">
        <v>912</v>
      </c>
      <c r="E244" s="1">
        <v>-2.00721949233803</v>
      </c>
      <c r="F244" s="1">
        <v>-0.76237941981641</v>
      </c>
      <c r="G244">
        <f>VLOOKUP(C244,'[1]phenotypes-895'!$A$2:$G$896,7,FALSE)</f>
        <v>62</v>
      </c>
    </row>
    <row r="245" spans="1:7" x14ac:dyDescent="0.2">
      <c r="A245">
        <v>454</v>
      </c>
      <c r="B245">
        <v>45</v>
      </c>
      <c r="C245" t="s">
        <v>453</v>
      </c>
      <c r="D245" s="13" t="s">
        <v>912</v>
      </c>
      <c r="E245" s="1">
        <v>-1.99443840534548</v>
      </c>
      <c r="F245" s="1">
        <v>0.50806266428605695</v>
      </c>
      <c r="G245">
        <f>VLOOKUP(C245,'[1]phenotypes-895'!$A$2:$G$896,7,FALSE)</f>
        <v>74</v>
      </c>
    </row>
    <row r="246" spans="1:7" x14ac:dyDescent="0.2">
      <c r="A246">
        <v>262</v>
      </c>
      <c r="B246">
        <v>14</v>
      </c>
      <c r="C246" t="s">
        <v>261</v>
      </c>
      <c r="D246" s="12" t="s">
        <v>912</v>
      </c>
      <c r="E246" s="1">
        <v>-1.9929836003093999</v>
      </c>
      <c r="F246" s="1">
        <v>-3.06053126746</v>
      </c>
      <c r="G246">
        <f>VLOOKUP(C246,'[1]phenotypes-895'!$A$2:$G$896,7,FALSE)</f>
        <v>63</v>
      </c>
    </row>
    <row r="247" spans="1:7" x14ac:dyDescent="0.2">
      <c r="A247">
        <v>404</v>
      </c>
      <c r="B247">
        <v>49</v>
      </c>
      <c r="C247" t="s">
        <v>403</v>
      </c>
      <c r="D247" s="13" t="s">
        <v>912</v>
      </c>
      <c r="E247" s="1">
        <v>-1.9768914169879801</v>
      </c>
      <c r="F247" s="1">
        <v>-3.41048820778401</v>
      </c>
      <c r="G247">
        <f>VLOOKUP(C247,'[1]phenotypes-895'!$A$2:$G$896,7,FALSE)</f>
        <v>66</v>
      </c>
    </row>
    <row r="248" spans="1:7" x14ac:dyDescent="0.2">
      <c r="A248">
        <v>130</v>
      </c>
      <c r="B248">
        <v>43</v>
      </c>
      <c r="C248" t="s">
        <v>129</v>
      </c>
      <c r="D248" s="13" t="s">
        <v>912</v>
      </c>
      <c r="E248" s="1">
        <v>-1.96488729297653</v>
      </c>
      <c r="F248" s="1">
        <v>-0.15770374216885</v>
      </c>
      <c r="G248">
        <f>VLOOKUP(C248,'[1]phenotypes-895'!$A$2:$G$896,7,FALSE)</f>
        <v>62</v>
      </c>
    </row>
    <row r="249" spans="1:7" x14ac:dyDescent="0.2">
      <c r="A249">
        <v>214</v>
      </c>
      <c r="B249">
        <v>54</v>
      </c>
      <c r="C249" t="s">
        <v>213</v>
      </c>
      <c r="D249" s="13" t="s">
        <v>912</v>
      </c>
      <c r="E249" s="1">
        <v>-1.95925819392556</v>
      </c>
      <c r="F249" s="1">
        <v>-0.21254033914017101</v>
      </c>
      <c r="G249">
        <f>VLOOKUP(C249,'[1]phenotypes-895'!$A$2:$G$896,7,FALSE)</f>
        <v>70</v>
      </c>
    </row>
    <row r="250" spans="1:7" x14ac:dyDescent="0.2">
      <c r="A250">
        <v>810</v>
      </c>
      <c r="B250">
        <v>24</v>
      </c>
      <c r="C250" t="s">
        <v>809</v>
      </c>
      <c r="D250" s="13" t="s">
        <v>913</v>
      </c>
      <c r="E250" s="1">
        <v>-1.94932063741426</v>
      </c>
      <c r="F250" s="1">
        <v>-3.0875857129276301</v>
      </c>
      <c r="G250">
        <f>VLOOKUP(C250,'[1]phenotypes-895'!$A$2:$G$896,7,FALSE)</f>
        <v>98</v>
      </c>
    </row>
    <row r="251" spans="1:7" x14ac:dyDescent="0.2">
      <c r="A251">
        <v>509</v>
      </c>
      <c r="B251">
        <v>45</v>
      </c>
      <c r="C251" t="s">
        <v>508</v>
      </c>
      <c r="D251" s="13" t="s">
        <v>912</v>
      </c>
      <c r="E251" s="1">
        <v>-1.9189480040915201</v>
      </c>
      <c r="F251" s="1">
        <v>-2.4906391124415102</v>
      </c>
      <c r="G251">
        <f>VLOOKUP(C251,'[1]phenotypes-895'!$A$2:$G$896,7,FALSE)</f>
        <v>41</v>
      </c>
    </row>
    <row r="252" spans="1:7" x14ac:dyDescent="0.2">
      <c r="A252">
        <v>316</v>
      </c>
      <c r="B252">
        <v>40</v>
      </c>
      <c r="C252" t="s">
        <v>315</v>
      </c>
      <c r="D252" s="13" t="s">
        <v>913</v>
      </c>
      <c r="E252" s="1">
        <v>-1.89391836588534</v>
      </c>
      <c r="F252" s="1">
        <v>-2.50281268174647</v>
      </c>
      <c r="G252">
        <f>VLOOKUP(C252,'[1]phenotypes-895'!$A$2:$G$896,7,FALSE)</f>
        <v>68</v>
      </c>
    </row>
    <row r="253" spans="1:7" x14ac:dyDescent="0.2">
      <c r="A253">
        <v>157</v>
      </c>
      <c r="B253">
        <v>10</v>
      </c>
      <c r="C253" t="s">
        <v>156</v>
      </c>
      <c r="D253" s="12" t="s">
        <v>912</v>
      </c>
      <c r="E253" s="1">
        <v>-1.8876318013660101</v>
      </c>
      <c r="F253" s="1">
        <v>-1.124100814602</v>
      </c>
      <c r="G253">
        <f>VLOOKUP(C253,'[1]phenotypes-895'!$A$2:$G$896,7,FALSE)</f>
        <v>98</v>
      </c>
    </row>
    <row r="254" spans="1:7" x14ac:dyDescent="0.2">
      <c r="A254">
        <v>430</v>
      </c>
      <c r="B254">
        <v>43</v>
      </c>
      <c r="C254" t="s">
        <v>429</v>
      </c>
      <c r="D254" s="13" t="s">
        <v>912</v>
      </c>
      <c r="E254" s="1">
        <v>-1.8860847484727701</v>
      </c>
      <c r="F254" s="1">
        <v>-2.0708859648620002</v>
      </c>
      <c r="G254">
        <f>VLOOKUP(C254,'[1]phenotypes-895'!$A$2:$G$896,7,FALSE)</f>
        <v>68</v>
      </c>
    </row>
    <row r="255" spans="1:7" x14ac:dyDescent="0.2">
      <c r="A255">
        <v>138</v>
      </c>
      <c r="B255">
        <v>4</v>
      </c>
      <c r="C255" t="s">
        <v>137</v>
      </c>
      <c r="D255" s="12" t="s">
        <v>913</v>
      </c>
      <c r="E255" s="1">
        <v>-1.87528316607116</v>
      </c>
      <c r="F255" s="1">
        <v>-3.59474083047912</v>
      </c>
      <c r="G255">
        <f>VLOOKUP(C255,'[1]phenotypes-895'!$A$2:$G$896,7,FALSE)</f>
        <v>56</v>
      </c>
    </row>
    <row r="256" spans="1:7" x14ac:dyDescent="0.2">
      <c r="A256">
        <v>217</v>
      </c>
      <c r="B256">
        <v>12</v>
      </c>
      <c r="C256" t="s">
        <v>216</v>
      </c>
      <c r="D256" s="12" t="s">
        <v>912</v>
      </c>
      <c r="E256" s="1">
        <v>-1.8434689878928801</v>
      </c>
      <c r="F256" s="1">
        <v>-0.54847317316451105</v>
      </c>
      <c r="G256">
        <f>VLOOKUP(C256,'[1]phenotypes-895'!$A$2:$G$896,7,FALSE)</f>
        <v>63</v>
      </c>
    </row>
    <row r="257" spans="1:7" x14ac:dyDescent="0.2">
      <c r="A257">
        <v>459</v>
      </c>
      <c r="B257">
        <v>47</v>
      </c>
      <c r="C257" t="s">
        <v>458</v>
      </c>
      <c r="D257" s="13" t="s">
        <v>912</v>
      </c>
      <c r="E257" s="1">
        <v>-1.8110870443048199</v>
      </c>
      <c r="F257" s="1">
        <v>-2.94667296032332E-2</v>
      </c>
      <c r="G257">
        <f>VLOOKUP(C257,'[1]phenotypes-895'!$A$2:$G$896,7,FALSE)</f>
        <v>66</v>
      </c>
    </row>
    <row r="258" spans="1:7" x14ac:dyDescent="0.2">
      <c r="A258">
        <v>525</v>
      </c>
      <c r="B258">
        <v>24</v>
      </c>
      <c r="C258" t="s">
        <v>524</v>
      </c>
      <c r="D258" s="13" t="s">
        <v>913</v>
      </c>
      <c r="E258" s="1">
        <v>-1.80149000436861</v>
      </c>
      <c r="F258" s="1">
        <v>-3.47927342433533</v>
      </c>
      <c r="G258">
        <f>VLOOKUP(C258,'[1]phenotypes-895'!$A$2:$G$896,7,FALSE)</f>
        <v>62</v>
      </c>
    </row>
    <row r="259" spans="1:7" x14ac:dyDescent="0.2">
      <c r="A259">
        <v>530</v>
      </c>
      <c r="B259">
        <v>33</v>
      </c>
      <c r="C259" t="s">
        <v>529</v>
      </c>
      <c r="D259" s="13" t="s">
        <v>913</v>
      </c>
      <c r="E259" s="1">
        <v>-1.7897059291978601</v>
      </c>
      <c r="F259" s="1">
        <v>-2.3469078940897901</v>
      </c>
      <c r="G259">
        <f>VLOOKUP(C259,'[1]phenotypes-895'!$A$2:$G$896,7,FALSE)</f>
        <v>75</v>
      </c>
    </row>
    <row r="260" spans="1:7" x14ac:dyDescent="0.2">
      <c r="A260">
        <v>580</v>
      </c>
      <c r="B260">
        <v>34</v>
      </c>
      <c r="C260" t="s">
        <v>579</v>
      </c>
      <c r="D260" s="13" t="s">
        <v>913</v>
      </c>
      <c r="E260" s="1">
        <v>-1.74148723551767</v>
      </c>
      <c r="F260" s="1">
        <v>-2.5370793186577498</v>
      </c>
      <c r="G260">
        <f>VLOOKUP(C260,'[1]phenotypes-895'!$A$2:$G$896,7,FALSE)</f>
        <v>58</v>
      </c>
    </row>
    <row r="261" spans="1:7" x14ac:dyDescent="0.2">
      <c r="A261">
        <v>768</v>
      </c>
      <c r="B261">
        <v>50</v>
      </c>
      <c r="C261" t="s">
        <v>767</v>
      </c>
      <c r="D261" s="13" t="s">
        <v>912</v>
      </c>
      <c r="E261" s="1">
        <v>-1.7314321555049501</v>
      </c>
      <c r="F261" s="1">
        <v>-0.74155926305342501</v>
      </c>
      <c r="G261">
        <f>VLOOKUP(C261,'[1]phenotypes-895'!$A$2:$G$896,7,FALSE)</f>
        <v>59</v>
      </c>
    </row>
    <row r="262" spans="1:7" x14ac:dyDescent="0.2">
      <c r="A262">
        <v>859</v>
      </c>
      <c r="B262">
        <v>54</v>
      </c>
      <c r="C262" t="s">
        <v>858</v>
      </c>
      <c r="D262" s="13" t="s">
        <v>912</v>
      </c>
      <c r="E262" s="1">
        <v>-1.6965413402381599</v>
      </c>
      <c r="F262" s="1">
        <v>0.32042670848147797</v>
      </c>
      <c r="G262">
        <f>VLOOKUP(C262,'[1]phenotypes-895'!$A$2:$G$896,7,FALSE)</f>
        <v>67</v>
      </c>
    </row>
    <row r="263" spans="1:7" x14ac:dyDescent="0.2">
      <c r="A263">
        <v>798</v>
      </c>
      <c r="B263">
        <v>40</v>
      </c>
      <c r="C263" t="s">
        <v>797</v>
      </c>
      <c r="D263" s="13" t="s">
        <v>913</v>
      </c>
      <c r="E263" s="1">
        <v>-1.69651307592503</v>
      </c>
      <c r="F263" s="1">
        <v>0.37203492770009</v>
      </c>
      <c r="G263">
        <f>VLOOKUP(C263,'[1]phenotypes-895'!$A$2:$G$896,7,FALSE)</f>
        <v>51</v>
      </c>
    </row>
    <row r="264" spans="1:7" x14ac:dyDescent="0.2">
      <c r="A264">
        <v>670</v>
      </c>
      <c r="B264">
        <v>42</v>
      </c>
      <c r="C264" t="s">
        <v>669</v>
      </c>
      <c r="D264" s="13" t="s">
        <v>912</v>
      </c>
      <c r="E264" s="1">
        <v>-1.6957890500202599</v>
      </c>
      <c r="F264" s="1">
        <v>0.77463730758801097</v>
      </c>
      <c r="G264">
        <f>VLOOKUP(C264,'[1]phenotypes-895'!$A$2:$G$896,7,FALSE)</f>
        <v>65</v>
      </c>
    </row>
    <row r="265" spans="1:7" x14ac:dyDescent="0.2">
      <c r="A265">
        <v>247</v>
      </c>
      <c r="B265">
        <v>1</v>
      </c>
      <c r="C265" t="s">
        <v>246</v>
      </c>
      <c r="D265" s="12" t="s">
        <v>913</v>
      </c>
      <c r="E265" s="1">
        <v>-1.6927653365892501</v>
      </c>
      <c r="F265" s="1">
        <v>-3.14430167812914</v>
      </c>
      <c r="G265">
        <f>VLOOKUP(C265,'[1]phenotypes-895'!$A$2:$G$896,7,FALSE)</f>
        <v>98</v>
      </c>
    </row>
    <row r="266" spans="1:7" x14ac:dyDescent="0.2">
      <c r="A266">
        <v>301</v>
      </c>
      <c r="B266">
        <v>24</v>
      </c>
      <c r="C266" t="s">
        <v>300</v>
      </c>
      <c r="D266" s="13" t="s">
        <v>913</v>
      </c>
      <c r="E266" s="1">
        <v>-1.67766597535364</v>
      </c>
      <c r="F266" s="1">
        <v>-3.4651871199589599</v>
      </c>
      <c r="G266">
        <f>VLOOKUP(C266,'[1]phenotypes-895'!$A$2:$G$896,7,FALSE)</f>
        <v>76</v>
      </c>
    </row>
    <row r="267" spans="1:7" x14ac:dyDescent="0.2">
      <c r="A267">
        <v>536</v>
      </c>
      <c r="B267">
        <v>40</v>
      </c>
      <c r="C267" t="s">
        <v>535</v>
      </c>
      <c r="D267" s="13" t="s">
        <v>913</v>
      </c>
      <c r="E267" s="1">
        <v>-1.65469228192447</v>
      </c>
      <c r="F267" s="1">
        <v>-2.2851626637579399</v>
      </c>
      <c r="G267">
        <f>VLOOKUP(C267,'[1]phenotypes-895'!$A$2:$G$896,7,FALSE)</f>
        <v>68</v>
      </c>
    </row>
    <row r="268" spans="1:7" x14ac:dyDescent="0.2">
      <c r="A268">
        <v>785</v>
      </c>
      <c r="B268">
        <v>54</v>
      </c>
      <c r="C268" t="s">
        <v>784</v>
      </c>
      <c r="D268" s="13" t="s">
        <v>912</v>
      </c>
      <c r="E268" s="1">
        <v>-1.6388925089591899</v>
      </c>
      <c r="F268" s="1">
        <v>-0.39255670726071501</v>
      </c>
      <c r="G268">
        <f>VLOOKUP(C268,'[1]phenotypes-895'!$A$2:$G$896,7,FALSE)</f>
        <v>51</v>
      </c>
    </row>
    <row r="269" spans="1:7" x14ac:dyDescent="0.2">
      <c r="A269">
        <v>158</v>
      </c>
      <c r="B269">
        <v>6</v>
      </c>
      <c r="C269" t="s">
        <v>157</v>
      </c>
      <c r="D269" s="12" t="s">
        <v>913</v>
      </c>
      <c r="E269" s="1">
        <v>-1.61129682227208</v>
      </c>
      <c r="F269" s="1">
        <v>-3.5551114123992198</v>
      </c>
      <c r="G269">
        <f>VLOOKUP(C269,'[1]phenotypes-895'!$A$2:$G$896,7,FALSE)</f>
        <v>53</v>
      </c>
    </row>
    <row r="270" spans="1:7" x14ac:dyDescent="0.2">
      <c r="A270">
        <v>852</v>
      </c>
      <c r="B270">
        <v>49</v>
      </c>
      <c r="C270" t="s">
        <v>851</v>
      </c>
      <c r="D270" s="13" t="s">
        <v>912</v>
      </c>
      <c r="E270" s="1">
        <v>-1.6108979264419701</v>
      </c>
      <c r="F270" s="1">
        <v>-0.53764311365020101</v>
      </c>
      <c r="G270">
        <f>VLOOKUP(C270,'[1]phenotypes-895'!$A$2:$G$896,7,FALSE)</f>
        <v>67</v>
      </c>
    </row>
    <row r="271" spans="1:7" x14ac:dyDescent="0.2">
      <c r="A271">
        <v>98</v>
      </c>
      <c r="B271">
        <v>9</v>
      </c>
      <c r="C271" t="s">
        <v>97</v>
      </c>
      <c r="D271" s="12" t="s">
        <v>912</v>
      </c>
      <c r="E271" s="1">
        <v>-1.6038597070514899</v>
      </c>
      <c r="F271" s="1">
        <v>-1.8299348485951099</v>
      </c>
      <c r="G271">
        <f>VLOOKUP(C271,'[1]phenotypes-895'!$A$2:$G$896,7,FALSE)</f>
        <v>84</v>
      </c>
    </row>
    <row r="272" spans="1:7" x14ac:dyDescent="0.2">
      <c r="A272">
        <v>340</v>
      </c>
      <c r="B272">
        <v>14</v>
      </c>
      <c r="C272" t="s">
        <v>339</v>
      </c>
      <c r="D272" s="12" t="s">
        <v>912</v>
      </c>
      <c r="E272" s="1">
        <v>-1.60333898414868</v>
      </c>
      <c r="F272" s="1">
        <v>-2.1169272674938702</v>
      </c>
      <c r="G272">
        <f>VLOOKUP(C272,'[1]phenotypes-895'!$A$2:$G$896,7,FALSE)</f>
        <v>74</v>
      </c>
    </row>
    <row r="273" spans="1:7" x14ac:dyDescent="0.2">
      <c r="A273">
        <v>666</v>
      </c>
      <c r="B273">
        <v>54</v>
      </c>
      <c r="C273" t="s">
        <v>665</v>
      </c>
      <c r="D273" s="13" t="s">
        <v>912</v>
      </c>
      <c r="E273" s="1">
        <v>-1.59810836598271</v>
      </c>
      <c r="F273" s="1">
        <v>0.163578934741543</v>
      </c>
      <c r="G273">
        <f>VLOOKUP(C273,'[1]phenotypes-895'!$A$2:$G$896,7,FALSE)</f>
        <v>63</v>
      </c>
    </row>
    <row r="274" spans="1:7" x14ac:dyDescent="0.2">
      <c r="A274">
        <v>51</v>
      </c>
      <c r="B274">
        <v>11</v>
      </c>
      <c r="C274" t="s">
        <v>50</v>
      </c>
      <c r="D274" s="12" t="s">
        <v>912</v>
      </c>
      <c r="E274" s="1">
        <v>-1.57338772942952</v>
      </c>
      <c r="F274" s="1">
        <v>-0.71494569191741897</v>
      </c>
      <c r="G274">
        <f>VLOOKUP(C274,'[1]phenotypes-895'!$A$2:$G$896,7,FALSE)</f>
        <v>98</v>
      </c>
    </row>
    <row r="275" spans="1:7" x14ac:dyDescent="0.2">
      <c r="A275">
        <v>731</v>
      </c>
      <c r="B275">
        <v>46</v>
      </c>
      <c r="C275" t="s">
        <v>730</v>
      </c>
      <c r="D275" s="13" t="s">
        <v>912</v>
      </c>
      <c r="E275" s="1">
        <v>-1.56712486140328</v>
      </c>
      <c r="F275" s="1">
        <v>1.2066237357657901</v>
      </c>
      <c r="G275">
        <f>VLOOKUP(C275,'[1]phenotypes-895'!$A$2:$G$896,7,FALSE)</f>
        <v>51</v>
      </c>
    </row>
    <row r="276" spans="1:7" x14ac:dyDescent="0.2">
      <c r="A276">
        <v>565</v>
      </c>
      <c r="B276">
        <v>32</v>
      </c>
      <c r="C276" t="s">
        <v>564</v>
      </c>
      <c r="D276" s="13" t="s">
        <v>913</v>
      </c>
      <c r="E276" s="1">
        <v>-1.55604966924766</v>
      </c>
      <c r="F276" s="1">
        <v>-0.82012750498841702</v>
      </c>
      <c r="G276">
        <f>VLOOKUP(C276,'[1]phenotypes-895'!$A$2:$G$896,7,FALSE)</f>
        <v>98</v>
      </c>
    </row>
    <row r="277" spans="1:7" x14ac:dyDescent="0.2">
      <c r="A277">
        <v>823</v>
      </c>
      <c r="B277">
        <v>29</v>
      </c>
      <c r="C277" t="s">
        <v>822</v>
      </c>
      <c r="D277" s="13" t="s">
        <v>913</v>
      </c>
      <c r="E277" s="1">
        <v>-1.5529346552160701</v>
      </c>
      <c r="F277" s="1">
        <v>-3.8698625994893199</v>
      </c>
      <c r="G277">
        <f>VLOOKUP(C277,'[1]phenotypes-895'!$A$2:$G$896,7,FALSE)</f>
        <v>64</v>
      </c>
    </row>
    <row r="278" spans="1:7" x14ac:dyDescent="0.2">
      <c r="A278">
        <v>577</v>
      </c>
      <c r="B278">
        <v>42</v>
      </c>
      <c r="C278" t="s">
        <v>576</v>
      </c>
      <c r="D278" s="13" t="s">
        <v>912</v>
      </c>
      <c r="E278" s="1">
        <v>-1.5447678041896</v>
      </c>
      <c r="F278" s="1">
        <v>0.92476001871170399</v>
      </c>
      <c r="G278">
        <f>VLOOKUP(C278,'[1]phenotypes-895'!$A$2:$G$896,7,FALSE)</f>
        <v>67</v>
      </c>
    </row>
    <row r="279" spans="1:7" x14ac:dyDescent="0.2">
      <c r="A279">
        <v>520</v>
      </c>
      <c r="B279">
        <v>3</v>
      </c>
      <c r="C279" t="s">
        <v>519</v>
      </c>
      <c r="D279" s="12" t="s">
        <v>913</v>
      </c>
      <c r="E279" s="1">
        <v>-1.5398924414126101</v>
      </c>
      <c r="F279" s="1">
        <v>-4.3833542048599599</v>
      </c>
      <c r="G279">
        <f>VLOOKUP(C279,'[1]phenotypes-895'!$A$2:$G$896,7,FALSE)</f>
        <v>72</v>
      </c>
    </row>
    <row r="280" spans="1:7" x14ac:dyDescent="0.2">
      <c r="A280">
        <v>219</v>
      </c>
      <c r="B280">
        <v>1</v>
      </c>
      <c r="C280" t="s">
        <v>218</v>
      </c>
      <c r="D280" s="12" t="s">
        <v>913</v>
      </c>
      <c r="E280" s="1">
        <v>-1.5384256887422201</v>
      </c>
      <c r="F280" s="1">
        <v>-2.7376342025459302</v>
      </c>
      <c r="G280">
        <f>VLOOKUP(C280,'[1]phenotypes-895'!$A$2:$G$896,7,FALSE)</f>
        <v>98</v>
      </c>
    </row>
    <row r="281" spans="1:7" x14ac:dyDescent="0.2">
      <c r="A281">
        <v>679</v>
      </c>
      <c r="B281">
        <v>51</v>
      </c>
      <c r="C281" t="s">
        <v>678</v>
      </c>
      <c r="D281" s="13" t="s">
        <v>912</v>
      </c>
      <c r="E281" s="1">
        <v>-1.5344206783437</v>
      </c>
      <c r="F281" s="1">
        <v>1.29835345267749</v>
      </c>
      <c r="G281">
        <f>VLOOKUP(C281,'[1]phenotypes-895'!$A$2:$G$896,7,FALSE)</f>
        <v>54</v>
      </c>
    </row>
    <row r="282" spans="1:7" x14ac:dyDescent="0.2">
      <c r="A282">
        <v>714</v>
      </c>
      <c r="B282">
        <v>50</v>
      </c>
      <c r="C282" t="s">
        <v>713</v>
      </c>
      <c r="D282" s="13" t="s">
        <v>912</v>
      </c>
      <c r="E282" s="1">
        <v>-1.5258782522659999</v>
      </c>
      <c r="F282" s="1">
        <v>-0.564029955592115</v>
      </c>
      <c r="G282">
        <f>VLOOKUP(C282,'[1]phenotypes-895'!$A$2:$G$896,7,FALSE)</f>
        <v>59</v>
      </c>
    </row>
    <row r="283" spans="1:7" x14ac:dyDescent="0.2">
      <c r="A283">
        <v>82</v>
      </c>
      <c r="B283">
        <v>33</v>
      </c>
      <c r="C283" t="s">
        <v>81</v>
      </c>
      <c r="D283" s="13" t="s">
        <v>913</v>
      </c>
      <c r="E283" s="1">
        <v>-1.5219242167357401</v>
      </c>
      <c r="F283" s="1">
        <v>-1.4797308588028599</v>
      </c>
      <c r="G283">
        <f>VLOOKUP(C283,'[1]phenotypes-895'!$A$2:$G$896,7,FALSE)</f>
        <v>76</v>
      </c>
    </row>
    <row r="284" spans="1:7" x14ac:dyDescent="0.2">
      <c r="A284">
        <v>878</v>
      </c>
      <c r="B284">
        <v>44</v>
      </c>
      <c r="C284" t="s">
        <v>877</v>
      </c>
      <c r="D284" s="13" t="s">
        <v>912</v>
      </c>
      <c r="E284" s="1">
        <v>-1.50124493152843</v>
      </c>
      <c r="F284" s="1">
        <v>0.32656637399069499</v>
      </c>
      <c r="G284">
        <f>VLOOKUP(C284,'[1]phenotypes-895'!$A$2:$G$896,7,FALSE)</f>
        <v>63</v>
      </c>
    </row>
    <row r="285" spans="1:7" x14ac:dyDescent="0.2">
      <c r="A285">
        <v>488</v>
      </c>
      <c r="B285">
        <v>46</v>
      </c>
      <c r="C285" t="s">
        <v>487</v>
      </c>
      <c r="D285" s="13" t="s">
        <v>912</v>
      </c>
      <c r="E285" s="1">
        <v>-1.4973091826291001</v>
      </c>
      <c r="F285" s="1">
        <v>-2.4603807199787102</v>
      </c>
      <c r="G285">
        <f>VLOOKUP(C285,'[1]phenotypes-895'!$A$2:$G$896,7,FALSE)</f>
        <v>69</v>
      </c>
    </row>
    <row r="286" spans="1:7" x14ac:dyDescent="0.2">
      <c r="A286">
        <v>416</v>
      </c>
      <c r="B286">
        <v>45</v>
      </c>
      <c r="C286" t="s">
        <v>415</v>
      </c>
      <c r="D286" s="13" t="s">
        <v>912</v>
      </c>
      <c r="E286" s="1">
        <v>-1.47681647902423</v>
      </c>
      <c r="F286" s="1">
        <v>-1.63006054501116</v>
      </c>
      <c r="G286">
        <f>VLOOKUP(C286,'[1]phenotypes-895'!$A$2:$G$896,7,FALSE)</f>
        <v>98</v>
      </c>
    </row>
    <row r="287" spans="1:7" x14ac:dyDescent="0.2">
      <c r="A287">
        <v>597</v>
      </c>
      <c r="B287">
        <v>38</v>
      </c>
      <c r="C287" t="s">
        <v>596</v>
      </c>
      <c r="D287" s="13" t="s">
        <v>913</v>
      </c>
      <c r="E287" s="1">
        <v>-1.4768010304397701</v>
      </c>
      <c r="F287" s="1">
        <v>-0.79092289566359697</v>
      </c>
      <c r="G287">
        <f>VLOOKUP(C287,'[1]phenotypes-895'!$A$2:$G$896,7,FALSE)</f>
        <v>98</v>
      </c>
    </row>
    <row r="288" spans="1:7" x14ac:dyDescent="0.2">
      <c r="A288">
        <v>323</v>
      </c>
      <c r="B288">
        <v>4</v>
      </c>
      <c r="C288" t="s">
        <v>322</v>
      </c>
      <c r="D288" s="12" t="s">
        <v>913</v>
      </c>
      <c r="E288" s="1">
        <v>-1.4508864070426499</v>
      </c>
      <c r="F288" s="1">
        <v>-3.3197830291798001</v>
      </c>
      <c r="G288">
        <f>VLOOKUP(C288,'[1]phenotypes-895'!$A$2:$G$896,7,FALSE)</f>
        <v>98</v>
      </c>
    </row>
    <row r="289" spans="1:7" x14ac:dyDescent="0.2">
      <c r="A289">
        <v>406</v>
      </c>
      <c r="B289">
        <v>50</v>
      </c>
      <c r="C289" t="s">
        <v>405</v>
      </c>
      <c r="D289" s="13" t="s">
        <v>912</v>
      </c>
      <c r="E289" s="1">
        <v>-1.44953130789088</v>
      </c>
      <c r="F289" s="1">
        <v>0.29241006553125198</v>
      </c>
      <c r="G289">
        <f>VLOOKUP(C289,'[1]phenotypes-895'!$A$2:$G$896,7,FALSE)</f>
        <v>56</v>
      </c>
    </row>
    <row r="290" spans="1:7" x14ac:dyDescent="0.2">
      <c r="A290">
        <v>295</v>
      </c>
      <c r="B290">
        <v>15</v>
      </c>
      <c r="C290" t="s">
        <v>294</v>
      </c>
      <c r="D290" s="12" t="s">
        <v>912</v>
      </c>
      <c r="E290" s="1">
        <v>-1.4349473893781699</v>
      </c>
      <c r="F290" s="1">
        <v>-1.5610255400008399</v>
      </c>
      <c r="G290">
        <f>VLOOKUP(C290,'[1]phenotypes-895'!$A$2:$G$896,7,FALSE)</f>
        <v>98</v>
      </c>
    </row>
    <row r="291" spans="1:7" x14ac:dyDescent="0.2">
      <c r="A291">
        <v>357</v>
      </c>
      <c r="B291">
        <v>6</v>
      </c>
      <c r="C291" t="s">
        <v>356</v>
      </c>
      <c r="D291" s="12" t="s">
        <v>913</v>
      </c>
      <c r="E291" s="1">
        <v>-1.43473890029942</v>
      </c>
      <c r="F291" s="1">
        <v>-3.5306283898019601</v>
      </c>
      <c r="G291">
        <f>VLOOKUP(C291,'[1]phenotypes-895'!$A$2:$G$896,7,FALSE)</f>
        <v>69</v>
      </c>
    </row>
    <row r="292" spans="1:7" x14ac:dyDescent="0.2">
      <c r="A292">
        <v>575</v>
      </c>
      <c r="B292">
        <v>54</v>
      </c>
      <c r="C292" t="s">
        <v>574</v>
      </c>
      <c r="D292" s="13" t="s">
        <v>912</v>
      </c>
      <c r="E292" s="1">
        <v>-1.4291585057137299</v>
      </c>
      <c r="F292" s="1">
        <v>0.50969443733673503</v>
      </c>
      <c r="G292">
        <f>VLOOKUP(C292,'[1]phenotypes-895'!$A$2:$G$896,7,FALSE)</f>
        <v>65</v>
      </c>
    </row>
    <row r="293" spans="1:7" x14ac:dyDescent="0.2">
      <c r="A293">
        <v>243</v>
      </c>
      <c r="B293">
        <v>2</v>
      </c>
      <c r="C293" t="s">
        <v>242</v>
      </c>
      <c r="D293" s="12" t="s">
        <v>913</v>
      </c>
      <c r="E293" s="1">
        <v>-1.4206069604932401</v>
      </c>
      <c r="F293" s="1">
        <v>-3.69930495385583</v>
      </c>
      <c r="G293">
        <f>VLOOKUP(C293,'[1]phenotypes-895'!$A$2:$G$896,7,FALSE)</f>
        <v>98</v>
      </c>
    </row>
    <row r="294" spans="1:7" x14ac:dyDescent="0.2">
      <c r="A294">
        <v>574</v>
      </c>
      <c r="B294">
        <v>54</v>
      </c>
      <c r="C294" t="s">
        <v>573</v>
      </c>
      <c r="D294" s="13" t="s">
        <v>912</v>
      </c>
      <c r="E294" s="1">
        <v>-1.41835275242901</v>
      </c>
      <c r="F294" s="1">
        <v>-0.14739190693658999</v>
      </c>
      <c r="G294">
        <f>VLOOKUP(C294,'[1]phenotypes-895'!$A$2:$G$896,7,FALSE)</f>
        <v>63</v>
      </c>
    </row>
    <row r="295" spans="1:7" x14ac:dyDescent="0.2">
      <c r="A295">
        <v>761</v>
      </c>
      <c r="B295">
        <v>30</v>
      </c>
      <c r="C295" t="s">
        <v>760</v>
      </c>
      <c r="D295" s="13" t="s">
        <v>913</v>
      </c>
      <c r="E295" s="1">
        <v>-1.40644586356351</v>
      </c>
      <c r="F295" s="1">
        <v>-3.2497669542812901</v>
      </c>
      <c r="G295">
        <f>VLOOKUP(C295,'[1]phenotypes-895'!$A$2:$G$896,7,FALSE)</f>
        <v>98</v>
      </c>
    </row>
    <row r="296" spans="1:7" x14ac:dyDescent="0.2">
      <c r="A296">
        <v>418</v>
      </c>
      <c r="B296">
        <v>42</v>
      </c>
      <c r="C296" t="s">
        <v>417</v>
      </c>
      <c r="D296" s="13" t="s">
        <v>912</v>
      </c>
      <c r="E296" s="1">
        <v>-1.4036679095246001</v>
      </c>
      <c r="F296" s="1">
        <v>0.76305074285948304</v>
      </c>
      <c r="G296">
        <f>VLOOKUP(C296,'[1]phenotypes-895'!$A$2:$G$896,7,FALSE)</f>
        <v>98</v>
      </c>
    </row>
    <row r="297" spans="1:7" x14ac:dyDescent="0.2">
      <c r="A297">
        <v>437</v>
      </c>
      <c r="B297">
        <v>49</v>
      </c>
      <c r="C297" t="s">
        <v>436</v>
      </c>
      <c r="D297" s="13" t="s">
        <v>912</v>
      </c>
      <c r="E297" s="1">
        <v>-1.3986730053379299</v>
      </c>
      <c r="F297" s="1">
        <v>0.11543765334202701</v>
      </c>
      <c r="G297">
        <f>VLOOKUP(C297,'[1]phenotypes-895'!$A$2:$G$896,7,FALSE)</f>
        <v>98</v>
      </c>
    </row>
    <row r="298" spans="1:7" x14ac:dyDescent="0.2">
      <c r="A298">
        <v>300</v>
      </c>
      <c r="B298">
        <v>50</v>
      </c>
      <c r="C298" t="s">
        <v>299</v>
      </c>
      <c r="D298" s="13" t="s">
        <v>912</v>
      </c>
      <c r="E298" s="1">
        <v>-1.3873925468280199</v>
      </c>
      <c r="F298" s="1">
        <v>1.4462524361912601</v>
      </c>
      <c r="G298">
        <f>VLOOKUP(C298,'[1]phenotypes-895'!$A$2:$G$896,7,FALSE)</f>
        <v>59</v>
      </c>
    </row>
    <row r="299" spans="1:7" x14ac:dyDescent="0.2">
      <c r="A299">
        <v>438</v>
      </c>
      <c r="B299">
        <v>50</v>
      </c>
      <c r="C299" t="s">
        <v>437</v>
      </c>
      <c r="D299" s="13" t="s">
        <v>912</v>
      </c>
      <c r="E299" s="1">
        <v>-1.3429637912624</v>
      </c>
      <c r="F299" s="1">
        <v>-1.5771203980561099</v>
      </c>
      <c r="G299">
        <f>VLOOKUP(C299,'[1]phenotypes-895'!$A$2:$G$896,7,FALSE)</f>
        <v>88</v>
      </c>
    </row>
    <row r="300" spans="1:7" x14ac:dyDescent="0.2">
      <c r="A300">
        <v>651</v>
      </c>
      <c r="B300">
        <v>27</v>
      </c>
      <c r="C300" t="s">
        <v>650</v>
      </c>
      <c r="D300" s="13" t="s">
        <v>913</v>
      </c>
      <c r="E300" s="1">
        <v>-1.3275855938034</v>
      </c>
      <c r="F300" s="1">
        <v>-2.24781566225032</v>
      </c>
      <c r="G300">
        <f>VLOOKUP(C300,'[1]phenotypes-895'!$A$2:$G$896,7,FALSE)</f>
        <v>78</v>
      </c>
    </row>
    <row r="301" spans="1:7" x14ac:dyDescent="0.2">
      <c r="A301">
        <v>685</v>
      </c>
      <c r="B301">
        <v>30</v>
      </c>
      <c r="C301" t="s">
        <v>684</v>
      </c>
      <c r="D301" s="13" t="s">
        <v>913</v>
      </c>
      <c r="E301" s="1">
        <v>-1.3269915684682501</v>
      </c>
      <c r="F301" s="1">
        <v>-3.1531975925334699</v>
      </c>
      <c r="G301">
        <f>VLOOKUP(C301,'[1]phenotypes-895'!$A$2:$G$896,7,FALSE)</f>
        <v>51</v>
      </c>
    </row>
    <row r="302" spans="1:7" x14ac:dyDescent="0.2">
      <c r="A302">
        <v>174</v>
      </c>
      <c r="B302">
        <v>9</v>
      </c>
      <c r="C302" t="s">
        <v>173</v>
      </c>
      <c r="D302" s="12" t="s">
        <v>912</v>
      </c>
      <c r="E302" s="1">
        <v>-1.3238888087663401</v>
      </c>
      <c r="F302" s="1">
        <v>-1.45188733507243</v>
      </c>
      <c r="G302">
        <f>VLOOKUP(C302,'[1]phenotypes-895'!$A$2:$G$896,7,FALSE)</f>
        <v>72</v>
      </c>
    </row>
    <row r="303" spans="1:7" x14ac:dyDescent="0.2">
      <c r="A303">
        <v>521</v>
      </c>
      <c r="B303">
        <v>21</v>
      </c>
      <c r="C303" t="s">
        <v>520</v>
      </c>
      <c r="D303" s="13" t="s">
        <v>913</v>
      </c>
      <c r="E303" s="1">
        <v>-1.31198832078897</v>
      </c>
      <c r="F303" s="1">
        <v>-2.85762769764515</v>
      </c>
      <c r="G303">
        <f>VLOOKUP(C303,'[1]phenotypes-895'!$A$2:$G$896,7,FALSE)</f>
        <v>49</v>
      </c>
    </row>
    <row r="304" spans="1:7" x14ac:dyDescent="0.2">
      <c r="A304">
        <v>635</v>
      </c>
      <c r="B304">
        <v>50</v>
      </c>
      <c r="C304" t="s">
        <v>634</v>
      </c>
      <c r="D304" s="13" t="s">
        <v>912</v>
      </c>
      <c r="E304" s="1">
        <v>-1.30261122587746</v>
      </c>
      <c r="F304" s="1">
        <v>-0.32596360447651102</v>
      </c>
      <c r="G304">
        <f>VLOOKUP(C304,'[1]phenotypes-895'!$A$2:$G$896,7,FALSE)</f>
        <v>72</v>
      </c>
    </row>
    <row r="305" spans="1:7" x14ac:dyDescent="0.2">
      <c r="A305">
        <v>106</v>
      </c>
      <c r="B305">
        <v>9</v>
      </c>
      <c r="C305" t="s">
        <v>105</v>
      </c>
      <c r="D305" s="12" t="s">
        <v>912</v>
      </c>
      <c r="E305" s="1">
        <v>-1.2962739984818901</v>
      </c>
      <c r="F305" s="1">
        <v>-2.05666426293228</v>
      </c>
      <c r="G305">
        <f>VLOOKUP(C305,'[1]phenotypes-895'!$A$2:$G$896,7,FALSE)</f>
        <v>79</v>
      </c>
    </row>
    <row r="306" spans="1:7" x14ac:dyDescent="0.2">
      <c r="A306">
        <v>92</v>
      </c>
      <c r="B306">
        <v>6</v>
      </c>
      <c r="C306" t="s">
        <v>91</v>
      </c>
      <c r="D306" s="12" t="s">
        <v>913</v>
      </c>
      <c r="E306" s="1">
        <v>-1.2597349904556601</v>
      </c>
      <c r="F306" s="1">
        <v>-3.4393186893905998</v>
      </c>
      <c r="G306">
        <f>VLOOKUP(C306,'[1]phenotypes-895'!$A$2:$G$896,7,FALSE)</f>
        <v>81</v>
      </c>
    </row>
    <row r="307" spans="1:7" x14ac:dyDescent="0.2">
      <c r="A307">
        <v>738</v>
      </c>
      <c r="B307">
        <v>22</v>
      </c>
      <c r="C307" t="s">
        <v>737</v>
      </c>
      <c r="D307" s="13" t="s">
        <v>913</v>
      </c>
      <c r="E307" s="1">
        <v>-1.2515750816662099</v>
      </c>
      <c r="F307" s="1">
        <v>-0.73576542020938396</v>
      </c>
      <c r="G307">
        <f>VLOOKUP(C307,'[1]phenotypes-895'!$A$2:$G$896,7,FALSE)</f>
        <v>57</v>
      </c>
    </row>
    <row r="308" spans="1:7" x14ac:dyDescent="0.2">
      <c r="A308">
        <v>175</v>
      </c>
      <c r="B308">
        <v>30</v>
      </c>
      <c r="C308" t="s">
        <v>174</v>
      </c>
      <c r="D308" s="13" t="s">
        <v>913</v>
      </c>
      <c r="E308" s="1">
        <v>-1.2276866196271701</v>
      </c>
      <c r="F308" s="1">
        <v>-2.3670877423496499</v>
      </c>
      <c r="G308">
        <f>VLOOKUP(C308,'[1]phenotypes-895'!$A$2:$G$896,7,FALSE)</f>
        <v>75</v>
      </c>
    </row>
    <row r="309" spans="1:7" x14ac:dyDescent="0.2">
      <c r="A309">
        <v>812</v>
      </c>
      <c r="B309">
        <v>29</v>
      </c>
      <c r="C309" t="s">
        <v>811</v>
      </c>
      <c r="D309" s="13" t="s">
        <v>913</v>
      </c>
      <c r="E309" s="1">
        <v>-1.22736669602752</v>
      </c>
      <c r="F309" s="1">
        <v>-3.2938172168016102</v>
      </c>
      <c r="G309">
        <f>VLOOKUP(C309,'[1]phenotypes-895'!$A$2:$G$896,7,FALSE)</f>
        <v>65</v>
      </c>
    </row>
    <row r="310" spans="1:7" x14ac:dyDescent="0.2">
      <c r="A310">
        <v>523</v>
      </c>
      <c r="B310">
        <v>3</v>
      </c>
      <c r="C310" t="s">
        <v>522</v>
      </c>
      <c r="D310" s="12" t="s">
        <v>913</v>
      </c>
      <c r="E310" s="1">
        <v>-1.2105119789649501</v>
      </c>
      <c r="F310" s="1">
        <v>-3.6729505265884002</v>
      </c>
      <c r="G310">
        <f>VLOOKUP(C310,'[1]phenotypes-895'!$A$2:$G$896,7,FALSE)</f>
        <v>74</v>
      </c>
    </row>
    <row r="311" spans="1:7" x14ac:dyDescent="0.2">
      <c r="A311">
        <v>228</v>
      </c>
      <c r="B311">
        <v>4</v>
      </c>
      <c r="C311" t="s">
        <v>227</v>
      </c>
      <c r="D311" s="12" t="s">
        <v>913</v>
      </c>
      <c r="E311" s="1">
        <v>-1.20802482379972</v>
      </c>
      <c r="F311" s="1">
        <v>-2.1914717774996699</v>
      </c>
      <c r="G311">
        <f>VLOOKUP(C311,'[1]phenotypes-895'!$A$2:$G$896,7,FALSE)</f>
        <v>80</v>
      </c>
    </row>
    <row r="312" spans="1:7" x14ac:dyDescent="0.2">
      <c r="A312">
        <v>370</v>
      </c>
      <c r="B312">
        <v>46</v>
      </c>
      <c r="C312" t="s">
        <v>369</v>
      </c>
      <c r="D312" s="13" t="s">
        <v>912</v>
      </c>
      <c r="E312" s="1">
        <v>-1.19671149871977</v>
      </c>
      <c r="F312" s="1">
        <v>-2.5291863562197001</v>
      </c>
      <c r="G312">
        <f>VLOOKUP(C312,'[1]phenotypes-895'!$A$2:$G$896,7,FALSE)</f>
        <v>62</v>
      </c>
    </row>
    <row r="313" spans="1:7" x14ac:dyDescent="0.2">
      <c r="A313">
        <v>721</v>
      </c>
      <c r="B313">
        <v>46</v>
      </c>
      <c r="C313" t="s">
        <v>720</v>
      </c>
      <c r="D313" s="13" t="s">
        <v>912</v>
      </c>
      <c r="E313" s="1">
        <v>-1.1799816007983699</v>
      </c>
      <c r="F313" s="1">
        <v>1.6957803468536901</v>
      </c>
      <c r="G313">
        <f>VLOOKUP(C313,'[1]phenotypes-895'!$A$2:$G$896,7,FALSE)</f>
        <v>74</v>
      </c>
    </row>
    <row r="314" spans="1:7" x14ac:dyDescent="0.2">
      <c r="A314">
        <v>387</v>
      </c>
      <c r="B314">
        <v>44</v>
      </c>
      <c r="C314" t="s">
        <v>386</v>
      </c>
      <c r="D314" s="13" t="s">
        <v>912</v>
      </c>
      <c r="E314" s="1">
        <v>-1.16915576915095</v>
      </c>
      <c r="F314" s="1">
        <v>0.50087164703699705</v>
      </c>
      <c r="G314">
        <f>VLOOKUP(C314,'[1]phenotypes-895'!$A$2:$G$896,7,FALSE)</f>
        <v>98</v>
      </c>
    </row>
    <row r="315" spans="1:7" x14ac:dyDescent="0.2">
      <c r="A315">
        <v>807</v>
      </c>
      <c r="B315">
        <v>54</v>
      </c>
      <c r="C315" t="s">
        <v>806</v>
      </c>
      <c r="D315" s="13" t="s">
        <v>912</v>
      </c>
      <c r="E315" s="1">
        <v>-1.1554963703042</v>
      </c>
      <c r="F315" s="1">
        <v>-2.60104283741068E-2</v>
      </c>
      <c r="G315">
        <f>VLOOKUP(C315,'[1]phenotypes-895'!$A$2:$G$896,7,FALSE)</f>
        <v>51</v>
      </c>
    </row>
    <row r="316" spans="1:7" x14ac:dyDescent="0.2">
      <c r="A316">
        <v>120</v>
      </c>
      <c r="B316">
        <v>12</v>
      </c>
      <c r="C316" t="s">
        <v>119</v>
      </c>
      <c r="D316" s="12" t="s">
        <v>912</v>
      </c>
      <c r="E316" s="1">
        <v>-1.1396791447677701</v>
      </c>
      <c r="F316" s="1">
        <v>-0.62462885735954199</v>
      </c>
      <c r="G316">
        <f>VLOOKUP(C316,'[1]phenotypes-895'!$A$2:$G$896,7,FALSE)</f>
        <v>78</v>
      </c>
    </row>
    <row r="317" spans="1:7" x14ac:dyDescent="0.2">
      <c r="A317">
        <v>318</v>
      </c>
      <c r="B317">
        <v>9</v>
      </c>
      <c r="C317" t="s">
        <v>317</v>
      </c>
      <c r="D317" s="12" t="s">
        <v>912</v>
      </c>
      <c r="E317" s="1">
        <v>-1.1005719195050401</v>
      </c>
      <c r="F317" s="1">
        <v>-0.92828603191967296</v>
      </c>
      <c r="G317">
        <f>VLOOKUP(C317,'[1]phenotypes-895'!$A$2:$G$896,7,FALSE)</f>
        <v>98</v>
      </c>
    </row>
    <row r="318" spans="1:7" x14ac:dyDescent="0.2">
      <c r="A318">
        <v>694</v>
      </c>
      <c r="B318">
        <v>30</v>
      </c>
      <c r="C318" t="s">
        <v>693</v>
      </c>
      <c r="D318" s="13" t="s">
        <v>913</v>
      </c>
      <c r="E318" s="1">
        <v>-1.1004974919222299</v>
      </c>
      <c r="F318" s="1">
        <v>-0.81421642895813395</v>
      </c>
      <c r="G318">
        <f>VLOOKUP(C318,'[1]phenotypes-895'!$A$2:$G$896,7,FALSE)</f>
        <v>98</v>
      </c>
    </row>
    <row r="319" spans="1:7" x14ac:dyDescent="0.2">
      <c r="A319">
        <v>164</v>
      </c>
      <c r="B319">
        <v>6</v>
      </c>
      <c r="C319" t="s">
        <v>163</v>
      </c>
      <c r="D319" s="12" t="s">
        <v>913</v>
      </c>
      <c r="E319" s="1">
        <v>-1.0717396353150701</v>
      </c>
      <c r="F319" s="1">
        <v>-2.7768677916866902</v>
      </c>
      <c r="G319">
        <f>VLOOKUP(C319,'[1]phenotypes-895'!$A$2:$G$896,7,FALSE)</f>
        <v>58</v>
      </c>
    </row>
    <row r="320" spans="1:7" x14ac:dyDescent="0.2">
      <c r="A320">
        <v>691</v>
      </c>
      <c r="B320">
        <v>48</v>
      </c>
      <c r="C320" t="s">
        <v>690</v>
      </c>
      <c r="D320" s="13" t="s">
        <v>912</v>
      </c>
      <c r="E320" s="1">
        <v>-1.06293263719433</v>
      </c>
      <c r="F320" s="1">
        <v>0.35052217790958901</v>
      </c>
      <c r="G320">
        <f>VLOOKUP(C320,'[1]phenotypes-895'!$A$2:$G$896,7,FALSE)</f>
        <v>48</v>
      </c>
    </row>
    <row r="321" spans="1:7" x14ac:dyDescent="0.2">
      <c r="A321">
        <v>30</v>
      </c>
      <c r="B321">
        <v>24</v>
      </c>
      <c r="C321" t="s">
        <v>29</v>
      </c>
      <c r="D321" s="13" t="s">
        <v>913</v>
      </c>
      <c r="E321" s="1">
        <v>-1.04975465270158</v>
      </c>
      <c r="F321" s="1">
        <v>-2.9114954666219202</v>
      </c>
      <c r="G321">
        <f>VLOOKUP(C321,'[1]phenotypes-895'!$A$2:$G$896,7,FALSE)</f>
        <v>76</v>
      </c>
    </row>
    <row r="322" spans="1:7" x14ac:dyDescent="0.2">
      <c r="A322">
        <v>18</v>
      </c>
      <c r="B322">
        <v>9</v>
      </c>
      <c r="C322" t="s">
        <v>17</v>
      </c>
      <c r="D322" s="12" t="s">
        <v>912</v>
      </c>
      <c r="E322" s="1">
        <v>-1.01868399210545</v>
      </c>
      <c r="F322" s="1">
        <v>-1.16657181381845</v>
      </c>
      <c r="G322">
        <f>VLOOKUP(C322,'[1]phenotypes-895'!$A$2:$G$896,7,FALSE)</f>
        <v>46</v>
      </c>
    </row>
    <row r="323" spans="1:7" x14ac:dyDescent="0.2">
      <c r="A323">
        <v>822</v>
      </c>
      <c r="B323">
        <v>50</v>
      </c>
      <c r="C323" t="s">
        <v>821</v>
      </c>
      <c r="D323" s="13" t="s">
        <v>912</v>
      </c>
      <c r="E323" s="1">
        <v>-1.01810474177253</v>
      </c>
      <c r="F323" s="1">
        <v>0.63531466579318197</v>
      </c>
      <c r="G323">
        <f>VLOOKUP(C323,'[1]phenotypes-895'!$A$2:$G$896,7,FALSE)</f>
        <v>81</v>
      </c>
    </row>
    <row r="324" spans="1:7" x14ac:dyDescent="0.2">
      <c r="A324">
        <v>862</v>
      </c>
      <c r="B324">
        <v>40</v>
      </c>
      <c r="C324" t="s">
        <v>861</v>
      </c>
      <c r="D324" s="13" t="s">
        <v>913</v>
      </c>
      <c r="E324" s="1">
        <v>-1.01046936530119</v>
      </c>
      <c r="F324" s="1">
        <v>-1.7615918367722301</v>
      </c>
      <c r="G324">
        <f>VLOOKUP(C324,'[1]phenotypes-895'!$A$2:$G$896,7,FALSE)</f>
        <v>63</v>
      </c>
    </row>
    <row r="325" spans="1:7" x14ac:dyDescent="0.2">
      <c r="A325">
        <v>168</v>
      </c>
      <c r="B325">
        <v>12</v>
      </c>
      <c r="C325" t="s">
        <v>167</v>
      </c>
      <c r="D325" s="12" t="s">
        <v>912</v>
      </c>
      <c r="E325" s="1">
        <v>-1.0066395635821199</v>
      </c>
      <c r="F325" s="1">
        <v>-0.18275532468123601</v>
      </c>
      <c r="G325">
        <f>VLOOKUP(C325,'[1]phenotypes-895'!$A$2:$G$896,7,FALSE)</f>
        <v>51</v>
      </c>
    </row>
    <row r="326" spans="1:7" x14ac:dyDescent="0.2">
      <c r="A326">
        <v>735</v>
      </c>
      <c r="B326">
        <v>32</v>
      </c>
      <c r="C326" t="s">
        <v>734</v>
      </c>
      <c r="D326" s="13" t="s">
        <v>913</v>
      </c>
      <c r="E326" s="1">
        <v>-1.0049867182944201</v>
      </c>
      <c r="F326" s="1">
        <v>-2.0617894892333801</v>
      </c>
      <c r="G326">
        <f>VLOOKUP(C326,'[1]phenotypes-895'!$A$2:$G$896,7,FALSE)</f>
        <v>64</v>
      </c>
    </row>
    <row r="327" spans="1:7" x14ac:dyDescent="0.2">
      <c r="A327">
        <v>440</v>
      </c>
      <c r="B327">
        <v>52</v>
      </c>
      <c r="C327" t="s">
        <v>439</v>
      </c>
      <c r="D327" s="13" t="s">
        <v>912</v>
      </c>
      <c r="E327" s="1">
        <v>-0.998655066677688</v>
      </c>
      <c r="F327" s="1">
        <v>-0.899455317930134</v>
      </c>
      <c r="G327">
        <f>VLOOKUP(C327,'[1]phenotypes-895'!$A$2:$G$896,7,FALSE)</f>
        <v>98</v>
      </c>
    </row>
    <row r="328" spans="1:7" x14ac:dyDescent="0.2">
      <c r="A328">
        <v>788</v>
      </c>
      <c r="B328">
        <v>33</v>
      </c>
      <c r="C328" t="s">
        <v>787</v>
      </c>
      <c r="D328" s="13" t="s">
        <v>913</v>
      </c>
      <c r="E328" s="1">
        <v>-0.99150398035968701</v>
      </c>
      <c r="F328" s="1">
        <v>-0.23196694897793901</v>
      </c>
      <c r="G328">
        <f>VLOOKUP(C328,'[1]phenotypes-895'!$A$2:$G$896,7,FALSE)</f>
        <v>98</v>
      </c>
    </row>
    <row r="329" spans="1:7" x14ac:dyDescent="0.2">
      <c r="A329">
        <v>645</v>
      </c>
      <c r="B329">
        <v>52</v>
      </c>
      <c r="C329" t="s">
        <v>644</v>
      </c>
      <c r="D329" s="13" t="s">
        <v>912</v>
      </c>
      <c r="E329" s="1">
        <v>-0.96476212791795002</v>
      </c>
      <c r="F329" s="1">
        <v>1.1505907368475501</v>
      </c>
      <c r="G329">
        <f>VLOOKUP(C329,'[1]phenotypes-895'!$A$2:$G$896,7,FALSE)</f>
        <v>79</v>
      </c>
    </row>
    <row r="330" spans="1:7" x14ac:dyDescent="0.2">
      <c r="A330">
        <v>358</v>
      </c>
      <c r="B330">
        <v>40</v>
      </c>
      <c r="C330" t="s">
        <v>357</v>
      </c>
      <c r="D330" s="13" t="s">
        <v>913</v>
      </c>
      <c r="E330" s="1">
        <v>-0.96311662297850398</v>
      </c>
      <c r="F330" s="1">
        <v>-1.3864962132110601</v>
      </c>
      <c r="G330">
        <f>VLOOKUP(C330,'[1]phenotypes-895'!$A$2:$G$896,7,FALSE)</f>
        <v>49</v>
      </c>
    </row>
    <row r="331" spans="1:7" x14ac:dyDescent="0.2">
      <c r="A331">
        <v>482</v>
      </c>
      <c r="B331">
        <v>50</v>
      </c>
      <c r="C331" t="s">
        <v>481</v>
      </c>
      <c r="D331" s="13" t="s">
        <v>912</v>
      </c>
      <c r="E331" s="1">
        <v>-0.95820393342856403</v>
      </c>
      <c r="F331" s="1">
        <v>-2.7380582858679401</v>
      </c>
      <c r="G331">
        <f>VLOOKUP(C331,'[1]phenotypes-895'!$A$2:$G$896,7,FALSE)</f>
        <v>82</v>
      </c>
    </row>
    <row r="332" spans="1:7" x14ac:dyDescent="0.2">
      <c r="A332">
        <v>486</v>
      </c>
      <c r="B332">
        <v>50</v>
      </c>
      <c r="C332" t="s">
        <v>485</v>
      </c>
      <c r="D332" s="13" t="s">
        <v>912</v>
      </c>
      <c r="E332" s="1">
        <v>-0.95480120540701496</v>
      </c>
      <c r="F332" s="1">
        <v>0.29976530742497098</v>
      </c>
      <c r="G332">
        <f>VLOOKUP(C332,'[1]phenotypes-895'!$A$2:$G$896,7,FALSE)</f>
        <v>64</v>
      </c>
    </row>
    <row r="333" spans="1:7" x14ac:dyDescent="0.2">
      <c r="A333">
        <v>163</v>
      </c>
      <c r="B333">
        <v>50</v>
      </c>
      <c r="C333" t="s">
        <v>162</v>
      </c>
      <c r="D333" s="13" t="s">
        <v>912</v>
      </c>
      <c r="E333" s="1">
        <v>-0.94796649588192305</v>
      </c>
      <c r="F333" s="1">
        <v>0.137888065673996</v>
      </c>
      <c r="G333">
        <f>VLOOKUP(C333,'[1]phenotypes-895'!$A$2:$G$896,7,FALSE)</f>
        <v>60</v>
      </c>
    </row>
    <row r="334" spans="1:7" x14ac:dyDescent="0.2">
      <c r="A334">
        <v>41</v>
      </c>
      <c r="B334">
        <v>6</v>
      </c>
      <c r="C334" t="s">
        <v>40</v>
      </c>
      <c r="D334" s="12" t="s">
        <v>913</v>
      </c>
      <c r="E334" s="1">
        <v>-0.920669611496577</v>
      </c>
      <c r="F334" s="1">
        <v>-3.1900364896286901</v>
      </c>
      <c r="G334">
        <f>VLOOKUP(C334,'[1]phenotypes-895'!$A$2:$G$896,7,FALSE)</f>
        <v>60</v>
      </c>
    </row>
    <row r="335" spans="1:7" x14ac:dyDescent="0.2">
      <c r="A335">
        <v>202</v>
      </c>
      <c r="B335">
        <v>11</v>
      </c>
      <c r="C335" t="s">
        <v>201</v>
      </c>
      <c r="D335" s="12" t="s">
        <v>912</v>
      </c>
      <c r="E335" s="1">
        <v>-0.91937699416309304</v>
      </c>
      <c r="F335" s="1">
        <v>-1.12981271605974</v>
      </c>
      <c r="G335">
        <f>VLOOKUP(C335,'[1]phenotypes-895'!$A$2:$G$896,7,FALSE)</f>
        <v>65</v>
      </c>
    </row>
    <row r="336" spans="1:7" x14ac:dyDescent="0.2">
      <c r="A336">
        <v>458</v>
      </c>
      <c r="B336">
        <v>50</v>
      </c>
      <c r="C336" t="s">
        <v>457</v>
      </c>
      <c r="D336" s="13" t="s">
        <v>912</v>
      </c>
      <c r="E336" s="1">
        <v>-0.90394052301587302</v>
      </c>
      <c r="F336" s="1">
        <v>-2.1761905493539202</v>
      </c>
      <c r="G336">
        <f>VLOOKUP(C336,'[1]phenotypes-895'!$A$2:$G$896,7,FALSE)</f>
        <v>57</v>
      </c>
    </row>
    <row r="337" spans="1:7" x14ac:dyDescent="0.2">
      <c r="A337">
        <v>10</v>
      </c>
      <c r="B337">
        <v>12</v>
      </c>
      <c r="C337" t="s">
        <v>9</v>
      </c>
      <c r="D337" s="12" t="s">
        <v>912</v>
      </c>
      <c r="E337" s="1">
        <v>-0.89999703469389603</v>
      </c>
      <c r="F337" s="1">
        <v>5.8106509351567297E-2</v>
      </c>
      <c r="G337">
        <f>VLOOKUP(C337,'[1]phenotypes-895'!$A$2:$G$896,7,FALSE)</f>
        <v>62</v>
      </c>
    </row>
    <row r="338" spans="1:7" x14ac:dyDescent="0.2">
      <c r="A338">
        <v>665</v>
      </c>
      <c r="B338">
        <v>46</v>
      </c>
      <c r="C338" t="s">
        <v>664</v>
      </c>
      <c r="D338" s="13" t="s">
        <v>912</v>
      </c>
      <c r="E338" s="1">
        <v>-0.88478055264690902</v>
      </c>
      <c r="F338" s="1">
        <v>1.3853698194798001</v>
      </c>
      <c r="G338">
        <f>VLOOKUP(C338,'[1]phenotypes-895'!$A$2:$G$896,7,FALSE)</f>
        <v>74</v>
      </c>
    </row>
    <row r="339" spans="1:7" x14ac:dyDescent="0.2">
      <c r="A339">
        <v>222</v>
      </c>
      <c r="B339">
        <v>46</v>
      </c>
      <c r="C339" t="s">
        <v>221</v>
      </c>
      <c r="D339" s="13" t="s">
        <v>912</v>
      </c>
      <c r="E339" s="1">
        <v>-0.87485163797086996</v>
      </c>
      <c r="F339" s="1">
        <v>1.2658189926137799</v>
      </c>
      <c r="G339">
        <f>VLOOKUP(C339,'[1]phenotypes-895'!$A$2:$G$896,7,FALSE)</f>
        <v>70</v>
      </c>
    </row>
    <row r="340" spans="1:7" x14ac:dyDescent="0.2">
      <c r="A340">
        <v>176</v>
      </c>
      <c r="B340">
        <v>4</v>
      </c>
      <c r="C340" t="s">
        <v>175</v>
      </c>
      <c r="D340" s="12" t="s">
        <v>913</v>
      </c>
      <c r="E340" s="1">
        <v>-0.86910896108024205</v>
      </c>
      <c r="F340" s="1">
        <v>-3.6443071632163599</v>
      </c>
      <c r="G340">
        <f>VLOOKUP(C340,'[1]phenotypes-895'!$A$2:$G$896,7,FALSE)</f>
        <v>98</v>
      </c>
    </row>
    <row r="341" spans="1:7" x14ac:dyDescent="0.2">
      <c r="A341">
        <v>618</v>
      </c>
      <c r="B341">
        <v>42</v>
      </c>
      <c r="C341" t="s">
        <v>617</v>
      </c>
      <c r="D341" s="13" t="s">
        <v>912</v>
      </c>
      <c r="E341" s="1">
        <v>-0.86272976180727701</v>
      </c>
      <c r="F341" s="1">
        <v>0.80915765913900095</v>
      </c>
      <c r="G341">
        <f>VLOOKUP(C341,'[1]phenotypes-895'!$A$2:$G$896,7,FALSE)</f>
        <v>86</v>
      </c>
    </row>
    <row r="342" spans="1:7" x14ac:dyDescent="0.2">
      <c r="A342">
        <v>282</v>
      </c>
      <c r="B342">
        <v>7</v>
      </c>
      <c r="C342" t="s">
        <v>281</v>
      </c>
      <c r="D342" s="12" t="s">
        <v>913</v>
      </c>
      <c r="E342" s="1">
        <v>-0.84734955466142603</v>
      </c>
      <c r="F342" s="1">
        <v>-2.3243838315507799</v>
      </c>
      <c r="G342">
        <f>VLOOKUP(C342,'[1]phenotypes-895'!$A$2:$G$896,7,FALSE)</f>
        <v>62</v>
      </c>
    </row>
    <row r="343" spans="1:7" x14ac:dyDescent="0.2">
      <c r="A343">
        <v>475</v>
      </c>
      <c r="B343">
        <v>44</v>
      </c>
      <c r="C343" t="s">
        <v>474</v>
      </c>
      <c r="D343" s="13" t="s">
        <v>912</v>
      </c>
      <c r="E343" s="1">
        <v>-0.83978251436474505</v>
      </c>
      <c r="F343" s="1">
        <v>-0.32104530487499</v>
      </c>
      <c r="G343">
        <f>VLOOKUP(C343,'[1]phenotypes-895'!$A$2:$G$896,7,FALSE)</f>
        <v>58</v>
      </c>
    </row>
    <row r="344" spans="1:7" x14ac:dyDescent="0.2">
      <c r="A344">
        <v>310</v>
      </c>
      <c r="B344">
        <v>48</v>
      </c>
      <c r="C344" t="s">
        <v>309</v>
      </c>
      <c r="D344" s="13" t="s">
        <v>912</v>
      </c>
      <c r="E344" s="1">
        <v>-0.79383993375065098</v>
      </c>
      <c r="F344" s="1">
        <v>1.1065747329205</v>
      </c>
      <c r="G344">
        <f>VLOOKUP(C344,'[1]phenotypes-895'!$A$2:$G$896,7,FALSE)</f>
        <v>79</v>
      </c>
    </row>
    <row r="345" spans="1:7" x14ac:dyDescent="0.2">
      <c r="A345">
        <v>821</v>
      </c>
      <c r="B345">
        <v>46</v>
      </c>
      <c r="C345" t="s">
        <v>820</v>
      </c>
      <c r="D345" s="13" t="s">
        <v>912</v>
      </c>
      <c r="E345" s="1">
        <v>-0.75958088431189197</v>
      </c>
      <c r="F345" s="1">
        <v>1.7922319421661099</v>
      </c>
      <c r="G345">
        <f>VLOOKUP(C345,'[1]phenotypes-895'!$A$2:$G$896,7,FALSE)</f>
        <v>62</v>
      </c>
    </row>
    <row r="346" spans="1:7" x14ac:dyDescent="0.2">
      <c r="A346">
        <v>664</v>
      </c>
      <c r="B346">
        <v>42</v>
      </c>
      <c r="C346" t="s">
        <v>663</v>
      </c>
      <c r="D346" s="13" t="s">
        <v>912</v>
      </c>
      <c r="E346" s="1">
        <v>-0.726487570544471</v>
      </c>
      <c r="F346" s="1">
        <v>1.32664311201606</v>
      </c>
      <c r="G346">
        <f>VLOOKUP(C346,'[1]phenotypes-895'!$A$2:$G$896,7,FALSE)</f>
        <v>98</v>
      </c>
    </row>
    <row r="347" spans="1:7" x14ac:dyDescent="0.2">
      <c r="A347">
        <v>492</v>
      </c>
      <c r="B347">
        <v>48</v>
      </c>
      <c r="C347" t="s">
        <v>491</v>
      </c>
      <c r="D347" s="13" t="s">
        <v>912</v>
      </c>
      <c r="E347" s="1">
        <v>-0.703181514720985</v>
      </c>
      <c r="F347" s="1">
        <v>1.13972432371183</v>
      </c>
      <c r="G347">
        <f>VLOOKUP(C347,'[1]phenotypes-895'!$A$2:$G$896,7,FALSE)</f>
        <v>98</v>
      </c>
    </row>
    <row r="348" spans="1:7" x14ac:dyDescent="0.2">
      <c r="A348">
        <v>578</v>
      </c>
      <c r="B348">
        <v>34</v>
      </c>
      <c r="C348" t="s">
        <v>577</v>
      </c>
      <c r="D348" s="13" t="s">
        <v>913</v>
      </c>
      <c r="E348" s="1">
        <v>-0.69976898037683999</v>
      </c>
      <c r="F348" s="1">
        <v>-0.59431806308050295</v>
      </c>
      <c r="G348">
        <f>VLOOKUP(C348,'[1]phenotypes-895'!$A$2:$G$896,7,FALSE)</f>
        <v>98</v>
      </c>
    </row>
    <row r="349" spans="1:7" x14ac:dyDescent="0.2">
      <c r="A349">
        <v>231</v>
      </c>
      <c r="B349">
        <v>11</v>
      </c>
      <c r="C349" t="s">
        <v>230</v>
      </c>
      <c r="D349" s="12" t="s">
        <v>912</v>
      </c>
      <c r="E349" s="1">
        <v>-0.680363135223926</v>
      </c>
      <c r="F349" s="1">
        <v>0.109001392936477</v>
      </c>
      <c r="G349">
        <f>VLOOKUP(C349,'[1]phenotypes-895'!$A$2:$G$896,7,FALSE)</f>
        <v>98</v>
      </c>
    </row>
    <row r="350" spans="1:7" x14ac:dyDescent="0.2">
      <c r="A350">
        <v>58</v>
      </c>
      <c r="B350">
        <v>4</v>
      </c>
      <c r="C350" t="s">
        <v>57</v>
      </c>
      <c r="D350" s="12" t="s">
        <v>913</v>
      </c>
      <c r="E350" s="1">
        <v>-0.68003370569853705</v>
      </c>
      <c r="F350" s="1">
        <v>-3.2887615381181998</v>
      </c>
      <c r="G350">
        <f>VLOOKUP(C350,'[1]phenotypes-895'!$A$2:$G$896,7,FALSE)</f>
        <v>56</v>
      </c>
    </row>
    <row r="351" spans="1:7" x14ac:dyDescent="0.2">
      <c r="A351">
        <v>539</v>
      </c>
      <c r="B351">
        <v>49</v>
      </c>
      <c r="C351" t="s">
        <v>538</v>
      </c>
      <c r="D351" s="13" t="s">
        <v>912</v>
      </c>
      <c r="E351" s="1">
        <v>-0.66127970457393703</v>
      </c>
      <c r="F351" s="1">
        <v>1.51340943431523</v>
      </c>
      <c r="G351">
        <f>VLOOKUP(C351,'[1]phenotypes-895'!$A$2:$G$896,7,FALSE)</f>
        <v>56</v>
      </c>
    </row>
    <row r="352" spans="1:7" x14ac:dyDescent="0.2">
      <c r="A352">
        <v>760</v>
      </c>
      <c r="B352">
        <v>22</v>
      </c>
      <c r="C352" t="s">
        <v>759</v>
      </c>
      <c r="D352" s="13" t="s">
        <v>913</v>
      </c>
      <c r="E352" s="1">
        <v>-0.65641978178319205</v>
      </c>
      <c r="F352" s="1">
        <v>-1.21807843487584</v>
      </c>
      <c r="G352">
        <f>VLOOKUP(C352,'[1]phenotypes-895'!$A$2:$G$896,7,FALSE)</f>
        <v>67</v>
      </c>
    </row>
    <row r="353" spans="1:7" x14ac:dyDescent="0.2">
      <c r="A353">
        <v>819</v>
      </c>
      <c r="B353">
        <v>42</v>
      </c>
      <c r="C353" t="s">
        <v>818</v>
      </c>
      <c r="D353" s="13" t="s">
        <v>912</v>
      </c>
      <c r="E353" s="1">
        <v>-0.64407193844196398</v>
      </c>
      <c r="F353" s="1">
        <v>1.48844544047342</v>
      </c>
      <c r="G353">
        <f>VLOOKUP(C353,'[1]phenotypes-895'!$A$2:$G$896,7,FALSE)</f>
        <v>76</v>
      </c>
    </row>
    <row r="354" spans="1:7" x14ac:dyDescent="0.2">
      <c r="A354">
        <v>375</v>
      </c>
      <c r="B354">
        <v>44</v>
      </c>
      <c r="C354" t="s">
        <v>374</v>
      </c>
      <c r="D354" s="13" t="s">
        <v>912</v>
      </c>
      <c r="E354" s="1">
        <v>-0.63844689972151203</v>
      </c>
      <c r="F354" s="1">
        <v>1.8714608645233699</v>
      </c>
      <c r="G354">
        <f>VLOOKUP(C354,'[1]phenotypes-895'!$A$2:$G$896,7,FALSE)</f>
        <v>62</v>
      </c>
    </row>
    <row r="355" spans="1:7" x14ac:dyDescent="0.2">
      <c r="A355">
        <v>838</v>
      </c>
      <c r="B355">
        <v>33</v>
      </c>
      <c r="C355" t="s">
        <v>837</v>
      </c>
      <c r="D355" s="13" t="s">
        <v>913</v>
      </c>
      <c r="E355" s="1">
        <v>-0.63075246720756295</v>
      </c>
      <c r="F355" s="1">
        <v>1.25594300322648</v>
      </c>
      <c r="G355">
        <f>VLOOKUP(C355,'[1]phenotypes-895'!$A$2:$G$896,7,FALSE)</f>
        <v>95</v>
      </c>
    </row>
    <row r="356" spans="1:7" x14ac:dyDescent="0.2">
      <c r="A356">
        <v>65</v>
      </c>
      <c r="B356">
        <v>12</v>
      </c>
      <c r="C356" t="s">
        <v>64</v>
      </c>
      <c r="D356" s="12" t="s">
        <v>912</v>
      </c>
      <c r="E356" s="1">
        <v>-0.62613949811608605</v>
      </c>
      <c r="F356" s="1">
        <v>0.184151384603885</v>
      </c>
      <c r="G356">
        <f>VLOOKUP(C356,'[1]phenotypes-895'!$A$2:$G$896,7,FALSE)</f>
        <v>98</v>
      </c>
    </row>
    <row r="357" spans="1:7" x14ac:dyDescent="0.2">
      <c r="A357">
        <v>220</v>
      </c>
      <c r="B357">
        <v>50</v>
      </c>
      <c r="C357" t="s">
        <v>219</v>
      </c>
      <c r="D357" s="13" t="s">
        <v>912</v>
      </c>
      <c r="E357" s="1">
        <v>-0.61157883581012795</v>
      </c>
      <c r="F357" s="1">
        <v>1.8391569843487601</v>
      </c>
      <c r="G357">
        <f>VLOOKUP(C357,'[1]phenotypes-895'!$A$2:$G$896,7,FALSE)</f>
        <v>98</v>
      </c>
    </row>
    <row r="358" spans="1:7" x14ac:dyDescent="0.2">
      <c r="A358">
        <v>136</v>
      </c>
      <c r="B358">
        <v>3</v>
      </c>
      <c r="C358" t="s">
        <v>135</v>
      </c>
      <c r="D358" s="12" t="s">
        <v>913</v>
      </c>
      <c r="E358" s="1">
        <v>-0.60033561594832596</v>
      </c>
      <c r="F358" s="1">
        <v>-3.04839773471355</v>
      </c>
      <c r="G358">
        <f>VLOOKUP(C358,'[1]phenotypes-895'!$A$2:$G$896,7,FALSE)</f>
        <v>98</v>
      </c>
    </row>
    <row r="359" spans="1:7" x14ac:dyDescent="0.2">
      <c r="A359">
        <v>892</v>
      </c>
      <c r="B359">
        <v>28</v>
      </c>
      <c r="C359" t="s">
        <v>891</v>
      </c>
      <c r="D359" s="13" t="s">
        <v>913</v>
      </c>
      <c r="E359" s="1">
        <v>-0.58519449862420803</v>
      </c>
      <c r="F359" s="1">
        <v>1.2923100430641099</v>
      </c>
      <c r="G359">
        <f>VLOOKUP(C359,'[1]phenotypes-895'!$A$2:$G$896,7,FALSE)</f>
        <v>57</v>
      </c>
    </row>
    <row r="360" spans="1:7" x14ac:dyDescent="0.2">
      <c r="A360">
        <v>159</v>
      </c>
      <c r="B360">
        <v>12</v>
      </c>
      <c r="C360" t="s">
        <v>158</v>
      </c>
      <c r="D360" s="12" t="s">
        <v>912</v>
      </c>
      <c r="E360" s="1">
        <v>-0.54990823199224903</v>
      </c>
      <c r="F360" s="1">
        <v>0.165606163646003</v>
      </c>
      <c r="G360">
        <f>VLOOKUP(C360,'[1]phenotypes-895'!$A$2:$G$896,7,FALSE)</f>
        <v>62</v>
      </c>
    </row>
    <row r="361" spans="1:7" x14ac:dyDescent="0.2">
      <c r="A361">
        <v>60</v>
      </c>
      <c r="B361">
        <v>18</v>
      </c>
      <c r="C361" t="s">
        <v>59</v>
      </c>
      <c r="D361" s="12" t="s">
        <v>912</v>
      </c>
      <c r="E361" s="1">
        <v>-0.52604636779986302</v>
      </c>
      <c r="F361" s="1">
        <v>0.66490176334198303</v>
      </c>
      <c r="G361">
        <f>VLOOKUP(C361,'[1]phenotypes-895'!$A$2:$G$896,7,FALSE)</f>
        <v>88</v>
      </c>
    </row>
    <row r="362" spans="1:7" x14ac:dyDescent="0.2">
      <c r="A362">
        <v>601</v>
      </c>
      <c r="B362">
        <v>38</v>
      </c>
      <c r="C362" t="s">
        <v>600</v>
      </c>
      <c r="D362" s="13" t="s">
        <v>913</v>
      </c>
      <c r="E362" s="1">
        <v>-0.51415726358407898</v>
      </c>
      <c r="F362" s="1">
        <v>0.57429740590005396</v>
      </c>
      <c r="G362">
        <f>VLOOKUP(C362,'[1]phenotypes-895'!$A$2:$G$896,7,FALSE)</f>
        <v>98</v>
      </c>
    </row>
    <row r="363" spans="1:7" x14ac:dyDescent="0.2">
      <c r="A363">
        <v>880</v>
      </c>
      <c r="B363">
        <v>23</v>
      </c>
      <c r="C363" t="s">
        <v>879</v>
      </c>
      <c r="D363" s="13" t="s">
        <v>913</v>
      </c>
      <c r="E363" s="1">
        <v>-0.50794263510163595</v>
      </c>
      <c r="F363" s="1">
        <v>-1.1352758763059601</v>
      </c>
      <c r="G363">
        <f>VLOOKUP(C363,'[1]phenotypes-895'!$A$2:$G$896,7,FALSE)</f>
        <v>49</v>
      </c>
    </row>
    <row r="364" spans="1:7" x14ac:dyDescent="0.2">
      <c r="A364">
        <v>829</v>
      </c>
      <c r="B364">
        <v>31</v>
      </c>
      <c r="C364" t="s">
        <v>828</v>
      </c>
      <c r="D364" s="13" t="s">
        <v>913</v>
      </c>
      <c r="E364" s="1">
        <v>-0.49135681974914103</v>
      </c>
      <c r="F364" s="1">
        <v>-0.77754031476880103</v>
      </c>
      <c r="G364">
        <f>VLOOKUP(C364,'[1]phenotypes-895'!$A$2:$G$896,7,FALSE)</f>
        <v>98</v>
      </c>
    </row>
    <row r="365" spans="1:7" x14ac:dyDescent="0.2">
      <c r="A365">
        <v>81</v>
      </c>
      <c r="B365">
        <v>12</v>
      </c>
      <c r="C365" t="s">
        <v>80</v>
      </c>
      <c r="D365" s="12" t="s">
        <v>912</v>
      </c>
      <c r="E365" s="1">
        <v>-0.49070349239036798</v>
      </c>
      <c r="F365" s="1">
        <v>0.36842156782443197</v>
      </c>
      <c r="G365">
        <f>VLOOKUP(C365,'[1]phenotypes-895'!$A$2:$G$896,7,FALSE)</f>
        <v>72</v>
      </c>
    </row>
    <row r="366" spans="1:7" x14ac:dyDescent="0.2">
      <c r="A366">
        <v>513</v>
      </c>
      <c r="B366">
        <v>42</v>
      </c>
      <c r="C366" t="s">
        <v>512</v>
      </c>
      <c r="D366" s="13" t="s">
        <v>912</v>
      </c>
      <c r="E366" s="1">
        <v>-0.48500627263835</v>
      </c>
      <c r="F366" s="1">
        <v>1.16755117291009</v>
      </c>
      <c r="G366">
        <f>VLOOKUP(C366,'[1]phenotypes-895'!$A$2:$G$896,7,FALSE)</f>
        <v>98</v>
      </c>
    </row>
    <row r="367" spans="1:7" x14ac:dyDescent="0.2">
      <c r="A367">
        <v>576</v>
      </c>
      <c r="B367">
        <v>49</v>
      </c>
      <c r="C367" t="s">
        <v>575</v>
      </c>
      <c r="D367" s="13" t="s">
        <v>912</v>
      </c>
      <c r="E367" s="1">
        <v>-0.47066868094781</v>
      </c>
      <c r="F367" s="1">
        <v>1.8713588877312599</v>
      </c>
      <c r="G367">
        <f>VLOOKUP(C367,'[1]phenotypes-895'!$A$2:$G$896,7,FALSE)</f>
        <v>60</v>
      </c>
    </row>
    <row r="368" spans="1:7" x14ac:dyDescent="0.2">
      <c r="A368">
        <v>627</v>
      </c>
      <c r="B368">
        <v>32</v>
      </c>
      <c r="C368" t="s">
        <v>626</v>
      </c>
      <c r="D368" s="13" t="s">
        <v>913</v>
      </c>
      <c r="E368" s="1">
        <v>-0.444383003885086</v>
      </c>
      <c r="F368" s="1">
        <v>-1.42717277608208</v>
      </c>
      <c r="G368">
        <f>VLOOKUP(C368,'[1]phenotypes-895'!$A$2:$G$896,7,FALSE)</f>
        <v>60</v>
      </c>
    </row>
    <row r="369" spans="1:7" x14ac:dyDescent="0.2">
      <c r="A369">
        <v>393</v>
      </c>
      <c r="B369">
        <v>54</v>
      </c>
      <c r="C369" t="s">
        <v>392</v>
      </c>
      <c r="D369" s="13" t="s">
        <v>912</v>
      </c>
      <c r="E369" s="1">
        <v>-0.42535324483939002</v>
      </c>
      <c r="F369" s="1">
        <v>0.87065969680237498</v>
      </c>
      <c r="G369">
        <f>VLOOKUP(C369,'[1]phenotypes-895'!$A$2:$G$896,7,FALSE)</f>
        <v>76</v>
      </c>
    </row>
    <row r="370" spans="1:7" x14ac:dyDescent="0.2">
      <c r="A370">
        <v>160</v>
      </c>
      <c r="B370">
        <v>1</v>
      </c>
      <c r="C370" t="s">
        <v>159</v>
      </c>
      <c r="D370" s="12" t="s">
        <v>913</v>
      </c>
      <c r="E370" s="1">
        <v>-0.42152304682359698</v>
      </c>
      <c r="F370" s="1">
        <v>-1.5931183061290499</v>
      </c>
      <c r="G370">
        <f>VLOOKUP(C370,'[1]phenotypes-895'!$A$2:$G$896,7,FALSE)</f>
        <v>98</v>
      </c>
    </row>
    <row r="371" spans="1:7" x14ac:dyDescent="0.2">
      <c r="A371">
        <v>622</v>
      </c>
      <c r="B371">
        <v>40</v>
      </c>
      <c r="C371" t="s">
        <v>621</v>
      </c>
      <c r="D371" s="13" t="s">
        <v>913</v>
      </c>
      <c r="E371" s="1">
        <v>-0.414636282745875</v>
      </c>
      <c r="F371" s="1">
        <v>-1.1252083427674999</v>
      </c>
      <c r="G371">
        <f>VLOOKUP(C371,'[1]phenotypes-895'!$A$2:$G$896,7,FALSE)</f>
        <v>98</v>
      </c>
    </row>
    <row r="372" spans="1:7" x14ac:dyDescent="0.2">
      <c r="A372">
        <v>783</v>
      </c>
      <c r="B372">
        <v>46</v>
      </c>
      <c r="C372" t="s">
        <v>782</v>
      </c>
      <c r="D372" s="13" t="s">
        <v>912</v>
      </c>
      <c r="E372" s="1">
        <v>-0.370338723188056</v>
      </c>
      <c r="F372" s="1">
        <v>2.3444887075207399</v>
      </c>
      <c r="G372">
        <f>VLOOKUP(C372,'[1]phenotypes-895'!$A$2:$G$896,7,FALSE)</f>
        <v>59</v>
      </c>
    </row>
    <row r="373" spans="1:7" x14ac:dyDescent="0.2">
      <c r="A373">
        <v>546</v>
      </c>
      <c r="B373">
        <v>54</v>
      </c>
      <c r="C373" t="s">
        <v>545</v>
      </c>
      <c r="D373" s="13" t="s">
        <v>912</v>
      </c>
      <c r="E373" s="1">
        <v>-0.36465949357743699</v>
      </c>
      <c r="F373" s="1">
        <v>1.6259243303495701</v>
      </c>
      <c r="G373">
        <f>VLOOKUP(C373,'[1]phenotypes-895'!$A$2:$G$896,7,FALSE)</f>
        <v>98</v>
      </c>
    </row>
    <row r="374" spans="1:7" x14ac:dyDescent="0.2">
      <c r="A374">
        <v>499</v>
      </c>
      <c r="B374">
        <v>53</v>
      </c>
      <c r="C374" t="s">
        <v>498</v>
      </c>
      <c r="D374" s="13" t="s">
        <v>912</v>
      </c>
      <c r="E374" s="1">
        <v>-0.33798921877667198</v>
      </c>
      <c r="F374" s="1">
        <v>-1.5978810730041599</v>
      </c>
      <c r="G374">
        <f>VLOOKUP(C374,'[1]phenotypes-895'!$A$2:$G$896,7,FALSE)</f>
        <v>98</v>
      </c>
    </row>
    <row r="375" spans="1:7" x14ac:dyDescent="0.2">
      <c r="A375">
        <v>403</v>
      </c>
      <c r="B375">
        <v>34</v>
      </c>
      <c r="C375" t="s">
        <v>402</v>
      </c>
      <c r="D375" s="13" t="s">
        <v>913</v>
      </c>
      <c r="E375" s="1">
        <v>-0.33099676254099503</v>
      </c>
      <c r="F375" s="1">
        <v>0.34467162550217101</v>
      </c>
      <c r="G375">
        <f>VLOOKUP(C375,'[1]phenotypes-895'!$A$2:$G$896,7,FALSE)</f>
        <v>69</v>
      </c>
    </row>
    <row r="376" spans="1:7" x14ac:dyDescent="0.2">
      <c r="A376">
        <v>298</v>
      </c>
      <c r="B376">
        <v>50</v>
      </c>
      <c r="C376" t="s">
        <v>297</v>
      </c>
      <c r="D376" s="13" t="s">
        <v>912</v>
      </c>
      <c r="E376" s="1">
        <v>-0.32348499505968897</v>
      </c>
      <c r="F376" s="1">
        <v>1.8629820946214799</v>
      </c>
      <c r="G376">
        <f>VLOOKUP(C376,'[1]phenotypes-895'!$A$2:$G$896,7,FALSE)</f>
        <v>62</v>
      </c>
    </row>
    <row r="377" spans="1:7" x14ac:dyDescent="0.2">
      <c r="A377">
        <v>831</v>
      </c>
      <c r="B377">
        <v>40</v>
      </c>
      <c r="C377" t="s">
        <v>830</v>
      </c>
      <c r="D377" s="13" t="s">
        <v>913</v>
      </c>
      <c r="E377" s="1">
        <v>-0.28603049521908602</v>
      </c>
      <c r="F377" s="1">
        <v>1.43123602509583</v>
      </c>
      <c r="G377">
        <f>VLOOKUP(C377,'[1]phenotypes-895'!$A$2:$G$896,7,FALSE)</f>
        <v>98</v>
      </c>
    </row>
    <row r="378" spans="1:7" x14ac:dyDescent="0.2">
      <c r="A378">
        <v>817</v>
      </c>
      <c r="B378">
        <v>40</v>
      </c>
      <c r="C378" t="s">
        <v>816</v>
      </c>
      <c r="D378" s="13" t="s">
        <v>913</v>
      </c>
      <c r="E378" s="1">
        <v>-0.26863884652529701</v>
      </c>
      <c r="F378" s="1">
        <v>-1.07619743463452</v>
      </c>
      <c r="G378">
        <f>VLOOKUP(C378,'[1]phenotypes-895'!$A$2:$G$896,7,FALSE)</f>
        <v>71</v>
      </c>
    </row>
    <row r="379" spans="1:7" x14ac:dyDescent="0.2">
      <c r="A379">
        <v>780</v>
      </c>
      <c r="B379">
        <v>35</v>
      </c>
      <c r="C379" t="s">
        <v>779</v>
      </c>
      <c r="D379" s="13" t="s">
        <v>913</v>
      </c>
      <c r="E379" s="1">
        <v>-0.26069079230344</v>
      </c>
      <c r="F379" s="1">
        <v>-2.5926047423745802</v>
      </c>
      <c r="G379">
        <f>VLOOKUP(C379,'[1]phenotypes-895'!$A$2:$G$896,7,FALSE)</f>
        <v>98</v>
      </c>
    </row>
    <row r="380" spans="1:7" x14ac:dyDescent="0.2">
      <c r="A380">
        <v>199</v>
      </c>
      <c r="B380">
        <v>3</v>
      </c>
      <c r="C380" t="s">
        <v>198</v>
      </c>
      <c r="D380" s="12" t="s">
        <v>913</v>
      </c>
      <c r="E380" s="1">
        <v>-0.258335863109731</v>
      </c>
      <c r="F380" s="1">
        <v>-2.3766914415186999</v>
      </c>
      <c r="G380">
        <f>VLOOKUP(C380,'[1]phenotypes-895'!$A$2:$G$896,7,FALSE)</f>
        <v>98</v>
      </c>
    </row>
    <row r="381" spans="1:7" x14ac:dyDescent="0.2">
      <c r="A381">
        <v>496</v>
      </c>
      <c r="B381">
        <v>45</v>
      </c>
      <c r="C381" t="s">
        <v>495</v>
      </c>
      <c r="D381" s="13" t="s">
        <v>912</v>
      </c>
      <c r="E381" s="1">
        <v>-0.25480490982102599</v>
      </c>
      <c r="F381" s="1">
        <v>-0.56798589332496097</v>
      </c>
      <c r="G381">
        <f>VLOOKUP(C381,'[1]phenotypes-895'!$A$2:$G$896,7,FALSE)</f>
        <v>74</v>
      </c>
    </row>
    <row r="382" spans="1:7" x14ac:dyDescent="0.2">
      <c r="A382">
        <v>285</v>
      </c>
      <c r="B382">
        <v>6</v>
      </c>
      <c r="C382" t="s">
        <v>284</v>
      </c>
      <c r="D382" s="12" t="s">
        <v>913</v>
      </c>
      <c r="E382" s="1">
        <v>-0.25425496495901001</v>
      </c>
      <c r="F382" s="1">
        <v>-2.7055822543703099</v>
      </c>
      <c r="G382">
        <f>VLOOKUP(C382,'[1]phenotypes-895'!$A$2:$G$896,7,FALSE)</f>
        <v>98</v>
      </c>
    </row>
    <row r="383" spans="1:7" x14ac:dyDescent="0.2">
      <c r="A383">
        <v>451</v>
      </c>
      <c r="B383">
        <v>44</v>
      </c>
      <c r="C383" t="s">
        <v>450</v>
      </c>
      <c r="D383" s="13" t="s">
        <v>912</v>
      </c>
      <c r="E383" s="1">
        <v>-0.247801055903382</v>
      </c>
      <c r="F383" s="1">
        <v>1.2755250837712999</v>
      </c>
      <c r="G383">
        <f>VLOOKUP(C383,'[1]phenotypes-895'!$A$2:$G$896,7,FALSE)</f>
        <v>67</v>
      </c>
    </row>
    <row r="384" spans="1:7" x14ac:dyDescent="0.2">
      <c r="A384">
        <v>307</v>
      </c>
      <c r="B384">
        <v>49</v>
      </c>
      <c r="C384" t="s">
        <v>306</v>
      </c>
      <c r="D384" s="13" t="s">
        <v>912</v>
      </c>
      <c r="E384" s="1">
        <v>-0.24268589464763499</v>
      </c>
      <c r="F384" s="1">
        <v>2.2939763712655998</v>
      </c>
      <c r="G384">
        <f>VLOOKUP(C384,'[1]phenotypes-895'!$A$2:$G$896,7,FALSE)</f>
        <v>67</v>
      </c>
    </row>
    <row r="385" spans="1:7" x14ac:dyDescent="0.2">
      <c r="A385">
        <v>319</v>
      </c>
      <c r="B385">
        <v>3</v>
      </c>
      <c r="C385" t="s">
        <v>318</v>
      </c>
      <c r="D385" s="12" t="s">
        <v>913</v>
      </c>
      <c r="E385" s="1">
        <v>-0.223307567508506</v>
      </c>
      <c r="F385" s="1">
        <v>-2.8444793129886499</v>
      </c>
      <c r="G385">
        <f>VLOOKUP(C385,'[1]phenotypes-895'!$A$2:$G$896,7,FALSE)</f>
        <v>64</v>
      </c>
    </row>
    <row r="386" spans="1:7" x14ac:dyDescent="0.2">
      <c r="A386">
        <v>465</v>
      </c>
      <c r="B386">
        <v>52</v>
      </c>
      <c r="C386" t="s">
        <v>464</v>
      </c>
      <c r="D386" s="13" t="s">
        <v>912</v>
      </c>
      <c r="E386" s="1">
        <v>-0.2216790749343</v>
      </c>
      <c r="F386" s="1">
        <v>-0.75544003553850303</v>
      </c>
      <c r="G386">
        <f>VLOOKUP(C386,'[1]phenotypes-895'!$A$2:$G$896,7,FALSE)</f>
        <v>98</v>
      </c>
    </row>
    <row r="387" spans="1:7" x14ac:dyDescent="0.2">
      <c r="A387">
        <v>888</v>
      </c>
      <c r="B387">
        <v>29</v>
      </c>
      <c r="C387" t="s">
        <v>887</v>
      </c>
      <c r="D387" s="13" t="s">
        <v>913</v>
      </c>
      <c r="E387" s="1">
        <v>-0.20645983088035</v>
      </c>
      <c r="F387" s="1">
        <v>-2.2503001029695899</v>
      </c>
      <c r="G387">
        <f>VLOOKUP(C387,'[1]phenotypes-895'!$A$2:$G$896,7,FALSE)</f>
        <v>69</v>
      </c>
    </row>
    <row r="388" spans="1:7" x14ac:dyDescent="0.2">
      <c r="A388">
        <v>227</v>
      </c>
      <c r="B388">
        <v>8</v>
      </c>
      <c r="C388" t="s">
        <v>226</v>
      </c>
      <c r="D388" s="12" t="s">
        <v>913</v>
      </c>
      <c r="E388" s="1">
        <v>-0.20632843639131401</v>
      </c>
      <c r="F388" s="1">
        <v>-1.3821497952675601</v>
      </c>
      <c r="G388">
        <f>VLOOKUP(C388,'[1]phenotypes-895'!$A$2:$G$896,7,FALSE)</f>
        <v>98</v>
      </c>
    </row>
    <row r="389" spans="1:7" x14ac:dyDescent="0.2">
      <c r="A389">
        <v>389</v>
      </c>
      <c r="B389">
        <v>50</v>
      </c>
      <c r="C389" t="s">
        <v>388</v>
      </c>
      <c r="D389" s="13" t="s">
        <v>912</v>
      </c>
      <c r="E389" s="1">
        <v>-0.19321171230641601</v>
      </c>
      <c r="F389" s="1">
        <v>1.15213192484718</v>
      </c>
      <c r="G389">
        <f>VLOOKUP(C389,'[1]phenotypes-895'!$A$2:$G$896,7,FALSE)</f>
        <v>98</v>
      </c>
    </row>
    <row r="390" spans="1:7" x14ac:dyDescent="0.2">
      <c r="A390">
        <v>74</v>
      </c>
      <c r="B390">
        <v>21</v>
      </c>
      <c r="C390" t="s">
        <v>73</v>
      </c>
      <c r="D390" s="13" t="s">
        <v>913</v>
      </c>
      <c r="E390" s="1">
        <v>-0.16331109031007801</v>
      </c>
      <c r="F390" s="1">
        <v>-1.32460230834724</v>
      </c>
      <c r="G390">
        <f>VLOOKUP(C390,'[1]phenotypes-895'!$A$2:$G$896,7,FALSE)</f>
        <v>59</v>
      </c>
    </row>
    <row r="391" spans="1:7" x14ac:dyDescent="0.2">
      <c r="A391">
        <v>628</v>
      </c>
      <c r="B391">
        <v>40</v>
      </c>
      <c r="C391" t="s">
        <v>627</v>
      </c>
      <c r="D391" s="13" t="s">
        <v>913</v>
      </c>
      <c r="E391" s="1">
        <v>-0.16224421833323799</v>
      </c>
      <c r="F391" s="1">
        <v>-0.97887692045181396</v>
      </c>
      <c r="G391">
        <f>VLOOKUP(C391,'[1]phenotypes-895'!$A$2:$G$896,7,FALSE)</f>
        <v>74</v>
      </c>
    </row>
    <row r="392" spans="1:7" x14ac:dyDescent="0.2">
      <c r="A392">
        <v>197</v>
      </c>
      <c r="B392">
        <v>6</v>
      </c>
      <c r="C392" t="s">
        <v>196</v>
      </c>
      <c r="D392" s="12" t="s">
        <v>913</v>
      </c>
      <c r="E392" s="1">
        <v>-0.14850148196802501</v>
      </c>
      <c r="F392" s="1">
        <v>-2.2933775707008599</v>
      </c>
      <c r="G392">
        <f>VLOOKUP(C392,'[1]phenotypes-895'!$A$2:$G$896,7,FALSE)</f>
        <v>98</v>
      </c>
    </row>
    <row r="393" spans="1:7" x14ac:dyDescent="0.2">
      <c r="A393">
        <v>766</v>
      </c>
      <c r="B393">
        <v>42</v>
      </c>
      <c r="C393" t="s">
        <v>765</v>
      </c>
      <c r="D393" s="13" t="s">
        <v>912</v>
      </c>
      <c r="E393" s="1">
        <v>-0.13903125245535899</v>
      </c>
      <c r="F393" s="1">
        <v>2.9954609101480401</v>
      </c>
      <c r="G393">
        <f>VLOOKUP(C393,'[1]phenotypes-895'!$A$2:$G$896,7,FALSE)</f>
        <v>98</v>
      </c>
    </row>
    <row r="394" spans="1:7" x14ac:dyDescent="0.2">
      <c r="A394">
        <v>417</v>
      </c>
      <c r="B394">
        <v>42</v>
      </c>
      <c r="C394" t="s">
        <v>416</v>
      </c>
      <c r="D394" s="13" t="s">
        <v>912</v>
      </c>
      <c r="E394" s="1">
        <v>-0.13218201977156099</v>
      </c>
      <c r="F394" s="1">
        <v>2.22706098033462</v>
      </c>
      <c r="G394">
        <f>VLOOKUP(C394,'[1]phenotypes-895'!$A$2:$G$896,7,FALSE)</f>
        <v>88</v>
      </c>
    </row>
    <row r="395" spans="1:7" x14ac:dyDescent="0.2">
      <c r="A395">
        <v>613</v>
      </c>
      <c r="B395">
        <v>27</v>
      </c>
      <c r="C395" t="s">
        <v>612</v>
      </c>
      <c r="D395" s="13" t="s">
        <v>913</v>
      </c>
      <c r="E395" s="1">
        <v>-0.12040270400877</v>
      </c>
      <c r="F395" s="1">
        <v>2.3555378521047201</v>
      </c>
      <c r="G395">
        <f>VLOOKUP(C395,'[1]phenotypes-895'!$A$2:$G$896,7,FALSE)</f>
        <v>98</v>
      </c>
    </row>
    <row r="396" spans="1:7" x14ac:dyDescent="0.2">
      <c r="A396">
        <v>867</v>
      </c>
      <c r="B396">
        <v>50</v>
      </c>
      <c r="C396" t="s">
        <v>866</v>
      </c>
      <c r="D396" s="13" t="s">
        <v>912</v>
      </c>
      <c r="E396" s="1">
        <v>-0.111903897470781</v>
      </c>
      <c r="F396" s="1">
        <v>3.3635669757520601</v>
      </c>
      <c r="G396">
        <f>VLOOKUP(C396,'[1]phenotypes-895'!$A$2:$G$896,7,FALSE)</f>
        <v>65</v>
      </c>
    </row>
    <row r="397" spans="1:7" x14ac:dyDescent="0.2">
      <c r="A397">
        <v>297</v>
      </c>
      <c r="B397">
        <v>4</v>
      </c>
      <c r="C397" t="s">
        <v>296</v>
      </c>
      <c r="D397" s="12" t="s">
        <v>913</v>
      </c>
      <c r="E397" s="1">
        <v>-0.106422079839454</v>
      </c>
      <c r="F397" s="1">
        <v>-1.7980939980678901</v>
      </c>
      <c r="G397">
        <f>VLOOKUP(C397,'[1]phenotypes-895'!$A$2:$G$896,7,FALSE)</f>
        <v>72</v>
      </c>
    </row>
    <row r="398" spans="1:7" x14ac:dyDescent="0.2">
      <c r="A398">
        <v>402</v>
      </c>
      <c r="B398">
        <v>50</v>
      </c>
      <c r="C398" t="s">
        <v>401</v>
      </c>
      <c r="D398" s="13" t="s">
        <v>912</v>
      </c>
      <c r="E398" s="1">
        <v>-9.7003241306297797E-2</v>
      </c>
      <c r="F398" s="1">
        <v>2.1723615950519601</v>
      </c>
      <c r="G398">
        <f>VLOOKUP(C398,'[1]phenotypes-895'!$A$2:$G$896,7,FALSE)</f>
        <v>75</v>
      </c>
    </row>
    <row r="399" spans="1:7" x14ac:dyDescent="0.2">
      <c r="A399">
        <v>16</v>
      </c>
      <c r="B399">
        <v>3</v>
      </c>
      <c r="C399" t="s">
        <v>15</v>
      </c>
      <c r="D399" s="12" t="s">
        <v>913</v>
      </c>
      <c r="E399" s="1">
        <v>-9.6051725952221001E-2</v>
      </c>
      <c r="F399" s="1">
        <v>-2.3904293538682899</v>
      </c>
      <c r="G399">
        <f>VLOOKUP(C399,'[1]phenotypes-895'!$A$2:$G$896,7,FALSE)</f>
        <v>98</v>
      </c>
    </row>
    <row r="400" spans="1:7" x14ac:dyDescent="0.2">
      <c r="A400">
        <v>581</v>
      </c>
      <c r="B400">
        <v>53</v>
      </c>
      <c r="C400" t="s">
        <v>580</v>
      </c>
      <c r="D400" s="13" t="s">
        <v>912</v>
      </c>
      <c r="E400" s="1">
        <v>-8.6757456295188898E-2</v>
      </c>
      <c r="F400" s="1">
        <v>2.2302186739013101</v>
      </c>
      <c r="G400">
        <f>VLOOKUP(C400,'[1]phenotypes-895'!$A$2:$G$896,7,FALSE)</f>
        <v>63</v>
      </c>
    </row>
    <row r="401" spans="1:7" x14ac:dyDescent="0.2">
      <c r="A401">
        <v>652</v>
      </c>
      <c r="B401">
        <v>23</v>
      </c>
      <c r="C401" t="s">
        <v>651</v>
      </c>
      <c r="D401" s="13" t="s">
        <v>913</v>
      </c>
      <c r="E401" s="1">
        <v>-8.1424846880177204E-2</v>
      </c>
      <c r="F401" s="1">
        <v>1.07997586484136</v>
      </c>
      <c r="G401">
        <f>VLOOKUP(C401,'[1]phenotypes-895'!$A$2:$G$896,7,FALSE)</f>
        <v>98</v>
      </c>
    </row>
    <row r="402" spans="1:7" x14ac:dyDescent="0.2">
      <c r="A402">
        <v>44</v>
      </c>
      <c r="B402">
        <v>32</v>
      </c>
      <c r="C402" t="s">
        <v>43</v>
      </c>
      <c r="D402" s="13" t="s">
        <v>913</v>
      </c>
      <c r="E402" s="1">
        <v>-7.6424689200160795E-2</v>
      </c>
      <c r="F402" s="1">
        <v>-0.53339333183000004</v>
      </c>
      <c r="G402">
        <f>VLOOKUP(C402,'[1]phenotypes-895'!$A$2:$G$896,7,FALSE)</f>
        <v>67</v>
      </c>
    </row>
    <row r="403" spans="1:7" x14ac:dyDescent="0.2">
      <c r="A403">
        <v>342</v>
      </c>
      <c r="B403">
        <v>11</v>
      </c>
      <c r="C403" t="s">
        <v>341</v>
      </c>
      <c r="D403" s="12" t="s">
        <v>912</v>
      </c>
      <c r="E403" s="1">
        <v>-7.2824001768231006E-2</v>
      </c>
      <c r="F403" s="1">
        <v>0.10388169629917</v>
      </c>
      <c r="G403">
        <f>VLOOKUP(C403,'[1]phenotypes-895'!$A$2:$G$896,7,FALSE)</f>
        <v>98</v>
      </c>
    </row>
    <row r="404" spans="1:7" x14ac:dyDescent="0.2">
      <c r="A404">
        <v>855</v>
      </c>
      <c r="B404">
        <v>46</v>
      </c>
      <c r="C404" t="s">
        <v>854</v>
      </c>
      <c r="D404" s="13" t="s">
        <v>912</v>
      </c>
      <c r="E404" s="1">
        <v>-7.1629110446053898E-2</v>
      </c>
      <c r="F404" s="1">
        <v>2.5629234970507202</v>
      </c>
      <c r="G404">
        <f>VLOOKUP(C404,'[1]phenotypes-895'!$A$2:$G$896,7,FALSE)</f>
        <v>70</v>
      </c>
    </row>
    <row r="405" spans="1:7" x14ac:dyDescent="0.2">
      <c r="A405">
        <v>212</v>
      </c>
      <c r="B405">
        <v>50</v>
      </c>
      <c r="C405" t="s">
        <v>211</v>
      </c>
      <c r="D405" s="13" t="s">
        <v>912</v>
      </c>
      <c r="E405" s="1">
        <v>-6.4654620874288596E-2</v>
      </c>
      <c r="F405" s="1">
        <v>2.3399755720358502</v>
      </c>
      <c r="G405">
        <f>VLOOKUP(C405,'[1]phenotypes-895'!$A$2:$G$896,7,FALSE)</f>
        <v>59</v>
      </c>
    </row>
    <row r="406" spans="1:7" x14ac:dyDescent="0.2">
      <c r="A406">
        <v>718</v>
      </c>
      <c r="B406">
        <v>50</v>
      </c>
      <c r="C406" t="s">
        <v>717</v>
      </c>
      <c r="D406" s="13" t="s">
        <v>912</v>
      </c>
      <c r="E406" s="1">
        <v>-6.2584238462204303E-2</v>
      </c>
      <c r="F406" s="1">
        <v>2.32875144677763</v>
      </c>
      <c r="G406">
        <f>VLOOKUP(C406,'[1]phenotypes-895'!$A$2:$G$896,7,FALSE)</f>
        <v>59</v>
      </c>
    </row>
    <row r="407" spans="1:7" x14ac:dyDescent="0.2">
      <c r="A407">
        <v>879</v>
      </c>
      <c r="B407">
        <v>35</v>
      </c>
      <c r="C407" t="s">
        <v>878</v>
      </c>
      <c r="D407" s="13" t="s">
        <v>913</v>
      </c>
      <c r="E407" s="1">
        <v>-4.69849894622687E-2</v>
      </c>
      <c r="F407" s="1">
        <v>0.32985806084226099</v>
      </c>
      <c r="G407">
        <f>VLOOKUP(C407,'[1]phenotypes-895'!$A$2:$G$896,7,FALSE)</f>
        <v>65</v>
      </c>
    </row>
    <row r="408" spans="1:7" x14ac:dyDescent="0.2">
      <c r="A408">
        <v>590</v>
      </c>
      <c r="B408">
        <v>42</v>
      </c>
      <c r="C408" t="s">
        <v>589</v>
      </c>
      <c r="D408" s="13" t="s">
        <v>912</v>
      </c>
      <c r="E408" s="1">
        <v>-2.3565743601248398E-2</v>
      </c>
      <c r="F408" s="1">
        <v>2.94163918206171</v>
      </c>
      <c r="G408">
        <f>VLOOKUP(C408,'[1]phenotypes-895'!$A$2:$G$896,7,FALSE)</f>
        <v>72</v>
      </c>
    </row>
    <row r="409" spans="1:7" x14ac:dyDescent="0.2">
      <c r="A409">
        <v>75</v>
      </c>
      <c r="B409">
        <v>3</v>
      </c>
      <c r="C409" t="s">
        <v>74</v>
      </c>
      <c r="D409" s="12" t="s">
        <v>913</v>
      </c>
      <c r="E409" s="1">
        <v>-9.0126443004150906E-3</v>
      </c>
      <c r="F409" s="1">
        <v>-2.3221313165007</v>
      </c>
      <c r="G409">
        <f>VLOOKUP(C409,'[1]phenotypes-895'!$A$2:$G$896,7,FALSE)</f>
        <v>63</v>
      </c>
    </row>
    <row r="410" spans="1:7" x14ac:dyDescent="0.2">
      <c r="A410">
        <v>407</v>
      </c>
      <c r="B410">
        <v>51</v>
      </c>
      <c r="C410" t="s">
        <v>406</v>
      </c>
      <c r="D410" s="13" t="s">
        <v>912</v>
      </c>
      <c r="E410" s="1">
        <v>6.69885897918339E-3</v>
      </c>
      <c r="F410" s="1">
        <v>-0.41299807845035202</v>
      </c>
      <c r="G410">
        <f>VLOOKUP(C410,'[1]phenotypes-895'!$A$2:$G$896,7,FALSE)</f>
        <v>65</v>
      </c>
    </row>
    <row r="411" spans="1:7" x14ac:dyDescent="0.2">
      <c r="A411">
        <v>550</v>
      </c>
      <c r="B411">
        <v>44</v>
      </c>
      <c r="C411" t="s">
        <v>549</v>
      </c>
      <c r="D411" s="13" t="s">
        <v>912</v>
      </c>
      <c r="E411" s="1">
        <v>1.36714535002074E-2</v>
      </c>
      <c r="F411" s="1">
        <v>2.3841696554731202</v>
      </c>
      <c r="G411">
        <f>VLOOKUP(C411,'[1]phenotypes-895'!$A$2:$G$896,7,FALSE)</f>
        <v>45</v>
      </c>
    </row>
    <row r="412" spans="1:7" x14ac:dyDescent="0.2">
      <c r="A412">
        <v>263</v>
      </c>
      <c r="B412">
        <v>34</v>
      </c>
      <c r="C412" t="s">
        <v>262</v>
      </c>
      <c r="D412" s="13" t="s">
        <v>913</v>
      </c>
      <c r="E412" s="1">
        <v>1.4227856207300899E-2</v>
      </c>
      <c r="F412" s="1">
        <v>7.9612864610941997E-2</v>
      </c>
      <c r="G412">
        <f>VLOOKUP(C412,'[1]phenotypes-895'!$A$2:$G$896,7,FALSE)</f>
        <v>77</v>
      </c>
    </row>
    <row r="413" spans="1:7" x14ac:dyDescent="0.2">
      <c r="A413">
        <v>331</v>
      </c>
      <c r="B413">
        <v>9</v>
      </c>
      <c r="C413" t="s">
        <v>330</v>
      </c>
      <c r="D413" s="12" t="s">
        <v>912</v>
      </c>
      <c r="E413" s="1">
        <v>3.01965426052304E-2</v>
      </c>
      <c r="F413" s="1">
        <v>0.89943391930607297</v>
      </c>
      <c r="G413">
        <f>VLOOKUP(C413,'[1]phenotypes-895'!$A$2:$G$896,7,FALSE)</f>
        <v>98</v>
      </c>
    </row>
    <row r="414" spans="1:7" x14ac:dyDescent="0.2">
      <c r="A414">
        <v>368</v>
      </c>
      <c r="B414">
        <v>44</v>
      </c>
      <c r="C414" t="s">
        <v>367</v>
      </c>
      <c r="D414" s="13" t="s">
        <v>912</v>
      </c>
      <c r="E414" s="1">
        <v>3.9516574347692797E-2</v>
      </c>
      <c r="F414" s="1">
        <v>-1.1157237365357699</v>
      </c>
      <c r="G414">
        <f>VLOOKUP(C414,'[1]phenotypes-895'!$A$2:$G$896,7,FALSE)</f>
        <v>66</v>
      </c>
    </row>
    <row r="415" spans="1:7" x14ac:dyDescent="0.2">
      <c r="A415">
        <v>376</v>
      </c>
      <c r="B415">
        <v>49</v>
      </c>
      <c r="C415" t="s">
        <v>375</v>
      </c>
      <c r="D415" s="13" t="s">
        <v>912</v>
      </c>
      <c r="E415" s="1">
        <v>4.4276156261879897E-2</v>
      </c>
      <c r="F415" s="1">
        <v>0.29592798787866498</v>
      </c>
      <c r="G415">
        <f>VLOOKUP(C415,'[1]phenotypes-895'!$A$2:$G$896,7,FALSE)</f>
        <v>88</v>
      </c>
    </row>
    <row r="416" spans="1:7" x14ac:dyDescent="0.2">
      <c r="A416">
        <v>770</v>
      </c>
      <c r="B416">
        <v>50</v>
      </c>
      <c r="C416" t="s">
        <v>769</v>
      </c>
      <c r="D416" s="13" t="s">
        <v>912</v>
      </c>
      <c r="E416" s="1">
        <v>4.9258807977246702E-2</v>
      </c>
      <c r="F416" s="1">
        <v>1.65506961471992</v>
      </c>
      <c r="G416">
        <f>VLOOKUP(C416,'[1]phenotypes-895'!$A$2:$G$896,7,FALSE)</f>
        <v>45</v>
      </c>
    </row>
    <row r="417" spans="1:7" x14ac:dyDescent="0.2">
      <c r="A417">
        <v>156</v>
      </c>
      <c r="B417">
        <v>6</v>
      </c>
      <c r="C417" t="s">
        <v>155</v>
      </c>
      <c r="D417" s="12" t="s">
        <v>913</v>
      </c>
      <c r="E417" s="1">
        <v>5.4177441854911801E-2</v>
      </c>
      <c r="F417" s="1">
        <v>-1.9302367347520799</v>
      </c>
      <c r="G417">
        <f>VLOOKUP(C417,'[1]phenotypes-895'!$A$2:$G$896,7,FALSE)</f>
        <v>75</v>
      </c>
    </row>
    <row r="418" spans="1:7" x14ac:dyDescent="0.2">
      <c r="A418">
        <v>877</v>
      </c>
      <c r="B418">
        <v>37</v>
      </c>
      <c r="C418" t="s">
        <v>876</v>
      </c>
      <c r="D418" s="13" t="s">
        <v>913</v>
      </c>
      <c r="E418" s="1">
        <v>5.8264487502995399E-2</v>
      </c>
      <c r="F418" s="1">
        <v>0.95320154298723203</v>
      </c>
      <c r="G418">
        <f>VLOOKUP(C418,'[1]phenotypes-895'!$A$2:$G$896,7,FALSE)</f>
        <v>64</v>
      </c>
    </row>
    <row r="419" spans="1:7" x14ac:dyDescent="0.2">
      <c r="A419">
        <v>583</v>
      </c>
      <c r="B419">
        <v>44</v>
      </c>
      <c r="C419" t="s">
        <v>582</v>
      </c>
      <c r="D419" s="13" t="s">
        <v>912</v>
      </c>
      <c r="E419" s="1">
        <v>5.8789361101911901E-2</v>
      </c>
      <c r="F419" s="1">
        <v>1.3462037712214501</v>
      </c>
      <c r="G419">
        <f>VLOOKUP(C419,'[1]phenotypes-895'!$A$2:$G$896,7,FALSE)</f>
        <v>81</v>
      </c>
    </row>
    <row r="420" spans="1:7" x14ac:dyDescent="0.2">
      <c r="A420">
        <v>91</v>
      </c>
      <c r="B420">
        <v>2</v>
      </c>
      <c r="C420" t="s">
        <v>90</v>
      </c>
      <c r="D420" s="12" t="s">
        <v>913</v>
      </c>
      <c r="E420" s="1">
        <v>6.2387832683299699E-2</v>
      </c>
      <c r="F420" s="1">
        <v>-0.58428857151535196</v>
      </c>
      <c r="G420">
        <f>VLOOKUP(C420,'[1]phenotypes-895'!$A$2:$G$896,7,FALSE)</f>
        <v>98</v>
      </c>
    </row>
    <row r="421" spans="1:7" x14ac:dyDescent="0.2">
      <c r="A421">
        <v>148</v>
      </c>
      <c r="B421">
        <v>4</v>
      </c>
      <c r="C421" t="s">
        <v>147</v>
      </c>
      <c r="D421" s="12" t="s">
        <v>913</v>
      </c>
      <c r="E421" s="1">
        <v>6.4176322992954699E-2</v>
      </c>
      <c r="F421" s="1">
        <v>-2.1796010435040101</v>
      </c>
      <c r="G421">
        <f>VLOOKUP(C421,'[1]phenotypes-895'!$A$2:$G$896,7,FALSE)</f>
        <v>98</v>
      </c>
    </row>
    <row r="422" spans="1:7" x14ac:dyDescent="0.2">
      <c r="A422">
        <v>884</v>
      </c>
      <c r="B422">
        <v>31</v>
      </c>
      <c r="C422" t="s">
        <v>883</v>
      </c>
      <c r="D422" s="13" t="s">
        <v>913</v>
      </c>
      <c r="E422" s="1">
        <v>7.3086512144341406E-2</v>
      </c>
      <c r="F422" s="1">
        <v>1.4862981020582799</v>
      </c>
      <c r="G422">
        <f>VLOOKUP(C422,'[1]phenotypes-895'!$A$2:$G$896,7,FALSE)</f>
        <v>63</v>
      </c>
    </row>
    <row r="423" spans="1:7" x14ac:dyDescent="0.2">
      <c r="A423">
        <v>472</v>
      </c>
      <c r="B423">
        <v>46</v>
      </c>
      <c r="C423" t="s">
        <v>471</v>
      </c>
      <c r="D423" s="13" t="s">
        <v>912</v>
      </c>
      <c r="E423" s="1">
        <v>9.6234316238574896E-2</v>
      </c>
      <c r="F423" s="1">
        <v>1.6493871153175701</v>
      </c>
      <c r="G423">
        <f>VLOOKUP(C423,'[1]phenotypes-895'!$A$2:$G$896,7,FALSE)</f>
        <v>98</v>
      </c>
    </row>
    <row r="424" spans="1:7" x14ac:dyDescent="0.2">
      <c r="A424">
        <v>883</v>
      </c>
      <c r="B424">
        <v>22</v>
      </c>
      <c r="C424" t="s">
        <v>882</v>
      </c>
      <c r="D424" s="13" t="s">
        <v>913</v>
      </c>
      <c r="E424" s="1">
        <v>9.8550904062514794E-2</v>
      </c>
      <c r="F424" s="1">
        <v>0.92316351415480802</v>
      </c>
      <c r="G424">
        <f>VLOOKUP(C424,'[1]phenotypes-895'!$A$2:$G$896,7,FALSE)</f>
        <v>98</v>
      </c>
    </row>
    <row r="425" spans="1:7" x14ac:dyDescent="0.2">
      <c r="A425">
        <v>21</v>
      </c>
      <c r="B425">
        <v>9</v>
      </c>
      <c r="C425" t="s">
        <v>20</v>
      </c>
      <c r="D425" s="12" t="s">
        <v>912</v>
      </c>
      <c r="E425" s="1">
        <v>0.11557621119323599</v>
      </c>
      <c r="F425" s="1">
        <v>1.1629788597152699</v>
      </c>
      <c r="G425">
        <f>VLOOKUP(C425,'[1]phenotypes-895'!$A$2:$G$896,7,FALSE)</f>
        <v>98</v>
      </c>
    </row>
    <row r="426" spans="1:7" x14ac:dyDescent="0.2">
      <c r="A426">
        <v>585</v>
      </c>
      <c r="B426">
        <v>34</v>
      </c>
      <c r="C426" t="s">
        <v>584</v>
      </c>
      <c r="D426" s="13" t="s">
        <v>913</v>
      </c>
      <c r="E426" s="1">
        <v>0.134360934016623</v>
      </c>
      <c r="F426" s="1">
        <v>0.150394731190401</v>
      </c>
      <c r="G426">
        <f>VLOOKUP(C426,'[1]phenotypes-895'!$A$2:$G$896,7,FALSE)</f>
        <v>63</v>
      </c>
    </row>
    <row r="427" spans="1:7" x14ac:dyDescent="0.2">
      <c r="A427">
        <v>356</v>
      </c>
      <c r="B427">
        <v>35</v>
      </c>
      <c r="C427" t="s">
        <v>355</v>
      </c>
      <c r="D427" s="13" t="s">
        <v>913</v>
      </c>
      <c r="E427" s="1">
        <v>0.143765513724676</v>
      </c>
      <c r="F427" s="1">
        <v>-0.46959278076938099</v>
      </c>
      <c r="G427">
        <f>VLOOKUP(C427,'[1]phenotypes-895'!$A$2:$G$896,7,FALSE)</f>
        <v>42</v>
      </c>
    </row>
    <row r="428" spans="1:7" x14ac:dyDescent="0.2">
      <c r="A428">
        <v>50</v>
      </c>
      <c r="B428">
        <v>6</v>
      </c>
      <c r="C428" t="s">
        <v>49</v>
      </c>
      <c r="D428" s="12" t="s">
        <v>913</v>
      </c>
      <c r="E428" s="1">
        <v>0.14826566251960699</v>
      </c>
      <c r="F428" s="1">
        <v>-1.8521143261353501</v>
      </c>
      <c r="G428">
        <f>VLOOKUP(C428,'[1]phenotypes-895'!$A$2:$G$896,7,FALSE)</f>
        <v>98</v>
      </c>
    </row>
    <row r="429" spans="1:7" x14ac:dyDescent="0.2">
      <c r="A429">
        <v>413</v>
      </c>
      <c r="B429">
        <v>49</v>
      </c>
      <c r="C429" t="s">
        <v>412</v>
      </c>
      <c r="D429" s="13" t="s">
        <v>912</v>
      </c>
      <c r="E429" s="1">
        <v>0.17804075965684801</v>
      </c>
      <c r="F429" s="1">
        <v>0.52638615946669798</v>
      </c>
      <c r="G429">
        <f>VLOOKUP(C429,'[1]phenotypes-895'!$A$2:$G$896,7,FALSE)</f>
        <v>98</v>
      </c>
    </row>
    <row r="430" spans="1:7" x14ac:dyDescent="0.2">
      <c r="A430">
        <v>32</v>
      </c>
      <c r="B430">
        <v>21</v>
      </c>
      <c r="C430" t="s">
        <v>31</v>
      </c>
      <c r="D430" s="13" t="s">
        <v>913</v>
      </c>
      <c r="E430" s="1">
        <v>0.18640551688437099</v>
      </c>
      <c r="F430" s="1">
        <v>-0.91644761732591795</v>
      </c>
      <c r="G430">
        <f>VLOOKUP(C430,'[1]phenotypes-895'!$A$2:$G$896,7,FALSE)</f>
        <v>70</v>
      </c>
    </row>
    <row r="431" spans="1:7" x14ac:dyDescent="0.2">
      <c r="A431">
        <v>542</v>
      </c>
      <c r="B431">
        <v>53</v>
      </c>
      <c r="C431" t="s">
        <v>541</v>
      </c>
      <c r="D431" s="13" t="s">
        <v>912</v>
      </c>
      <c r="E431" s="1">
        <v>0.19284501086317701</v>
      </c>
      <c r="F431" s="1">
        <v>1.5162455803757799</v>
      </c>
      <c r="G431">
        <f>VLOOKUP(C431,'[1]phenotypes-895'!$A$2:$G$896,7,FALSE)</f>
        <v>70</v>
      </c>
    </row>
    <row r="432" spans="1:7" x14ac:dyDescent="0.2">
      <c r="A432">
        <v>637</v>
      </c>
      <c r="B432">
        <v>46</v>
      </c>
      <c r="C432" t="s">
        <v>636</v>
      </c>
      <c r="D432" s="13" t="s">
        <v>912</v>
      </c>
      <c r="E432" s="1">
        <v>0.20140689146818899</v>
      </c>
      <c r="F432" s="1">
        <v>3.2037962769934998</v>
      </c>
      <c r="G432">
        <f>VLOOKUP(C432,'[1]phenotypes-895'!$A$2:$G$896,7,FALSE)</f>
        <v>98</v>
      </c>
    </row>
    <row r="433" spans="1:8" x14ac:dyDescent="0.2">
      <c r="A433">
        <v>619</v>
      </c>
      <c r="B433">
        <v>33</v>
      </c>
      <c r="C433" t="s">
        <v>618</v>
      </c>
      <c r="D433" s="13" t="s">
        <v>913</v>
      </c>
      <c r="E433" s="1">
        <v>0.201550560148264</v>
      </c>
      <c r="F433" s="1">
        <v>-0.52076523075827996</v>
      </c>
      <c r="G433">
        <f>VLOOKUP(C433,'[1]phenotypes-895'!$A$2:$G$896,7,FALSE)</f>
        <v>98</v>
      </c>
    </row>
    <row r="434" spans="1:8" x14ac:dyDescent="0.2">
      <c r="A434">
        <v>710</v>
      </c>
      <c r="B434">
        <v>22</v>
      </c>
      <c r="C434" t="s">
        <v>709</v>
      </c>
      <c r="D434" s="13" t="s">
        <v>913</v>
      </c>
      <c r="E434" s="1">
        <v>0.20900997381091199</v>
      </c>
      <c r="F434" s="1">
        <v>-0.29096501128241298</v>
      </c>
      <c r="G434">
        <f>VLOOKUP(C434,'[1]phenotypes-895'!$A$2:$G$896,7,FALSE)</f>
        <v>56</v>
      </c>
    </row>
    <row r="435" spans="1:8" x14ac:dyDescent="0.2">
      <c r="A435">
        <v>119</v>
      </c>
      <c r="B435">
        <v>52</v>
      </c>
      <c r="C435" t="s">
        <v>118</v>
      </c>
      <c r="D435" s="13" t="s">
        <v>912</v>
      </c>
      <c r="E435" s="1">
        <v>0.210937269612612</v>
      </c>
      <c r="F435" s="1">
        <v>2.8783807238519099</v>
      </c>
      <c r="G435">
        <f>VLOOKUP(C435,'[1]phenotypes-895'!$A$2:$G$896,7,FALSE)</f>
        <v>98</v>
      </c>
    </row>
    <row r="436" spans="1:8" x14ac:dyDescent="0.2">
      <c r="A436">
        <v>113</v>
      </c>
      <c r="B436">
        <v>4</v>
      </c>
      <c r="C436" t="s">
        <v>112</v>
      </c>
      <c r="D436" s="12" t="s">
        <v>913</v>
      </c>
      <c r="E436" s="1">
        <v>0.23887220951447899</v>
      </c>
      <c r="F436" s="1">
        <v>-1.3753334339427301</v>
      </c>
      <c r="G436">
        <f>VLOOKUP(C436,'[1]phenotypes-895'!$A$2:$G$896,7,FALSE)</f>
        <v>98</v>
      </c>
    </row>
    <row r="437" spans="1:8" x14ac:dyDescent="0.2">
      <c r="A437">
        <v>446</v>
      </c>
      <c r="B437">
        <v>46</v>
      </c>
      <c r="C437" t="s">
        <v>445</v>
      </c>
      <c r="D437" s="13" t="s">
        <v>912</v>
      </c>
      <c r="E437" s="1">
        <v>0.241877822867436</v>
      </c>
      <c r="F437" s="1">
        <v>1.8832980741743699</v>
      </c>
      <c r="G437">
        <f>VLOOKUP(C437,'[1]phenotypes-895'!$A$2:$G$896,7,FALSE)</f>
        <v>98</v>
      </c>
    </row>
    <row r="438" spans="1:8" x14ac:dyDescent="0.2">
      <c r="A438">
        <v>372</v>
      </c>
      <c r="B438">
        <v>48</v>
      </c>
      <c r="C438" t="s">
        <v>371</v>
      </c>
      <c r="D438" s="13" t="s">
        <v>912</v>
      </c>
      <c r="E438" s="1">
        <v>0.25546280204059901</v>
      </c>
      <c r="F438" s="1">
        <v>1.6325813185106299</v>
      </c>
      <c r="G438">
        <f>VLOOKUP(C438,'[1]phenotypes-895'!$A$2:$G$896,7,FALSE)</f>
        <v>74</v>
      </c>
    </row>
    <row r="439" spans="1:8" x14ac:dyDescent="0.2">
      <c r="A439">
        <v>696</v>
      </c>
      <c r="B439">
        <v>23</v>
      </c>
      <c r="C439" t="s">
        <v>695</v>
      </c>
      <c r="D439" s="13" t="s">
        <v>913</v>
      </c>
      <c r="E439" s="1">
        <v>0.276540120692014</v>
      </c>
      <c r="F439" s="1">
        <v>0.277325321615426</v>
      </c>
      <c r="G439">
        <f>VLOOKUP(C439,'[1]phenotypes-895'!$A$2:$G$896,7,FALSE)</f>
        <v>98</v>
      </c>
    </row>
    <row r="440" spans="1:8" x14ac:dyDescent="0.2">
      <c r="A440">
        <v>93</v>
      </c>
      <c r="B440">
        <v>6</v>
      </c>
      <c r="C440" t="s">
        <v>92</v>
      </c>
      <c r="D440" s="12" t="s">
        <v>913</v>
      </c>
      <c r="E440" s="1">
        <v>0.28219055394137599</v>
      </c>
      <c r="F440" s="1">
        <v>-2.1203428400918698</v>
      </c>
      <c r="G440">
        <f>VLOOKUP(C440,'[1]phenotypes-895'!$A$2:$G$896,7,FALSE)</f>
        <v>82</v>
      </c>
    </row>
    <row r="441" spans="1:8" x14ac:dyDescent="0.2">
      <c r="A441">
        <v>47</v>
      </c>
      <c r="B441">
        <v>6</v>
      </c>
      <c r="C441" t="s">
        <v>46</v>
      </c>
      <c r="D441" s="12" t="s">
        <v>913</v>
      </c>
      <c r="E441" s="1">
        <v>0.28342238097971301</v>
      </c>
      <c r="F441" s="1">
        <v>-1.8130239631837901</v>
      </c>
      <c r="G441">
        <f>VLOOKUP(C441,'[1]phenotypes-895'!$A$2:$G$896,7,FALSE)</f>
        <v>56</v>
      </c>
    </row>
    <row r="442" spans="1:8" x14ac:dyDescent="0.2">
      <c r="A442">
        <v>610</v>
      </c>
      <c r="B442">
        <v>32</v>
      </c>
      <c r="C442" t="s">
        <v>609</v>
      </c>
      <c r="D442" s="13" t="s">
        <v>913</v>
      </c>
      <c r="E442" s="1">
        <v>0.29000267050948297</v>
      </c>
      <c r="F442" s="1">
        <v>1.37449527026604</v>
      </c>
      <c r="G442">
        <f>VLOOKUP(C442,'[1]phenotypes-895'!$A$2:$G$896,7,FALSE)</f>
        <v>48</v>
      </c>
    </row>
    <row r="443" spans="1:8" x14ac:dyDescent="0.2">
      <c r="A443">
        <v>656</v>
      </c>
      <c r="B443">
        <v>26</v>
      </c>
      <c r="C443" t="s">
        <v>655</v>
      </c>
      <c r="D443" s="13" t="s">
        <v>913</v>
      </c>
      <c r="E443" s="1">
        <v>0.30245957488110398</v>
      </c>
      <c r="F443" s="1">
        <v>0.78516203681102703</v>
      </c>
      <c r="G443">
        <f>VLOOKUP(C443,'[1]phenotypes-895'!$A$2:$G$896,7,FALSE)</f>
        <v>98</v>
      </c>
    </row>
    <row r="444" spans="1:8" x14ac:dyDescent="0.2">
      <c r="A444">
        <v>582</v>
      </c>
      <c r="B444">
        <v>49</v>
      </c>
      <c r="C444" t="s">
        <v>581</v>
      </c>
      <c r="D444" s="13" t="s">
        <v>912</v>
      </c>
      <c r="E444" s="1">
        <v>0.31241107409118302</v>
      </c>
      <c r="F444" s="1">
        <v>2.7959055382776801</v>
      </c>
      <c r="G444">
        <f>VLOOKUP(C444,'[1]phenotypes-895'!$A$2:$G$896,7,FALSE)</f>
        <v>98</v>
      </c>
    </row>
    <row r="445" spans="1:8" x14ac:dyDescent="0.2">
      <c r="A445">
        <v>553</v>
      </c>
      <c r="B445">
        <v>25</v>
      </c>
      <c r="C445" t="s">
        <v>552</v>
      </c>
      <c r="D445" s="13" t="s">
        <v>913</v>
      </c>
      <c r="E445" s="1">
        <v>0.31762818209747601</v>
      </c>
      <c r="F445" s="1">
        <v>1.44648920431384</v>
      </c>
      <c r="G445">
        <f>VLOOKUP(C445,'[1]phenotypes-895'!$A$2:$G$896,7,FALSE)</f>
        <v>98</v>
      </c>
    </row>
    <row r="446" spans="1:8" x14ac:dyDescent="0.2">
      <c r="A446">
        <v>257</v>
      </c>
      <c r="B446">
        <v>50</v>
      </c>
      <c r="C446" t="s">
        <v>256</v>
      </c>
      <c r="D446" s="13" t="s">
        <v>912</v>
      </c>
      <c r="E446" s="1">
        <v>0.32975867076399001</v>
      </c>
      <c r="F446" s="1">
        <v>2.5446282989502098</v>
      </c>
      <c r="G446">
        <f>VLOOKUP(C446,'[1]phenotypes-895'!$A$2:$G$896,7,FALSE)</f>
        <v>62</v>
      </c>
    </row>
    <row r="447" spans="1:8" x14ac:dyDescent="0.2">
      <c r="A447">
        <v>851</v>
      </c>
      <c r="B447">
        <v>52</v>
      </c>
      <c r="C447" t="s">
        <v>850</v>
      </c>
      <c r="D447" s="13" t="s">
        <v>912</v>
      </c>
      <c r="E447" s="1">
        <v>0.33262889331497603</v>
      </c>
      <c r="F447" s="1">
        <v>2.6032919325356398</v>
      </c>
      <c r="G447">
        <f>VLOOKUP(C447,'[1]phenotypes-895'!$A$2:$G$896,7,FALSE)</f>
        <v>98</v>
      </c>
      <c r="H447" s="15">
        <v>50</v>
      </c>
    </row>
    <row r="448" spans="1:8" x14ac:dyDescent="0.2">
      <c r="A448">
        <v>336</v>
      </c>
      <c r="B448">
        <v>4</v>
      </c>
      <c r="C448" t="s">
        <v>335</v>
      </c>
      <c r="D448" s="12" t="s">
        <v>913</v>
      </c>
      <c r="E448" s="1">
        <v>0.342470375919815</v>
      </c>
      <c r="F448" s="1">
        <v>-1.37454896937658</v>
      </c>
      <c r="G448">
        <f>VLOOKUP(C448,'[1]phenotypes-895'!$A$2:$G$896,7,FALSE)</f>
        <v>98</v>
      </c>
      <c r="H448" s="15">
        <v>50</v>
      </c>
    </row>
    <row r="449" spans="1:8" x14ac:dyDescent="0.2">
      <c r="A449">
        <v>502</v>
      </c>
      <c r="B449">
        <v>42</v>
      </c>
      <c r="C449" t="s">
        <v>501</v>
      </c>
      <c r="D449" s="13" t="s">
        <v>912</v>
      </c>
      <c r="E449" s="1">
        <v>0.36435519391301102</v>
      </c>
      <c r="F449" s="1">
        <v>-0.84868296705217094</v>
      </c>
      <c r="G449">
        <f>VLOOKUP(C449,'[1]phenotypes-895'!$A$2:$G$896,7,FALSE)</f>
        <v>74</v>
      </c>
      <c r="H449" s="15">
        <v>50</v>
      </c>
    </row>
    <row r="450" spans="1:8" x14ac:dyDescent="0.2">
      <c r="A450">
        <v>882</v>
      </c>
      <c r="B450">
        <v>54</v>
      </c>
      <c r="C450" t="s">
        <v>881</v>
      </c>
      <c r="D450" s="13" t="s">
        <v>912</v>
      </c>
      <c r="E450" s="1">
        <v>0.40120299494459799</v>
      </c>
      <c r="F450" s="1">
        <v>2.5973896771918201</v>
      </c>
      <c r="G450">
        <f>VLOOKUP(C450,'[1]phenotypes-895'!$A$2:$G$896,7,FALSE)</f>
        <v>98</v>
      </c>
      <c r="H450" s="15">
        <v>50</v>
      </c>
    </row>
    <row r="451" spans="1:8" x14ac:dyDescent="0.2">
      <c r="A451">
        <v>673</v>
      </c>
      <c r="B451">
        <v>29</v>
      </c>
      <c r="C451" t="s">
        <v>672</v>
      </c>
      <c r="D451" s="13" t="s">
        <v>913</v>
      </c>
      <c r="E451" s="1">
        <v>0.42183257536005903</v>
      </c>
      <c r="F451" s="1">
        <v>-0.89919234562016104</v>
      </c>
      <c r="G451">
        <f>VLOOKUP(C451,'[1]phenotypes-895'!$A$2:$G$896,7,FALSE)</f>
        <v>63</v>
      </c>
      <c r="H451" s="15">
        <v>50</v>
      </c>
    </row>
    <row r="452" spans="1:8" x14ac:dyDescent="0.2">
      <c r="A452">
        <v>841</v>
      </c>
      <c r="B452">
        <v>34</v>
      </c>
      <c r="C452" t="s">
        <v>840</v>
      </c>
      <c r="D452" s="13" t="s">
        <v>913</v>
      </c>
      <c r="E452" s="1">
        <v>0.42353931589351801</v>
      </c>
      <c r="F452" s="1">
        <v>2.6013797778282299</v>
      </c>
      <c r="G452">
        <f>VLOOKUP(C452,'[1]phenotypes-895'!$A$2:$G$896,7,FALSE)</f>
        <v>98</v>
      </c>
      <c r="H452" s="15">
        <v>50</v>
      </c>
    </row>
    <row r="453" spans="1:8" x14ac:dyDescent="0.2">
      <c r="A453">
        <v>276</v>
      </c>
      <c r="B453">
        <v>6</v>
      </c>
      <c r="C453" t="s">
        <v>275</v>
      </c>
      <c r="D453" s="12" t="s">
        <v>913</v>
      </c>
      <c r="E453" s="1">
        <v>0.42794507545101301</v>
      </c>
      <c r="F453" s="1">
        <v>-1.0526180335006801</v>
      </c>
      <c r="G453">
        <f>VLOOKUP(C453,'[1]phenotypes-895'!$A$2:$G$896,7,FALSE)</f>
        <v>98</v>
      </c>
      <c r="H453" s="15">
        <v>50</v>
      </c>
    </row>
    <row r="454" spans="1:8" x14ac:dyDescent="0.2">
      <c r="A454">
        <v>79</v>
      </c>
      <c r="B454">
        <v>18</v>
      </c>
      <c r="C454" t="s">
        <v>78</v>
      </c>
      <c r="D454" s="12" t="s">
        <v>912</v>
      </c>
      <c r="E454" s="1">
        <v>0.45968942662487999</v>
      </c>
      <c r="F454" s="1">
        <v>1.79418186198013</v>
      </c>
      <c r="G454">
        <f>VLOOKUP(C454,'[1]phenotypes-895'!$A$2:$G$896,7,FALSE)</f>
        <v>81</v>
      </c>
      <c r="H454" s="15">
        <v>50</v>
      </c>
    </row>
    <row r="455" spans="1:8" x14ac:dyDescent="0.2">
      <c r="A455">
        <v>477</v>
      </c>
      <c r="B455">
        <v>49</v>
      </c>
      <c r="C455" t="s">
        <v>476</v>
      </c>
      <c r="D455" s="13" t="s">
        <v>912</v>
      </c>
      <c r="E455" s="1">
        <v>0.46758880421024301</v>
      </c>
      <c r="F455" s="1">
        <v>-0.78247459492849303</v>
      </c>
      <c r="G455">
        <f>VLOOKUP(C455,'[1]phenotypes-895'!$A$2:$G$896,7,FALSE)</f>
        <v>98</v>
      </c>
      <c r="H455" s="15">
        <v>50</v>
      </c>
    </row>
    <row r="456" spans="1:8" x14ac:dyDescent="0.2">
      <c r="A456">
        <v>887</v>
      </c>
      <c r="B456">
        <v>24</v>
      </c>
      <c r="C456" t="s">
        <v>886</v>
      </c>
      <c r="D456" s="13" t="s">
        <v>913</v>
      </c>
      <c r="E456" s="1">
        <v>0.48336886393742001</v>
      </c>
      <c r="F456" s="1">
        <v>-0.43503150137977797</v>
      </c>
      <c r="G456">
        <f>VLOOKUP(C456,'[1]phenotypes-895'!$A$2:$G$896,7,FALSE)</f>
        <v>98</v>
      </c>
      <c r="H456" s="15">
        <v>50</v>
      </c>
    </row>
    <row r="457" spans="1:8" x14ac:dyDescent="0.2">
      <c r="A457">
        <v>379</v>
      </c>
      <c r="B457">
        <v>44</v>
      </c>
      <c r="C457" t="s">
        <v>378</v>
      </c>
      <c r="D457" s="13" t="s">
        <v>912</v>
      </c>
      <c r="E457" s="1">
        <v>0.484544860650022</v>
      </c>
      <c r="F457" s="1">
        <v>-0.446800850110742</v>
      </c>
      <c r="G457">
        <f>VLOOKUP(C457,'[1]phenotypes-895'!$A$2:$G$896,7,FALSE)</f>
        <v>98</v>
      </c>
      <c r="H457" s="15">
        <v>50</v>
      </c>
    </row>
    <row r="458" spans="1:8" x14ac:dyDescent="0.2">
      <c r="A458">
        <v>364</v>
      </c>
      <c r="B458">
        <v>44</v>
      </c>
      <c r="C458" t="s">
        <v>363</v>
      </c>
      <c r="D458" s="13" t="s">
        <v>912</v>
      </c>
      <c r="E458" s="1">
        <v>0.48750062772000402</v>
      </c>
      <c r="F458" s="1">
        <v>0.120949372273725</v>
      </c>
      <c r="G458">
        <f>VLOOKUP(C458,'[1]phenotypes-895'!$A$2:$G$896,7,FALSE)</f>
        <v>98</v>
      </c>
      <c r="H458" s="15">
        <v>50</v>
      </c>
    </row>
    <row r="459" spans="1:8" x14ac:dyDescent="0.2">
      <c r="A459">
        <v>828</v>
      </c>
      <c r="B459">
        <v>42</v>
      </c>
      <c r="C459" t="s">
        <v>827</v>
      </c>
      <c r="D459" s="13" t="s">
        <v>912</v>
      </c>
      <c r="E459" s="1">
        <v>0.498715461310554</v>
      </c>
      <c r="F459" s="1">
        <v>3.2885040370496901</v>
      </c>
      <c r="G459">
        <f>VLOOKUP(C459,'[1]phenotypes-895'!$A$2:$G$896,7,FALSE)</f>
        <v>98</v>
      </c>
      <c r="H459" s="15">
        <v>50</v>
      </c>
    </row>
    <row r="460" spans="1:8" x14ac:dyDescent="0.2">
      <c r="A460">
        <v>188</v>
      </c>
      <c r="B460">
        <v>14</v>
      </c>
      <c r="C460" t="s">
        <v>187</v>
      </c>
      <c r="D460" s="12" t="s">
        <v>912</v>
      </c>
      <c r="E460" s="1">
        <v>0.50107034370156001</v>
      </c>
      <c r="F460" s="1">
        <v>0.53705034316550204</v>
      </c>
      <c r="G460">
        <f>VLOOKUP(C460,'[1]phenotypes-895'!$A$2:$G$896,7,FALSE)</f>
        <v>69</v>
      </c>
      <c r="H460" s="15">
        <v>50</v>
      </c>
    </row>
    <row r="461" spans="1:8" x14ac:dyDescent="0.2">
      <c r="A461">
        <v>487</v>
      </c>
      <c r="B461">
        <v>48</v>
      </c>
      <c r="C461" t="s">
        <v>486</v>
      </c>
      <c r="D461" s="13" t="s">
        <v>912</v>
      </c>
      <c r="E461" s="1">
        <v>0.52397697926355502</v>
      </c>
      <c r="F461" s="1">
        <v>0.84480627309080203</v>
      </c>
      <c r="G461">
        <f>VLOOKUP(C461,'[1]phenotypes-895'!$A$2:$G$896,7,FALSE)</f>
        <v>98</v>
      </c>
      <c r="H461" s="15">
        <v>50</v>
      </c>
    </row>
    <row r="462" spans="1:8" x14ac:dyDescent="0.2">
      <c r="A462">
        <v>534</v>
      </c>
      <c r="B462">
        <v>31</v>
      </c>
      <c r="C462" t="s">
        <v>533</v>
      </c>
      <c r="D462" s="13" t="s">
        <v>913</v>
      </c>
      <c r="E462" s="1">
        <v>0.54053022543913298</v>
      </c>
      <c r="F462" s="1">
        <v>0.223294179710604</v>
      </c>
      <c r="G462">
        <f>VLOOKUP(C462,'[1]phenotypes-895'!$A$2:$G$896,7,FALSE)</f>
        <v>64</v>
      </c>
      <c r="H462" s="15">
        <v>50</v>
      </c>
    </row>
    <row r="463" spans="1:8" x14ac:dyDescent="0.2">
      <c r="A463">
        <v>337</v>
      </c>
      <c r="B463">
        <v>6</v>
      </c>
      <c r="C463" t="s">
        <v>336</v>
      </c>
      <c r="D463" s="12" t="s">
        <v>913</v>
      </c>
      <c r="E463" s="1">
        <v>0.54776121242807696</v>
      </c>
      <c r="F463" s="1">
        <v>-1.0126031375553299</v>
      </c>
      <c r="G463">
        <f>VLOOKUP(C463,'[1]phenotypes-895'!$A$2:$G$896,7,FALSE)</f>
        <v>98</v>
      </c>
      <c r="H463" s="15">
        <v>50</v>
      </c>
    </row>
    <row r="464" spans="1:8" x14ac:dyDescent="0.2">
      <c r="A464">
        <v>848</v>
      </c>
      <c r="B464">
        <v>22</v>
      </c>
      <c r="C464" t="s">
        <v>847</v>
      </c>
      <c r="D464" s="13" t="s">
        <v>913</v>
      </c>
      <c r="E464" s="1">
        <v>0.55719142761754703</v>
      </c>
      <c r="F464" s="1">
        <v>1.9983038471224699</v>
      </c>
      <c r="G464">
        <f>VLOOKUP(C464,'[1]phenotypes-895'!$A$2:$G$896,7,FALSE)</f>
        <v>98</v>
      </c>
      <c r="H464" s="15">
        <v>50</v>
      </c>
    </row>
    <row r="465" spans="1:8" x14ac:dyDescent="0.2">
      <c r="A465">
        <v>837</v>
      </c>
      <c r="B465">
        <v>28</v>
      </c>
      <c r="C465" t="s">
        <v>836</v>
      </c>
      <c r="D465" s="13" t="s">
        <v>913</v>
      </c>
      <c r="E465" s="1">
        <v>0.56388042672374405</v>
      </c>
      <c r="F465" s="1">
        <v>1.0909658610669299</v>
      </c>
      <c r="G465">
        <f>VLOOKUP(C465,'[1]phenotypes-895'!$A$2:$G$896,7,FALSE)</f>
        <v>65</v>
      </c>
      <c r="H465" s="15">
        <v>50</v>
      </c>
    </row>
    <row r="466" spans="1:8" x14ac:dyDescent="0.2">
      <c r="A466">
        <v>374</v>
      </c>
      <c r="B466">
        <v>48</v>
      </c>
      <c r="C466" t="s">
        <v>373</v>
      </c>
      <c r="D466" s="13" t="s">
        <v>912</v>
      </c>
      <c r="E466" s="1">
        <v>0.57590262083413402</v>
      </c>
      <c r="F466" s="1">
        <v>0.456435121860717</v>
      </c>
      <c r="G466">
        <f>VLOOKUP(C466,'[1]phenotypes-895'!$A$2:$G$896,7,FALSE)</f>
        <v>98</v>
      </c>
      <c r="H466" s="15">
        <v>50</v>
      </c>
    </row>
    <row r="467" spans="1:8" x14ac:dyDescent="0.2">
      <c r="A467">
        <v>401</v>
      </c>
      <c r="B467">
        <v>35</v>
      </c>
      <c r="C467" t="s">
        <v>400</v>
      </c>
      <c r="D467" s="13" t="s">
        <v>913</v>
      </c>
      <c r="E467" s="1">
        <v>0.60659310625876695</v>
      </c>
      <c r="F467" s="1">
        <v>-0.79734393013782501</v>
      </c>
      <c r="G467">
        <f>VLOOKUP(C467,'[1]phenotypes-895'!$A$2:$G$896,7,FALSE)</f>
        <v>98</v>
      </c>
      <c r="H467" s="15">
        <v>50</v>
      </c>
    </row>
    <row r="468" spans="1:8" x14ac:dyDescent="0.2">
      <c r="A468">
        <v>518</v>
      </c>
      <c r="B468">
        <v>53</v>
      </c>
      <c r="C468" t="s">
        <v>517</v>
      </c>
      <c r="D468" s="13" t="s">
        <v>912</v>
      </c>
      <c r="E468" s="1">
        <v>0.614376097379848</v>
      </c>
      <c r="F468" s="1">
        <v>2.9477614912544099</v>
      </c>
      <c r="G468">
        <f>VLOOKUP(C468,'[1]phenotypes-895'!$A$2:$G$896,7,FALSE)</f>
        <v>98</v>
      </c>
      <c r="H468" s="15">
        <v>50</v>
      </c>
    </row>
    <row r="469" spans="1:8" x14ac:dyDescent="0.2">
      <c r="A469">
        <v>450</v>
      </c>
      <c r="B469">
        <v>49</v>
      </c>
      <c r="C469" t="s">
        <v>449</v>
      </c>
      <c r="D469" s="13" t="s">
        <v>912</v>
      </c>
      <c r="E469" s="1">
        <v>0.62503270217071105</v>
      </c>
      <c r="F469" s="1">
        <v>-1.0808992135433</v>
      </c>
      <c r="G469">
        <f>VLOOKUP(C469,'[1]phenotypes-895'!$A$2:$G$896,7,FALSE)</f>
        <v>98</v>
      </c>
      <c r="H469" s="15">
        <v>50</v>
      </c>
    </row>
    <row r="470" spans="1:8" x14ac:dyDescent="0.2">
      <c r="A470">
        <v>579</v>
      </c>
      <c r="B470">
        <v>42</v>
      </c>
      <c r="C470" t="s">
        <v>578</v>
      </c>
      <c r="D470" s="13" t="s">
        <v>912</v>
      </c>
      <c r="E470" s="1">
        <v>0.62626434318753499</v>
      </c>
      <c r="F470" s="1">
        <v>2.8515567163438802</v>
      </c>
      <c r="G470">
        <f>VLOOKUP(C470,'[1]phenotypes-895'!$A$2:$G$896,7,FALSE)</f>
        <v>98</v>
      </c>
      <c r="H470" s="15">
        <v>50</v>
      </c>
    </row>
    <row r="471" spans="1:8" x14ac:dyDescent="0.2">
      <c r="A471">
        <v>636</v>
      </c>
      <c r="B471">
        <v>40</v>
      </c>
      <c r="C471" t="s">
        <v>635</v>
      </c>
      <c r="D471" s="13" t="s">
        <v>913</v>
      </c>
      <c r="E471" s="1">
        <v>0.636032462535707</v>
      </c>
      <c r="F471" s="1">
        <v>7.4666782322520595E-2</v>
      </c>
      <c r="G471">
        <f>VLOOKUP(C471,'[1]phenotypes-895'!$A$2:$G$896,7,FALSE)</f>
        <v>70</v>
      </c>
      <c r="H471" s="15">
        <v>50</v>
      </c>
    </row>
    <row r="472" spans="1:8" x14ac:dyDescent="0.2">
      <c r="A472">
        <v>825</v>
      </c>
      <c r="B472">
        <v>35</v>
      </c>
      <c r="C472" t="s">
        <v>824</v>
      </c>
      <c r="D472" s="13" t="s">
        <v>913</v>
      </c>
      <c r="E472" s="1">
        <v>0.65146277591115498</v>
      </c>
      <c r="F472" s="1">
        <v>0.76983496546413799</v>
      </c>
      <c r="G472">
        <f>VLOOKUP(C472,'[1]phenotypes-895'!$A$2:$G$896,7,FALSE)</f>
        <v>63</v>
      </c>
      <c r="H472" s="15">
        <v>50</v>
      </c>
    </row>
    <row r="473" spans="1:8" x14ac:dyDescent="0.2">
      <c r="A473">
        <v>223</v>
      </c>
      <c r="B473">
        <v>1</v>
      </c>
      <c r="C473" t="s">
        <v>222</v>
      </c>
      <c r="D473" s="12" t="s">
        <v>913</v>
      </c>
      <c r="E473" s="1">
        <v>0.65435518704986995</v>
      </c>
      <c r="F473" s="1">
        <v>-0.38514438888157398</v>
      </c>
      <c r="G473">
        <f>VLOOKUP(C473,'[1]phenotypes-895'!$A$2:$G$896,7,FALSE)</f>
        <v>98</v>
      </c>
      <c r="H473" s="15">
        <v>50</v>
      </c>
    </row>
    <row r="474" spans="1:8" x14ac:dyDescent="0.2">
      <c r="A474">
        <v>89</v>
      </c>
      <c r="B474">
        <v>9</v>
      </c>
      <c r="C474" t="s">
        <v>88</v>
      </c>
      <c r="D474" s="12" t="s">
        <v>912</v>
      </c>
      <c r="E474" s="1">
        <v>0.65531281597472701</v>
      </c>
      <c r="F474" s="1">
        <v>1.5179874474486299</v>
      </c>
      <c r="G474">
        <f>VLOOKUP(C474,'[1]phenotypes-895'!$A$2:$G$896,7,FALSE)</f>
        <v>98</v>
      </c>
      <c r="H474" s="15">
        <v>50</v>
      </c>
    </row>
    <row r="475" spans="1:8" x14ac:dyDescent="0.2">
      <c r="A475">
        <v>563</v>
      </c>
      <c r="B475">
        <v>26</v>
      </c>
      <c r="C475" t="s">
        <v>562</v>
      </c>
      <c r="D475" s="13" t="s">
        <v>913</v>
      </c>
      <c r="E475" s="1">
        <v>0.65662738806814902</v>
      </c>
      <c r="F475" s="1">
        <v>-1.70262206691758</v>
      </c>
      <c r="G475">
        <f>VLOOKUP(C475,'[1]phenotypes-895'!$A$2:$G$896,7,FALSE)</f>
        <v>98</v>
      </c>
      <c r="H475" s="15">
        <v>50</v>
      </c>
    </row>
    <row r="476" spans="1:8" x14ac:dyDescent="0.2">
      <c r="A476">
        <v>178</v>
      </c>
      <c r="B476">
        <v>18</v>
      </c>
      <c r="C476" t="s">
        <v>177</v>
      </c>
      <c r="D476" s="12" t="s">
        <v>912</v>
      </c>
      <c r="E476" s="1">
        <v>0.662974687279553</v>
      </c>
      <c r="F476" s="1">
        <v>1.44990664276059</v>
      </c>
      <c r="G476">
        <f>VLOOKUP(C476,'[1]phenotypes-895'!$A$2:$G$896,7,FALSE)</f>
        <v>63</v>
      </c>
      <c r="H476" s="15">
        <v>50</v>
      </c>
    </row>
    <row r="477" spans="1:8" x14ac:dyDescent="0.2">
      <c r="A477">
        <v>441</v>
      </c>
      <c r="B477">
        <v>40</v>
      </c>
      <c r="C477" t="s">
        <v>440</v>
      </c>
      <c r="D477" s="13" t="s">
        <v>913</v>
      </c>
      <c r="E477" s="1">
        <v>0.67220981406346303</v>
      </c>
      <c r="F477" s="1">
        <v>1.0931138034105901</v>
      </c>
      <c r="G477">
        <f>VLOOKUP(C477,'[1]phenotypes-895'!$A$2:$G$896,7,FALSE)</f>
        <v>98</v>
      </c>
      <c r="H477" s="15">
        <v>50</v>
      </c>
    </row>
    <row r="478" spans="1:8" x14ac:dyDescent="0.2">
      <c r="A478">
        <v>468</v>
      </c>
      <c r="B478">
        <v>44</v>
      </c>
      <c r="C478" t="s">
        <v>467</v>
      </c>
      <c r="D478" s="13" t="s">
        <v>912</v>
      </c>
      <c r="E478" s="1">
        <v>0.71282541397254295</v>
      </c>
      <c r="F478" s="1">
        <v>2.9848236191102999</v>
      </c>
      <c r="G478">
        <f>VLOOKUP(C478,'[1]phenotypes-895'!$A$2:$G$896,7,FALSE)</f>
        <v>98</v>
      </c>
      <c r="H478" s="15">
        <v>50</v>
      </c>
    </row>
    <row r="479" spans="1:8" x14ac:dyDescent="0.2">
      <c r="A479">
        <v>508</v>
      </c>
      <c r="B479">
        <v>50</v>
      </c>
      <c r="C479" t="s">
        <v>507</v>
      </c>
      <c r="D479" s="13" t="s">
        <v>912</v>
      </c>
      <c r="E479" s="1">
        <v>0.75809691521908895</v>
      </c>
      <c r="F479" s="1">
        <v>-0.21247889017213301</v>
      </c>
      <c r="G479">
        <f>VLOOKUP(C479,'[1]phenotypes-895'!$A$2:$G$896,7,FALSE)</f>
        <v>62</v>
      </c>
      <c r="H479" s="15">
        <v>50</v>
      </c>
    </row>
    <row r="480" spans="1:8" x14ac:dyDescent="0.2">
      <c r="A480">
        <v>890</v>
      </c>
      <c r="B480">
        <v>38</v>
      </c>
      <c r="C480" t="s">
        <v>889</v>
      </c>
      <c r="D480" s="13" t="s">
        <v>913</v>
      </c>
      <c r="E480" s="1">
        <v>0.75920288038764705</v>
      </c>
      <c r="F480" s="1">
        <v>2.1152079304425699</v>
      </c>
      <c r="G480">
        <f>VLOOKUP(C480,'[1]phenotypes-895'!$A$2:$G$896,7,FALSE)</f>
        <v>98</v>
      </c>
      <c r="H480" s="15">
        <v>50</v>
      </c>
    </row>
    <row r="481" spans="1:8" x14ac:dyDescent="0.2">
      <c r="A481">
        <v>784</v>
      </c>
      <c r="B481">
        <v>37</v>
      </c>
      <c r="C481" t="s">
        <v>783</v>
      </c>
      <c r="D481" s="13" t="s">
        <v>913</v>
      </c>
      <c r="E481" s="1">
        <v>0.77276368629454395</v>
      </c>
      <c r="F481" s="1">
        <v>0.519761976175387</v>
      </c>
      <c r="G481">
        <f>VLOOKUP(C481,'[1]phenotypes-895'!$A$2:$G$896,7,FALSE)</f>
        <v>98</v>
      </c>
      <c r="H481" s="15">
        <v>50</v>
      </c>
    </row>
    <row r="482" spans="1:8" x14ac:dyDescent="0.2">
      <c r="A482">
        <v>824</v>
      </c>
      <c r="B482">
        <v>49</v>
      </c>
      <c r="C482" t="s">
        <v>823</v>
      </c>
      <c r="D482" s="13" t="s">
        <v>912</v>
      </c>
      <c r="E482" s="1">
        <v>0.79036351803914195</v>
      </c>
      <c r="F482" s="1">
        <v>2.59774818472737</v>
      </c>
      <c r="G482">
        <f>VLOOKUP(C482,'[1]phenotypes-895'!$A$2:$G$896,7,FALSE)</f>
        <v>67</v>
      </c>
      <c r="H482" s="15">
        <v>50</v>
      </c>
    </row>
    <row r="483" spans="1:8" x14ac:dyDescent="0.2">
      <c r="A483">
        <v>355</v>
      </c>
      <c r="B483">
        <v>6</v>
      </c>
      <c r="C483" t="s">
        <v>354</v>
      </c>
      <c r="D483" s="12" t="s">
        <v>913</v>
      </c>
      <c r="E483" s="1">
        <v>0.79108461270241204</v>
      </c>
      <c r="F483" s="1">
        <v>-1.02940614732413</v>
      </c>
      <c r="G483">
        <f>VLOOKUP(C483,'[1]phenotypes-895'!$A$2:$G$896,7,FALSE)</f>
        <v>98</v>
      </c>
      <c r="H483" s="15">
        <v>50</v>
      </c>
    </row>
    <row r="484" spans="1:8" x14ac:dyDescent="0.2">
      <c r="A484">
        <v>439</v>
      </c>
      <c r="B484">
        <v>54</v>
      </c>
      <c r="C484" t="s">
        <v>438</v>
      </c>
      <c r="D484" s="13" t="s">
        <v>912</v>
      </c>
      <c r="E484" s="1">
        <v>0.81382719435669704</v>
      </c>
      <c r="F484" s="1">
        <v>-0.341298352342366</v>
      </c>
      <c r="G484">
        <f>VLOOKUP(C484,'[1]phenotypes-895'!$A$2:$G$896,7,FALSE)</f>
        <v>98</v>
      </c>
      <c r="H484" s="15">
        <v>50</v>
      </c>
    </row>
    <row r="485" spans="1:8" x14ac:dyDescent="0.2">
      <c r="A485">
        <v>193</v>
      </c>
      <c r="B485">
        <v>6</v>
      </c>
      <c r="C485" t="s">
        <v>192</v>
      </c>
      <c r="D485" s="12" t="s">
        <v>913</v>
      </c>
      <c r="E485" s="1">
        <v>0.83327672196148095</v>
      </c>
      <c r="F485" s="1">
        <v>-1.1295198007021401</v>
      </c>
      <c r="G485">
        <f>VLOOKUP(C485,'[1]phenotypes-895'!$A$2:$G$896,7,FALSE)</f>
        <v>98</v>
      </c>
      <c r="H485" s="15">
        <v>50</v>
      </c>
    </row>
    <row r="486" spans="1:8" x14ac:dyDescent="0.2">
      <c r="A486">
        <v>836</v>
      </c>
      <c r="B486">
        <v>29</v>
      </c>
      <c r="C486" t="s">
        <v>835</v>
      </c>
      <c r="D486" s="13" t="s">
        <v>913</v>
      </c>
      <c r="E486" s="1">
        <v>0.83912092198328603</v>
      </c>
      <c r="F486" s="1">
        <v>-0.47424205317662399</v>
      </c>
      <c r="G486">
        <f>VLOOKUP(C486,'[1]phenotypes-895'!$A$2:$G$896,7,FALSE)</f>
        <v>98</v>
      </c>
      <c r="H486" s="15">
        <v>50</v>
      </c>
    </row>
    <row r="487" spans="1:8" x14ac:dyDescent="0.2">
      <c r="A487">
        <v>690</v>
      </c>
      <c r="B487">
        <v>37</v>
      </c>
      <c r="C487" t="s">
        <v>689</v>
      </c>
      <c r="D487" s="13" t="s">
        <v>913</v>
      </c>
      <c r="E487" s="1">
        <v>0.84227349968298004</v>
      </c>
      <c r="F487" s="1">
        <v>2.0166992184243102</v>
      </c>
      <c r="G487">
        <f>VLOOKUP(C487,'[1]phenotypes-895'!$A$2:$G$896,7,FALSE)</f>
        <v>98</v>
      </c>
      <c r="H487" s="15">
        <v>50</v>
      </c>
    </row>
    <row r="488" spans="1:8" x14ac:dyDescent="0.2">
      <c r="A488">
        <v>584</v>
      </c>
      <c r="B488">
        <v>46</v>
      </c>
      <c r="C488" t="s">
        <v>583</v>
      </c>
      <c r="D488" s="13" t="s">
        <v>912</v>
      </c>
      <c r="E488" s="1">
        <v>0.84866411643798201</v>
      </c>
      <c r="F488" s="1">
        <v>3.7426088280110799</v>
      </c>
      <c r="G488">
        <f>VLOOKUP(C488,'[1]phenotypes-895'!$A$2:$G$896,7,FALSE)</f>
        <v>98</v>
      </c>
      <c r="H488" s="15">
        <v>50</v>
      </c>
    </row>
    <row r="489" spans="1:8" x14ac:dyDescent="0.2">
      <c r="A489">
        <v>686</v>
      </c>
      <c r="B489">
        <v>35</v>
      </c>
      <c r="C489" t="s">
        <v>685</v>
      </c>
      <c r="D489" s="13" t="s">
        <v>913</v>
      </c>
      <c r="E489" s="1">
        <v>0.85474298791719705</v>
      </c>
      <c r="F489" s="1">
        <v>1.49412581218142</v>
      </c>
      <c r="G489">
        <f>VLOOKUP(C489,'[1]phenotypes-895'!$A$2:$G$896,7,FALSE)</f>
        <v>92</v>
      </c>
      <c r="H489" s="15">
        <v>50</v>
      </c>
    </row>
    <row r="490" spans="1:8" x14ac:dyDescent="0.2">
      <c r="A490">
        <v>28</v>
      </c>
      <c r="B490">
        <v>30</v>
      </c>
      <c r="C490" t="s">
        <v>27</v>
      </c>
      <c r="D490" s="13" t="s">
        <v>913</v>
      </c>
      <c r="E490" s="1">
        <v>0.86126521652792398</v>
      </c>
      <c r="F490" s="1">
        <v>-0.76749293266382301</v>
      </c>
      <c r="G490">
        <f>VLOOKUP(C490,'[1]phenotypes-895'!$A$2:$G$896,7,FALSE)</f>
        <v>98</v>
      </c>
      <c r="H490" s="15">
        <v>50</v>
      </c>
    </row>
    <row r="491" spans="1:8" x14ac:dyDescent="0.2">
      <c r="A491">
        <v>776</v>
      </c>
      <c r="B491">
        <v>23</v>
      </c>
      <c r="C491" t="s">
        <v>775</v>
      </c>
      <c r="D491" s="13" t="s">
        <v>913</v>
      </c>
      <c r="E491" s="1">
        <v>0.86189656970012796</v>
      </c>
      <c r="F491" s="1">
        <v>0.57574677934123797</v>
      </c>
      <c r="G491">
        <f>VLOOKUP(C491,'[1]phenotypes-895'!$A$2:$G$896,7,FALSE)</f>
        <v>77</v>
      </c>
      <c r="H491" s="15">
        <v>50</v>
      </c>
    </row>
    <row r="492" spans="1:8" x14ac:dyDescent="0.2">
      <c r="A492">
        <v>489</v>
      </c>
      <c r="B492">
        <v>50</v>
      </c>
      <c r="C492" t="s">
        <v>488</v>
      </c>
      <c r="D492" s="13" t="s">
        <v>912</v>
      </c>
      <c r="E492" s="1">
        <v>0.86217588859304395</v>
      </c>
      <c r="F492" s="1">
        <v>3.5425899906459701</v>
      </c>
      <c r="G492">
        <f>VLOOKUP(C492,'[1]phenotypes-895'!$A$2:$G$896,7,FALSE)</f>
        <v>69</v>
      </c>
      <c r="H492" s="15">
        <v>50</v>
      </c>
    </row>
    <row r="493" spans="1:8" x14ac:dyDescent="0.2">
      <c r="A493">
        <v>725</v>
      </c>
      <c r="B493">
        <v>50</v>
      </c>
      <c r="C493" t="s">
        <v>724</v>
      </c>
      <c r="D493" s="13" t="s">
        <v>912</v>
      </c>
      <c r="E493" s="1">
        <v>0.86591593245271803</v>
      </c>
      <c r="F493" s="1">
        <v>2.8483492484160999</v>
      </c>
      <c r="G493">
        <f>VLOOKUP(C493,'[1]phenotypes-895'!$A$2:$G$896,7,FALSE)</f>
        <v>80</v>
      </c>
      <c r="H493" s="15">
        <v>50</v>
      </c>
    </row>
    <row r="494" spans="1:8" x14ac:dyDescent="0.2">
      <c r="A494">
        <v>8</v>
      </c>
      <c r="B494">
        <v>6</v>
      </c>
      <c r="C494" t="s">
        <v>7</v>
      </c>
      <c r="D494" s="12" t="s">
        <v>913</v>
      </c>
      <c r="E494" s="1">
        <v>0.87949578142470397</v>
      </c>
      <c r="F494" s="1">
        <v>-0.452748383920271</v>
      </c>
      <c r="G494">
        <f>VLOOKUP(C494,'[1]phenotypes-895'!$A$2:$G$896,7,FALSE)</f>
        <v>98</v>
      </c>
      <c r="H494" s="15">
        <v>50</v>
      </c>
    </row>
    <row r="495" spans="1:8" x14ac:dyDescent="0.2">
      <c r="A495">
        <v>347</v>
      </c>
      <c r="B495">
        <v>53</v>
      </c>
      <c r="C495" t="s">
        <v>346</v>
      </c>
      <c r="D495" s="13" t="s">
        <v>912</v>
      </c>
      <c r="E495" s="1">
        <v>0.88445552175585695</v>
      </c>
      <c r="F495" s="1">
        <v>2.7577886962624598</v>
      </c>
      <c r="G495">
        <f>VLOOKUP(C495,'[1]phenotypes-895'!$A$2:$G$896,7,FALSE)</f>
        <v>60</v>
      </c>
      <c r="H495" s="15">
        <v>50</v>
      </c>
    </row>
    <row r="496" spans="1:8" x14ac:dyDescent="0.2">
      <c r="A496">
        <v>845</v>
      </c>
      <c r="B496">
        <v>29</v>
      </c>
      <c r="C496" t="s">
        <v>844</v>
      </c>
      <c r="D496" s="13" t="s">
        <v>913</v>
      </c>
      <c r="E496" s="1">
        <v>0.90579945907363102</v>
      </c>
      <c r="F496" s="1">
        <v>-0.65952956006667596</v>
      </c>
      <c r="G496">
        <f>VLOOKUP(C496,'[1]phenotypes-895'!$A$2:$G$896,7,FALSE)</f>
        <v>91</v>
      </c>
      <c r="H496" s="15">
        <v>50</v>
      </c>
    </row>
    <row r="497" spans="1:8" x14ac:dyDescent="0.2">
      <c r="A497">
        <v>177</v>
      </c>
      <c r="B497">
        <v>49</v>
      </c>
      <c r="C497" t="s">
        <v>176</v>
      </c>
      <c r="D497" s="13" t="s">
        <v>912</v>
      </c>
      <c r="E497" s="1">
        <v>0.91202893122931294</v>
      </c>
      <c r="F497" s="1">
        <v>2.5225582844330998</v>
      </c>
      <c r="G497">
        <f>VLOOKUP(C497,'[1]phenotypes-895'!$A$2:$G$896,7,FALSE)</f>
        <v>98</v>
      </c>
      <c r="H497" s="15">
        <v>50</v>
      </c>
    </row>
    <row r="498" spans="1:8" x14ac:dyDescent="0.2">
      <c r="A498">
        <v>22</v>
      </c>
      <c r="B498">
        <v>4</v>
      </c>
      <c r="C498" t="s">
        <v>21</v>
      </c>
      <c r="D498" s="12" t="s">
        <v>913</v>
      </c>
      <c r="E498" s="1">
        <v>0.91783320748853403</v>
      </c>
      <c r="F498" s="1">
        <v>-1.0612976836907899</v>
      </c>
      <c r="G498">
        <f>VLOOKUP(C498,'[1]phenotypes-895'!$A$2:$G$896,7,FALSE)</f>
        <v>74</v>
      </c>
      <c r="H498" s="15">
        <v>50</v>
      </c>
    </row>
    <row r="499" spans="1:8" x14ac:dyDescent="0.2">
      <c r="A499">
        <v>460</v>
      </c>
      <c r="B499">
        <v>50</v>
      </c>
      <c r="C499" t="s">
        <v>459</v>
      </c>
      <c r="D499" s="13" t="s">
        <v>912</v>
      </c>
      <c r="E499" s="1">
        <v>0.92205242191608505</v>
      </c>
      <c r="F499" s="1">
        <v>2.6285365862155499</v>
      </c>
      <c r="G499">
        <f>VLOOKUP(C499,'[1]phenotypes-895'!$A$2:$G$896,7,FALSE)</f>
        <v>63</v>
      </c>
      <c r="H499" s="15">
        <v>50</v>
      </c>
    </row>
    <row r="500" spans="1:8" x14ac:dyDescent="0.2">
      <c r="A500">
        <v>719</v>
      </c>
      <c r="B500">
        <v>50</v>
      </c>
      <c r="C500" t="s">
        <v>718</v>
      </c>
      <c r="D500" s="13" t="s">
        <v>912</v>
      </c>
      <c r="E500" s="1">
        <v>0.93195707438937403</v>
      </c>
      <c r="F500" s="1">
        <v>3.29041282769583</v>
      </c>
      <c r="G500">
        <f>VLOOKUP(C500,'[1]phenotypes-895'!$A$2:$G$896,7,FALSE)</f>
        <v>65</v>
      </c>
      <c r="H500" s="15">
        <v>50</v>
      </c>
    </row>
    <row r="501" spans="1:8" x14ac:dyDescent="0.2">
      <c r="A501">
        <v>541</v>
      </c>
      <c r="B501">
        <v>45</v>
      </c>
      <c r="C501" t="s">
        <v>540</v>
      </c>
      <c r="D501" s="13" t="s">
        <v>912</v>
      </c>
      <c r="E501" s="1">
        <v>0.93384182826250905</v>
      </c>
      <c r="F501" s="1">
        <v>2.9793041428901401</v>
      </c>
      <c r="G501">
        <f>VLOOKUP(C501,'[1]phenotypes-895'!$A$2:$G$896,7,FALSE)</f>
        <v>65</v>
      </c>
      <c r="H501" s="15">
        <v>50</v>
      </c>
    </row>
    <row r="502" spans="1:8" x14ac:dyDescent="0.2">
      <c r="A502">
        <v>722</v>
      </c>
      <c r="B502">
        <v>35</v>
      </c>
      <c r="C502" t="s">
        <v>721</v>
      </c>
      <c r="D502" s="13" t="s">
        <v>913</v>
      </c>
      <c r="E502" s="1">
        <v>0.94905228733062597</v>
      </c>
      <c r="F502" s="1">
        <v>1.32038516251083</v>
      </c>
      <c r="G502">
        <f>VLOOKUP(C502,'[1]phenotypes-895'!$A$2:$G$896,7,FALSE)</f>
        <v>77</v>
      </c>
      <c r="H502" s="15">
        <v>50</v>
      </c>
    </row>
    <row r="503" spans="1:8" x14ac:dyDescent="0.2">
      <c r="A503">
        <v>762</v>
      </c>
      <c r="B503">
        <v>44</v>
      </c>
      <c r="C503" t="s">
        <v>761</v>
      </c>
      <c r="D503" s="13" t="s">
        <v>912</v>
      </c>
      <c r="E503" s="1">
        <v>0.97191250428488696</v>
      </c>
      <c r="F503" s="1">
        <v>3.4625274586285602</v>
      </c>
      <c r="G503">
        <f>VLOOKUP(C503,'[1]phenotypes-895'!$A$2:$G$896,7,FALSE)</f>
        <v>68</v>
      </c>
      <c r="H503" s="15">
        <v>50</v>
      </c>
    </row>
    <row r="504" spans="1:8" x14ac:dyDescent="0.2">
      <c r="A504">
        <v>491</v>
      </c>
      <c r="B504">
        <v>46</v>
      </c>
      <c r="C504" t="s">
        <v>490</v>
      </c>
      <c r="D504" s="13" t="s">
        <v>912</v>
      </c>
      <c r="E504" s="1">
        <v>0.97583064186992896</v>
      </c>
      <c r="F504" s="1">
        <v>3.5536571610096099</v>
      </c>
      <c r="G504">
        <f>VLOOKUP(C504,'[1]phenotypes-895'!$A$2:$G$896,7,FALSE)</f>
        <v>80</v>
      </c>
      <c r="H504" s="15">
        <v>50</v>
      </c>
    </row>
    <row r="505" spans="1:8" x14ac:dyDescent="0.2">
      <c r="A505">
        <v>792</v>
      </c>
      <c r="B505">
        <v>34</v>
      </c>
      <c r="C505" t="s">
        <v>791</v>
      </c>
      <c r="D505" s="13" t="s">
        <v>913</v>
      </c>
      <c r="E505" s="1">
        <v>0.99005271977001097</v>
      </c>
      <c r="F505" s="1">
        <v>1.7477612805540299</v>
      </c>
      <c r="G505">
        <f>VLOOKUP(C505,'[1]phenotypes-895'!$A$2:$G$896,7,FALSE)</f>
        <v>98</v>
      </c>
      <c r="H505" s="15">
        <v>50</v>
      </c>
    </row>
    <row r="506" spans="1:8" x14ac:dyDescent="0.2">
      <c r="A506">
        <v>167</v>
      </c>
      <c r="B506">
        <v>38</v>
      </c>
      <c r="C506" t="s">
        <v>166</v>
      </c>
      <c r="D506" s="13" t="s">
        <v>913</v>
      </c>
      <c r="E506" s="1">
        <v>1.00324633586797</v>
      </c>
      <c r="F506" s="1">
        <v>1.1340533770133301</v>
      </c>
      <c r="G506">
        <f>VLOOKUP(C506,'[1]phenotypes-895'!$A$2:$G$896,7,FALSE)</f>
        <v>86</v>
      </c>
      <c r="H506" s="15">
        <v>50</v>
      </c>
    </row>
    <row r="507" spans="1:8" x14ac:dyDescent="0.2">
      <c r="A507">
        <v>526</v>
      </c>
      <c r="B507">
        <v>30</v>
      </c>
      <c r="C507" t="s">
        <v>525</v>
      </c>
      <c r="D507" s="13" t="s">
        <v>913</v>
      </c>
      <c r="E507" s="1">
        <v>1.01428011372379</v>
      </c>
      <c r="F507" s="1">
        <v>-0.155468468972148</v>
      </c>
      <c r="G507">
        <f>VLOOKUP(C507,'[1]phenotypes-895'!$A$2:$G$896,7,FALSE)</f>
        <v>98</v>
      </c>
      <c r="H507" s="15">
        <v>50</v>
      </c>
    </row>
    <row r="508" spans="1:8" x14ac:dyDescent="0.2">
      <c r="A508">
        <v>421</v>
      </c>
      <c r="B508">
        <v>42</v>
      </c>
      <c r="C508" t="s">
        <v>420</v>
      </c>
      <c r="D508" s="13" t="s">
        <v>912</v>
      </c>
      <c r="E508" s="1">
        <v>1.01706662229444</v>
      </c>
      <c r="F508" s="1">
        <v>2.4366155254940298</v>
      </c>
      <c r="G508">
        <f>VLOOKUP(C508,'[1]phenotypes-895'!$A$2:$G$896,7,FALSE)</f>
        <v>98</v>
      </c>
      <c r="H508" s="15">
        <v>50</v>
      </c>
    </row>
    <row r="509" spans="1:8" x14ac:dyDescent="0.2">
      <c r="A509">
        <v>90</v>
      </c>
      <c r="B509">
        <v>48</v>
      </c>
      <c r="C509" t="s">
        <v>89</v>
      </c>
      <c r="D509" s="13" t="s">
        <v>912</v>
      </c>
      <c r="E509" s="1">
        <v>1.01903137146818</v>
      </c>
      <c r="F509" s="1">
        <v>2.8886146414928602</v>
      </c>
      <c r="G509">
        <f>VLOOKUP(C509,'[1]phenotypes-895'!$A$2:$G$896,7,FALSE)</f>
        <v>98</v>
      </c>
      <c r="H509" s="15">
        <v>50</v>
      </c>
    </row>
    <row r="510" spans="1:8" x14ac:dyDescent="0.2">
      <c r="A510">
        <v>740</v>
      </c>
      <c r="B510">
        <v>38</v>
      </c>
      <c r="C510" t="s">
        <v>739</v>
      </c>
      <c r="D510" s="13" t="s">
        <v>913</v>
      </c>
      <c r="E510" s="1">
        <v>1.0565002876088201</v>
      </c>
      <c r="F510" s="1">
        <v>1.15971560580254</v>
      </c>
      <c r="G510">
        <f>VLOOKUP(C510,'[1]phenotypes-895'!$A$2:$G$896,7,FALSE)</f>
        <v>98</v>
      </c>
      <c r="H510" s="15">
        <v>50</v>
      </c>
    </row>
    <row r="511" spans="1:8" x14ac:dyDescent="0.2">
      <c r="A511">
        <v>751</v>
      </c>
      <c r="B511">
        <v>25</v>
      </c>
      <c r="C511" t="s">
        <v>750</v>
      </c>
      <c r="D511" s="13" t="s">
        <v>913</v>
      </c>
      <c r="E511" s="1">
        <v>1.07210554680029</v>
      </c>
      <c r="F511" s="1">
        <v>0.18359954810781001</v>
      </c>
      <c r="G511">
        <f>VLOOKUP(C511,'[1]phenotypes-895'!$A$2:$G$896,7,FALSE)</f>
        <v>98</v>
      </c>
      <c r="H511" s="15">
        <v>50</v>
      </c>
    </row>
    <row r="512" spans="1:8" x14ac:dyDescent="0.2">
      <c r="A512">
        <v>242</v>
      </c>
      <c r="B512">
        <v>12</v>
      </c>
      <c r="C512" t="s">
        <v>241</v>
      </c>
      <c r="D512" s="12" t="s">
        <v>912</v>
      </c>
      <c r="E512" s="1">
        <v>1.1004915909478501</v>
      </c>
      <c r="F512" s="1">
        <v>2.66162559736755</v>
      </c>
      <c r="G512">
        <f>VLOOKUP(C512,'[1]phenotypes-895'!$A$2:$G$896,7,FALSE)</f>
        <v>69</v>
      </c>
      <c r="H512" s="15">
        <v>50</v>
      </c>
    </row>
    <row r="513" spans="1:8" x14ac:dyDescent="0.2">
      <c r="A513">
        <v>615</v>
      </c>
      <c r="B513">
        <v>35</v>
      </c>
      <c r="C513" t="s">
        <v>614</v>
      </c>
      <c r="D513" s="13" t="s">
        <v>913</v>
      </c>
      <c r="E513" s="1">
        <v>1.1188095786074299</v>
      </c>
      <c r="F513" s="1">
        <v>3.2840894155397402</v>
      </c>
      <c r="G513">
        <f>VLOOKUP(C513,'[1]phenotypes-895'!$A$2:$G$896,7,FALSE)</f>
        <v>98</v>
      </c>
      <c r="H513" s="15">
        <v>50</v>
      </c>
    </row>
    <row r="514" spans="1:8" x14ac:dyDescent="0.2">
      <c r="A514">
        <v>436</v>
      </c>
      <c r="B514">
        <v>41</v>
      </c>
      <c r="C514" t="s">
        <v>435</v>
      </c>
      <c r="D514" s="13" t="s">
        <v>912</v>
      </c>
      <c r="E514" s="1">
        <v>1.11952179074268</v>
      </c>
      <c r="F514" s="1">
        <v>1.0749524787390099</v>
      </c>
      <c r="G514">
        <f>VLOOKUP(C514,'[1]phenotypes-895'!$A$2:$G$896,7,FALSE)</f>
        <v>98</v>
      </c>
      <c r="H514" s="15">
        <v>50</v>
      </c>
    </row>
    <row r="515" spans="1:8" x14ac:dyDescent="0.2">
      <c r="A515">
        <v>844</v>
      </c>
      <c r="B515">
        <v>27</v>
      </c>
      <c r="C515" t="s">
        <v>843</v>
      </c>
      <c r="D515" s="13" t="s">
        <v>913</v>
      </c>
      <c r="E515" s="1">
        <v>1.12153696279121</v>
      </c>
      <c r="F515" s="1">
        <v>0.20138932489098099</v>
      </c>
      <c r="G515">
        <f>VLOOKUP(C515,'[1]phenotypes-895'!$A$2:$G$896,7,FALSE)</f>
        <v>84</v>
      </c>
      <c r="H515" s="15">
        <v>50</v>
      </c>
    </row>
    <row r="516" spans="1:8" x14ac:dyDescent="0.2">
      <c r="A516">
        <v>796</v>
      </c>
      <c r="B516">
        <v>31</v>
      </c>
      <c r="C516" t="s">
        <v>795</v>
      </c>
      <c r="D516" s="13" t="s">
        <v>913</v>
      </c>
      <c r="E516" s="1">
        <v>1.1244739412060001</v>
      </c>
      <c r="F516" s="1">
        <v>0.87098188485841699</v>
      </c>
      <c r="G516">
        <f>VLOOKUP(C516,'[1]phenotypes-895'!$A$2:$G$896,7,FALSE)</f>
        <v>98</v>
      </c>
      <c r="H516" s="15">
        <v>50</v>
      </c>
    </row>
    <row r="517" spans="1:8" x14ac:dyDescent="0.2">
      <c r="A517">
        <v>881</v>
      </c>
      <c r="B517">
        <v>31</v>
      </c>
      <c r="C517" t="s">
        <v>880</v>
      </c>
      <c r="D517" s="13" t="s">
        <v>913</v>
      </c>
      <c r="E517" s="1">
        <v>1.1438788825964601</v>
      </c>
      <c r="F517" s="1">
        <v>-0.256794980235453</v>
      </c>
      <c r="G517">
        <f>VLOOKUP(C517,'[1]phenotypes-895'!$A$2:$G$896,7,FALSE)</f>
        <v>63</v>
      </c>
      <c r="H517" s="15">
        <v>50</v>
      </c>
    </row>
    <row r="518" spans="1:8" x14ac:dyDescent="0.2">
      <c r="A518">
        <v>171</v>
      </c>
      <c r="B518">
        <v>53</v>
      </c>
      <c r="C518" t="s">
        <v>170</v>
      </c>
      <c r="D518" s="13" t="s">
        <v>912</v>
      </c>
      <c r="E518" s="1">
        <v>1.1457132465589901</v>
      </c>
      <c r="F518" s="1">
        <v>2.9624984989956</v>
      </c>
      <c r="G518">
        <f>VLOOKUP(C518,'[1]phenotypes-895'!$A$2:$G$896,7,FALSE)</f>
        <v>84</v>
      </c>
      <c r="H518" s="15">
        <v>50</v>
      </c>
    </row>
    <row r="519" spans="1:8" x14ac:dyDescent="0.2">
      <c r="A519">
        <v>72</v>
      </c>
      <c r="B519">
        <v>33</v>
      </c>
      <c r="C519" t="s">
        <v>71</v>
      </c>
      <c r="D519" s="13" t="s">
        <v>913</v>
      </c>
      <c r="E519" s="1">
        <v>1.16798754634839</v>
      </c>
      <c r="F519" s="1">
        <v>1.5379828438913601</v>
      </c>
      <c r="G519">
        <f>VLOOKUP(C519,'[1]phenotypes-895'!$A$2:$G$896,7,FALSE)</f>
        <v>86</v>
      </c>
      <c r="H519" s="15">
        <v>50</v>
      </c>
    </row>
    <row r="520" spans="1:8" x14ac:dyDescent="0.2">
      <c r="A520">
        <v>42</v>
      </c>
      <c r="B520">
        <v>23</v>
      </c>
      <c r="C520" t="s">
        <v>41</v>
      </c>
      <c r="D520" s="13" t="s">
        <v>913</v>
      </c>
      <c r="E520" s="1">
        <v>1.1748889000129701</v>
      </c>
      <c r="F520" s="1">
        <v>0.49256847786123098</v>
      </c>
      <c r="G520">
        <f>VLOOKUP(C520,'[1]phenotypes-895'!$A$2:$G$896,7,FALSE)</f>
        <v>56</v>
      </c>
      <c r="H520" s="15">
        <v>50</v>
      </c>
    </row>
    <row r="521" spans="1:8" x14ac:dyDescent="0.2">
      <c r="A521">
        <v>111</v>
      </c>
      <c r="B521">
        <v>1</v>
      </c>
      <c r="C521" t="s">
        <v>110</v>
      </c>
      <c r="D521" s="12" t="s">
        <v>913</v>
      </c>
      <c r="E521" s="1">
        <v>1.17600718114458</v>
      </c>
      <c r="F521" s="1">
        <v>-0.12156393404563599</v>
      </c>
      <c r="G521">
        <f>VLOOKUP(C521,'[1]phenotypes-895'!$A$2:$G$896,7,FALSE)</f>
        <v>98</v>
      </c>
      <c r="H521" s="15">
        <v>50</v>
      </c>
    </row>
    <row r="522" spans="1:8" x14ac:dyDescent="0.2">
      <c r="A522">
        <v>101</v>
      </c>
      <c r="B522">
        <v>12</v>
      </c>
      <c r="C522" t="s">
        <v>100</v>
      </c>
      <c r="D522" s="12" t="s">
        <v>912</v>
      </c>
      <c r="E522" s="1">
        <v>1.17886887552064</v>
      </c>
      <c r="F522" s="1">
        <v>1.9810489073590201</v>
      </c>
      <c r="G522">
        <f>VLOOKUP(C522,'[1]phenotypes-895'!$A$2:$G$896,7,FALSE)</f>
        <v>98</v>
      </c>
      <c r="H522" s="15">
        <v>50</v>
      </c>
    </row>
    <row r="523" spans="1:8" x14ac:dyDescent="0.2">
      <c r="A523">
        <v>786</v>
      </c>
      <c r="B523">
        <v>31</v>
      </c>
      <c r="C523" t="s">
        <v>785</v>
      </c>
      <c r="D523" s="13" t="s">
        <v>913</v>
      </c>
      <c r="E523" s="1">
        <v>1.17891525865696</v>
      </c>
      <c r="F523" s="1">
        <v>-0.46979562365272098</v>
      </c>
      <c r="G523">
        <f>VLOOKUP(C523,'[1]phenotypes-895'!$A$2:$G$896,7,FALSE)</f>
        <v>98</v>
      </c>
      <c r="H523" s="15">
        <v>50</v>
      </c>
    </row>
    <row r="524" spans="1:8" x14ac:dyDescent="0.2">
      <c r="A524">
        <v>452</v>
      </c>
      <c r="B524">
        <v>42</v>
      </c>
      <c r="C524" t="s">
        <v>451</v>
      </c>
      <c r="D524" s="13" t="s">
        <v>912</v>
      </c>
      <c r="E524" s="1">
        <v>1.1836751091556501</v>
      </c>
      <c r="F524" s="1">
        <v>0.43582175546523999</v>
      </c>
      <c r="G524">
        <f>VLOOKUP(C524,'[1]phenotypes-895'!$A$2:$G$896,7,FALSE)</f>
        <v>88</v>
      </c>
      <c r="H524" s="15">
        <v>50</v>
      </c>
    </row>
    <row r="525" spans="1:8" x14ac:dyDescent="0.2">
      <c r="A525">
        <v>528</v>
      </c>
      <c r="B525">
        <v>49</v>
      </c>
      <c r="C525" t="s">
        <v>527</v>
      </c>
      <c r="D525" s="13" t="s">
        <v>912</v>
      </c>
      <c r="E525" s="1">
        <v>1.1845489042742301</v>
      </c>
      <c r="F525" s="1">
        <v>3.5902727512180501</v>
      </c>
      <c r="G525">
        <f>VLOOKUP(C525,'[1]phenotypes-895'!$A$2:$G$896,7,FALSE)</f>
        <v>78</v>
      </c>
      <c r="H525" s="15">
        <v>50</v>
      </c>
    </row>
    <row r="526" spans="1:8" x14ac:dyDescent="0.2">
      <c r="A526">
        <v>872</v>
      </c>
      <c r="B526">
        <v>21</v>
      </c>
      <c r="C526" t="s">
        <v>871</v>
      </c>
      <c r="D526" s="13" t="s">
        <v>913</v>
      </c>
      <c r="E526" s="1">
        <v>1.18811760238113</v>
      </c>
      <c r="F526" s="1">
        <v>0.47804611641368799</v>
      </c>
      <c r="G526">
        <f>VLOOKUP(C526,'[1]phenotypes-895'!$A$2:$G$896,7,FALSE)</f>
        <v>67</v>
      </c>
      <c r="H526" s="15">
        <v>50</v>
      </c>
    </row>
    <row r="527" spans="1:8" x14ac:dyDescent="0.2">
      <c r="A527">
        <v>424</v>
      </c>
      <c r="B527">
        <v>29</v>
      </c>
      <c r="C527" t="s">
        <v>423</v>
      </c>
      <c r="D527" s="13" t="s">
        <v>913</v>
      </c>
      <c r="E527" s="1">
        <v>1.19055925047803</v>
      </c>
      <c r="F527" s="1">
        <v>0.431436826786738</v>
      </c>
      <c r="G527">
        <f>VLOOKUP(C527,'[1]phenotypes-895'!$A$2:$G$896,7,FALSE)</f>
        <v>98</v>
      </c>
      <c r="H527" s="15">
        <v>50</v>
      </c>
    </row>
    <row r="528" spans="1:8" x14ac:dyDescent="0.2">
      <c r="A528">
        <v>820</v>
      </c>
      <c r="B528">
        <v>49</v>
      </c>
      <c r="C528" t="s">
        <v>819</v>
      </c>
      <c r="D528" s="13" t="s">
        <v>912</v>
      </c>
      <c r="E528" s="1">
        <v>1.2014078133327499</v>
      </c>
      <c r="F528" s="1">
        <v>2.7803209684116701</v>
      </c>
      <c r="G528">
        <f>VLOOKUP(C528,'[1]phenotypes-895'!$A$2:$G$896,7,FALSE)</f>
        <v>65</v>
      </c>
      <c r="H528" s="15">
        <v>50</v>
      </c>
    </row>
    <row r="529" spans="1:8" x14ac:dyDescent="0.2">
      <c r="A529">
        <v>559</v>
      </c>
      <c r="B529">
        <v>26</v>
      </c>
      <c r="C529" t="s">
        <v>558</v>
      </c>
      <c r="D529" s="13" t="s">
        <v>913</v>
      </c>
      <c r="E529" s="1">
        <v>1.2143389415350301</v>
      </c>
      <c r="F529" s="1">
        <v>2.2836169043650099</v>
      </c>
      <c r="G529">
        <f>VLOOKUP(C529,'[1]phenotypes-895'!$A$2:$G$896,7,FALSE)</f>
        <v>98</v>
      </c>
      <c r="H529" s="15">
        <v>50</v>
      </c>
    </row>
    <row r="530" spans="1:8" x14ac:dyDescent="0.2">
      <c r="A530">
        <v>805</v>
      </c>
      <c r="B530">
        <v>48</v>
      </c>
      <c r="C530" t="s">
        <v>804</v>
      </c>
      <c r="D530" s="13" t="s">
        <v>912</v>
      </c>
      <c r="E530" s="1">
        <v>1.2198591147069999</v>
      </c>
      <c r="F530" s="1">
        <v>3.1447947685225</v>
      </c>
      <c r="G530">
        <f>VLOOKUP(C530,'[1]phenotypes-895'!$A$2:$G$896,7,FALSE)</f>
        <v>98</v>
      </c>
      <c r="H530" s="15">
        <v>50</v>
      </c>
    </row>
    <row r="531" spans="1:8" x14ac:dyDescent="0.2">
      <c r="A531">
        <v>123</v>
      </c>
      <c r="B531">
        <v>32</v>
      </c>
      <c r="C531" t="s">
        <v>122</v>
      </c>
      <c r="D531" s="13" t="s">
        <v>913</v>
      </c>
      <c r="E531" s="1">
        <v>1.24496238140132</v>
      </c>
      <c r="F531" s="1">
        <v>0.143700117082316</v>
      </c>
      <c r="G531">
        <f>VLOOKUP(C531,'[1]phenotypes-895'!$A$2:$G$896,7,FALSE)</f>
        <v>56</v>
      </c>
      <c r="H531" s="15">
        <v>50</v>
      </c>
    </row>
    <row r="532" spans="1:8" x14ac:dyDescent="0.2">
      <c r="A532">
        <v>858</v>
      </c>
      <c r="B532">
        <v>32</v>
      </c>
      <c r="C532" t="s">
        <v>857</v>
      </c>
      <c r="D532" s="13" t="s">
        <v>913</v>
      </c>
      <c r="E532" s="1">
        <v>1.25092646304569</v>
      </c>
      <c r="F532" s="1">
        <v>0.98233546718481901</v>
      </c>
      <c r="G532">
        <f>VLOOKUP(C532,'[1]phenotypes-895'!$A$2:$G$896,7,FALSE)</f>
        <v>49</v>
      </c>
      <c r="H532" s="15">
        <v>50</v>
      </c>
    </row>
    <row r="533" spans="1:8" x14ac:dyDescent="0.2">
      <c r="A533">
        <v>657</v>
      </c>
      <c r="B533">
        <v>36</v>
      </c>
      <c r="C533" t="s">
        <v>656</v>
      </c>
      <c r="D533" s="13" t="s">
        <v>913</v>
      </c>
      <c r="E533" s="1">
        <v>1.2616917877918199</v>
      </c>
      <c r="F533" s="1">
        <v>0.37332882275467899</v>
      </c>
      <c r="G533">
        <f>VLOOKUP(C533,'[1]phenotypes-895'!$A$2:$G$896,7,FALSE)</f>
        <v>68</v>
      </c>
      <c r="H533" s="15">
        <v>50</v>
      </c>
    </row>
    <row r="534" spans="1:8" x14ac:dyDescent="0.2">
      <c r="A534">
        <v>732</v>
      </c>
      <c r="B534">
        <v>30</v>
      </c>
      <c r="C534" t="s">
        <v>731</v>
      </c>
      <c r="D534" s="13" t="s">
        <v>913</v>
      </c>
      <c r="E534" s="1">
        <v>1.2644045147020599</v>
      </c>
      <c r="F534" s="1">
        <v>2.1263926066963701</v>
      </c>
      <c r="G534">
        <f>VLOOKUP(C534,'[1]phenotypes-895'!$A$2:$G$896,7,FALSE)</f>
        <v>85</v>
      </c>
      <c r="H534" s="15">
        <v>50</v>
      </c>
    </row>
    <row r="535" spans="1:8" x14ac:dyDescent="0.2">
      <c r="A535">
        <v>818</v>
      </c>
      <c r="B535">
        <v>48</v>
      </c>
      <c r="C535" t="s">
        <v>817</v>
      </c>
      <c r="D535" s="13" t="s">
        <v>912</v>
      </c>
      <c r="E535" s="1">
        <v>1.27670976712224</v>
      </c>
      <c r="F535" s="1">
        <v>3.0130186691182201</v>
      </c>
      <c r="G535">
        <f>VLOOKUP(C535,'[1]phenotypes-895'!$A$2:$G$896,7,FALSE)</f>
        <v>63</v>
      </c>
      <c r="H535" s="15">
        <v>50</v>
      </c>
    </row>
    <row r="536" spans="1:8" x14ac:dyDescent="0.2">
      <c r="A536">
        <v>463</v>
      </c>
      <c r="B536">
        <v>44</v>
      </c>
      <c r="C536" t="s">
        <v>462</v>
      </c>
      <c r="D536" s="13" t="s">
        <v>912</v>
      </c>
      <c r="E536" s="1">
        <v>1.3237786754683101</v>
      </c>
      <c r="F536" s="1">
        <v>0.117640843422271</v>
      </c>
      <c r="G536">
        <f>VLOOKUP(C536,'[1]phenotypes-895'!$A$2:$G$896,7,FALSE)</f>
        <v>52</v>
      </c>
      <c r="H536" s="15">
        <v>50</v>
      </c>
    </row>
    <row r="537" spans="1:8" x14ac:dyDescent="0.2">
      <c r="A537">
        <v>344</v>
      </c>
      <c r="B537">
        <v>50</v>
      </c>
      <c r="C537" t="s">
        <v>343</v>
      </c>
      <c r="D537" s="13" t="s">
        <v>912</v>
      </c>
      <c r="E537" s="1">
        <v>1.3351841152911601</v>
      </c>
      <c r="F537" s="1">
        <v>4.11820452266661</v>
      </c>
      <c r="G537">
        <f>VLOOKUP(C537,'[1]phenotypes-895'!$A$2:$G$896,7,FALSE)</f>
        <v>98</v>
      </c>
      <c r="H537" s="15">
        <v>40</v>
      </c>
    </row>
    <row r="538" spans="1:8" x14ac:dyDescent="0.2">
      <c r="A538">
        <v>655</v>
      </c>
      <c r="B538">
        <v>27</v>
      </c>
      <c r="C538" t="s">
        <v>654</v>
      </c>
      <c r="D538" s="13" t="s">
        <v>913</v>
      </c>
      <c r="E538" s="1">
        <v>1.3625531473921999</v>
      </c>
      <c r="F538" s="1">
        <v>2.1327545218156598</v>
      </c>
      <c r="G538">
        <f>VLOOKUP(C538,'[1]phenotypes-895'!$A$2:$G$896,7,FALSE)</f>
        <v>73</v>
      </c>
      <c r="H538" s="15">
        <v>40</v>
      </c>
    </row>
    <row r="539" spans="1:8" x14ac:dyDescent="0.2">
      <c r="A539">
        <v>755</v>
      </c>
      <c r="B539">
        <v>50</v>
      </c>
      <c r="C539" t="s">
        <v>754</v>
      </c>
      <c r="D539" s="13" t="s">
        <v>912</v>
      </c>
      <c r="E539" s="1">
        <v>1.3746703099947499</v>
      </c>
      <c r="F539" s="1">
        <v>2.8257950516652999</v>
      </c>
      <c r="G539">
        <f>VLOOKUP(C539,'[1]phenotypes-895'!$A$2:$G$896,7,FALSE)</f>
        <v>98</v>
      </c>
      <c r="H539" s="15">
        <v>40</v>
      </c>
    </row>
    <row r="540" spans="1:8" x14ac:dyDescent="0.2">
      <c r="A540">
        <v>562</v>
      </c>
      <c r="B540">
        <v>39</v>
      </c>
      <c r="C540" t="s">
        <v>561</v>
      </c>
      <c r="D540" s="13" t="s">
        <v>913</v>
      </c>
      <c r="E540" s="1">
        <v>1.38453649771368</v>
      </c>
      <c r="F540" s="1">
        <v>2.7589137926348699</v>
      </c>
      <c r="G540">
        <f>VLOOKUP(C540,'[1]phenotypes-895'!$A$2:$G$896,7,FALSE)</f>
        <v>98</v>
      </c>
      <c r="H540" s="15">
        <v>40</v>
      </c>
    </row>
    <row r="541" spans="1:8" x14ac:dyDescent="0.2">
      <c r="A541">
        <v>857</v>
      </c>
      <c r="B541">
        <v>35</v>
      </c>
      <c r="C541" t="s">
        <v>856</v>
      </c>
      <c r="D541" s="13" t="s">
        <v>913</v>
      </c>
      <c r="E541" s="1">
        <v>1.3880729000930301</v>
      </c>
      <c r="F541" s="1">
        <v>1.5542678858160699</v>
      </c>
      <c r="G541">
        <f>VLOOKUP(C541,'[1]phenotypes-895'!$A$2:$G$896,7,FALSE)</f>
        <v>71</v>
      </c>
      <c r="H541" s="15">
        <v>40</v>
      </c>
    </row>
    <row r="542" spans="1:8" x14ac:dyDescent="0.2">
      <c r="A542">
        <v>522</v>
      </c>
      <c r="B542">
        <v>3</v>
      </c>
      <c r="C542" t="s">
        <v>521</v>
      </c>
      <c r="D542" s="12" t="s">
        <v>913</v>
      </c>
      <c r="E542" s="1">
        <v>1.4003134197198399</v>
      </c>
      <c r="F542" s="1">
        <v>-1.3811308462845</v>
      </c>
      <c r="G542">
        <f>VLOOKUP(C542,'[1]phenotypes-895'!$A$2:$G$896,7,FALSE)</f>
        <v>98</v>
      </c>
      <c r="H542" s="15">
        <v>40</v>
      </c>
    </row>
    <row r="543" spans="1:8" x14ac:dyDescent="0.2">
      <c r="A543">
        <v>77</v>
      </c>
      <c r="B543">
        <v>9</v>
      </c>
      <c r="C543" t="s">
        <v>76</v>
      </c>
      <c r="D543" s="12" t="s">
        <v>912</v>
      </c>
      <c r="E543" s="1">
        <v>1.4010577662217401</v>
      </c>
      <c r="F543" s="1">
        <v>2.2408820271434702</v>
      </c>
      <c r="G543">
        <f>VLOOKUP(C543,'[1]phenotypes-895'!$A$2:$G$896,7,FALSE)</f>
        <v>98</v>
      </c>
      <c r="H543" s="15">
        <v>40</v>
      </c>
    </row>
    <row r="544" spans="1:8" x14ac:dyDescent="0.2">
      <c r="A544">
        <v>638</v>
      </c>
      <c r="B544">
        <v>22</v>
      </c>
      <c r="C544" t="s">
        <v>637</v>
      </c>
      <c r="D544" s="13" t="s">
        <v>913</v>
      </c>
      <c r="E544" s="1">
        <v>1.41014025872058</v>
      </c>
      <c r="F544" s="1">
        <v>1.7304312731867</v>
      </c>
      <c r="G544">
        <f>VLOOKUP(C544,'[1]phenotypes-895'!$A$2:$G$896,7,FALSE)</f>
        <v>60</v>
      </c>
      <c r="H544" s="15">
        <v>40</v>
      </c>
    </row>
    <row r="545" spans="1:8" x14ac:dyDescent="0.2">
      <c r="A545">
        <v>860</v>
      </c>
      <c r="B545">
        <v>36</v>
      </c>
      <c r="C545" t="s">
        <v>859</v>
      </c>
      <c r="D545" s="13" t="s">
        <v>913</v>
      </c>
      <c r="E545" s="1">
        <v>1.4132954625445999</v>
      </c>
      <c r="F545" s="1">
        <v>2.4100769067224999</v>
      </c>
      <c r="G545">
        <f>VLOOKUP(C545,'[1]phenotypes-895'!$A$2:$G$896,7,FALSE)</f>
        <v>63</v>
      </c>
      <c r="H545" s="15">
        <v>40</v>
      </c>
    </row>
    <row r="546" spans="1:8" x14ac:dyDescent="0.2">
      <c r="A546">
        <v>853</v>
      </c>
      <c r="B546">
        <v>30</v>
      </c>
      <c r="C546" t="s">
        <v>852</v>
      </c>
      <c r="D546" s="13" t="s">
        <v>913</v>
      </c>
      <c r="E546" s="1">
        <v>1.4168973617440299</v>
      </c>
      <c r="F546" s="1">
        <v>0.18523372741942001</v>
      </c>
      <c r="G546">
        <f>VLOOKUP(C546,'[1]phenotypes-895'!$A$2:$G$896,7,FALSE)</f>
        <v>98</v>
      </c>
      <c r="H546" s="15">
        <v>40</v>
      </c>
    </row>
    <row r="547" spans="1:8" x14ac:dyDescent="0.2">
      <c r="A547">
        <v>420</v>
      </c>
      <c r="B547">
        <v>53</v>
      </c>
      <c r="C547" t="s">
        <v>419</v>
      </c>
      <c r="D547" s="13" t="s">
        <v>912</v>
      </c>
      <c r="E547" s="1">
        <v>1.4831853823433301</v>
      </c>
      <c r="F547" s="1">
        <v>-0.385457529675863</v>
      </c>
      <c r="G547">
        <f>VLOOKUP(C547,'[1]phenotypes-895'!$A$2:$G$896,7,FALSE)</f>
        <v>98</v>
      </c>
      <c r="H547" s="15">
        <v>40</v>
      </c>
    </row>
    <row r="548" spans="1:8" x14ac:dyDescent="0.2">
      <c r="A548">
        <v>255</v>
      </c>
      <c r="B548">
        <v>50</v>
      </c>
      <c r="C548" t="s">
        <v>254</v>
      </c>
      <c r="D548" s="13" t="s">
        <v>912</v>
      </c>
      <c r="E548" s="1">
        <v>1.48726725347162</v>
      </c>
      <c r="F548" s="1">
        <v>3.9526544555612202</v>
      </c>
      <c r="G548">
        <f>VLOOKUP(C548,'[1]phenotypes-895'!$A$2:$G$896,7,FALSE)</f>
        <v>79</v>
      </c>
      <c r="H548" s="15">
        <v>40</v>
      </c>
    </row>
    <row r="549" spans="1:8" x14ac:dyDescent="0.2">
      <c r="A549">
        <v>589</v>
      </c>
      <c r="B549">
        <v>50</v>
      </c>
      <c r="C549" t="s">
        <v>588</v>
      </c>
      <c r="D549" s="13" t="s">
        <v>912</v>
      </c>
      <c r="E549" s="1">
        <v>1.51445636246926</v>
      </c>
      <c r="F549" s="1">
        <v>4.5448455828238901</v>
      </c>
      <c r="G549">
        <f>VLOOKUP(C549,'[1]phenotypes-895'!$A$2:$G$896,7,FALSE)</f>
        <v>70</v>
      </c>
      <c r="H549" s="15">
        <v>40</v>
      </c>
    </row>
    <row r="550" spans="1:8" x14ac:dyDescent="0.2">
      <c r="A550">
        <v>367</v>
      </c>
      <c r="B550">
        <v>44</v>
      </c>
      <c r="C550" t="s">
        <v>366</v>
      </c>
      <c r="D550" s="13" t="s">
        <v>912</v>
      </c>
      <c r="E550" s="1">
        <v>1.5225822673067899</v>
      </c>
      <c r="F550" s="1">
        <v>1.4336802091630201</v>
      </c>
      <c r="G550">
        <f>VLOOKUP(C550,'[1]phenotypes-895'!$A$2:$G$896,7,FALSE)</f>
        <v>69</v>
      </c>
      <c r="H550" s="15">
        <v>40</v>
      </c>
    </row>
    <row r="551" spans="1:8" x14ac:dyDescent="0.2">
      <c r="A551">
        <v>456</v>
      </c>
      <c r="B551">
        <v>53</v>
      </c>
      <c r="C551" t="s">
        <v>455</v>
      </c>
      <c r="D551" s="13" t="s">
        <v>912</v>
      </c>
      <c r="E551" s="1">
        <v>1.52335665660538</v>
      </c>
      <c r="F551" s="1">
        <v>4.0474303280938404</v>
      </c>
      <c r="G551">
        <f>VLOOKUP(C551,'[1]phenotypes-895'!$A$2:$G$896,7,FALSE)</f>
        <v>98</v>
      </c>
      <c r="H551" s="15">
        <v>40</v>
      </c>
    </row>
    <row r="552" spans="1:8" x14ac:dyDescent="0.2">
      <c r="A552">
        <v>861</v>
      </c>
      <c r="B552">
        <v>51</v>
      </c>
      <c r="C552" t="s">
        <v>860</v>
      </c>
      <c r="D552" s="13" t="s">
        <v>912</v>
      </c>
      <c r="E552" s="1">
        <v>1.5234596459325001</v>
      </c>
      <c r="F552" s="1">
        <v>4.3817965408132196</v>
      </c>
      <c r="G552">
        <f>VLOOKUP(C552,'[1]phenotypes-895'!$A$2:$G$896,7,FALSE)</f>
        <v>98</v>
      </c>
      <c r="H552" s="15">
        <v>40</v>
      </c>
    </row>
    <row r="553" spans="1:8" x14ac:dyDescent="0.2">
      <c r="A553">
        <v>555</v>
      </c>
      <c r="B553">
        <v>39</v>
      </c>
      <c r="C553" t="s">
        <v>554</v>
      </c>
      <c r="D553" s="13" t="s">
        <v>913</v>
      </c>
      <c r="E553" s="1">
        <v>1.5261674691167799</v>
      </c>
      <c r="F553" s="1">
        <v>2.7594194007610202</v>
      </c>
      <c r="G553">
        <f>VLOOKUP(C553,'[1]phenotypes-895'!$A$2:$G$896,7,FALSE)</f>
        <v>98</v>
      </c>
      <c r="H553" s="15">
        <v>40</v>
      </c>
    </row>
    <row r="554" spans="1:8" x14ac:dyDescent="0.2">
      <c r="A554">
        <v>261</v>
      </c>
      <c r="B554">
        <v>42</v>
      </c>
      <c r="C554" t="s">
        <v>260</v>
      </c>
      <c r="D554" s="13" t="s">
        <v>912</v>
      </c>
      <c r="E554" s="1">
        <v>1.5337632343313601</v>
      </c>
      <c r="F554" s="1">
        <v>4.16268036774024</v>
      </c>
      <c r="G554">
        <f>VLOOKUP(C554,'[1]phenotypes-895'!$A$2:$G$896,7,FALSE)</f>
        <v>71</v>
      </c>
      <c r="H554" s="15">
        <v>40</v>
      </c>
    </row>
    <row r="555" spans="1:8" x14ac:dyDescent="0.2">
      <c r="A555">
        <v>814</v>
      </c>
      <c r="B555">
        <v>50</v>
      </c>
      <c r="C555" t="s">
        <v>813</v>
      </c>
      <c r="D555" s="13" t="s">
        <v>912</v>
      </c>
      <c r="E555" s="1">
        <v>1.5355540555075999</v>
      </c>
      <c r="F555" s="1">
        <v>4.1554979244961601</v>
      </c>
      <c r="G555">
        <f>VLOOKUP(C555,'[1]phenotypes-895'!$A$2:$G$896,7,FALSE)</f>
        <v>79</v>
      </c>
      <c r="H555" s="15">
        <v>40</v>
      </c>
    </row>
    <row r="556" spans="1:8" x14ac:dyDescent="0.2">
      <c r="A556">
        <v>87</v>
      </c>
      <c r="B556">
        <v>7</v>
      </c>
      <c r="C556" t="s">
        <v>86</v>
      </c>
      <c r="D556" s="12" t="s">
        <v>913</v>
      </c>
      <c r="E556" s="1">
        <v>1.53805076772053</v>
      </c>
      <c r="F556" s="1">
        <v>0.32835773725915701</v>
      </c>
      <c r="G556">
        <f>VLOOKUP(C556,'[1]phenotypes-895'!$A$2:$G$896,7,FALSE)</f>
        <v>53</v>
      </c>
      <c r="H556" s="15">
        <v>40</v>
      </c>
    </row>
    <row r="557" spans="1:8" x14ac:dyDescent="0.2">
      <c r="A557">
        <v>705</v>
      </c>
      <c r="B557">
        <v>25</v>
      </c>
      <c r="C557" t="s">
        <v>704</v>
      </c>
      <c r="D557" s="13" t="s">
        <v>913</v>
      </c>
      <c r="E557" s="1">
        <v>1.5414641981038899</v>
      </c>
      <c r="F557" s="1">
        <v>2.7482247756065599</v>
      </c>
      <c r="G557">
        <f>VLOOKUP(C557,'[1]phenotypes-895'!$A$2:$G$896,7,FALSE)</f>
        <v>63</v>
      </c>
      <c r="H557" s="15">
        <v>40</v>
      </c>
    </row>
    <row r="558" spans="1:8" x14ac:dyDescent="0.2">
      <c r="A558">
        <v>639</v>
      </c>
      <c r="B558">
        <v>34</v>
      </c>
      <c r="C558" t="s">
        <v>638</v>
      </c>
      <c r="D558" s="13" t="s">
        <v>913</v>
      </c>
      <c r="E558" s="1">
        <v>1.54218993071834</v>
      </c>
      <c r="F558" s="1">
        <v>1.34110684709838</v>
      </c>
      <c r="G558">
        <f>VLOOKUP(C558,'[1]phenotypes-895'!$A$2:$G$896,7,FALSE)</f>
        <v>75</v>
      </c>
      <c r="H558" s="15">
        <v>40</v>
      </c>
    </row>
    <row r="559" spans="1:8" x14ac:dyDescent="0.2">
      <c r="A559">
        <v>396</v>
      </c>
      <c r="B559">
        <v>49</v>
      </c>
      <c r="C559" t="s">
        <v>395</v>
      </c>
      <c r="D559" s="13" t="s">
        <v>912</v>
      </c>
      <c r="E559" s="1">
        <v>1.5440644436782101</v>
      </c>
      <c r="F559" s="1">
        <v>2.3285802275418099</v>
      </c>
      <c r="G559">
        <f>VLOOKUP(C559,'[1]phenotypes-895'!$A$2:$G$896,7,FALSE)</f>
        <v>60</v>
      </c>
      <c r="H559" s="15">
        <v>40</v>
      </c>
    </row>
    <row r="560" spans="1:8" x14ac:dyDescent="0.2">
      <c r="A560">
        <v>369</v>
      </c>
      <c r="B560">
        <v>42</v>
      </c>
      <c r="C560" t="s">
        <v>368</v>
      </c>
      <c r="D560" s="13" t="s">
        <v>912</v>
      </c>
      <c r="E560" s="1">
        <v>1.54585047434543</v>
      </c>
      <c r="F560" s="1">
        <v>0.57126376651840205</v>
      </c>
      <c r="G560">
        <f>VLOOKUP(C560,'[1]phenotypes-895'!$A$2:$G$896,7,FALSE)</f>
        <v>70</v>
      </c>
      <c r="H560" s="15">
        <v>40</v>
      </c>
    </row>
    <row r="561" spans="1:8" x14ac:dyDescent="0.2">
      <c r="A561">
        <v>642</v>
      </c>
      <c r="B561">
        <v>29</v>
      </c>
      <c r="C561" t="s">
        <v>641</v>
      </c>
      <c r="D561" s="13" t="s">
        <v>913</v>
      </c>
      <c r="E561" s="1">
        <v>1.55362062831314</v>
      </c>
      <c r="F561" s="1">
        <v>0.336502742224768</v>
      </c>
      <c r="G561">
        <f>VLOOKUP(C561,'[1]phenotypes-895'!$A$2:$G$896,7,FALSE)</f>
        <v>70</v>
      </c>
      <c r="H561" s="15">
        <v>40</v>
      </c>
    </row>
    <row r="562" spans="1:8" x14ac:dyDescent="0.2">
      <c r="A562">
        <v>769</v>
      </c>
      <c r="B562">
        <v>45</v>
      </c>
      <c r="C562" t="s">
        <v>768</v>
      </c>
      <c r="D562" s="13" t="s">
        <v>912</v>
      </c>
      <c r="E562" s="1">
        <v>1.55804953393447</v>
      </c>
      <c r="F562" s="1">
        <v>3.7306367146553199</v>
      </c>
      <c r="G562">
        <f>VLOOKUP(C562,'[1]phenotypes-895'!$A$2:$G$896,7,FALSE)</f>
        <v>47</v>
      </c>
      <c r="H562" s="15">
        <v>40</v>
      </c>
    </row>
    <row r="563" spans="1:8" x14ac:dyDescent="0.2">
      <c r="A563">
        <v>717</v>
      </c>
      <c r="B563">
        <v>49</v>
      </c>
      <c r="C563" t="s">
        <v>716</v>
      </c>
      <c r="D563" s="13" t="s">
        <v>912</v>
      </c>
      <c r="E563" s="1">
        <v>1.5937606631510799</v>
      </c>
      <c r="F563" s="1">
        <v>3.39873620816679</v>
      </c>
      <c r="G563">
        <f>VLOOKUP(C563,'[1]phenotypes-895'!$A$2:$G$896,7,FALSE)</f>
        <v>63</v>
      </c>
      <c r="H563" s="15">
        <v>40</v>
      </c>
    </row>
    <row r="564" spans="1:8" x14ac:dyDescent="0.2">
      <c r="A564">
        <v>616</v>
      </c>
      <c r="B564">
        <v>40</v>
      </c>
      <c r="C564" t="s">
        <v>615</v>
      </c>
      <c r="D564" s="13" t="s">
        <v>913</v>
      </c>
      <c r="E564" s="1">
        <v>1.6025360710607699</v>
      </c>
      <c r="F564" s="1">
        <v>1.4317793965690699</v>
      </c>
      <c r="G564">
        <f>VLOOKUP(C564,'[1]phenotypes-895'!$A$2:$G$896,7,FALSE)</f>
        <v>77</v>
      </c>
      <c r="H564" s="15">
        <v>40</v>
      </c>
    </row>
    <row r="565" spans="1:8" x14ac:dyDescent="0.2">
      <c r="A565">
        <v>46</v>
      </c>
      <c r="B565">
        <v>48</v>
      </c>
      <c r="C565" t="s">
        <v>45</v>
      </c>
      <c r="D565" s="13" t="s">
        <v>912</v>
      </c>
      <c r="E565" s="1">
        <v>1.60810187688995</v>
      </c>
      <c r="F565" s="1">
        <v>3.33769675021178</v>
      </c>
      <c r="G565">
        <f>VLOOKUP(C565,'[1]phenotypes-895'!$A$2:$G$896,7,FALSE)</f>
        <v>67</v>
      </c>
      <c r="H565" s="15">
        <v>40</v>
      </c>
    </row>
    <row r="566" spans="1:8" x14ac:dyDescent="0.2">
      <c r="A566">
        <v>478</v>
      </c>
      <c r="B566">
        <v>42</v>
      </c>
      <c r="C566" t="s">
        <v>477</v>
      </c>
      <c r="D566" s="13" t="s">
        <v>912</v>
      </c>
      <c r="E566" s="1">
        <v>1.61334542322887</v>
      </c>
      <c r="F566" s="1">
        <v>1.45580894534311</v>
      </c>
      <c r="G566">
        <f>VLOOKUP(C566,'[1]phenotypes-895'!$A$2:$G$896,7,FALSE)</f>
        <v>66</v>
      </c>
      <c r="H566" s="15">
        <v>40</v>
      </c>
    </row>
    <row r="567" spans="1:8" x14ac:dyDescent="0.2">
      <c r="A567">
        <v>702</v>
      </c>
      <c r="B567">
        <v>24</v>
      </c>
      <c r="C567" t="s">
        <v>701</v>
      </c>
      <c r="D567" s="13" t="s">
        <v>913</v>
      </c>
      <c r="E567" s="1">
        <v>1.61449379408662</v>
      </c>
      <c r="F567" s="1">
        <v>2.99084648898554</v>
      </c>
      <c r="G567">
        <f>VLOOKUP(C567,'[1]phenotypes-895'!$A$2:$G$896,7,FALSE)</f>
        <v>98</v>
      </c>
      <c r="H567" s="15">
        <v>40</v>
      </c>
    </row>
    <row r="568" spans="1:8" x14ac:dyDescent="0.2">
      <c r="A568">
        <v>410</v>
      </c>
      <c r="B568">
        <v>50</v>
      </c>
      <c r="C568" t="s">
        <v>409</v>
      </c>
      <c r="D568" s="13" t="s">
        <v>912</v>
      </c>
      <c r="E568" s="1">
        <v>1.63908336795512</v>
      </c>
      <c r="F568" s="1">
        <v>1.5111961110934899</v>
      </c>
      <c r="G568">
        <f>VLOOKUP(C568,'[1]phenotypes-895'!$A$2:$G$896,7,FALSE)</f>
        <v>54</v>
      </c>
      <c r="H568" s="15">
        <v>40</v>
      </c>
    </row>
    <row r="569" spans="1:8" x14ac:dyDescent="0.2">
      <c r="A569">
        <v>400</v>
      </c>
      <c r="B569">
        <v>50</v>
      </c>
      <c r="C569" t="s">
        <v>399</v>
      </c>
      <c r="D569" s="13" t="s">
        <v>912</v>
      </c>
      <c r="E569" s="1">
        <v>1.6508017294983901</v>
      </c>
      <c r="F569" s="1">
        <v>1.35363733387015</v>
      </c>
      <c r="G569">
        <f>VLOOKUP(C569,'[1]phenotypes-895'!$A$2:$G$896,7,FALSE)</f>
        <v>98</v>
      </c>
      <c r="H569" s="15">
        <v>40</v>
      </c>
    </row>
    <row r="570" spans="1:8" x14ac:dyDescent="0.2">
      <c r="A570">
        <v>874</v>
      </c>
      <c r="B570">
        <v>50</v>
      </c>
      <c r="C570" t="s">
        <v>873</v>
      </c>
      <c r="D570" s="13" t="s">
        <v>912</v>
      </c>
      <c r="E570" s="1">
        <v>1.6817684247342299</v>
      </c>
      <c r="F570" s="1">
        <v>3.5815874084609098</v>
      </c>
      <c r="G570">
        <f>VLOOKUP(C570,'[1]phenotypes-895'!$A$2:$G$896,7,FALSE)</f>
        <v>80</v>
      </c>
      <c r="H570" s="15">
        <v>40</v>
      </c>
    </row>
    <row r="571" spans="1:8" x14ac:dyDescent="0.2">
      <c r="A571">
        <v>843</v>
      </c>
      <c r="B571">
        <v>35</v>
      </c>
      <c r="C571" t="s">
        <v>842</v>
      </c>
      <c r="D571" s="13" t="s">
        <v>913</v>
      </c>
      <c r="E571" s="1">
        <v>1.68809580160839</v>
      </c>
      <c r="F571" s="1">
        <v>-3.68872523171924E-2</v>
      </c>
      <c r="G571">
        <f>VLOOKUP(C571,'[1]phenotypes-895'!$A$2:$G$896,7,FALSE)</f>
        <v>98</v>
      </c>
      <c r="H571" s="15">
        <v>40</v>
      </c>
    </row>
    <row r="572" spans="1:8" x14ac:dyDescent="0.2">
      <c r="A572">
        <v>771</v>
      </c>
      <c r="B572">
        <v>21</v>
      </c>
      <c r="C572" t="s">
        <v>770</v>
      </c>
      <c r="D572" s="13" t="s">
        <v>913</v>
      </c>
      <c r="E572" s="1">
        <v>1.7054820304362099</v>
      </c>
      <c r="F572" s="1">
        <v>0.712858032803519</v>
      </c>
      <c r="G572">
        <f>VLOOKUP(C572,'[1]phenotypes-895'!$A$2:$G$896,7,FALSE)</f>
        <v>98</v>
      </c>
      <c r="H572" s="15">
        <v>40</v>
      </c>
    </row>
    <row r="573" spans="1:8" x14ac:dyDescent="0.2">
      <c r="A573">
        <v>265</v>
      </c>
      <c r="B573">
        <v>47</v>
      </c>
      <c r="C573" t="s">
        <v>264</v>
      </c>
      <c r="D573" s="13" t="s">
        <v>912</v>
      </c>
      <c r="E573" s="1">
        <v>1.7114441153228701</v>
      </c>
      <c r="F573" s="1">
        <v>3.4510099986220499</v>
      </c>
      <c r="G573">
        <f>VLOOKUP(C573,'[1]phenotypes-895'!$A$2:$G$896,7,FALSE)</f>
        <v>98</v>
      </c>
      <c r="H573" s="15">
        <v>40</v>
      </c>
    </row>
    <row r="574" spans="1:8" x14ac:dyDescent="0.2">
      <c r="A574">
        <v>752</v>
      </c>
      <c r="B574">
        <v>32</v>
      </c>
      <c r="C574" t="s">
        <v>751</v>
      </c>
      <c r="D574" s="13" t="s">
        <v>913</v>
      </c>
      <c r="E574" s="1">
        <v>1.71305691460565</v>
      </c>
      <c r="F574" s="1">
        <v>0.94554839333212004</v>
      </c>
      <c r="G574">
        <f>VLOOKUP(C574,'[1]phenotypes-895'!$A$2:$G$896,7,FALSE)</f>
        <v>63</v>
      </c>
      <c r="H574" s="15">
        <v>40</v>
      </c>
    </row>
    <row r="575" spans="1:8" x14ac:dyDescent="0.2">
      <c r="A575">
        <v>476</v>
      </c>
      <c r="B575">
        <v>45</v>
      </c>
      <c r="C575" t="s">
        <v>475</v>
      </c>
      <c r="D575" s="13" t="s">
        <v>912</v>
      </c>
      <c r="E575" s="1">
        <v>1.71753606025446</v>
      </c>
      <c r="F575" s="1">
        <v>0.33690243657395003</v>
      </c>
      <c r="G575">
        <f>VLOOKUP(C575,'[1]phenotypes-895'!$A$2:$G$896,7,FALSE)</f>
        <v>86</v>
      </c>
      <c r="H575" s="15">
        <v>40</v>
      </c>
    </row>
    <row r="576" spans="1:8" x14ac:dyDescent="0.2">
      <c r="A576">
        <v>505</v>
      </c>
      <c r="B576">
        <v>44</v>
      </c>
      <c r="C576" t="s">
        <v>504</v>
      </c>
      <c r="D576" s="13" t="s">
        <v>912</v>
      </c>
      <c r="E576" s="1">
        <v>1.7215802115200001</v>
      </c>
      <c r="F576" s="1">
        <v>-1.1682398804470501E-2</v>
      </c>
      <c r="G576">
        <f>VLOOKUP(C576,'[1]phenotypes-895'!$A$2:$G$896,7,FALSE)</f>
        <v>98</v>
      </c>
      <c r="H576" s="15">
        <v>40</v>
      </c>
    </row>
    <row r="577" spans="1:8" x14ac:dyDescent="0.2">
      <c r="A577">
        <v>693</v>
      </c>
      <c r="B577">
        <v>47</v>
      </c>
      <c r="C577" t="s">
        <v>692</v>
      </c>
      <c r="D577" s="13" t="s">
        <v>912</v>
      </c>
      <c r="E577" s="1">
        <v>1.7261149481412099</v>
      </c>
      <c r="F577" s="1">
        <v>3.4203989203263401</v>
      </c>
      <c r="G577">
        <f>VLOOKUP(C577,'[1]phenotypes-895'!$A$2:$G$896,7,FALSE)</f>
        <v>78</v>
      </c>
      <c r="H577" s="15">
        <v>40</v>
      </c>
    </row>
    <row r="578" spans="1:8" x14ac:dyDescent="0.2">
      <c r="A578">
        <v>689</v>
      </c>
      <c r="B578">
        <v>50</v>
      </c>
      <c r="C578" t="s">
        <v>688</v>
      </c>
      <c r="D578" s="13" t="s">
        <v>912</v>
      </c>
      <c r="E578" s="1">
        <v>1.73007409378625</v>
      </c>
      <c r="F578" s="1">
        <v>4.3860513393269303</v>
      </c>
      <c r="G578">
        <f>VLOOKUP(C578,'[1]phenotypes-895'!$A$2:$G$896,7,FALSE)</f>
        <v>59</v>
      </c>
      <c r="H578" s="15">
        <v>40</v>
      </c>
    </row>
    <row r="579" spans="1:8" x14ac:dyDescent="0.2">
      <c r="A579">
        <v>699</v>
      </c>
      <c r="B579">
        <v>25</v>
      </c>
      <c r="C579" t="s">
        <v>698</v>
      </c>
      <c r="D579" s="13" t="s">
        <v>913</v>
      </c>
      <c r="E579" s="1">
        <v>1.7391767004342999</v>
      </c>
      <c r="F579" s="1">
        <v>0.299209475203286</v>
      </c>
      <c r="G579">
        <f>VLOOKUP(C579,'[1]phenotypes-895'!$A$2:$G$896,7,FALSE)</f>
        <v>76</v>
      </c>
      <c r="H579" s="15">
        <v>40</v>
      </c>
    </row>
    <row r="580" spans="1:8" x14ac:dyDescent="0.2">
      <c r="A580">
        <v>27</v>
      </c>
      <c r="B580">
        <v>12</v>
      </c>
      <c r="C580" t="s">
        <v>26</v>
      </c>
      <c r="D580" s="12" t="s">
        <v>912</v>
      </c>
      <c r="E580" s="1">
        <v>1.7400191270799199</v>
      </c>
      <c r="F580" s="1">
        <v>3.5843891451609902</v>
      </c>
      <c r="G580">
        <f>VLOOKUP(C580,'[1]phenotypes-895'!$A$2:$G$896,7,FALSE)</f>
        <v>98</v>
      </c>
      <c r="H580" s="15">
        <v>40</v>
      </c>
    </row>
    <row r="581" spans="1:8" x14ac:dyDescent="0.2">
      <c r="A581">
        <v>630</v>
      </c>
      <c r="B581">
        <v>36</v>
      </c>
      <c r="C581" t="s">
        <v>629</v>
      </c>
      <c r="D581" s="13" t="s">
        <v>913</v>
      </c>
      <c r="E581" s="1">
        <v>1.7466657714648399</v>
      </c>
      <c r="F581" s="1">
        <v>2.10741230187628</v>
      </c>
      <c r="G581">
        <f>VLOOKUP(C581,'[1]phenotypes-895'!$A$2:$G$896,7,FALSE)</f>
        <v>65</v>
      </c>
      <c r="H581" s="15">
        <v>40</v>
      </c>
    </row>
    <row r="582" spans="1:8" x14ac:dyDescent="0.2">
      <c r="A582">
        <v>225</v>
      </c>
      <c r="B582">
        <v>6</v>
      </c>
      <c r="C582" t="s">
        <v>224</v>
      </c>
      <c r="D582" s="12" t="s">
        <v>913</v>
      </c>
      <c r="E582" s="1">
        <v>1.7592126804055299</v>
      </c>
      <c r="F582" s="1">
        <v>-0.62850650035663902</v>
      </c>
      <c r="G582">
        <f>VLOOKUP(C582,'[1]phenotypes-895'!$A$2:$G$896,7,FALSE)</f>
        <v>64</v>
      </c>
      <c r="H582" s="15">
        <v>40</v>
      </c>
    </row>
    <row r="583" spans="1:8" x14ac:dyDescent="0.2">
      <c r="A583">
        <v>381</v>
      </c>
      <c r="B583">
        <v>50</v>
      </c>
      <c r="C583" t="s">
        <v>380</v>
      </c>
      <c r="D583" s="13" t="s">
        <v>912</v>
      </c>
      <c r="E583" s="1">
        <v>1.7702187982737501</v>
      </c>
      <c r="F583" s="1">
        <v>1.16291348748391</v>
      </c>
      <c r="G583">
        <f>VLOOKUP(C583,'[1]phenotypes-895'!$A$2:$G$896,7,FALSE)</f>
        <v>98</v>
      </c>
      <c r="H583" s="15">
        <v>40</v>
      </c>
    </row>
    <row r="584" spans="1:8" x14ac:dyDescent="0.2">
      <c r="A584">
        <v>683</v>
      </c>
      <c r="B584">
        <v>42</v>
      </c>
      <c r="C584" t="s">
        <v>682</v>
      </c>
      <c r="D584" s="13" t="s">
        <v>912</v>
      </c>
      <c r="E584" s="1">
        <v>1.77734131820049</v>
      </c>
      <c r="F584" s="1">
        <v>3.58388523373472</v>
      </c>
      <c r="G584">
        <f>VLOOKUP(C584,'[1]phenotypes-895'!$A$2:$G$896,7,FALSE)</f>
        <v>58</v>
      </c>
      <c r="H584" s="15">
        <v>40</v>
      </c>
    </row>
    <row r="585" spans="1:8" x14ac:dyDescent="0.2">
      <c r="A585">
        <v>611</v>
      </c>
      <c r="B585">
        <v>21</v>
      </c>
      <c r="C585" t="s">
        <v>610</v>
      </c>
      <c r="D585" s="13" t="s">
        <v>913</v>
      </c>
      <c r="E585" s="1">
        <v>1.77873547622087</v>
      </c>
      <c r="F585" s="1">
        <v>1.8598357742207099</v>
      </c>
      <c r="G585">
        <f>VLOOKUP(C585,'[1]phenotypes-895'!$A$2:$G$896,7,FALSE)</f>
        <v>98</v>
      </c>
      <c r="H585" s="15">
        <v>40</v>
      </c>
    </row>
    <row r="586" spans="1:8" x14ac:dyDescent="0.2">
      <c r="A586">
        <v>571</v>
      </c>
      <c r="B586">
        <v>41</v>
      </c>
      <c r="C586" t="s">
        <v>570</v>
      </c>
      <c r="D586" s="13" t="s">
        <v>912</v>
      </c>
      <c r="E586" s="1">
        <v>1.78883282969052</v>
      </c>
      <c r="F586" s="1">
        <v>4.5872765566026796</v>
      </c>
      <c r="G586">
        <f>VLOOKUP(C586,'[1]phenotypes-895'!$A$2:$G$896,7,FALSE)</f>
        <v>98</v>
      </c>
      <c r="H586" s="15">
        <v>40</v>
      </c>
    </row>
    <row r="587" spans="1:8" x14ac:dyDescent="0.2">
      <c r="A587">
        <v>720</v>
      </c>
      <c r="B587">
        <v>39</v>
      </c>
      <c r="C587" t="s">
        <v>719</v>
      </c>
      <c r="D587" s="13" t="s">
        <v>913</v>
      </c>
      <c r="E587" s="1">
        <v>1.80674549702573</v>
      </c>
      <c r="F587" s="1">
        <v>0.631928469442119</v>
      </c>
      <c r="G587">
        <f>VLOOKUP(C587,'[1]phenotypes-895'!$A$2:$G$896,7,FALSE)</f>
        <v>51</v>
      </c>
      <c r="H587" s="15">
        <v>40</v>
      </c>
    </row>
    <row r="588" spans="1:8" x14ac:dyDescent="0.2">
      <c r="A588">
        <v>803</v>
      </c>
      <c r="B588">
        <v>48</v>
      </c>
      <c r="C588" t="s">
        <v>802</v>
      </c>
      <c r="D588" s="13" t="s">
        <v>912</v>
      </c>
      <c r="E588" s="1">
        <v>1.8206916568754099</v>
      </c>
      <c r="F588" s="1">
        <v>3.7269135512755902</v>
      </c>
      <c r="G588">
        <f>VLOOKUP(C588,'[1]phenotypes-895'!$A$2:$G$896,7,FALSE)</f>
        <v>98</v>
      </c>
      <c r="H588" s="15">
        <v>40</v>
      </c>
    </row>
    <row r="589" spans="1:8" x14ac:dyDescent="0.2">
      <c r="A589">
        <v>104</v>
      </c>
      <c r="B589">
        <v>7</v>
      </c>
      <c r="C589" t="s">
        <v>103</v>
      </c>
      <c r="D589" s="12" t="s">
        <v>913</v>
      </c>
      <c r="E589" s="1">
        <v>1.8283629443579299</v>
      </c>
      <c r="F589" s="1">
        <v>0.54390845755656803</v>
      </c>
      <c r="G589">
        <f>VLOOKUP(C589,'[1]phenotypes-895'!$A$2:$G$896,7,FALSE)</f>
        <v>56</v>
      </c>
      <c r="H589" s="15">
        <v>40</v>
      </c>
    </row>
    <row r="590" spans="1:8" x14ac:dyDescent="0.2">
      <c r="A590">
        <v>876</v>
      </c>
      <c r="B590">
        <v>38</v>
      </c>
      <c r="C590" t="s">
        <v>875</v>
      </c>
      <c r="D590" s="13" t="s">
        <v>913</v>
      </c>
      <c r="E590" s="1">
        <v>1.8415856930138399</v>
      </c>
      <c r="F590" s="1">
        <v>2.1226508982607202</v>
      </c>
      <c r="G590">
        <f>VLOOKUP(C590,'[1]phenotypes-895'!$A$2:$G$896,7,FALSE)</f>
        <v>65</v>
      </c>
      <c r="H590" s="15">
        <v>40</v>
      </c>
    </row>
    <row r="591" spans="1:8" x14ac:dyDescent="0.2">
      <c r="A591">
        <v>507</v>
      </c>
      <c r="B591">
        <v>46</v>
      </c>
      <c r="C591" t="s">
        <v>506</v>
      </c>
      <c r="D591" s="13" t="s">
        <v>912</v>
      </c>
      <c r="E591" s="1">
        <v>1.85385045795458</v>
      </c>
      <c r="F591" s="1">
        <v>3.18660662793588</v>
      </c>
      <c r="G591">
        <f>VLOOKUP(C591,'[1]phenotypes-895'!$A$2:$G$896,7,FALSE)</f>
        <v>75</v>
      </c>
      <c r="H591" s="15">
        <v>40</v>
      </c>
    </row>
    <row r="592" spans="1:8" x14ac:dyDescent="0.2">
      <c r="A592">
        <v>594</v>
      </c>
      <c r="B592">
        <v>25</v>
      </c>
      <c r="C592" t="s">
        <v>593</v>
      </c>
      <c r="D592" s="13" t="s">
        <v>913</v>
      </c>
      <c r="E592" s="1">
        <v>1.85983252464529</v>
      </c>
      <c r="F592" s="1">
        <v>0.46673933785166499</v>
      </c>
      <c r="G592">
        <f>VLOOKUP(C592,'[1]phenotypes-895'!$A$2:$G$896,7,FALSE)</f>
        <v>51</v>
      </c>
      <c r="H592" s="15">
        <v>40</v>
      </c>
    </row>
    <row r="593" spans="1:8" x14ac:dyDescent="0.2">
      <c r="A593">
        <v>833</v>
      </c>
      <c r="B593">
        <v>25</v>
      </c>
      <c r="C593" t="s">
        <v>832</v>
      </c>
      <c r="D593" s="13" t="s">
        <v>913</v>
      </c>
      <c r="E593" s="1">
        <v>1.8759022749377099</v>
      </c>
      <c r="F593" s="1">
        <v>0.63737329064150905</v>
      </c>
      <c r="G593">
        <f>VLOOKUP(C593,'[1]phenotypes-895'!$A$2:$G$896,7,FALSE)</f>
        <v>98</v>
      </c>
      <c r="H593" s="15">
        <v>40</v>
      </c>
    </row>
    <row r="594" spans="1:8" x14ac:dyDescent="0.2">
      <c r="A594">
        <v>118</v>
      </c>
      <c r="B594">
        <v>12</v>
      </c>
      <c r="C594" t="s">
        <v>117</v>
      </c>
      <c r="D594" s="12" t="s">
        <v>912</v>
      </c>
      <c r="E594" s="1">
        <v>1.8976006241851</v>
      </c>
      <c r="F594" s="1">
        <v>3.64284665094904</v>
      </c>
      <c r="G594">
        <f>VLOOKUP(C594,'[1]phenotypes-895'!$A$2:$G$896,7,FALSE)</f>
        <v>98</v>
      </c>
      <c r="H594" s="15">
        <v>40</v>
      </c>
    </row>
    <row r="595" spans="1:8" x14ac:dyDescent="0.2">
      <c r="A595">
        <v>354</v>
      </c>
      <c r="B595">
        <v>53</v>
      </c>
      <c r="C595" t="s">
        <v>353</v>
      </c>
      <c r="D595" s="13" t="s">
        <v>912</v>
      </c>
      <c r="E595" s="1">
        <v>1.9060658817665901</v>
      </c>
      <c r="F595" s="1">
        <v>3.9613469158484902</v>
      </c>
      <c r="G595">
        <f>VLOOKUP(C595,'[1]phenotypes-895'!$A$2:$G$896,7,FALSE)</f>
        <v>62</v>
      </c>
      <c r="H595" s="15">
        <v>40</v>
      </c>
    </row>
    <row r="596" spans="1:8" x14ac:dyDescent="0.2">
      <c r="A596">
        <v>849</v>
      </c>
      <c r="B596">
        <v>35</v>
      </c>
      <c r="C596" t="s">
        <v>848</v>
      </c>
      <c r="D596" s="13" t="s">
        <v>913</v>
      </c>
      <c r="E596" s="1">
        <v>1.91399174701174</v>
      </c>
      <c r="F596" s="1">
        <v>3.1817599136999002</v>
      </c>
      <c r="G596">
        <f>VLOOKUP(C596,'[1]phenotypes-895'!$A$2:$G$896,7,FALSE)</f>
        <v>98</v>
      </c>
      <c r="H596" s="15">
        <v>40</v>
      </c>
    </row>
    <row r="597" spans="1:8" x14ac:dyDescent="0.2">
      <c r="A597">
        <v>312</v>
      </c>
      <c r="B597">
        <v>22</v>
      </c>
      <c r="C597" t="s">
        <v>311</v>
      </c>
      <c r="D597" s="13" t="s">
        <v>913</v>
      </c>
      <c r="E597" s="1">
        <v>1.9299330726741599</v>
      </c>
      <c r="F597" s="1">
        <v>1.9996668153239301</v>
      </c>
      <c r="G597">
        <f>VLOOKUP(C597,'[1]phenotypes-895'!$A$2:$G$896,7,FALSE)</f>
        <v>61</v>
      </c>
      <c r="H597" s="15">
        <v>40</v>
      </c>
    </row>
    <row r="598" spans="1:8" x14ac:dyDescent="0.2">
      <c r="A598">
        <v>567</v>
      </c>
      <c r="B598">
        <v>35</v>
      </c>
      <c r="C598" t="s">
        <v>566</v>
      </c>
      <c r="D598" s="13" t="s">
        <v>913</v>
      </c>
      <c r="E598" s="1">
        <v>1.93374846029326</v>
      </c>
      <c r="F598" s="1">
        <v>4.41449767901294</v>
      </c>
      <c r="G598">
        <f>VLOOKUP(C598,'[1]phenotypes-895'!$A$2:$G$896,7,FALSE)</f>
        <v>98</v>
      </c>
      <c r="H598" s="15">
        <v>40</v>
      </c>
    </row>
    <row r="599" spans="1:8" x14ac:dyDescent="0.2">
      <c r="A599">
        <v>221</v>
      </c>
      <c r="B599">
        <v>11</v>
      </c>
      <c r="C599" t="s">
        <v>220</v>
      </c>
      <c r="D599" s="12" t="s">
        <v>912</v>
      </c>
      <c r="E599" s="1">
        <v>1.9391916597639101</v>
      </c>
      <c r="F599" s="1">
        <v>3.3694862663384599</v>
      </c>
      <c r="G599">
        <f>VLOOKUP(C599,'[1]phenotypes-895'!$A$2:$G$896,7,FALSE)</f>
        <v>98</v>
      </c>
      <c r="H599" s="15">
        <v>40</v>
      </c>
    </row>
    <row r="600" spans="1:8" x14ac:dyDescent="0.2">
      <c r="A600">
        <v>763</v>
      </c>
      <c r="B600">
        <v>49</v>
      </c>
      <c r="C600" t="s">
        <v>762</v>
      </c>
      <c r="D600" s="13" t="s">
        <v>912</v>
      </c>
      <c r="E600" s="1">
        <v>1.9483658048441099</v>
      </c>
      <c r="F600" s="1">
        <v>3.7889246400130898</v>
      </c>
      <c r="G600">
        <f>VLOOKUP(C600,'[1]phenotypes-895'!$A$2:$G$896,7,FALSE)</f>
        <v>71</v>
      </c>
      <c r="H600" s="15">
        <v>40</v>
      </c>
    </row>
    <row r="601" spans="1:8" x14ac:dyDescent="0.2">
      <c r="A601">
        <v>663</v>
      </c>
      <c r="B601">
        <v>42</v>
      </c>
      <c r="C601" t="s">
        <v>662</v>
      </c>
      <c r="D601" s="13" t="s">
        <v>912</v>
      </c>
      <c r="E601" s="1">
        <v>1.94842292172364</v>
      </c>
      <c r="F601" s="1">
        <v>4.1701195353703504</v>
      </c>
      <c r="G601">
        <f>VLOOKUP(C601,'[1]phenotypes-895'!$A$2:$G$896,7,FALSE)</f>
        <v>98</v>
      </c>
      <c r="H601" s="15">
        <v>40</v>
      </c>
    </row>
    <row r="602" spans="1:8" x14ac:dyDescent="0.2">
      <c r="A602">
        <v>891</v>
      </c>
      <c r="B602">
        <v>27</v>
      </c>
      <c r="C602" t="s">
        <v>890</v>
      </c>
      <c r="D602" s="13" t="s">
        <v>913</v>
      </c>
      <c r="E602" s="1">
        <v>1.95113237690414</v>
      </c>
      <c r="F602" s="1">
        <v>2.8760896585317899</v>
      </c>
      <c r="G602">
        <f>VLOOKUP(C602,'[1]phenotypes-895'!$A$2:$G$896,7,FALSE)</f>
        <v>98</v>
      </c>
      <c r="H602" s="15">
        <v>40</v>
      </c>
    </row>
    <row r="603" spans="1:8" x14ac:dyDescent="0.2">
      <c r="A603">
        <v>808</v>
      </c>
      <c r="B603">
        <v>49</v>
      </c>
      <c r="C603" t="s">
        <v>807</v>
      </c>
      <c r="D603" s="13" t="s">
        <v>912</v>
      </c>
      <c r="E603" s="1">
        <v>1.9656332927644</v>
      </c>
      <c r="F603" s="1">
        <v>3.7988908838844702</v>
      </c>
      <c r="G603">
        <f>VLOOKUP(C603,'[1]phenotypes-895'!$A$2:$G$896,7,FALSE)</f>
        <v>98</v>
      </c>
      <c r="H603" s="15">
        <v>40</v>
      </c>
    </row>
    <row r="604" spans="1:8" x14ac:dyDescent="0.2">
      <c r="A604">
        <v>648</v>
      </c>
      <c r="B604">
        <v>30</v>
      </c>
      <c r="C604" t="s">
        <v>647</v>
      </c>
      <c r="D604" s="13" t="s">
        <v>913</v>
      </c>
      <c r="E604" s="1">
        <v>1.9815997090592301</v>
      </c>
      <c r="F604" s="1">
        <v>-7.9085418168125601E-2</v>
      </c>
      <c r="G604">
        <f>VLOOKUP(C604,'[1]phenotypes-895'!$A$2:$G$896,7,FALSE)</f>
        <v>98</v>
      </c>
      <c r="H604" s="15">
        <v>40</v>
      </c>
    </row>
    <row r="605" spans="1:8" x14ac:dyDescent="0.2">
      <c r="A605">
        <v>383</v>
      </c>
      <c r="B605">
        <v>49</v>
      </c>
      <c r="C605" t="s">
        <v>382</v>
      </c>
      <c r="D605" s="13" t="s">
        <v>912</v>
      </c>
      <c r="E605" s="1">
        <v>1.99871117116812</v>
      </c>
      <c r="F605" s="1">
        <v>1.2108575575060401</v>
      </c>
      <c r="G605">
        <f>VLOOKUP(C605,'[1]phenotypes-895'!$A$2:$G$896,7,FALSE)</f>
        <v>57</v>
      </c>
      <c r="H605" s="15">
        <v>40</v>
      </c>
    </row>
    <row r="606" spans="1:8" x14ac:dyDescent="0.2">
      <c r="A606">
        <v>554</v>
      </c>
      <c r="B606">
        <v>33</v>
      </c>
      <c r="C606" t="s">
        <v>553</v>
      </c>
      <c r="D606" s="13" t="s">
        <v>913</v>
      </c>
      <c r="E606" s="1">
        <v>2.0372515924252701</v>
      </c>
      <c r="F606" s="1">
        <v>1.99663257935795</v>
      </c>
      <c r="G606">
        <f>VLOOKUP(C606,'[1]phenotypes-895'!$A$2:$G$896,7,FALSE)</f>
        <v>83</v>
      </c>
      <c r="H606" s="15">
        <v>40</v>
      </c>
    </row>
    <row r="607" spans="1:8" x14ac:dyDescent="0.2">
      <c r="A607">
        <v>672</v>
      </c>
      <c r="B607">
        <v>49</v>
      </c>
      <c r="C607" t="s">
        <v>671</v>
      </c>
      <c r="D607" s="13" t="s">
        <v>912</v>
      </c>
      <c r="E607" s="1">
        <v>2.0471683531638498</v>
      </c>
      <c r="F607" s="1">
        <v>4.0264801322807902</v>
      </c>
      <c r="G607">
        <f>VLOOKUP(C607,'[1]phenotypes-895'!$A$2:$G$896,7,FALSE)</f>
        <v>98</v>
      </c>
      <c r="H607" s="15">
        <v>40</v>
      </c>
    </row>
    <row r="608" spans="1:8" x14ac:dyDescent="0.2">
      <c r="A608">
        <v>572</v>
      </c>
      <c r="B608">
        <v>23</v>
      </c>
      <c r="C608" t="s">
        <v>571</v>
      </c>
      <c r="D608" s="13" t="s">
        <v>913</v>
      </c>
      <c r="E608" s="1">
        <v>2.0582427989144199</v>
      </c>
      <c r="F608" s="1">
        <v>1.9620952948264001</v>
      </c>
      <c r="G608">
        <f>VLOOKUP(C608,'[1]phenotypes-895'!$A$2:$G$896,7,FALSE)</f>
        <v>98</v>
      </c>
      <c r="H608" s="15">
        <v>40</v>
      </c>
    </row>
    <row r="609" spans="1:8" x14ac:dyDescent="0.2">
      <c r="A609">
        <v>715</v>
      </c>
      <c r="B609">
        <v>31</v>
      </c>
      <c r="C609" t="s">
        <v>714</v>
      </c>
      <c r="D609" s="13" t="s">
        <v>913</v>
      </c>
      <c r="E609" s="1">
        <v>2.0944137407697898</v>
      </c>
      <c r="F609" s="1">
        <v>1.61555220230829</v>
      </c>
      <c r="G609">
        <f>VLOOKUP(C609,'[1]phenotypes-895'!$A$2:$G$896,7,FALSE)</f>
        <v>98</v>
      </c>
      <c r="H609" s="15">
        <v>40</v>
      </c>
    </row>
    <row r="610" spans="1:8" x14ac:dyDescent="0.2">
      <c r="A610">
        <v>591</v>
      </c>
      <c r="B610">
        <v>42</v>
      </c>
      <c r="C610" t="s">
        <v>590</v>
      </c>
      <c r="D610" s="13" t="s">
        <v>912</v>
      </c>
      <c r="E610" s="1">
        <v>2.1001350106500198</v>
      </c>
      <c r="F610" s="1">
        <v>5.2421701361236703</v>
      </c>
      <c r="G610">
        <f>VLOOKUP(C610,'[1]phenotypes-895'!$A$2:$G$896,7,FALSE)</f>
        <v>98</v>
      </c>
      <c r="H610" s="15">
        <v>40</v>
      </c>
    </row>
    <row r="611" spans="1:8" x14ac:dyDescent="0.2">
      <c r="A611">
        <v>641</v>
      </c>
      <c r="B611">
        <v>21</v>
      </c>
      <c r="C611" t="s">
        <v>640</v>
      </c>
      <c r="D611" s="13" t="s">
        <v>913</v>
      </c>
      <c r="E611" s="1">
        <v>2.1171969351331001</v>
      </c>
      <c r="F611" s="1">
        <v>3.9808432481913698</v>
      </c>
      <c r="G611">
        <f>VLOOKUP(C611,'[1]phenotypes-895'!$A$2:$G$896,7,FALSE)</f>
        <v>98</v>
      </c>
      <c r="H611" s="15">
        <v>40</v>
      </c>
    </row>
    <row r="612" spans="1:8" x14ac:dyDescent="0.2">
      <c r="A612">
        <v>864</v>
      </c>
      <c r="B612">
        <v>50</v>
      </c>
      <c r="C612" t="s">
        <v>863</v>
      </c>
      <c r="D612" s="13" t="s">
        <v>912</v>
      </c>
      <c r="E612" s="1">
        <v>2.1175037882012102</v>
      </c>
      <c r="F612" s="1">
        <v>4.4812851665632403</v>
      </c>
      <c r="G612">
        <f>VLOOKUP(C612,'[1]phenotypes-895'!$A$2:$G$896,7,FALSE)</f>
        <v>77</v>
      </c>
      <c r="H612" s="15">
        <v>40</v>
      </c>
    </row>
    <row r="613" spans="1:8" x14ac:dyDescent="0.2">
      <c r="A613">
        <v>593</v>
      </c>
      <c r="B613">
        <v>45</v>
      </c>
      <c r="C613" t="s">
        <v>592</v>
      </c>
      <c r="D613" s="13" t="s">
        <v>912</v>
      </c>
      <c r="E613" s="1">
        <v>2.1255791499530501</v>
      </c>
      <c r="F613" s="1">
        <v>4.1292034318860296</v>
      </c>
      <c r="G613">
        <f>VLOOKUP(C613,'[1]phenotypes-895'!$A$2:$G$896,7,FALSE)</f>
        <v>81</v>
      </c>
      <c r="H613" s="15">
        <v>40</v>
      </c>
    </row>
    <row r="614" spans="1:8" x14ac:dyDescent="0.2">
      <c r="A614">
        <v>408</v>
      </c>
      <c r="B614">
        <v>49</v>
      </c>
      <c r="C614" t="s">
        <v>407</v>
      </c>
      <c r="D614" s="13" t="s">
        <v>912</v>
      </c>
      <c r="E614" s="1">
        <v>2.14680813230426</v>
      </c>
      <c r="F614" s="1">
        <v>2.4479825239569899</v>
      </c>
      <c r="G614">
        <f>VLOOKUP(C614,'[1]phenotypes-895'!$A$2:$G$896,7,FALSE)</f>
        <v>60</v>
      </c>
      <c r="H614" s="15">
        <v>40</v>
      </c>
    </row>
    <row r="615" spans="1:8" x14ac:dyDescent="0.2">
      <c r="A615">
        <v>604</v>
      </c>
      <c r="B615">
        <v>34</v>
      </c>
      <c r="C615" t="s">
        <v>603</v>
      </c>
      <c r="D615" s="13" t="s">
        <v>913</v>
      </c>
      <c r="E615" s="1">
        <v>2.1476093416317701</v>
      </c>
      <c r="F615" s="1">
        <v>3.3255745227436799</v>
      </c>
      <c r="G615">
        <f>VLOOKUP(C615,'[1]phenotypes-895'!$A$2:$G$896,7,FALSE)</f>
        <v>72</v>
      </c>
      <c r="H615" s="15">
        <v>40</v>
      </c>
    </row>
    <row r="616" spans="1:8" x14ac:dyDescent="0.2">
      <c r="A616">
        <v>350</v>
      </c>
      <c r="B616">
        <v>39</v>
      </c>
      <c r="C616" t="s">
        <v>349</v>
      </c>
      <c r="D616" s="13" t="s">
        <v>913</v>
      </c>
      <c r="E616" s="1">
        <v>2.1794292722834299</v>
      </c>
      <c r="F616" s="1">
        <v>1.6446982557666501</v>
      </c>
      <c r="G616">
        <f>VLOOKUP(C616,'[1]phenotypes-895'!$A$2:$G$896,7,FALSE)</f>
        <v>67</v>
      </c>
      <c r="H616" s="15">
        <v>40</v>
      </c>
    </row>
    <row r="617" spans="1:8" x14ac:dyDescent="0.2">
      <c r="A617">
        <v>703</v>
      </c>
      <c r="B617">
        <v>26</v>
      </c>
      <c r="C617" t="s">
        <v>702</v>
      </c>
      <c r="D617" s="13" t="s">
        <v>913</v>
      </c>
      <c r="E617" s="1">
        <v>2.2029560288397598</v>
      </c>
      <c r="F617" s="1">
        <v>3.2243223866078501</v>
      </c>
      <c r="G617">
        <f>VLOOKUP(C617,'[1]phenotypes-895'!$A$2:$G$896,7,FALSE)</f>
        <v>98</v>
      </c>
      <c r="H617" s="15">
        <v>40</v>
      </c>
    </row>
    <row r="618" spans="1:8" x14ac:dyDescent="0.2">
      <c r="A618">
        <v>128</v>
      </c>
      <c r="B618">
        <v>50</v>
      </c>
      <c r="C618" t="s">
        <v>127</v>
      </c>
      <c r="D618" s="13" t="s">
        <v>912</v>
      </c>
      <c r="E618" s="1">
        <v>2.2111111909053101</v>
      </c>
      <c r="F618" s="1">
        <v>4.6171986609358404</v>
      </c>
      <c r="G618">
        <f>VLOOKUP(C618,'[1]phenotypes-895'!$A$2:$G$896,7,FALSE)</f>
        <v>98</v>
      </c>
      <c r="H618" s="15">
        <v>40</v>
      </c>
    </row>
    <row r="619" spans="1:8" x14ac:dyDescent="0.2">
      <c r="A619">
        <v>646</v>
      </c>
      <c r="B619">
        <v>26</v>
      </c>
      <c r="C619" t="s">
        <v>645</v>
      </c>
      <c r="D619" s="13" t="s">
        <v>913</v>
      </c>
      <c r="E619" s="1">
        <v>2.2158620907873701</v>
      </c>
      <c r="F619" s="1">
        <v>3.26730769790408</v>
      </c>
      <c r="G619">
        <f>VLOOKUP(C619,'[1]phenotypes-895'!$A$2:$G$896,7,FALSE)</f>
        <v>88</v>
      </c>
      <c r="H619" s="15">
        <v>40</v>
      </c>
    </row>
    <row r="620" spans="1:8" x14ac:dyDescent="0.2">
      <c r="A620">
        <v>166</v>
      </c>
      <c r="B620">
        <v>6</v>
      </c>
      <c r="C620" t="s">
        <v>165</v>
      </c>
      <c r="D620" s="12" t="s">
        <v>913</v>
      </c>
      <c r="E620" s="1">
        <v>2.2296510301808499</v>
      </c>
      <c r="F620" s="1">
        <v>-8.4392837984636801E-2</v>
      </c>
      <c r="G620">
        <f>VLOOKUP(C620,'[1]phenotypes-895'!$A$2:$G$896,7,FALSE)</f>
        <v>57</v>
      </c>
      <c r="H620" s="15">
        <v>40</v>
      </c>
    </row>
    <row r="621" spans="1:8" x14ac:dyDescent="0.2">
      <c r="A621">
        <v>216</v>
      </c>
      <c r="B621">
        <v>44</v>
      </c>
      <c r="C621" t="s">
        <v>215</v>
      </c>
      <c r="D621" s="13" t="s">
        <v>912</v>
      </c>
      <c r="E621" s="1">
        <v>2.2468457349944502</v>
      </c>
      <c r="F621" s="1">
        <v>4.1905079532218803</v>
      </c>
      <c r="G621">
        <f>VLOOKUP(C621,'[1]phenotypes-895'!$A$2:$G$896,7,FALSE)</f>
        <v>62</v>
      </c>
      <c r="H621" s="15">
        <v>40</v>
      </c>
    </row>
    <row r="622" spans="1:8" x14ac:dyDescent="0.2">
      <c r="A622">
        <v>863</v>
      </c>
      <c r="B622">
        <v>31</v>
      </c>
      <c r="C622" t="s">
        <v>862</v>
      </c>
      <c r="D622" s="13" t="s">
        <v>913</v>
      </c>
      <c r="E622" s="1">
        <v>2.2755062750358799</v>
      </c>
      <c r="F622" s="1">
        <v>1.78622838353715</v>
      </c>
      <c r="G622">
        <f>VLOOKUP(C622,'[1]phenotypes-895'!$A$2:$G$896,7,FALSE)</f>
        <v>68</v>
      </c>
      <c r="H622" s="15">
        <v>40</v>
      </c>
    </row>
    <row r="623" spans="1:8" x14ac:dyDescent="0.2">
      <c r="A623">
        <v>210</v>
      </c>
      <c r="B623">
        <v>50</v>
      </c>
      <c r="C623" t="s">
        <v>209</v>
      </c>
      <c r="D623" s="13" t="s">
        <v>912</v>
      </c>
      <c r="E623" s="1">
        <v>2.2805770274966801</v>
      </c>
      <c r="F623" s="1">
        <v>4.9127488212208901</v>
      </c>
      <c r="G623">
        <f>VLOOKUP(C623,'[1]phenotypes-895'!$A$2:$G$896,7,FALSE)</f>
        <v>74</v>
      </c>
      <c r="H623" s="15">
        <v>40</v>
      </c>
    </row>
    <row r="624" spans="1:8" x14ac:dyDescent="0.2">
      <c r="A624">
        <v>782</v>
      </c>
      <c r="B624">
        <v>24</v>
      </c>
      <c r="C624" t="s">
        <v>781</v>
      </c>
      <c r="D624" s="13" t="s">
        <v>913</v>
      </c>
      <c r="E624" s="1">
        <v>2.2806103566889799</v>
      </c>
      <c r="F624" s="1">
        <v>1.11028074111247</v>
      </c>
      <c r="G624">
        <f>VLOOKUP(C624,'[1]phenotypes-895'!$A$2:$G$896,7,FALSE)</f>
        <v>72</v>
      </c>
      <c r="H624" s="15">
        <v>40</v>
      </c>
    </row>
    <row r="625" spans="1:8" x14ac:dyDescent="0.2">
      <c r="A625">
        <v>729</v>
      </c>
      <c r="B625">
        <v>21</v>
      </c>
      <c r="C625" t="s">
        <v>728</v>
      </c>
      <c r="D625" s="13" t="s">
        <v>913</v>
      </c>
      <c r="E625" s="1">
        <v>2.2934897732567698</v>
      </c>
      <c r="F625" s="1">
        <v>1.1123676111054199</v>
      </c>
      <c r="G625">
        <f>VLOOKUP(C625,'[1]phenotypes-895'!$A$2:$G$896,7,FALSE)</f>
        <v>95</v>
      </c>
      <c r="H625" s="15">
        <v>40</v>
      </c>
    </row>
    <row r="626" spans="1:8" x14ac:dyDescent="0.2">
      <c r="A626">
        <v>271</v>
      </c>
      <c r="B626">
        <v>32</v>
      </c>
      <c r="C626" t="s">
        <v>270</v>
      </c>
      <c r="D626" s="13" t="s">
        <v>913</v>
      </c>
      <c r="E626" s="1">
        <v>2.3001595614584498</v>
      </c>
      <c r="F626" s="1">
        <v>1.67350429070381</v>
      </c>
      <c r="G626">
        <f>VLOOKUP(C626,'[1]phenotypes-895'!$A$2:$G$896,7,FALSE)</f>
        <v>98</v>
      </c>
      <c r="H626" s="15">
        <v>40</v>
      </c>
    </row>
    <row r="627" spans="1:8" x14ac:dyDescent="0.2">
      <c r="A627">
        <v>445</v>
      </c>
      <c r="B627">
        <v>52</v>
      </c>
      <c r="C627" t="s">
        <v>444</v>
      </c>
      <c r="D627" s="13" t="s">
        <v>912</v>
      </c>
      <c r="E627" s="1">
        <v>2.32113676346161</v>
      </c>
      <c r="F627" s="1">
        <v>3.6018254135438101</v>
      </c>
      <c r="G627">
        <f>VLOOKUP(C627,'[1]phenotypes-895'!$A$2:$G$896,7,FALSE)</f>
        <v>85</v>
      </c>
      <c r="H627" s="15">
        <v>30</v>
      </c>
    </row>
    <row r="628" spans="1:8" x14ac:dyDescent="0.2">
      <c r="A628">
        <v>688</v>
      </c>
      <c r="B628">
        <v>33</v>
      </c>
      <c r="C628" t="s">
        <v>687</v>
      </c>
      <c r="D628" s="13" t="s">
        <v>913</v>
      </c>
      <c r="E628" s="1">
        <v>2.3224286158898102</v>
      </c>
      <c r="F628" s="1">
        <v>1.1733475900316801</v>
      </c>
      <c r="G628">
        <f>VLOOKUP(C628,'[1]phenotypes-895'!$A$2:$G$896,7,FALSE)</f>
        <v>74</v>
      </c>
      <c r="H628" s="15">
        <v>30</v>
      </c>
    </row>
    <row r="629" spans="1:8" x14ac:dyDescent="0.2">
      <c r="A629">
        <v>802</v>
      </c>
      <c r="B629">
        <v>34</v>
      </c>
      <c r="C629" t="s">
        <v>801</v>
      </c>
      <c r="D629" s="13" t="s">
        <v>913</v>
      </c>
      <c r="E629" s="1">
        <v>2.3295772388417899</v>
      </c>
      <c r="F629" s="1">
        <v>2.6301918873630399</v>
      </c>
      <c r="G629">
        <f>VLOOKUP(C629,'[1]phenotypes-895'!$A$2:$G$896,7,FALSE)</f>
        <v>98</v>
      </c>
      <c r="H629" s="15">
        <v>30</v>
      </c>
    </row>
    <row r="630" spans="1:8" x14ac:dyDescent="0.2">
      <c r="A630">
        <v>215</v>
      </c>
      <c r="B630">
        <v>7</v>
      </c>
      <c r="C630" t="s">
        <v>214</v>
      </c>
      <c r="D630" s="12" t="s">
        <v>913</v>
      </c>
      <c r="E630" s="1">
        <v>2.3411176263536801</v>
      </c>
      <c r="F630" s="1">
        <v>0.68853101170255304</v>
      </c>
      <c r="G630">
        <f>VLOOKUP(C630,'[1]phenotypes-895'!$A$2:$G$896,7,FALSE)</f>
        <v>98</v>
      </c>
      <c r="H630" s="15">
        <v>30</v>
      </c>
    </row>
    <row r="631" spans="1:8" x14ac:dyDescent="0.2">
      <c r="A631">
        <v>895</v>
      </c>
      <c r="B631">
        <v>31</v>
      </c>
      <c r="C631" t="s">
        <v>894</v>
      </c>
      <c r="D631" s="13" t="s">
        <v>913</v>
      </c>
      <c r="E631" s="1">
        <v>2.3704389307067801</v>
      </c>
      <c r="F631" s="1">
        <v>-2.45732E-2</v>
      </c>
      <c r="G631" s="15">
        <v>98</v>
      </c>
      <c r="H631" s="15">
        <v>30</v>
      </c>
    </row>
    <row r="632" spans="1:8" x14ac:dyDescent="0.2">
      <c r="A632">
        <v>568</v>
      </c>
      <c r="B632">
        <v>40</v>
      </c>
      <c r="C632" t="s">
        <v>567</v>
      </c>
      <c r="D632" s="13" t="s">
        <v>913</v>
      </c>
      <c r="E632" s="1">
        <v>2.3813256799374098</v>
      </c>
      <c r="F632" s="1">
        <v>2.01084074835576</v>
      </c>
      <c r="G632">
        <f>VLOOKUP(C632,'[1]phenotypes-895'!$A$2:$G$896,7,FALSE)</f>
        <v>98</v>
      </c>
      <c r="H632" s="15">
        <v>30</v>
      </c>
    </row>
    <row r="633" spans="1:8" x14ac:dyDescent="0.2">
      <c r="A633">
        <v>529</v>
      </c>
      <c r="B633">
        <v>49</v>
      </c>
      <c r="C633" t="s">
        <v>528</v>
      </c>
      <c r="D633" s="13" t="s">
        <v>912</v>
      </c>
      <c r="E633" s="1">
        <v>2.3863333381898699</v>
      </c>
      <c r="F633" s="1">
        <v>4.4170684992710996</v>
      </c>
      <c r="G633">
        <f>VLOOKUP(C633,'[1]phenotypes-895'!$A$2:$G$896,7,FALSE)</f>
        <v>72</v>
      </c>
      <c r="H633" s="15">
        <v>30</v>
      </c>
    </row>
    <row r="634" spans="1:8" x14ac:dyDescent="0.2">
      <c r="A634">
        <v>165</v>
      </c>
      <c r="B634">
        <v>50</v>
      </c>
      <c r="C634" t="s">
        <v>164</v>
      </c>
      <c r="D634" s="13" t="s">
        <v>912</v>
      </c>
      <c r="E634" s="1">
        <v>2.3864837078192802</v>
      </c>
      <c r="F634" s="1">
        <v>3.7918752451814202</v>
      </c>
      <c r="G634">
        <f>VLOOKUP(C634,'[1]phenotypes-895'!$A$2:$G$896,7,FALSE)</f>
        <v>98</v>
      </c>
      <c r="H634" s="15">
        <v>30</v>
      </c>
    </row>
    <row r="635" spans="1:8" x14ac:dyDescent="0.2">
      <c r="A635">
        <v>658</v>
      </c>
      <c r="B635">
        <v>32</v>
      </c>
      <c r="C635" t="s">
        <v>657</v>
      </c>
      <c r="D635" s="13" t="s">
        <v>913</v>
      </c>
      <c r="E635" s="1">
        <v>2.3866920068514701</v>
      </c>
      <c r="F635" s="1">
        <v>3.8694428386644901</v>
      </c>
      <c r="G635">
        <f>VLOOKUP(C635,'[1]phenotypes-895'!$A$2:$G$896,7,FALSE)</f>
        <v>98</v>
      </c>
      <c r="H635" s="15">
        <v>30</v>
      </c>
    </row>
    <row r="636" spans="1:8" x14ac:dyDescent="0.2">
      <c r="A636">
        <v>363</v>
      </c>
      <c r="B636">
        <v>42</v>
      </c>
      <c r="C636" t="s">
        <v>362</v>
      </c>
      <c r="D636" s="13" t="s">
        <v>912</v>
      </c>
      <c r="E636" s="1">
        <v>2.3889571857991898</v>
      </c>
      <c r="F636" s="1">
        <v>1.2975216561949601</v>
      </c>
      <c r="G636">
        <f>VLOOKUP(C636,'[1]phenotypes-895'!$A$2:$G$896,7,FALSE)</f>
        <v>76</v>
      </c>
      <c r="H636" s="15">
        <v>30</v>
      </c>
    </row>
    <row r="637" spans="1:8" x14ac:dyDescent="0.2">
      <c r="A637">
        <v>625</v>
      </c>
      <c r="B637">
        <v>30</v>
      </c>
      <c r="C637" t="s">
        <v>624</v>
      </c>
      <c r="D637" s="13" t="s">
        <v>913</v>
      </c>
      <c r="E637" s="1">
        <v>2.39405775893918</v>
      </c>
      <c r="F637" s="1">
        <v>1.0370870191408299</v>
      </c>
      <c r="G637">
        <f>VLOOKUP(C637,'[1]phenotypes-895'!$A$2:$G$896,7,FALSE)</f>
        <v>98</v>
      </c>
      <c r="H637" s="15">
        <v>30</v>
      </c>
    </row>
    <row r="638" spans="1:8" x14ac:dyDescent="0.2">
      <c r="A638">
        <v>17</v>
      </c>
      <c r="B638">
        <v>6</v>
      </c>
      <c r="C638" t="s">
        <v>16</v>
      </c>
      <c r="D638" s="12" t="s">
        <v>913</v>
      </c>
      <c r="E638" s="1">
        <v>2.4097563447867798</v>
      </c>
      <c r="F638" s="1">
        <v>1.2354146154802901</v>
      </c>
      <c r="G638">
        <f>VLOOKUP(C638,'[1]phenotypes-895'!$A$2:$G$896,7,FALSE)</f>
        <v>91</v>
      </c>
      <c r="H638" s="15">
        <v>30</v>
      </c>
    </row>
    <row r="639" spans="1:8" x14ac:dyDescent="0.2">
      <c r="A639">
        <v>206</v>
      </c>
      <c r="B639">
        <v>36</v>
      </c>
      <c r="C639" t="s">
        <v>205</v>
      </c>
      <c r="D639" s="13" t="s">
        <v>913</v>
      </c>
      <c r="E639" s="1">
        <v>2.4219476680703198</v>
      </c>
      <c r="F639" s="1">
        <v>2.2871438462702001</v>
      </c>
      <c r="G639">
        <f>VLOOKUP(C639,'[1]phenotypes-895'!$A$2:$G$896,7,FALSE)</f>
        <v>58</v>
      </c>
      <c r="H639" s="15">
        <v>30</v>
      </c>
    </row>
    <row r="640" spans="1:8" x14ac:dyDescent="0.2">
      <c r="A640">
        <v>793</v>
      </c>
      <c r="B640">
        <v>30</v>
      </c>
      <c r="C640" t="s">
        <v>792</v>
      </c>
      <c r="D640" s="13" t="s">
        <v>913</v>
      </c>
      <c r="E640" s="1">
        <v>2.4277873895234401</v>
      </c>
      <c r="F640" s="1">
        <v>3.0969537796040298</v>
      </c>
      <c r="G640">
        <f>VLOOKUP(C640,'[1]phenotypes-895'!$A$2:$G$896,7,FALSE)</f>
        <v>98</v>
      </c>
      <c r="H640" s="15">
        <v>30</v>
      </c>
    </row>
    <row r="641" spans="1:8" x14ac:dyDescent="0.2">
      <c r="A641">
        <v>548</v>
      </c>
      <c r="B641">
        <v>44</v>
      </c>
      <c r="C641" t="s">
        <v>547</v>
      </c>
      <c r="D641" s="13" t="s">
        <v>912</v>
      </c>
      <c r="E641" s="1">
        <v>2.4300064926369198</v>
      </c>
      <c r="F641" s="1">
        <v>4.5941887452426702</v>
      </c>
      <c r="G641">
        <f>VLOOKUP(C641,'[1]phenotypes-895'!$A$2:$G$896,7,FALSE)</f>
        <v>54</v>
      </c>
      <c r="H641" s="15">
        <v>30</v>
      </c>
    </row>
    <row r="642" spans="1:8" x14ac:dyDescent="0.2">
      <c r="A642">
        <v>53</v>
      </c>
      <c r="B642">
        <v>10</v>
      </c>
      <c r="C642" t="s">
        <v>52</v>
      </c>
      <c r="D642" s="12" t="s">
        <v>912</v>
      </c>
      <c r="E642" s="1">
        <v>2.4597416650721202</v>
      </c>
      <c r="F642" s="1">
        <v>2.7617983815607299</v>
      </c>
      <c r="G642">
        <f>VLOOKUP(C642,'[1]phenotypes-895'!$A$2:$G$896,7,FALSE)</f>
        <v>98</v>
      </c>
      <c r="H642" s="15">
        <v>30</v>
      </c>
    </row>
    <row r="643" spans="1:8" x14ac:dyDescent="0.2">
      <c r="A643">
        <v>653</v>
      </c>
      <c r="B643">
        <v>23</v>
      </c>
      <c r="C643" t="s">
        <v>652</v>
      </c>
      <c r="D643" s="13" t="s">
        <v>913</v>
      </c>
      <c r="E643" s="1">
        <v>2.4777014512406099</v>
      </c>
      <c r="F643" s="1">
        <v>4.0549588146336397</v>
      </c>
      <c r="G643">
        <f>VLOOKUP(C643,'[1]phenotypes-895'!$A$2:$G$896,7,FALSE)</f>
        <v>98</v>
      </c>
      <c r="H643" s="15">
        <v>30</v>
      </c>
    </row>
    <row r="644" spans="1:8" x14ac:dyDescent="0.2">
      <c r="A644">
        <v>108</v>
      </c>
      <c r="B644">
        <v>1</v>
      </c>
      <c r="C644" t="s">
        <v>107</v>
      </c>
      <c r="D644" s="12" t="s">
        <v>913</v>
      </c>
      <c r="E644" s="1">
        <v>2.48098275621743</v>
      </c>
      <c r="F644" s="1">
        <v>1.29614992957348</v>
      </c>
      <c r="G644">
        <f>VLOOKUP(C644,'[1]phenotypes-895'!$A$2:$G$896,7,FALSE)</f>
        <v>98</v>
      </c>
      <c r="H644" s="15">
        <v>30</v>
      </c>
    </row>
    <row r="645" spans="1:8" x14ac:dyDescent="0.2">
      <c r="A645">
        <v>746</v>
      </c>
      <c r="B645">
        <v>21</v>
      </c>
      <c r="C645" t="s">
        <v>745</v>
      </c>
      <c r="D645" s="13" t="s">
        <v>913</v>
      </c>
      <c r="E645" s="1">
        <v>2.4847188920508598</v>
      </c>
      <c r="F645" s="1">
        <v>3.4318311797327699</v>
      </c>
      <c r="G645">
        <f>VLOOKUP(C645,'[1]phenotypes-895'!$A$2:$G$896,7,FALSE)</f>
        <v>98</v>
      </c>
      <c r="H645" s="15">
        <v>30</v>
      </c>
    </row>
    <row r="646" spans="1:8" x14ac:dyDescent="0.2">
      <c r="A646">
        <v>172</v>
      </c>
      <c r="B646">
        <v>11</v>
      </c>
      <c r="C646" t="s">
        <v>171</v>
      </c>
      <c r="D646" s="12" t="s">
        <v>912</v>
      </c>
      <c r="E646" s="1">
        <v>2.4872315355081702</v>
      </c>
      <c r="F646" s="1">
        <v>3.57230498017748</v>
      </c>
      <c r="G646">
        <f>VLOOKUP(C646,'[1]phenotypes-895'!$A$2:$G$896,7,FALSE)</f>
        <v>98</v>
      </c>
      <c r="H646" s="15">
        <v>30</v>
      </c>
    </row>
    <row r="647" spans="1:8" x14ac:dyDescent="0.2">
      <c r="A647">
        <v>708</v>
      </c>
      <c r="B647">
        <v>44</v>
      </c>
      <c r="C647" t="s">
        <v>707</v>
      </c>
      <c r="D647" s="13" t="s">
        <v>912</v>
      </c>
      <c r="E647" s="1">
        <v>2.4907438934387498</v>
      </c>
      <c r="F647" s="1">
        <v>4.9079350340310999</v>
      </c>
      <c r="G647">
        <f>VLOOKUP(C647,'[1]phenotypes-895'!$A$2:$G$896,7,FALSE)</f>
        <v>98</v>
      </c>
      <c r="H647" s="15">
        <v>30</v>
      </c>
    </row>
    <row r="648" spans="1:8" x14ac:dyDescent="0.2">
      <c r="A648">
        <v>816</v>
      </c>
      <c r="B648">
        <v>33</v>
      </c>
      <c r="C648" t="s">
        <v>815</v>
      </c>
      <c r="D648" s="13" t="s">
        <v>913</v>
      </c>
      <c r="E648" s="1">
        <v>2.4924280966495398</v>
      </c>
      <c r="F648" s="1">
        <v>3.14430708665699</v>
      </c>
      <c r="G648">
        <f>VLOOKUP(C648,'[1]phenotypes-895'!$A$2:$G$896,7,FALSE)</f>
        <v>73</v>
      </c>
      <c r="H648" s="15">
        <v>30</v>
      </c>
    </row>
    <row r="649" spans="1:8" x14ac:dyDescent="0.2">
      <c r="A649">
        <v>706</v>
      </c>
      <c r="B649">
        <v>31</v>
      </c>
      <c r="C649" t="s">
        <v>705</v>
      </c>
      <c r="D649" s="13" t="s">
        <v>913</v>
      </c>
      <c r="E649" s="1">
        <v>2.49329431370845</v>
      </c>
      <c r="F649" s="1">
        <v>1.4683584020390199</v>
      </c>
      <c r="G649">
        <f>VLOOKUP(C649,'[1]phenotypes-895'!$A$2:$G$896,7,FALSE)</f>
        <v>74</v>
      </c>
      <c r="H649" s="15">
        <v>30</v>
      </c>
    </row>
    <row r="650" spans="1:8" x14ac:dyDescent="0.2">
      <c r="A650">
        <v>871</v>
      </c>
      <c r="B650">
        <v>21</v>
      </c>
      <c r="C650" t="s">
        <v>870</v>
      </c>
      <c r="D650" s="13" t="s">
        <v>913</v>
      </c>
      <c r="E650" s="1">
        <v>2.4943151837788</v>
      </c>
      <c r="F650" s="1">
        <v>1.5266405928268401</v>
      </c>
      <c r="G650">
        <f>VLOOKUP(C650,'[1]phenotypes-895'!$A$2:$G$896,7,FALSE)</f>
        <v>98</v>
      </c>
      <c r="H650" s="15">
        <v>30</v>
      </c>
    </row>
    <row r="651" spans="1:8" x14ac:dyDescent="0.2">
      <c r="A651">
        <v>827</v>
      </c>
      <c r="B651">
        <v>28</v>
      </c>
      <c r="C651" t="s">
        <v>826</v>
      </c>
      <c r="D651" s="13" t="s">
        <v>913</v>
      </c>
      <c r="E651" s="1">
        <v>2.4964958855601398</v>
      </c>
      <c r="F651" s="1">
        <v>2.3270272064359698</v>
      </c>
      <c r="G651">
        <f>VLOOKUP(C651,'[1]phenotypes-895'!$A$2:$G$896,7,FALSE)</f>
        <v>98</v>
      </c>
      <c r="H651" s="15">
        <v>30</v>
      </c>
    </row>
    <row r="652" spans="1:8" x14ac:dyDescent="0.2">
      <c r="A652">
        <v>425</v>
      </c>
      <c r="B652">
        <v>52</v>
      </c>
      <c r="C652" t="s">
        <v>424</v>
      </c>
      <c r="D652" s="13" t="s">
        <v>912</v>
      </c>
      <c r="E652" s="1">
        <v>2.5038908871185401</v>
      </c>
      <c r="F652" s="1">
        <v>4.3817990963529798</v>
      </c>
      <c r="G652">
        <f>VLOOKUP(C652,'[1]phenotypes-895'!$A$2:$G$896,7,FALSE)</f>
        <v>57</v>
      </c>
      <c r="H652" s="15">
        <v>30</v>
      </c>
    </row>
    <row r="653" spans="1:8" x14ac:dyDescent="0.2">
      <c r="A653">
        <v>698</v>
      </c>
      <c r="B653">
        <v>27</v>
      </c>
      <c r="C653" t="s">
        <v>697</v>
      </c>
      <c r="D653" s="13" t="s">
        <v>913</v>
      </c>
      <c r="E653" s="1">
        <v>2.51988159154938</v>
      </c>
      <c r="F653" s="1">
        <v>4.2626206397946298</v>
      </c>
      <c r="G653">
        <f>VLOOKUP(C653,'[1]phenotypes-895'!$A$2:$G$896,7,FALSE)</f>
        <v>98</v>
      </c>
      <c r="H653" s="15">
        <v>30</v>
      </c>
    </row>
    <row r="654" spans="1:8" x14ac:dyDescent="0.2">
      <c r="A654">
        <v>586</v>
      </c>
      <c r="B654">
        <v>45</v>
      </c>
      <c r="C654" t="s">
        <v>585</v>
      </c>
      <c r="D654" s="13" t="s">
        <v>912</v>
      </c>
      <c r="E654" s="1">
        <v>2.5226501093190299</v>
      </c>
      <c r="F654" s="1">
        <v>4.8327041634128598</v>
      </c>
      <c r="G654">
        <f>VLOOKUP(C654,'[1]phenotypes-895'!$A$2:$G$896,7,FALSE)</f>
        <v>53</v>
      </c>
      <c r="H654" s="15">
        <v>30</v>
      </c>
    </row>
    <row r="655" spans="1:8" x14ac:dyDescent="0.2">
      <c r="A655">
        <v>598</v>
      </c>
      <c r="B655">
        <v>25</v>
      </c>
      <c r="C655" t="s">
        <v>597</v>
      </c>
      <c r="D655" s="13" t="s">
        <v>913</v>
      </c>
      <c r="E655" s="1">
        <v>2.52414812960065</v>
      </c>
      <c r="F655" s="1">
        <v>0.953866007143789</v>
      </c>
      <c r="G655">
        <f>VLOOKUP(C655,'[1]phenotypes-895'!$A$2:$G$896,7,FALSE)</f>
        <v>56</v>
      </c>
      <c r="H655" s="15">
        <v>30</v>
      </c>
    </row>
    <row r="656" spans="1:8" x14ac:dyDescent="0.2">
      <c r="A656">
        <v>498</v>
      </c>
      <c r="B656">
        <v>49</v>
      </c>
      <c r="C656" t="s">
        <v>497</v>
      </c>
      <c r="D656" s="13" t="s">
        <v>912</v>
      </c>
      <c r="E656" s="1">
        <v>2.5268509974441198</v>
      </c>
      <c r="F656" s="1">
        <v>2.9124507230915802</v>
      </c>
      <c r="G656">
        <f>VLOOKUP(C656,'[1]phenotypes-895'!$A$2:$G$896,7,FALSE)</f>
        <v>98</v>
      </c>
      <c r="H656" s="15">
        <v>30</v>
      </c>
    </row>
    <row r="657" spans="1:8" x14ac:dyDescent="0.2">
      <c r="A657">
        <v>151</v>
      </c>
      <c r="B657">
        <v>12</v>
      </c>
      <c r="C657" t="s">
        <v>150</v>
      </c>
      <c r="D657" s="12" t="s">
        <v>912</v>
      </c>
      <c r="E657" s="1">
        <v>2.5406246411297499</v>
      </c>
      <c r="F657" s="1">
        <v>3.6713012739709501</v>
      </c>
      <c r="G657">
        <f>VLOOKUP(C657,'[1]phenotypes-895'!$A$2:$G$896,7,FALSE)</f>
        <v>98</v>
      </c>
      <c r="H657" s="15">
        <v>30</v>
      </c>
    </row>
    <row r="658" spans="1:8" x14ac:dyDescent="0.2">
      <c r="A658">
        <v>620</v>
      </c>
      <c r="B658">
        <v>38</v>
      </c>
      <c r="C658" t="s">
        <v>619</v>
      </c>
      <c r="D658" s="13" t="s">
        <v>913</v>
      </c>
      <c r="E658" s="1">
        <v>2.55639655641806</v>
      </c>
      <c r="F658" s="1">
        <v>2.8682251964484702</v>
      </c>
      <c r="G658">
        <f>VLOOKUP(C658,'[1]phenotypes-895'!$A$2:$G$896,7,FALSE)</f>
        <v>95</v>
      </c>
      <c r="H658" s="15">
        <v>30</v>
      </c>
    </row>
    <row r="659" spans="1:8" x14ac:dyDescent="0.2">
      <c r="A659">
        <v>286</v>
      </c>
      <c r="B659">
        <v>11</v>
      </c>
      <c r="C659" t="s">
        <v>285</v>
      </c>
      <c r="D659" s="12" t="s">
        <v>912</v>
      </c>
      <c r="E659" s="1">
        <v>2.5610563785039102</v>
      </c>
      <c r="F659" s="1">
        <v>3.2155112046469099</v>
      </c>
      <c r="G659">
        <f>VLOOKUP(C659,'[1]phenotypes-895'!$A$2:$G$896,7,FALSE)</f>
        <v>98</v>
      </c>
      <c r="H659" s="15">
        <v>30</v>
      </c>
    </row>
    <row r="660" spans="1:8" x14ac:dyDescent="0.2">
      <c r="A660">
        <v>474</v>
      </c>
      <c r="B660">
        <v>54</v>
      </c>
      <c r="C660" t="s">
        <v>473</v>
      </c>
      <c r="D660" s="13" t="s">
        <v>912</v>
      </c>
      <c r="E660" s="1">
        <v>2.5671827802761502</v>
      </c>
      <c r="F660" s="1">
        <v>4.9253184725935997</v>
      </c>
      <c r="G660">
        <f>VLOOKUP(C660,'[1]phenotypes-895'!$A$2:$G$896,7,FALSE)</f>
        <v>98</v>
      </c>
      <c r="H660" s="15">
        <v>30</v>
      </c>
    </row>
    <row r="661" spans="1:8" x14ac:dyDescent="0.2">
      <c r="A661">
        <v>473</v>
      </c>
      <c r="B661">
        <v>51</v>
      </c>
      <c r="C661" t="s">
        <v>472</v>
      </c>
      <c r="D661" s="13" t="s">
        <v>912</v>
      </c>
      <c r="E661" s="1">
        <v>2.58240128734437</v>
      </c>
      <c r="F661" s="1">
        <v>4.5548805310643603</v>
      </c>
      <c r="G661">
        <f>VLOOKUP(C661,'[1]phenotypes-895'!$A$2:$G$896,7,FALSE)</f>
        <v>98</v>
      </c>
      <c r="H661" s="15">
        <v>30</v>
      </c>
    </row>
    <row r="662" spans="1:8" x14ac:dyDescent="0.2">
      <c r="A662">
        <v>547</v>
      </c>
      <c r="B662">
        <v>45</v>
      </c>
      <c r="C662" t="s">
        <v>546</v>
      </c>
      <c r="D662" s="13" t="s">
        <v>912</v>
      </c>
      <c r="E662" s="1">
        <v>2.5859107768188498</v>
      </c>
      <c r="F662" s="1">
        <v>4.9220427131690503</v>
      </c>
      <c r="G662">
        <f>VLOOKUP(C662,'[1]phenotypes-895'!$A$2:$G$896,7,FALSE)</f>
        <v>77</v>
      </c>
      <c r="H662" s="15">
        <v>30</v>
      </c>
    </row>
    <row r="663" spans="1:8" x14ac:dyDescent="0.2">
      <c r="A663">
        <v>617</v>
      </c>
      <c r="B663">
        <v>21</v>
      </c>
      <c r="C663" t="s">
        <v>616</v>
      </c>
      <c r="D663" s="13" t="s">
        <v>913</v>
      </c>
      <c r="E663" s="1">
        <v>2.5933679751580998</v>
      </c>
      <c r="F663" s="1">
        <v>1.4547823522238501</v>
      </c>
      <c r="G663">
        <f>VLOOKUP(C663,'[1]phenotypes-895'!$A$2:$G$896,7,FALSE)</f>
        <v>98</v>
      </c>
      <c r="H663" s="15">
        <v>30</v>
      </c>
    </row>
    <row r="664" spans="1:8" x14ac:dyDescent="0.2">
      <c r="A664">
        <v>384</v>
      </c>
      <c r="B664">
        <v>46</v>
      </c>
      <c r="C664" t="s">
        <v>383</v>
      </c>
      <c r="D664" s="13" t="s">
        <v>912</v>
      </c>
      <c r="E664" s="1">
        <v>2.6227951940296501</v>
      </c>
      <c r="F664" s="1">
        <v>2.6842134683463201</v>
      </c>
      <c r="G664">
        <f>VLOOKUP(C664,'[1]phenotypes-895'!$A$2:$G$896,7,FALSE)</f>
        <v>89</v>
      </c>
      <c r="H664" s="15">
        <v>30</v>
      </c>
    </row>
    <row r="665" spans="1:8" x14ac:dyDescent="0.2">
      <c r="A665">
        <v>669</v>
      </c>
      <c r="B665">
        <v>50</v>
      </c>
      <c r="C665" t="s">
        <v>668</v>
      </c>
      <c r="D665" s="13" t="s">
        <v>912</v>
      </c>
      <c r="E665" s="1">
        <v>2.65812349702763</v>
      </c>
      <c r="F665" s="1">
        <v>5.8688963462004198</v>
      </c>
      <c r="G665">
        <f>VLOOKUP(C665,'[1]phenotypes-895'!$A$2:$G$896,7,FALSE)</f>
        <v>98</v>
      </c>
      <c r="H665" s="15">
        <v>30</v>
      </c>
    </row>
    <row r="666" spans="1:8" x14ac:dyDescent="0.2">
      <c r="A666">
        <v>667</v>
      </c>
      <c r="B666">
        <v>51</v>
      </c>
      <c r="C666" t="s">
        <v>666</v>
      </c>
      <c r="D666" s="13" t="s">
        <v>912</v>
      </c>
      <c r="E666" s="1">
        <v>2.66668162322522</v>
      </c>
      <c r="F666" s="1">
        <v>5.2458238963512596</v>
      </c>
      <c r="G666">
        <f>VLOOKUP(C666,'[1]phenotypes-895'!$A$2:$G$896,7,FALSE)</f>
        <v>98</v>
      </c>
      <c r="H666" s="15">
        <v>30</v>
      </c>
    </row>
    <row r="667" spans="1:8" x14ac:dyDescent="0.2">
      <c r="A667">
        <v>173</v>
      </c>
      <c r="B667">
        <v>29</v>
      </c>
      <c r="C667" t="s">
        <v>172</v>
      </c>
      <c r="D667" s="13" t="s">
        <v>913</v>
      </c>
      <c r="E667" s="1">
        <v>2.6669546472469201</v>
      </c>
      <c r="F667" s="1">
        <v>1.2921786896551199</v>
      </c>
      <c r="G667">
        <f>VLOOKUP(C667,'[1]phenotypes-895'!$A$2:$G$896,7,FALSE)</f>
        <v>98</v>
      </c>
      <c r="H667" s="15">
        <v>30</v>
      </c>
    </row>
    <row r="668" spans="1:8" x14ac:dyDescent="0.2">
      <c r="A668">
        <v>524</v>
      </c>
      <c r="B668">
        <v>30</v>
      </c>
      <c r="C668" t="s">
        <v>523</v>
      </c>
      <c r="D668" s="13" t="s">
        <v>913</v>
      </c>
      <c r="E668" s="1">
        <v>2.6728353831270399</v>
      </c>
      <c r="F668" s="1">
        <v>1.1725958548248101</v>
      </c>
      <c r="G668">
        <f>VLOOKUP(C668,'[1]phenotypes-895'!$A$2:$G$896,7,FALSE)</f>
        <v>98</v>
      </c>
      <c r="H668" s="15">
        <v>30</v>
      </c>
    </row>
    <row r="669" spans="1:8" x14ac:dyDescent="0.2">
      <c r="A669">
        <v>682</v>
      </c>
      <c r="B669">
        <v>35</v>
      </c>
      <c r="C669" t="s">
        <v>681</v>
      </c>
      <c r="D669" s="13" t="s">
        <v>913</v>
      </c>
      <c r="E669" s="1">
        <v>2.6958419901439101</v>
      </c>
      <c r="F669" s="1">
        <v>2.69550590029385</v>
      </c>
      <c r="G669">
        <f>VLOOKUP(C669,'[1]phenotypes-895'!$A$2:$G$896,7,FALSE)</f>
        <v>75</v>
      </c>
      <c r="H669" s="15">
        <v>30</v>
      </c>
    </row>
    <row r="670" spans="1:8" x14ac:dyDescent="0.2">
      <c r="A670">
        <v>608</v>
      </c>
      <c r="B670">
        <v>36</v>
      </c>
      <c r="C670" t="s">
        <v>607</v>
      </c>
      <c r="D670" s="13" t="s">
        <v>913</v>
      </c>
      <c r="E670" s="1">
        <v>2.7085345847634201</v>
      </c>
      <c r="F670" s="1">
        <v>4.0881081368638696</v>
      </c>
      <c r="G670">
        <f>VLOOKUP(C670,'[1]phenotypes-895'!$A$2:$G$896,7,FALSE)</f>
        <v>98</v>
      </c>
      <c r="H670" s="15">
        <v>30</v>
      </c>
    </row>
    <row r="671" spans="1:8" x14ac:dyDescent="0.2">
      <c r="A671">
        <v>728</v>
      </c>
      <c r="B671">
        <v>23</v>
      </c>
      <c r="C671" t="s">
        <v>727</v>
      </c>
      <c r="D671" s="13" t="s">
        <v>913</v>
      </c>
      <c r="E671" s="1">
        <v>2.7397019702881198</v>
      </c>
      <c r="F671" s="1">
        <v>2.2855045400353302</v>
      </c>
      <c r="G671">
        <f>VLOOKUP(C671,'[1]phenotypes-895'!$A$2:$G$896,7,FALSE)</f>
        <v>91</v>
      </c>
      <c r="H671" s="15">
        <v>30</v>
      </c>
    </row>
    <row r="672" spans="1:8" x14ac:dyDescent="0.2">
      <c r="A672">
        <v>449</v>
      </c>
      <c r="B672">
        <v>53</v>
      </c>
      <c r="C672" t="s">
        <v>448</v>
      </c>
      <c r="D672" s="13" t="s">
        <v>912</v>
      </c>
      <c r="E672" s="1">
        <v>2.7728239206459802</v>
      </c>
      <c r="F672" s="1">
        <v>4.2683215459233796</v>
      </c>
      <c r="G672">
        <f>VLOOKUP(C672,'[1]phenotypes-895'!$A$2:$G$896,7,FALSE)</f>
        <v>98</v>
      </c>
      <c r="H672" s="15">
        <v>30</v>
      </c>
    </row>
    <row r="673" spans="1:8" x14ac:dyDescent="0.2">
      <c r="A673">
        <v>435</v>
      </c>
      <c r="B673">
        <v>42</v>
      </c>
      <c r="C673" t="s">
        <v>434</v>
      </c>
      <c r="D673" s="13" t="s">
        <v>912</v>
      </c>
      <c r="E673" s="1">
        <v>2.7805716890732501</v>
      </c>
      <c r="F673" s="1">
        <v>3.6733234024071901</v>
      </c>
      <c r="G673">
        <f>VLOOKUP(C673,'[1]phenotypes-895'!$A$2:$G$896,7,FALSE)</f>
        <v>98</v>
      </c>
      <c r="H673" s="15">
        <v>30</v>
      </c>
    </row>
    <row r="674" spans="1:8" x14ac:dyDescent="0.2">
      <c r="A674">
        <v>668</v>
      </c>
      <c r="B674">
        <v>32</v>
      </c>
      <c r="C674" t="s">
        <v>667</v>
      </c>
      <c r="D674" s="13" t="s">
        <v>913</v>
      </c>
      <c r="E674" s="1">
        <v>2.7851648853159201</v>
      </c>
      <c r="F674" s="1">
        <v>2.1340441872670199</v>
      </c>
      <c r="G674">
        <f>VLOOKUP(C674,'[1]phenotypes-895'!$A$2:$G$896,7,FALSE)</f>
        <v>65</v>
      </c>
      <c r="H674" s="15">
        <v>30</v>
      </c>
    </row>
    <row r="675" spans="1:8" x14ac:dyDescent="0.2">
      <c r="A675">
        <v>854</v>
      </c>
      <c r="B675">
        <v>35</v>
      </c>
      <c r="C675" t="s">
        <v>853</v>
      </c>
      <c r="D675" s="13" t="s">
        <v>913</v>
      </c>
      <c r="E675" s="1">
        <v>2.79281971758672</v>
      </c>
      <c r="F675" s="1">
        <v>3.3558123132753699</v>
      </c>
      <c r="G675">
        <f>VLOOKUP(C675,'[1]phenotypes-895'!$A$2:$G$896,7,FALSE)</f>
        <v>76</v>
      </c>
      <c r="H675" s="15">
        <v>30</v>
      </c>
    </row>
    <row r="676" spans="1:8" x14ac:dyDescent="0.2">
      <c r="A676">
        <v>36</v>
      </c>
      <c r="B676">
        <v>44</v>
      </c>
      <c r="C676" t="s">
        <v>35</v>
      </c>
      <c r="D676" s="13" t="s">
        <v>912</v>
      </c>
      <c r="E676" s="1">
        <v>2.80382593624328</v>
      </c>
      <c r="F676" s="1">
        <v>5.5601854995383997</v>
      </c>
      <c r="G676">
        <f>VLOOKUP(C676,'[1]phenotypes-895'!$A$2:$G$896,7,FALSE)</f>
        <v>98</v>
      </c>
      <c r="H676" s="15">
        <v>30</v>
      </c>
    </row>
    <row r="677" spans="1:8" x14ac:dyDescent="0.2">
      <c r="A677">
        <v>495</v>
      </c>
      <c r="B677">
        <v>50</v>
      </c>
      <c r="C677" t="s">
        <v>494</v>
      </c>
      <c r="D677" s="13" t="s">
        <v>912</v>
      </c>
      <c r="E677" s="1">
        <v>2.8340845972953601</v>
      </c>
      <c r="F677" s="1">
        <v>1.6051601945359699</v>
      </c>
      <c r="G677">
        <f>VLOOKUP(C677,'[1]phenotypes-895'!$A$2:$G$896,7,FALSE)</f>
        <v>57</v>
      </c>
      <c r="H677" s="15">
        <v>30</v>
      </c>
    </row>
    <row r="678" spans="1:8" x14ac:dyDescent="0.2">
      <c r="A678">
        <v>847</v>
      </c>
      <c r="B678">
        <v>40</v>
      </c>
      <c r="C678" t="s">
        <v>846</v>
      </c>
      <c r="D678" s="13" t="s">
        <v>913</v>
      </c>
      <c r="E678" s="1">
        <v>2.8462758237685502</v>
      </c>
      <c r="F678" s="1">
        <v>0.33720382913629598</v>
      </c>
      <c r="G678">
        <f>VLOOKUP(C678,'[1]phenotypes-895'!$A$2:$G$896,7,FALSE)</f>
        <v>74</v>
      </c>
      <c r="H678" s="15">
        <v>30</v>
      </c>
    </row>
    <row r="679" spans="1:8" x14ac:dyDescent="0.2">
      <c r="A679">
        <v>712</v>
      </c>
      <c r="B679">
        <v>50</v>
      </c>
      <c r="C679" t="s">
        <v>711</v>
      </c>
      <c r="D679" s="13" t="s">
        <v>912</v>
      </c>
      <c r="E679" s="1">
        <v>2.8832087021974901</v>
      </c>
      <c r="F679" s="1">
        <v>6.2473285402154</v>
      </c>
      <c r="G679">
        <f>VLOOKUP(C679,'[1]phenotypes-895'!$A$2:$G$896,7,FALSE)</f>
        <v>98</v>
      </c>
      <c r="H679" s="15">
        <v>30</v>
      </c>
    </row>
    <row r="680" spans="1:8" x14ac:dyDescent="0.2">
      <c r="A680">
        <v>549</v>
      </c>
      <c r="B680">
        <v>39</v>
      </c>
      <c r="C680" t="s">
        <v>548</v>
      </c>
      <c r="D680" s="13" t="s">
        <v>913</v>
      </c>
      <c r="E680" s="1">
        <v>2.8868558965041</v>
      </c>
      <c r="F680" s="1">
        <v>4.1897235313970302</v>
      </c>
      <c r="G680">
        <f>VLOOKUP(C680,'[1]phenotypes-895'!$A$2:$G$896,7,FALSE)</f>
        <v>98</v>
      </c>
      <c r="H680" s="15">
        <v>30</v>
      </c>
    </row>
    <row r="681" spans="1:8" x14ac:dyDescent="0.2">
      <c r="A681">
        <v>830</v>
      </c>
      <c r="B681">
        <v>35</v>
      </c>
      <c r="C681" t="s">
        <v>829</v>
      </c>
      <c r="D681" s="13" t="s">
        <v>913</v>
      </c>
      <c r="E681" s="1">
        <v>2.8873192815113802</v>
      </c>
      <c r="F681" s="1">
        <v>3.0575220127240201</v>
      </c>
      <c r="G681">
        <f>VLOOKUP(C681,'[1]phenotypes-895'!$A$2:$G$896,7,FALSE)</f>
        <v>35</v>
      </c>
      <c r="H681" s="15">
        <v>30</v>
      </c>
    </row>
    <row r="682" spans="1:8" x14ac:dyDescent="0.2">
      <c r="A682">
        <v>442</v>
      </c>
      <c r="B682">
        <v>50</v>
      </c>
      <c r="C682" t="s">
        <v>441</v>
      </c>
      <c r="D682" s="13" t="s">
        <v>912</v>
      </c>
      <c r="E682" s="1">
        <v>2.8938812366159001</v>
      </c>
      <c r="F682" s="1">
        <v>1.52598856745833</v>
      </c>
      <c r="G682">
        <f>VLOOKUP(C682,'[1]phenotypes-895'!$A$2:$G$896,7,FALSE)</f>
        <v>98</v>
      </c>
      <c r="H682" s="15">
        <v>30</v>
      </c>
    </row>
    <row r="683" spans="1:8" x14ac:dyDescent="0.2">
      <c r="A683">
        <v>76</v>
      </c>
      <c r="B683">
        <v>25</v>
      </c>
      <c r="C683" t="s">
        <v>75</v>
      </c>
      <c r="D683" s="13" t="s">
        <v>913</v>
      </c>
      <c r="E683" s="1">
        <v>2.9042457635343202</v>
      </c>
      <c r="F683" s="1">
        <v>1.9712078141659399</v>
      </c>
      <c r="G683">
        <f>VLOOKUP(C683,'[1]phenotypes-895'!$A$2:$G$896,7,FALSE)</f>
        <v>80</v>
      </c>
      <c r="H683" s="15">
        <v>30</v>
      </c>
    </row>
    <row r="684" spans="1:8" x14ac:dyDescent="0.2">
      <c r="A684">
        <v>832</v>
      </c>
      <c r="B684">
        <v>53</v>
      </c>
      <c r="C684" t="s">
        <v>831</v>
      </c>
      <c r="D684" s="13" t="s">
        <v>912</v>
      </c>
      <c r="E684" s="1">
        <v>2.9150750805425298</v>
      </c>
      <c r="F684" s="1">
        <v>5.0075175717962797</v>
      </c>
      <c r="G684">
        <f>VLOOKUP(C684,'[1]phenotypes-895'!$A$2:$G$896,7,FALSE)</f>
        <v>82</v>
      </c>
      <c r="H684" s="15">
        <v>30</v>
      </c>
    </row>
    <row r="685" spans="1:8" x14ac:dyDescent="0.2">
      <c r="A685">
        <v>676</v>
      </c>
      <c r="B685">
        <v>31</v>
      </c>
      <c r="C685" t="s">
        <v>675</v>
      </c>
      <c r="D685" s="13" t="s">
        <v>913</v>
      </c>
      <c r="E685" s="1">
        <v>2.92397762901932</v>
      </c>
      <c r="F685" s="1">
        <v>1.8701488841792799</v>
      </c>
      <c r="G685">
        <f>VLOOKUP(C685,'[1]phenotypes-895'!$A$2:$G$896,7,FALSE)</f>
        <v>98</v>
      </c>
      <c r="H685" s="15">
        <v>30</v>
      </c>
    </row>
    <row r="686" spans="1:8" x14ac:dyDescent="0.2">
      <c r="A686">
        <v>850</v>
      </c>
      <c r="B686">
        <v>22</v>
      </c>
      <c r="C686" t="s">
        <v>849</v>
      </c>
      <c r="D686" s="13" t="s">
        <v>913</v>
      </c>
      <c r="E686" s="1">
        <v>2.9509366002108801</v>
      </c>
      <c r="F686" s="1">
        <v>2.6888128140984402</v>
      </c>
      <c r="G686">
        <f>VLOOKUP(C686,'[1]phenotypes-895'!$A$2:$G$896,7,FALSE)</f>
        <v>98</v>
      </c>
      <c r="H686" s="15">
        <v>30</v>
      </c>
    </row>
    <row r="687" spans="1:8" x14ac:dyDescent="0.2">
      <c r="A687">
        <v>484</v>
      </c>
      <c r="B687">
        <v>50</v>
      </c>
      <c r="C687" t="s">
        <v>483</v>
      </c>
      <c r="D687" s="13" t="s">
        <v>912</v>
      </c>
      <c r="E687" s="1">
        <v>2.9653632424473599</v>
      </c>
      <c r="F687" s="1">
        <v>2.7360609724178002</v>
      </c>
      <c r="G687">
        <f>VLOOKUP(C687,'[1]phenotypes-895'!$A$2:$G$896,7,FALSE)</f>
        <v>69</v>
      </c>
      <c r="H687" s="15">
        <v>30</v>
      </c>
    </row>
    <row r="688" spans="1:8" x14ac:dyDescent="0.2">
      <c r="A688">
        <v>467</v>
      </c>
      <c r="B688">
        <v>42</v>
      </c>
      <c r="C688" t="s">
        <v>466</v>
      </c>
      <c r="D688" s="13" t="s">
        <v>912</v>
      </c>
      <c r="E688" s="1">
        <v>2.9815304337792599</v>
      </c>
      <c r="F688" s="1">
        <v>3.0553354087391602</v>
      </c>
      <c r="G688">
        <f>VLOOKUP(C688,'[1]phenotypes-895'!$A$2:$G$896,7,FALSE)</f>
        <v>98</v>
      </c>
      <c r="H688" s="15">
        <v>30</v>
      </c>
    </row>
    <row r="689" spans="1:8" x14ac:dyDescent="0.2">
      <c r="A689">
        <v>566</v>
      </c>
      <c r="B689">
        <v>21</v>
      </c>
      <c r="C689" t="s">
        <v>565</v>
      </c>
      <c r="D689" s="13" t="s">
        <v>913</v>
      </c>
      <c r="E689" s="1">
        <v>2.9904453393413801</v>
      </c>
      <c r="F689" s="1">
        <v>1.96060719234855</v>
      </c>
      <c r="G689">
        <f>VLOOKUP(C689,'[1]phenotypes-895'!$A$2:$G$896,7,FALSE)</f>
        <v>85</v>
      </c>
      <c r="H689" s="15">
        <v>30</v>
      </c>
    </row>
    <row r="690" spans="1:8" x14ac:dyDescent="0.2">
      <c r="A690">
        <v>394</v>
      </c>
      <c r="B690">
        <v>42</v>
      </c>
      <c r="C690" t="s">
        <v>393</v>
      </c>
      <c r="D690" s="13" t="s">
        <v>912</v>
      </c>
      <c r="E690" s="1">
        <v>3.0185937546367301</v>
      </c>
      <c r="F690" s="1">
        <v>3.68489103460151</v>
      </c>
      <c r="G690">
        <f>VLOOKUP(C690,'[1]phenotypes-895'!$A$2:$G$896,7,FALSE)</f>
        <v>98</v>
      </c>
      <c r="H690" s="15">
        <v>30</v>
      </c>
    </row>
    <row r="691" spans="1:8" x14ac:dyDescent="0.2">
      <c r="A691">
        <v>45</v>
      </c>
      <c r="B691">
        <v>20</v>
      </c>
      <c r="C691" t="s">
        <v>44</v>
      </c>
      <c r="D691" s="12" t="s">
        <v>912</v>
      </c>
      <c r="E691" s="1">
        <v>3.0303065068277499</v>
      </c>
      <c r="F691" s="1">
        <v>4.0574794056141004</v>
      </c>
      <c r="G691">
        <f>VLOOKUP(C691,'[1]phenotypes-895'!$A$2:$G$896,7,FALSE)</f>
        <v>98</v>
      </c>
      <c r="H691" s="15">
        <v>30</v>
      </c>
    </row>
    <row r="692" spans="1:8" x14ac:dyDescent="0.2">
      <c r="A692">
        <v>434</v>
      </c>
      <c r="B692">
        <v>42</v>
      </c>
      <c r="C692" t="s">
        <v>433</v>
      </c>
      <c r="D692" s="13" t="s">
        <v>912</v>
      </c>
      <c r="E692" s="1">
        <v>3.0628279635201401</v>
      </c>
      <c r="F692" s="1">
        <v>2.7581256049902398</v>
      </c>
      <c r="G692">
        <f>VLOOKUP(C692,'[1]phenotypes-895'!$A$2:$G$896,7,FALSE)</f>
        <v>98</v>
      </c>
      <c r="H692" s="15">
        <v>30</v>
      </c>
    </row>
    <row r="693" spans="1:8" x14ac:dyDescent="0.2">
      <c r="A693">
        <v>741</v>
      </c>
      <c r="B693">
        <v>33</v>
      </c>
      <c r="C693" t="s">
        <v>740</v>
      </c>
      <c r="D693" s="13" t="s">
        <v>913</v>
      </c>
      <c r="E693" s="1">
        <v>3.0634118616870101</v>
      </c>
      <c r="F693" s="1">
        <v>3.4570717660713099</v>
      </c>
      <c r="G693">
        <f>VLOOKUP(C693,'[1]phenotypes-895'!$A$2:$G$896,7,FALSE)</f>
        <v>98</v>
      </c>
      <c r="H693" s="15">
        <v>30</v>
      </c>
    </row>
    <row r="694" spans="1:8" x14ac:dyDescent="0.2">
      <c r="A694">
        <v>713</v>
      </c>
      <c r="B694">
        <v>35</v>
      </c>
      <c r="C694" t="s">
        <v>712</v>
      </c>
      <c r="D694" s="13" t="s">
        <v>913</v>
      </c>
      <c r="E694" s="1">
        <v>3.07296612185853</v>
      </c>
      <c r="F694" s="1">
        <v>3.3313943126108598</v>
      </c>
      <c r="G694">
        <f>VLOOKUP(C694,'[1]phenotypes-895'!$A$2:$G$896,7,FALSE)</f>
        <v>98</v>
      </c>
      <c r="H694" s="15">
        <v>30</v>
      </c>
    </row>
    <row r="695" spans="1:8" x14ac:dyDescent="0.2">
      <c r="A695">
        <v>743</v>
      </c>
      <c r="B695">
        <v>25</v>
      </c>
      <c r="C695" t="s">
        <v>742</v>
      </c>
      <c r="D695" s="13" t="s">
        <v>913</v>
      </c>
      <c r="E695" s="1">
        <v>3.0845981408154302</v>
      </c>
      <c r="F695" s="1">
        <v>3.1435543748935699</v>
      </c>
      <c r="G695">
        <f>VLOOKUP(C695,'[1]phenotypes-895'!$A$2:$G$896,7,FALSE)</f>
        <v>98</v>
      </c>
      <c r="H695" s="15">
        <v>30</v>
      </c>
    </row>
    <row r="696" spans="1:8" x14ac:dyDescent="0.2">
      <c r="A696">
        <v>742</v>
      </c>
      <c r="B696">
        <v>35</v>
      </c>
      <c r="C696" t="s">
        <v>741</v>
      </c>
      <c r="D696" s="13" t="s">
        <v>913</v>
      </c>
      <c r="E696" s="1">
        <v>3.0944668988822799</v>
      </c>
      <c r="F696" s="1">
        <v>2.9441562088477902</v>
      </c>
      <c r="G696">
        <f>VLOOKUP(C696,'[1]phenotypes-895'!$A$2:$G$896,7,FALSE)</f>
        <v>98</v>
      </c>
      <c r="H696" s="15">
        <v>30</v>
      </c>
    </row>
    <row r="697" spans="1:8" x14ac:dyDescent="0.2">
      <c r="A697">
        <v>471</v>
      </c>
      <c r="B697">
        <v>54</v>
      </c>
      <c r="C697" t="s">
        <v>470</v>
      </c>
      <c r="D697" s="13" t="s">
        <v>912</v>
      </c>
      <c r="E697" s="1">
        <v>3.1138463390354501</v>
      </c>
      <c r="F697" s="1">
        <v>4.4323394936512104</v>
      </c>
      <c r="G697">
        <f>VLOOKUP(C697,'[1]phenotypes-895'!$A$2:$G$896,7,FALSE)</f>
        <v>98</v>
      </c>
      <c r="H697" s="15">
        <v>30</v>
      </c>
    </row>
    <row r="698" spans="1:8" x14ac:dyDescent="0.2">
      <c r="A698">
        <v>794</v>
      </c>
      <c r="B698">
        <v>35</v>
      </c>
      <c r="C698" t="s">
        <v>793</v>
      </c>
      <c r="D698" s="13" t="s">
        <v>913</v>
      </c>
      <c r="E698" s="1">
        <v>3.14795566057765</v>
      </c>
      <c r="F698" s="1">
        <v>2.1112299031080202</v>
      </c>
      <c r="G698">
        <f>VLOOKUP(C698,'[1]phenotypes-895'!$A$2:$G$896,7,FALSE)</f>
        <v>98</v>
      </c>
      <c r="H698" s="15">
        <v>30</v>
      </c>
    </row>
    <row r="699" spans="1:8" x14ac:dyDescent="0.2">
      <c r="A699">
        <v>734</v>
      </c>
      <c r="B699">
        <v>24</v>
      </c>
      <c r="C699" t="s">
        <v>733</v>
      </c>
      <c r="D699" s="13" t="s">
        <v>913</v>
      </c>
      <c r="E699" s="1">
        <v>3.1570612945841101</v>
      </c>
      <c r="F699" s="1">
        <v>2.06719566212981</v>
      </c>
      <c r="G699">
        <f>VLOOKUP(C699,'[1]phenotypes-895'!$A$2:$G$896,7,FALSE)</f>
        <v>98</v>
      </c>
      <c r="H699" s="15">
        <v>30</v>
      </c>
    </row>
    <row r="700" spans="1:8" x14ac:dyDescent="0.2">
      <c r="A700">
        <v>253</v>
      </c>
      <c r="B700">
        <v>22</v>
      </c>
      <c r="C700" t="s">
        <v>252</v>
      </c>
      <c r="D700" s="13" t="s">
        <v>913</v>
      </c>
      <c r="E700" s="1">
        <v>3.1622351089140199</v>
      </c>
      <c r="F700" s="1">
        <v>2.6262200172848802</v>
      </c>
      <c r="G700">
        <f>VLOOKUP(C700,'[1]phenotypes-895'!$A$2:$G$896,7,FALSE)</f>
        <v>98</v>
      </c>
      <c r="H700" s="15">
        <v>30</v>
      </c>
    </row>
    <row r="701" spans="1:8" x14ac:dyDescent="0.2">
      <c r="A701">
        <v>865</v>
      </c>
      <c r="B701">
        <v>32</v>
      </c>
      <c r="C701" t="s">
        <v>864</v>
      </c>
      <c r="D701" s="13" t="s">
        <v>913</v>
      </c>
      <c r="E701" s="1">
        <v>3.1641244195098399</v>
      </c>
      <c r="F701" s="1">
        <v>2.67318991836426</v>
      </c>
      <c r="G701">
        <f>VLOOKUP(C701,'[1]phenotypes-895'!$A$2:$G$896,7,FALSE)</f>
        <v>71</v>
      </c>
      <c r="H701" s="15">
        <v>30</v>
      </c>
    </row>
    <row r="702" spans="1:8" x14ac:dyDescent="0.2">
      <c r="A702">
        <v>753</v>
      </c>
      <c r="B702">
        <v>30</v>
      </c>
      <c r="C702" t="s">
        <v>752</v>
      </c>
      <c r="D702" s="13" t="s">
        <v>913</v>
      </c>
      <c r="E702" s="1">
        <v>3.1790922321976698</v>
      </c>
      <c r="F702" s="1">
        <v>1.89121480791519</v>
      </c>
      <c r="G702">
        <f>VLOOKUP(C702,'[1]phenotypes-895'!$A$2:$G$896,7,FALSE)</f>
        <v>70</v>
      </c>
      <c r="H702" s="15">
        <v>30</v>
      </c>
    </row>
    <row r="703" spans="1:8" x14ac:dyDescent="0.2">
      <c r="A703">
        <v>444</v>
      </c>
      <c r="B703">
        <v>46</v>
      </c>
      <c r="C703" t="s">
        <v>443</v>
      </c>
      <c r="D703" s="13" t="s">
        <v>912</v>
      </c>
      <c r="E703" s="1">
        <v>3.19566242732343</v>
      </c>
      <c r="F703" s="1">
        <v>2.0208042235034398</v>
      </c>
      <c r="G703">
        <f>VLOOKUP(C703,'[1]phenotypes-895'!$A$2:$G$896,7,FALSE)</f>
        <v>60</v>
      </c>
      <c r="H703" s="15">
        <v>30</v>
      </c>
    </row>
    <row r="704" spans="1:8" x14ac:dyDescent="0.2">
      <c r="A704">
        <v>415</v>
      </c>
      <c r="B704">
        <v>48</v>
      </c>
      <c r="C704" t="s">
        <v>414</v>
      </c>
      <c r="D704" s="13" t="s">
        <v>912</v>
      </c>
      <c r="E704" s="1">
        <v>3.20881309834279</v>
      </c>
      <c r="F704" s="1">
        <v>4.5312506169971503</v>
      </c>
      <c r="G704">
        <f>VLOOKUP(C704,'[1]phenotypes-895'!$A$2:$G$896,7,FALSE)</f>
        <v>91</v>
      </c>
      <c r="H704" s="15">
        <v>30</v>
      </c>
    </row>
    <row r="705" spans="1:8" x14ac:dyDescent="0.2">
      <c r="A705">
        <v>269</v>
      </c>
      <c r="B705">
        <v>50</v>
      </c>
      <c r="C705" t="s">
        <v>268</v>
      </c>
      <c r="D705" s="13" t="s">
        <v>912</v>
      </c>
      <c r="E705" s="1">
        <v>3.21151158722992</v>
      </c>
      <c r="F705" s="1">
        <v>5.7388285820816503</v>
      </c>
      <c r="G705">
        <f>VLOOKUP(C705,'[1]phenotypes-895'!$A$2:$G$896,7,FALSE)</f>
        <v>76</v>
      </c>
      <c r="H705" s="15">
        <v>30</v>
      </c>
    </row>
    <row r="706" spans="1:8" x14ac:dyDescent="0.2">
      <c r="A706">
        <v>366</v>
      </c>
      <c r="B706">
        <v>50</v>
      </c>
      <c r="C706" t="s">
        <v>365</v>
      </c>
      <c r="D706" s="13" t="s">
        <v>912</v>
      </c>
      <c r="E706" s="1">
        <v>3.2146692857941899</v>
      </c>
      <c r="F706" s="1">
        <v>3.3153832271372101</v>
      </c>
      <c r="G706">
        <f>VLOOKUP(C706,'[1]phenotypes-895'!$A$2:$G$896,7,FALSE)</f>
        <v>98</v>
      </c>
      <c r="H706" s="15">
        <v>30</v>
      </c>
    </row>
    <row r="707" spans="1:8" x14ac:dyDescent="0.2">
      <c r="A707">
        <v>623</v>
      </c>
      <c r="B707">
        <v>23</v>
      </c>
      <c r="C707" t="s">
        <v>622</v>
      </c>
      <c r="D707" s="13" t="s">
        <v>913</v>
      </c>
      <c r="E707" s="1">
        <v>3.2784674089828498</v>
      </c>
      <c r="F707" s="1">
        <v>3.0655183822296301</v>
      </c>
      <c r="G707">
        <f>VLOOKUP(C707,'[1]phenotypes-895'!$A$2:$G$896,7,FALSE)</f>
        <v>98</v>
      </c>
      <c r="H707" s="15">
        <v>30</v>
      </c>
    </row>
    <row r="708" spans="1:8" x14ac:dyDescent="0.2">
      <c r="A708">
        <v>292</v>
      </c>
      <c r="B708">
        <v>7</v>
      </c>
      <c r="C708" t="s">
        <v>291</v>
      </c>
      <c r="D708" s="12" t="s">
        <v>913</v>
      </c>
      <c r="E708" s="1">
        <v>3.3031035742189001</v>
      </c>
      <c r="F708" s="1">
        <v>1.76838120790366</v>
      </c>
      <c r="G708">
        <f>VLOOKUP(C708,'[1]phenotypes-895'!$A$2:$G$896,7,FALSE)</f>
        <v>79</v>
      </c>
      <c r="H708" s="15">
        <v>30</v>
      </c>
    </row>
    <row r="709" spans="1:8" x14ac:dyDescent="0.2">
      <c r="A709">
        <v>517</v>
      </c>
      <c r="B709">
        <v>49</v>
      </c>
      <c r="C709" t="s">
        <v>516</v>
      </c>
      <c r="D709" s="13" t="s">
        <v>912</v>
      </c>
      <c r="E709" s="1">
        <v>3.35562449948547</v>
      </c>
      <c r="F709" s="1">
        <v>2.2363585552521101</v>
      </c>
      <c r="G709">
        <f>VLOOKUP(C709,'[1]phenotypes-895'!$A$2:$G$896,7,FALSE)</f>
        <v>98</v>
      </c>
      <c r="H709" s="15">
        <v>30</v>
      </c>
    </row>
    <row r="710" spans="1:8" x14ac:dyDescent="0.2">
      <c r="A710">
        <v>427</v>
      </c>
      <c r="B710">
        <v>49</v>
      </c>
      <c r="C710" t="s">
        <v>426</v>
      </c>
      <c r="D710" s="13" t="s">
        <v>912</v>
      </c>
      <c r="E710" s="1">
        <v>3.3609481409626998</v>
      </c>
      <c r="F710" s="1">
        <v>4.8901822553393304</v>
      </c>
      <c r="G710">
        <f>VLOOKUP(C710,'[1]phenotypes-895'!$A$2:$G$896,7,FALSE)</f>
        <v>63</v>
      </c>
      <c r="H710" s="15">
        <v>30</v>
      </c>
    </row>
    <row r="711" spans="1:8" x14ac:dyDescent="0.2">
      <c r="A711">
        <v>647</v>
      </c>
      <c r="B711">
        <v>31</v>
      </c>
      <c r="C711" t="s">
        <v>646</v>
      </c>
      <c r="D711" s="13" t="s">
        <v>913</v>
      </c>
      <c r="E711" s="1">
        <v>3.37589241972772</v>
      </c>
      <c r="F711" s="1">
        <v>2.7112705724356601</v>
      </c>
      <c r="G711">
        <f>VLOOKUP(C711,'[1]phenotypes-895'!$A$2:$G$896,7,FALSE)</f>
        <v>84</v>
      </c>
      <c r="H711" s="15">
        <v>30</v>
      </c>
    </row>
    <row r="712" spans="1:8" x14ac:dyDescent="0.2">
      <c r="A712">
        <v>624</v>
      </c>
      <c r="B712">
        <v>27</v>
      </c>
      <c r="C712" t="s">
        <v>623</v>
      </c>
      <c r="D712" s="13" t="s">
        <v>913</v>
      </c>
      <c r="E712" s="1">
        <v>3.3770014391737</v>
      </c>
      <c r="F712" s="1">
        <v>1.53179503584347</v>
      </c>
      <c r="G712">
        <f>VLOOKUP(C712,'[1]phenotypes-895'!$A$2:$G$896,7,FALSE)</f>
        <v>58</v>
      </c>
      <c r="H712" s="15">
        <v>30</v>
      </c>
    </row>
    <row r="713" spans="1:8" x14ac:dyDescent="0.2">
      <c r="A713">
        <v>306</v>
      </c>
      <c r="B713">
        <v>8</v>
      </c>
      <c r="C713" t="s">
        <v>305</v>
      </c>
      <c r="D713" s="12" t="s">
        <v>913</v>
      </c>
      <c r="E713" s="1">
        <v>3.3820811357131699</v>
      </c>
      <c r="F713" s="1">
        <v>1.3811088886988601</v>
      </c>
      <c r="G713">
        <f>VLOOKUP(C713,'[1]phenotypes-895'!$A$2:$G$896,7,FALSE)</f>
        <v>76</v>
      </c>
      <c r="H713" s="15">
        <v>30</v>
      </c>
    </row>
    <row r="714" spans="1:8" x14ac:dyDescent="0.2">
      <c r="A714">
        <v>870</v>
      </c>
      <c r="B714">
        <v>48</v>
      </c>
      <c r="C714" t="s">
        <v>869</v>
      </c>
      <c r="D714" s="13" t="s">
        <v>912</v>
      </c>
      <c r="E714" s="1">
        <v>3.42835929607807</v>
      </c>
      <c r="F714" s="1">
        <v>5.3610438184343598</v>
      </c>
      <c r="G714">
        <f>VLOOKUP(C714,'[1]phenotypes-895'!$A$2:$G$896,7,FALSE)</f>
        <v>98</v>
      </c>
      <c r="H714" s="15">
        <v>30</v>
      </c>
    </row>
    <row r="715" spans="1:8" x14ac:dyDescent="0.2">
      <c r="A715">
        <v>494</v>
      </c>
      <c r="B715">
        <v>47</v>
      </c>
      <c r="C715" t="s">
        <v>493</v>
      </c>
      <c r="D715" s="13" t="s">
        <v>912</v>
      </c>
      <c r="E715" s="1">
        <v>3.4515141360763799</v>
      </c>
      <c r="F715" s="1">
        <v>5.3662199311339496</v>
      </c>
      <c r="G715">
        <f>VLOOKUP(C715,'[1]phenotypes-895'!$A$2:$G$896,7,FALSE)</f>
        <v>90</v>
      </c>
      <c r="H715" s="15">
        <v>30</v>
      </c>
    </row>
    <row r="716" spans="1:8" x14ac:dyDescent="0.2">
      <c r="A716">
        <v>535</v>
      </c>
      <c r="B716">
        <v>36</v>
      </c>
      <c r="C716" t="s">
        <v>534</v>
      </c>
      <c r="D716" s="13" t="s">
        <v>913</v>
      </c>
      <c r="E716" s="1">
        <v>3.4538347727361298</v>
      </c>
      <c r="F716" s="1">
        <v>4.5653816744090099</v>
      </c>
      <c r="G716">
        <f>VLOOKUP(C716,'[1]phenotypes-895'!$A$2:$G$896,7,FALSE)</f>
        <v>98</v>
      </c>
      <c r="H716" s="15">
        <v>30</v>
      </c>
    </row>
    <row r="717" spans="1:8" x14ac:dyDescent="0.2">
      <c r="A717">
        <v>516</v>
      </c>
      <c r="B717">
        <v>44</v>
      </c>
      <c r="C717" t="s">
        <v>515</v>
      </c>
      <c r="D717" s="13" t="s">
        <v>912</v>
      </c>
      <c r="E717" s="1">
        <v>3.47903111224934</v>
      </c>
      <c r="F717" s="1">
        <v>2.6595889522745599</v>
      </c>
      <c r="G717">
        <f>VLOOKUP(C717,'[1]phenotypes-895'!$A$2:$G$896,7,FALSE)</f>
        <v>98</v>
      </c>
      <c r="H717" s="15">
        <v>20</v>
      </c>
    </row>
    <row r="718" spans="1:8" x14ac:dyDescent="0.2">
      <c r="A718">
        <v>660</v>
      </c>
      <c r="B718">
        <v>34</v>
      </c>
      <c r="C718" t="s">
        <v>659</v>
      </c>
      <c r="D718" s="13" t="s">
        <v>913</v>
      </c>
      <c r="E718" s="1">
        <v>3.49182271317212</v>
      </c>
      <c r="F718" s="1">
        <v>5.0556350388606202</v>
      </c>
      <c r="G718">
        <f>VLOOKUP(C718,'[1]phenotypes-895'!$A$2:$G$896,7,FALSE)</f>
        <v>98</v>
      </c>
      <c r="H718" s="15">
        <v>20</v>
      </c>
    </row>
    <row r="719" spans="1:8" x14ac:dyDescent="0.2">
      <c r="A719">
        <v>800</v>
      </c>
      <c r="B719">
        <v>39</v>
      </c>
      <c r="C719" t="s">
        <v>799</v>
      </c>
      <c r="D719" s="13" t="s">
        <v>913</v>
      </c>
      <c r="E719" s="1">
        <v>3.5259918364785601</v>
      </c>
      <c r="F719" s="1">
        <v>2.9543887127196098</v>
      </c>
      <c r="G719">
        <f>VLOOKUP(C719,'[1]phenotypes-895'!$A$2:$G$896,7,FALSE)</f>
        <v>98</v>
      </c>
      <c r="H719" s="15">
        <v>20</v>
      </c>
    </row>
    <row r="720" spans="1:8" x14ac:dyDescent="0.2">
      <c r="A720">
        <v>643</v>
      </c>
      <c r="B720">
        <v>22</v>
      </c>
      <c r="C720" t="s">
        <v>642</v>
      </c>
      <c r="D720" s="13" t="s">
        <v>913</v>
      </c>
      <c r="E720" s="1">
        <v>3.54714076585595</v>
      </c>
      <c r="F720" s="1">
        <v>3.7367509435660802</v>
      </c>
      <c r="G720">
        <f>VLOOKUP(C720,'[1]phenotypes-895'!$A$2:$G$896,7,FALSE)</f>
        <v>98</v>
      </c>
      <c r="H720" s="15">
        <v>20</v>
      </c>
    </row>
    <row r="721" spans="1:8" x14ac:dyDescent="0.2">
      <c r="A721">
        <v>3</v>
      </c>
      <c r="B721">
        <v>8</v>
      </c>
      <c r="C721" t="s">
        <v>2</v>
      </c>
      <c r="D721" s="12" t="s">
        <v>913</v>
      </c>
      <c r="E721" s="1">
        <v>3.55930469516194</v>
      </c>
      <c r="F721" s="1">
        <v>1.5252055550029799</v>
      </c>
      <c r="G721">
        <f>VLOOKUP(C721,'[1]phenotypes-895'!$A$2:$G$896,7,FALSE)</f>
        <v>76</v>
      </c>
      <c r="H721" s="15">
        <v>20</v>
      </c>
    </row>
    <row r="722" spans="1:8" x14ac:dyDescent="0.2">
      <c r="A722">
        <v>378</v>
      </c>
      <c r="B722">
        <v>50</v>
      </c>
      <c r="C722" t="s">
        <v>377</v>
      </c>
      <c r="D722" s="13" t="s">
        <v>912</v>
      </c>
      <c r="E722" s="1">
        <v>3.5806071029691799</v>
      </c>
      <c r="F722" s="1">
        <v>6.09821731722558</v>
      </c>
      <c r="G722">
        <f>VLOOKUP(C722,'[1]phenotypes-895'!$A$2:$G$896,7,FALSE)</f>
        <v>98</v>
      </c>
      <c r="H722" s="15">
        <v>20</v>
      </c>
    </row>
    <row r="723" spans="1:8" x14ac:dyDescent="0.2">
      <c r="A723">
        <v>680</v>
      </c>
      <c r="B723">
        <v>35</v>
      </c>
      <c r="C723" t="s">
        <v>679</v>
      </c>
      <c r="D723" s="13" t="s">
        <v>913</v>
      </c>
      <c r="E723" s="1">
        <v>3.6073165697479701</v>
      </c>
      <c r="F723" s="1">
        <v>4.08389893259484</v>
      </c>
      <c r="G723">
        <f>VLOOKUP(C723,'[1]phenotypes-895'!$A$2:$G$896,7,FALSE)</f>
        <v>98</v>
      </c>
      <c r="H723" s="15">
        <v>20</v>
      </c>
    </row>
    <row r="724" spans="1:8" x14ac:dyDescent="0.2">
      <c r="A724">
        <v>84</v>
      </c>
      <c r="B724">
        <v>39</v>
      </c>
      <c r="C724" t="s">
        <v>83</v>
      </c>
      <c r="D724" s="13" t="s">
        <v>913</v>
      </c>
      <c r="E724" s="1">
        <v>3.7226478263747498</v>
      </c>
      <c r="F724" s="1">
        <v>3.2418134448523901</v>
      </c>
      <c r="G724">
        <f>VLOOKUP(C724,'[1]phenotypes-895'!$A$2:$G$896,7,FALSE)</f>
        <v>63</v>
      </c>
      <c r="H724" s="15">
        <v>20</v>
      </c>
    </row>
    <row r="725" spans="1:8" x14ac:dyDescent="0.2">
      <c r="A725">
        <v>386</v>
      </c>
      <c r="B725">
        <v>49</v>
      </c>
      <c r="C725" t="s">
        <v>385</v>
      </c>
      <c r="D725" s="13" t="s">
        <v>912</v>
      </c>
      <c r="E725" s="1">
        <v>3.7279017889339401</v>
      </c>
      <c r="F725" s="1">
        <v>2.36936115331505</v>
      </c>
      <c r="G725">
        <f>VLOOKUP(C725,'[1]phenotypes-895'!$A$2:$G$896,7,FALSE)</f>
        <v>75</v>
      </c>
      <c r="H725" s="15">
        <v>20</v>
      </c>
    </row>
    <row r="726" spans="1:8" x14ac:dyDescent="0.2">
      <c r="A726">
        <v>596</v>
      </c>
      <c r="B726">
        <v>32</v>
      </c>
      <c r="C726" t="s">
        <v>595</v>
      </c>
      <c r="D726" s="13" t="s">
        <v>913</v>
      </c>
      <c r="E726" s="1">
        <v>3.74827939354061</v>
      </c>
      <c r="F726" s="1">
        <v>2.8343282887975199</v>
      </c>
      <c r="G726">
        <f>VLOOKUP(C726,'[1]phenotypes-895'!$A$2:$G$896,7,FALSE)</f>
        <v>98</v>
      </c>
      <c r="H726" s="15">
        <v>20</v>
      </c>
    </row>
    <row r="727" spans="1:8" x14ac:dyDescent="0.2">
      <c r="A727">
        <v>293</v>
      </c>
      <c r="B727">
        <v>7</v>
      </c>
      <c r="C727" t="s">
        <v>292</v>
      </c>
      <c r="D727" s="12" t="s">
        <v>913</v>
      </c>
      <c r="E727" s="1">
        <v>3.7626818495912602</v>
      </c>
      <c r="F727" s="1">
        <v>2.86760531808598</v>
      </c>
      <c r="G727">
        <f>VLOOKUP(C727,'[1]phenotypes-895'!$A$2:$G$896,7,FALSE)</f>
        <v>98</v>
      </c>
      <c r="H727" s="15">
        <v>20</v>
      </c>
    </row>
    <row r="728" spans="1:8" x14ac:dyDescent="0.2">
      <c r="A728">
        <v>462</v>
      </c>
      <c r="B728">
        <v>32</v>
      </c>
      <c r="C728" t="s">
        <v>461</v>
      </c>
      <c r="D728" s="13" t="s">
        <v>913</v>
      </c>
      <c r="E728" s="1">
        <v>3.7846169883459999</v>
      </c>
      <c r="F728" s="1">
        <v>4.7741408973888397</v>
      </c>
      <c r="G728">
        <f>VLOOKUP(C728,'[1]phenotypes-895'!$A$2:$G$896,7,FALSE)</f>
        <v>89</v>
      </c>
      <c r="H728" s="15">
        <v>20</v>
      </c>
    </row>
    <row r="729" spans="1:8" x14ac:dyDescent="0.2">
      <c r="A729">
        <v>573</v>
      </c>
      <c r="B729">
        <v>45</v>
      </c>
      <c r="C729" t="s">
        <v>572</v>
      </c>
      <c r="D729" s="13" t="s">
        <v>912</v>
      </c>
      <c r="E729" s="1">
        <v>3.8213209038812699</v>
      </c>
      <c r="F729" s="1">
        <v>6.2209696562644101</v>
      </c>
      <c r="G729">
        <f>VLOOKUP(C729,'[1]phenotypes-895'!$A$2:$G$896,7,FALSE)</f>
        <v>98</v>
      </c>
      <c r="H729" s="15">
        <v>20</v>
      </c>
    </row>
    <row r="730" spans="1:8" x14ac:dyDescent="0.2">
      <c r="A730">
        <v>736</v>
      </c>
      <c r="B730">
        <v>29</v>
      </c>
      <c r="C730" t="s">
        <v>735</v>
      </c>
      <c r="D730" s="13" t="s">
        <v>913</v>
      </c>
      <c r="E730" s="1">
        <v>3.8349441234017001</v>
      </c>
      <c r="F730" s="1">
        <v>5.8576964331179404</v>
      </c>
      <c r="G730">
        <f>VLOOKUP(C730,'[1]phenotypes-895'!$A$2:$G$896,7,FALSE)</f>
        <v>98</v>
      </c>
      <c r="H730" s="15">
        <v>20</v>
      </c>
    </row>
    <row r="731" spans="1:8" x14ac:dyDescent="0.2">
      <c r="A731">
        <v>723</v>
      </c>
      <c r="B731">
        <v>53</v>
      </c>
      <c r="C731" t="s">
        <v>722</v>
      </c>
      <c r="D731" s="13" t="s">
        <v>912</v>
      </c>
      <c r="E731" s="1">
        <v>3.8512339508192599</v>
      </c>
      <c r="F731" s="1">
        <v>5.4975027689279603</v>
      </c>
      <c r="G731">
        <f>VLOOKUP(C731,'[1]phenotypes-895'!$A$2:$G$896,7,FALSE)</f>
        <v>98</v>
      </c>
      <c r="H731" s="15">
        <v>20</v>
      </c>
    </row>
    <row r="732" spans="1:8" x14ac:dyDescent="0.2">
      <c r="A732">
        <v>631</v>
      </c>
      <c r="B732">
        <v>28</v>
      </c>
      <c r="C732" t="s">
        <v>630</v>
      </c>
      <c r="D732" s="13" t="s">
        <v>913</v>
      </c>
      <c r="E732" s="1">
        <v>3.8549067807019401</v>
      </c>
      <c r="F732" s="1">
        <v>2.9487085564432101</v>
      </c>
      <c r="G732">
        <f>VLOOKUP(C732,'[1]phenotypes-895'!$A$2:$G$896,7,FALSE)</f>
        <v>98</v>
      </c>
      <c r="H732" s="15">
        <v>20</v>
      </c>
    </row>
    <row r="733" spans="1:8" x14ac:dyDescent="0.2">
      <c r="A733">
        <v>716</v>
      </c>
      <c r="B733">
        <v>50</v>
      </c>
      <c r="C733" t="s">
        <v>715</v>
      </c>
      <c r="D733" s="13" t="s">
        <v>912</v>
      </c>
      <c r="E733" s="1">
        <v>3.8825961825921702</v>
      </c>
      <c r="F733" s="1">
        <v>6.8725379514086899</v>
      </c>
      <c r="G733">
        <f>VLOOKUP(C733,'[1]phenotypes-895'!$A$2:$G$896,7,FALSE)</f>
        <v>98</v>
      </c>
      <c r="H733" s="15">
        <v>20</v>
      </c>
    </row>
    <row r="734" spans="1:8" x14ac:dyDescent="0.2">
      <c r="A734">
        <v>240</v>
      </c>
      <c r="B734">
        <v>6</v>
      </c>
      <c r="C734" t="s">
        <v>239</v>
      </c>
      <c r="D734" s="12" t="s">
        <v>913</v>
      </c>
      <c r="E734" s="1">
        <v>3.8998861924724602</v>
      </c>
      <c r="F734" s="1">
        <v>2.2022509295149302</v>
      </c>
      <c r="G734">
        <f>VLOOKUP(C734,'[1]phenotypes-895'!$A$2:$G$896,7,FALSE)</f>
        <v>98</v>
      </c>
      <c r="H734" s="15">
        <v>20</v>
      </c>
    </row>
    <row r="735" spans="1:8" x14ac:dyDescent="0.2">
      <c r="A735">
        <v>813</v>
      </c>
      <c r="B735">
        <v>23</v>
      </c>
      <c r="C735" t="s">
        <v>812</v>
      </c>
      <c r="D735" s="13" t="s">
        <v>913</v>
      </c>
      <c r="E735" s="1">
        <v>3.9189538498796299</v>
      </c>
      <c r="F735" s="1">
        <v>3.9073680675667499</v>
      </c>
      <c r="G735">
        <f>VLOOKUP(C735,'[1]phenotypes-895'!$A$2:$G$896,7,FALSE)</f>
        <v>89</v>
      </c>
      <c r="H735" s="15">
        <v>20</v>
      </c>
    </row>
    <row r="736" spans="1:8" x14ac:dyDescent="0.2">
      <c r="A736">
        <v>650</v>
      </c>
      <c r="B736">
        <v>31</v>
      </c>
      <c r="C736" t="s">
        <v>649</v>
      </c>
      <c r="D736" s="13" t="s">
        <v>913</v>
      </c>
      <c r="E736" s="1">
        <v>3.93701062101022</v>
      </c>
      <c r="F736" s="1">
        <v>2.6225811329376301</v>
      </c>
      <c r="G736">
        <f>VLOOKUP(C736,'[1]phenotypes-895'!$A$2:$G$896,7,FALSE)</f>
        <v>98</v>
      </c>
      <c r="H736" s="15">
        <v>20</v>
      </c>
    </row>
    <row r="737" spans="1:8" x14ac:dyDescent="0.2">
      <c r="A737">
        <v>203</v>
      </c>
      <c r="B737">
        <v>8</v>
      </c>
      <c r="C737" t="s">
        <v>202</v>
      </c>
      <c r="D737" s="12" t="s">
        <v>913</v>
      </c>
      <c r="E737" s="1">
        <v>3.94711222504489</v>
      </c>
      <c r="F737" s="1">
        <v>2.7598553190367401</v>
      </c>
      <c r="G737">
        <f>VLOOKUP(C737,'[1]phenotypes-895'!$A$2:$G$896,7,FALSE)</f>
        <v>76</v>
      </c>
      <c r="H737" s="15">
        <v>20</v>
      </c>
    </row>
    <row r="738" spans="1:8" x14ac:dyDescent="0.2">
      <c r="A738">
        <v>775</v>
      </c>
      <c r="B738">
        <v>21</v>
      </c>
      <c r="C738" t="s">
        <v>774</v>
      </c>
      <c r="D738" s="13" t="s">
        <v>913</v>
      </c>
      <c r="E738" s="1">
        <v>3.9552463230602499</v>
      </c>
      <c r="F738" s="1">
        <v>3.1314742263592801</v>
      </c>
      <c r="G738">
        <f>VLOOKUP(C738,'[1]phenotypes-895'!$A$2:$G$896,7,FALSE)</f>
        <v>98</v>
      </c>
      <c r="H738" s="15">
        <v>20</v>
      </c>
    </row>
    <row r="739" spans="1:8" x14ac:dyDescent="0.2">
      <c r="A739">
        <v>338</v>
      </c>
      <c r="B739">
        <v>8</v>
      </c>
      <c r="C739" t="s">
        <v>337</v>
      </c>
      <c r="D739" s="12" t="s">
        <v>913</v>
      </c>
      <c r="E739" s="1">
        <v>3.9724198822505201</v>
      </c>
      <c r="F739" s="1">
        <v>1.9364441457505099</v>
      </c>
      <c r="G739">
        <f>VLOOKUP(C739,'[1]phenotypes-895'!$A$2:$G$896,7,FALSE)</f>
        <v>76</v>
      </c>
      <c r="H739" s="15">
        <v>20</v>
      </c>
    </row>
    <row r="740" spans="1:8" x14ac:dyDescent="0.2">
      <c r="A740">
        <v>432</v>
      </c>
      <c r="B740">
        <v>50</v>
      </c>
      <c r="C740" t="s">
        <v>431</v>
      </c>
      <c r="D740" s="13" t="s">
        <v>912</v>
      </c>
      <c r="E740" s="1">
        <v>3.9752450150886198</v>
      </c>
      <c r="F740" s="1">
        <v>5.1645111422493102</v>
      </c>
      <c r="G740">
        <f>VLOOKUP(C740,'[1]phenotypes-895'!$A$2:$G$896,7,FALSE)</f>
        <v>98</v>
      </c>
      <c r="H740" s="15">
        <v>20</v>
      </c>
    </row>
    <row r="741" spans="1:8" x14ac:dyDescent="0.2">
      <c r="A741">
        <v>558</v>
      </c>
      <c r="B741">
        <v>39</v>
      </c>
      <c r="C741" t="s">
        <v>557</v>
      </c>
      <c r="D741" s="13" t="s">
        <v>913</v>
      </c>
      <c r="E741" s="1">
        <v>3.98773908564158</v>
      </c>
      <c r="F741" s="1">
        <v>3.0302426325419498</v>
      </c>
      <c r="G741">
        <f>VLOOKUP(C741,'[1]phenotypes-895'!$A$2:$G$896,7,FALSE)</f>
        <v>78</v>
      </c>
      <c r="H741" s="15">
        <v>20</v>
      </c>
    </row>
    <row r="742" spans="1:8" x14ac:dyDescent="0.2">
      <c r="A742">
        <v>2</v>
      </c>
      <c r="B742">
        <v>8</v>
      </c>
      <c r="C742" t="s">
        <v>1</v>
      </c>
      <c r="D742" s="12" t="s">
        <v>913</v>
      </c>
      <c r="E742" s="1">
        <v>4.0185399423174601</v>
      </c>
      <c r="F742" s="1">
        <v>2.5085230224527102</v>
      </c>
      <c r="G742">
        <f>VLOOKUP(C742,'[1]phenotypes-895'!$A$2:$G$896,7,FALSE)</f>
        <v>98</v>
      </c>
      <c r="H742" s="15">
        <v>20</v>
      </c>
    </row>
    <row r="743" spans="1:8" x14ac:dyDescent="0.2">
      <c r="A743">
        <v>308</v>
      </c>
      <c r="B743">
        <v>7</v>
      </c>
      <c r="C743" t="s">
        <v>307</v>
      </c>
      <c r="D743" s="12" t="s">
        <v>913</v>
      </c>
      <c r="E743" s="1">
        <v>4.0487681812269196</v>
      </c>
      <c r="F743" s="1">
        <v>2.7436899843816098</v>
      </c>
      <c r="G743">
        <f>VLOOKUP(C743,'[1]phenotypes-895'!$A$2:$G$896,7,FALSE)</f>
        <v>98</v>
      </c>
      <c r="H743" s="15">
        <v>20</v>
      </c>
    </row>
    <row r="744" spans="1:8" x14ac:dyDescent="0.2">
      <c r="A744">
        <v>429</v>
      </c>
      <c r="B744">
        <v>50</v>
      </c>
      <c r="C744" t="s">
        <v>428</v>
      </c>
      <c r="D744" s="13" t="s">
        <v>912</v>
      </c>
      <c r="E744" s="1">
        <v>4.0624680563467601</v>
      </c>
      <c r="F744" s="1">
        <v>6.3952503947185697</v>
      </c>
      <c r="G744">
        <f>VLOOKUP(C744,'[1]phenotypes-895'!$A$2:$G$896,7,FALSE)</f>
        <v>98</v>
      </c>
      <c r="H744" s="15">
        <v>20</v>
      </c>
    </row>
    <row r="745" spans="1:8" x14ac:dyDescent="0.2">
      <c r="A745">
        <v>869</v>
      </c>
      <c r="B745">
        <v>52</v>
      </c>
      <c r="C745" t="s">
        <v>868</v>
      </c>
      <c r="D745" s="13" t="s">
        <v>912</v>
      </c>
      <c r="E745" s="1">
        <v>4.0683570596656704</v>
      </c>
      <c r="F745" s="1">
        <v>3.85767957765021</v>
      </c>
      <c r="G745">
        <f>VLOOKUP(C745,'[1]phenotypes-895'!$A$2:$G$896,7,FALSE)</f>
        <v>74</v>
      </c>
      <c r="H745" s="15">
        <v>20</v>
      </c>
    </row>
    <row r="746" spans="1:8" x14ac:dyDescent="0.2">
      <c r="A746">
        <v>826</v>
      </c>
      <c r="B746">
        <v>49</v>
      </c>
      <c r="C746" t="s">
        <v>825</v>
      </c>
      <c r="D746" s="13" t="s">
        <v>912</v>
      </c>
      <c r="E746" s="1">
        <v>4.0905006010057701</v>
      </c>
      <c r="F746" s="1">
        <v>5.8606530529788703</v>
      </c>
      <c r="G746">
        <f>VLOOKUP(C746,'[1]phenotypes-895'!$A$2:$G$896,7,FALSE)</f>
        <v>98</v>
      </c>
      <c r="H746" s="15">
        <v>20</v>
      </c>
    </row>
    <row r="747" spans="1:8" x14ac:dyDescent="0.2">
      <c r="A747">
        <v>765</v>
      </c>
      <c r="B747">
        <v>26</v>
      </c>
      <c r="C747" t="s">
        <v>764</v>
      </c>
      <c r="D747" s="13" t="s">
        <v>913</v>
      </c>
      <c r="E747" s="1">
        <v>4.1367334447853796</v>
      </c>
      <c r="F747" s="1">
        <v>3.5517481958058599</v>
      </c>
      <c r="G747">
        <f>VLOOKUP(C747,'[1]phenotypes-895'!$A$2:$G$896,7,FALSE)</f>
        <v>71</v>
      </c>
      <c r="H747" s="15">
        <v>20</v>
      </c>
    </row>
    <row r="748" spans="1:8" x14ac:dyDescent="0.2">
      <c r="A748">
        <v>633</v>
      </c>
      <c r="B748">
        <v>23</v>
      </c>
      <c r="C748" t="s">
        <v>632</v>
      </c>
      <c r="D748" s="13" t="s">
        <v>913</v>
      </c>
      <c r="E748" s="1">
        <v>4.1479442200408503</v>
      </c>
      <c r="F748" s="1">
        <v>3.7428032902188799</v>
      </c>
      <c r="G748">
        <f>VLOOKUP(C748,'[1]phenotypes-895'!$A$2:$G$896,7,FALSE)</f>
        <v>98</v>
      </c>
      <c r="H748" s="15">
        <v>20</v>
      </c>
    </row>
    <row r="749" spans="1:8" x14ac:dyDescent="0.2">
      <c r="A749">
        <v>839</v>
      </c>
      <c r="B749">
        <v>37</v>
      </c>
      <c r="C749" t="s">
        <v>838</v>
      </c>
      <c r="D749" s="13" t="s">
        <v>913</v>
      </c>
      <c r="E749" s="1">
        <v>4.1498698358368999</v>
      </c>
      <c r="F749" s="1">
        <v>4.3579975165664999</v>
      </c>
      <c r="G749">
        <f>VLOOKUP(C749,'[1]phenotypes-895'!$A$2:$G$896,7,FALSE)</f>
        <v>98</v>
      </c>
      <c r="H749" s="15">
        <v>20</v>
      </c>
    </row>
    <row r="750" spans="1:8" x14ac:dyDescent="0.2">
      <c r="A750">
        <v>453</v>
      </c>
      <c r="B750">
        <v>53</v>
      </c>
      <c r="C750" t="s">
        <v>452</v>
      </c>
      <c r="D750" s="13" t="s">
        <v>912</v>
      </c>
      <c r="E750" s="1">
        <v>4.1674438599312902</v>
      </c>
      <c r="F750" s="1">
        <v>5.2872768264483501</v>
      </c>
      <c r="G750">
        <f>VLOOKUP(C750,'[1]phenotypes-895'!$A$2:$G$896,7,FALSE)</f>
        <v>98</v>
      </c>
      <c r="H750" s="15">
        <v>20</v>
      </c>
    </row>
    <row r="751" spans="1:8" x14ac:dyDescent="0.2">
      <c r="A751">
        <v>677</v>
      </c>
      <c r="B751">
        <v>31</v>
      </c>
      <c r="C751" t="s">
        <v>676</v>
      </c>
      <c r="D751" s="13" t="s">
        <v>913</v>
      </c>
      <c r="E751" s="1">
        <v>4.1849199610878101</v>
      </c>
      <c r="F751" s="1">
        <v>3.7746753089588299</v>
      </c>
      <c r="G751">
        <f>VLOOKUP(C751,'[1]phenotypes-895'!$A$2:$G$896,7,FALSE)</f>
        <v>86</v>
      </c>
      <c r="H751" s="15">
        <v>20</v>
      </c>
    </row>
    <row r="752" spans="1:8" x14ac:dyDescent="0.2">
      <c r="A752">
        <v>607</v>
      </c>
      <c r="B752">
        <v>34</v>
      </c>
      <c r="C752" t="s">
        <v>606</v>
      </c>
      <c r="D752" s="13" t="s">
        <v>913</v>
      </c>
      <c r="E752" s="1">
        <v>4.1854909482621503</v>
      </c>
      <c r="F752" s="1">
        <v>1.9324070449978099</v>
      </c>
      <c r="G752">
        <f>VLOOKUP(C752,'[1]phenotypes-895'!$A$2:$G$896,7,FALSE)</f>
        <v>98</v>
      </c>
      <c r="H752" s="15">
        <v>20</v>
      </c>
    </row>
    <row r="753" spans="1:8" x14ac:dyDescent="0.2">
      <c r="A753">
        <v>377</v>
      </c>
      <c r="B753">
        <v>41</v>
      </c>
      <c r="C753" t="s">
        <v>376</v>
      </c>
      <c r="D753" s="13" t="s">
        <v>912</v>
      </c>
      <c r="E753" s="1">
        <v>4.2037489265058898</v>
      </c>
      <c r="F753" s="1">
        <v>5.1514822994522804</v>
      </c>
      <c r="G753">
        <f>VLOOKUP(C753,'[1]phenotypes-895'!$A$2:$G$896,7,FALSE)</f>
        <v>98</v>
      </c>
      <c r="H753" s="15">
        <v>20</v>
      </c>
    </row>
    <row r="754" spans="1:8" x14ac:dyDescent="0.2">
      <c r="A754">
        <v>873</v>
      </c>
      <c r="B754">
        <v>31</v>
      </c>
      <c r="C754" t="s">
        <v>872</v>
      </c>
      <c r="D754" s="13" t="s">
        <v>913</v>
      </c>
      <c r="E754" s="1">
        <v>4.2060871034916198</v>
      </c>
      <c r="F754" s="1">
        <v>4.0372885263542404</v>
      </c>
      <c r="G754">
        <f>VLOOKUP(C754,'[1]phenotypes-895'!$A$2:$G$896,7,FALSE)</f>
        <v>98</v>
      </c>
      <c r="H754" s="15">
        <v>20</v>
      </c>
    </row>
    <row r="755" spans="1:8" x14ac:dyDescent="0.2">
      <c r="A755">
        <v>745</v>
      </c>
      <c r="B755">
        <v>23</v>
      </c>
      <c r="C755" t="s">
        <v>744</v>
      </c>
      <c r="D755" s="13" t="s">
        <v>913</v>
      </c>
      <c r="E755" s="1">
        <v>4.2109793984427997</v>
      </c>
      <c r="F755" s="1">
        <v>4.4558632696179696</v>
      </c>
      <c r="G755">
        <f>VLOOKUP(C755,'[1]phenotypes-895'!$A$2:$G$896,7,FALSE)</f>
        <v>98</v>
      </c>
      <c r="H755" s="15">
        <v>20</v>
      </c>
    </row>
    <row r="756" spans="1:8" x14ac:dyDescent="0.2">
      <c r="A756">
        <v>373</v>
      </c>
      <c r="B756">
        <v>50</v>
      </c>
      <c r="C756" t="s">
        <v>372</v>
      </c>
      <c r="D756" s="13" t="s">
        <v>912</v>
      </c>
      <c r="E756" s="1">
        <v>4.2155241860900601</v>
      </c>
      <c r="F756" s="1">
        <v>5.9828552755867896</v>
      </c>
      <c r="G756">
        <f>VLOOKUP(C756,'[1]phenotypes-895'!$A$2:$G$896,7,FALSE)</f>
        <v>98</v>
      </c>
      <c r="H756" s="15">
        <v>20</v>
      </c>
    </row>
    <row r="757" spans="1:8" x14ac:dyDescent="0.2">
      <c r="A757">
        <v>274</v>
      </c>
      <c r="B757">
        <v>2</v>
      </c>
      <c r="C757" t="s">
        <v>273</v>
      </c>
      <c r="D757" s="12" t="s">
        <v>913</v>
      </c>
      <c r="E757" s="1">
        <v>4.2217807945835002</v>
      </c>
      <c r="F757" s="1">
        <v>5.1209613549980704</v>
      </c>
      <c r="G757">
        <f>VLOOKUP(C757,'[1]phenotypes-895'!$A$2:$G$896,7,FALSE)</f>
        <v>98</v>
      </c>
      <c r="H757" s="15">
        <v>20</v>
      </c>
    </row>
    <row r="758" spans="1:8" x14ac:dyDescent="0.2">
      <c r="A758">
        <v>791</v>
      </c>
      <c r="B758">
        <v>25</v>
      </c>
      <c r="C758" t="s">
        <v>790</v>
      </c>
      <c r="D758" s="13" t="s">
        <v>913</v>
      </c>
      <c r="E758" s="1">
        <v>4.2289158718849302</v>
      </c>
      <c r="F758" s="1">
        <v>4.0300089923045599</v>
      </c>
      <c r="G758">
        <f>VLOOKUP(C758,'[1]phenotypes-895'!$A$2:$G$896,7,FALSE)</f>
        <v>98</v>
      </c>
      <c r="H758" s="15">
        <v>20</v>
      </c>
    </row>
    <row r="759" spans="1:8" x14ac:dyDescent="0.2">
      <c r="A759">
        <v>730</v>
      </c>
      <c r="B759">
        <v>25</v>
      </c>
      <c r="C759" t="s">
        <v>729</v>
      </c>
      <c r="D759" s="13" t="s">
        <v>913</v>
      </c>
      <c r="E759" s="1">
        <v>4.2316964621861901</v>
      </c>
      <c r="F759" s="1">
        <v>2.6886187992112398</v>
      </c>
      <c r="G759">
        <f>VLOOKUP(C759,'[1]phenotypes-895'!$A$2:$G$896,7,FALSE)</f>
        <v>77</v>
      </c>
      <c r="H759" s="15">
        <v>20</v>
      </c>
    </row>
    <row r="760" spans="1:8" x14ac:dyDescent="0.2">
      <c r="A760">
        <v>501</v>
      </c>
      <c r="B760">
        <v>49</v>
      </c>
      <c r="C760" t="s">
        <v>500</v>
      </c>
      <c r="D760" s="13" t="s">
        <v>912</v>
      </c>
      <c r="E760" s="1">
        <v>4.2361655504589901</v>
      </c>
      <c r="F760" s="1">
        <v>3.4393455467195699</v>
      </c>
      <c r="G760">
        <f>VLOOKUP(C760,'[1]phenotypes-895'!$A$2:$G$896,7,FALSE)</f>
        <v>98</v>
      </c>
      <c r="H760" s="15">
        <v>20</v>
      </c>
    </row>
    <row r="761" spans="1:8" x14ac:dyDescent="0.2">
      <c r="A761">
        <v>758</v>
      </c>
      <c r="B761">
        <v>51</v>
      </c>
      <c r="C761" t="s">
        <v>757</v>
      </c>
      <c r="D761" s="13" t="s">
        <v>912</v>
      </c>
      <c r="E761" s="1">
        <v>4.2911540428392998</v>
      </c>
      <c r="F761" s="1">
        <v>7.2653241393763901</v>
      </c>
      <c r="G761">
        <f>VLOOKUP(C761,'[1]phenotypes-895'!$A$2:$G$896,7,FALSE)</f>
        <v>98</v>
      </c>
      <c r="H761" s="15">
        <v>20</v>
      </c>
    </row>
    <row r="762" spans="1:8" x14ac:dyDescent="0.2">
      <c r="A762">
        <v>756</v>
      </c>
      <c r="B762">
        <v>37</v>
      </c>
      <c r="C762" t="s">
        <v>755</v>
      </c>
      <c r="D762" s="13" t="s">
        <v>913</v>
      </c>
      <c r="E762" s="1">
        <v>4.31982421831359</v>
      </c>
      <c r="F762" s="1">
        <v>5.17559089143045</v>
      </c>
      <c r="G762">
        <f>VLOOKUP(C762,'[1]phenotypes-895'!$A$2:$G$896,7,FALSE)</f>
        <v>98</v>
      </c>
      <c r="H762" s="15">
        <v>20</v>
      </c>
    </row>
    <row r="763" spans="1:8" x14ac:dyDescent="0.2">
      <c r="A763">
        <v>497</v>
      </c>
      <c r="B763">
        <v>54</v>
      </c>
      <c r="C763" t="s">
        <v>496</v>
      </c>
      <c r="D763" s="13" t="s">
        <v>912</v>
      </c>
      <c r="E763" s="1">
        <v>4.3204311391964101</v>
      </c>
      <c r="F763" s="1">
        <v>2.1195281546848501</v>
      </c>
      <c r="G763">
        <f>VLOOKUP(C763,'[1]phenotypes-895'!$A$2:$G$896,7,FALSE)</f>
        <v>98</v>
      </c>
      <c r="H763" s="15">
        <v>20</v>
      </c>
    </row>
    <row r="764" spans="1:8" x14ac:dyDescent="0.2">
      <c r="A764">
        <v>390</v>
      </c>
      <c r="B764">
        <v>42</v>
      </c>
      <c r="C764" t="s">
        <v>389</v>
      </c>
      <c r="D764" s="13" t="s">
        <v>912</v>
      </c>
      <c r="E764" s="1">
        <v>4.3360946091663299</v>
      </c>
      <c r="F764" s="1">
        <v>4.4719288352750404</v>
      </c>
      <c r="G764">
        <f>VLOOKUP(C764,'[1]phenotypes-895'!$A$2:$G$896,7,FALSE)</f>
        <v>98</v>
      </c>
      <c r="H764" s="15">
        <v>20</v>
      </c>
    </row>
    <row r="765" spans="1:8" x14ac:dyDescent="0.2">
      <c r="A765">
        <v>117</v>
      </c>
      <c r="B765">
        <v>36</v>
      </c>
      <c r="C765" t="s">
        <v>116</v>
      </c>
      <c r="D765" s="13" t="s">
        <v>913</v>
      </c>
      <c r="E765" s="1">
        <v>4.3541399634978202</v>
      </c>
      <c r="F765" s="1">
        <v>5.4849175042705403</v>
      </c>
      <c r="G765">
        <f>VLOOKUP(C765,'[1]phenotypes-895'!$A$2:$G$896,7,FALSE)</f>
        <v>70</v>
      </c>
      <c r="H765" s="15">
        <v>20</v>
      </c>
    </row>
    <row r="766" spans="1:8" x14ac:dyDescent="0.2">
      <c r="A766">
        <v>687</v>
      </c>
      <c r="B766">
        <v>44</v>
      </c>
      <c r="C766" t="s">
        <v>686</v>
      </c>
      <c r="D766" s="13" t="s">
        <v>912</v>
      </c>
      <c r="E766" s="1">
        <v>4.3728865909896699</v>
      </c>
      <c r="F766" s="1">
        <v>6.6995568928147504</v>
      </c>
      <c r="G766">
        <f>VLOOKUP(C766,'[1]phenotypes-895'!$A$2:$G$896,7,FALSE)</f>
        <v>62</v>
      </c>
      <c r="H766" s="15">
        <v>20</v>
      </c>
    </row>
    <row r="767" spans="1:8" x14ac:dyDescent="0.2">
      <c r="A767">
        <v>621</v>
      </c>
      <c r="B767">
        <v>25</v>
      </c>
      <c r="C767" t="s">
        <v>620</v>
      </c>
      <c r="D767" s="13" t="s">
        <v>913</v>
      </c>
      <c r="E767" s="1">
        <v>4.4239950818857299</v>
      </c>
      <c r="F767" s="1">
        <v>3.9917592289895198</v>
      </c>
      <c r="G767">
        <f>VLOOKUP(C767,'[1]phenotypes-895'!$A$2:$G$896,7,FALSE)</f>
        <v>94</v>
      </c>
      <c r="H767" s="15">
        <v>20</v>
      </c>
    </row>
    <row r="768" spans="1:8" x14ac:dyDescent="0.2">
      <c r="A768">
        <v>503</v>
      </c>
      <c r="B768">
        <v>52</v>
      </c>
      <c r="C768" t="s">
        <v>502</v>
      </c>
      <c r="D768" s="13" t="s">
        <v>912</v>
      </c>
      <c r="E768" s="1">
        <v>4.4407835854763604</v>
      </c>
      <c r="F768" s="1">
        <v>3.7223836878641801</v>
      </c>
      <c r="G768">
        <f>VLOOKUP(C768,'[1]phenotypes-895'!$A$2:$G$896,7,FALSE)</f>
        <v>83</v>
      </c>
      <c r="H768" s="15">
        <v>20</v>
      </c>
    </row>
    <row r="769" spans="1:8" x14ac:dyDescent="0.2">
      <c r="A769">
        <v>14</v>
      </c>
      <c r="B769">
        <v>8</v>
      </c>
      <c r="C769" t="s">
        <v>13</v>
      </c>
      <c r="D769" s="12" t="s">
        <v>913</v>
      </c>
      <c r="E769" s="1">
        <v>4.4496792629058799</v>
      </c>
      <c r="F769" s="1">
        <v>3.06513670417388</v>
      </c>
      <c r="G769">
        <f>VLOOKUP(C769,'[1]phenotypes-895'!$A$2:$G$896,7,FALSE)</f>
        <v>72</v>
      </c>
      <c r="H769" s="15">
        <v>20</v>
      </c>
    </row>
    <row r="770" spans="1:8" x14ac:dyDescent="0.2">
      <c r="A770">
        <v>777</v>
      </c>
      <c r="B770">
        <v>39</v>
      </c>
      <c r="C770" t="s">
        <v>776</v>
      </c>
      <c r="D770" s="13" t="s">
        <v>913</v>
      </c>
      <c r="E770" s="1">
        <v>4.4507370903114403</v>
      </c>
      <c r="F770" s="1">
        <v>4.2491681670174</v>
      </c>
      <c r="G770">
        <f>VLOOKUP(C770,'[1]phenotypes-895'!$A$2:$G$896,7,FALSE)</f>
        <v>98</v>
      </c>
      <c r="H770" s="15">
        <v>20</v>
      </c>
    </row>
    <row r="771" spans="1:8" x14ac:dyDescent="0.2">
      <c r="A771">
        <v>426</v>
      </c>
      <c r="B771">
        <v>50</v>
      </c>
      <c r="C771" t="s">
        <v>425</v>
      </c>
      <c r="D771" s="13" t="s">
        <v>912</v>
      </c>
      <c r="E771" s="1">
        <v>4.4769087832134504</v>
      </c>
      <c r="F771" s="1">
        <v>5.4920118764738604</v>
      </c>
      <c r="G771">
        <f>VLOOKUP(C771,'[1]phenotypes-895'!$A$2:$G$896,7,FALSE)</f>
        <v>98</v>
      </c>
      <c r="H771" s="15">
        <v>20</v>
      </c>
    </row>
    <row r="772" spans="1:8" x14ac:dyDescent="0.2">
      <c r="A772">
        <v>405</v>
      </c>
      <c r="B772">
        <v>48</v>
      </c>
      <c r="C772" t="s">
        <v>404</v>
      </c>
      <c r="D772" s="13" t="s">
        <v>912</v>
      </c>
      <c r="E772" s="1">
        <v>4.5110025673214196</v>
      </c>
      <c r="F772" s="1">
        <v>3.9535652223487601</v>
      </c>
      <c r="G772">
        <f>VLOOKUP(C772,'[1]phenotypes-895'!$A$2:$G$896,7,FALSE)</f>
        <v>98</v>
      </c>
      <c r="H772" s="15">
        <v>20</v>
      </c>
    </row>
    <row r="773" spans="1:8" x14ac:dyDescent="0.2">
      <c r="A773">
        <v>348</v>
      </c>
      <c r="B773">
        <v>36</v>
      </c>
      <c r="C773" t="s">
        <v>347</v>
      </c>
      <c r="D773" s="13" t="s">
        <v>913</v>
      </c>
      <c r="E773" s="1">
        <v>4.5118218275171502</v>
      </c>
      <c r="F773" s="1">
        <v>5.6663027961698296</v>
      </c>
      <c r="G773">
        <f>VLOOKUP(C773,'[1]phenotypes-895'!$A$2:$G$896,7,FALSE)</f>
        <v>84</v>
      </c>
      <c r="H773" s="15">
        <v>20</v>
      </c>
    </row>
    <row r="774" spans="1:8" x14ac:dyDescent="0.2">
      <c r="A774">
        <v>557</v>
      </c>
      <c r="B774">
        <v>33</v>
      </c>
      <c r="C774" t="s">
        <v>556</v>
      </c>
      <c r="D774" s="13" t="s">
        <v>913</v>
      </c>
      <c r="E774" s="1">
        <v>4.5130547489919604</v>
      </c>
      <c r="F774" s="1">
        <v>2.9425819472698498</v>
      </c>
      <c r="G774">
        <f>VLOOKUP(C774,'[1]phenotypes-895'!$A$2:$G$896,7,FALSE)</f>
        <v>98</v>
      </c>
      <c r="H774" s="15">
        <v>20</v>
      </c>
    </row>
    <row r="775" spans="1:8" x14ac:dyDescent="0.2">
      <c r="A775">
        <v>885</v>
      </c>
      <c r="B775">
        <v>22</v>
      </c>
      <c r="C775" t="s">
        <v>884</v>
      </c>
      <c r="D775" s="13" t="s">
        <v>913</v>
      </c>
      <c r="E775" s="1">
        <v>4.54626595827441</v>
      </c>
      <c r="F775" s="1">
        <v>6.1340644723576796</v>
      </c>
      <c r="G775">
        <f>VLOOKUP(C775,'[1]phenotypes-895'!$A$2:$G$896,7,FALSE)</f>
        <v>98</v>
      </c>
      <c r="H775" s="15">
        <v>20</v>
      </c>
    </row>
    <row r="776" spans="1:8" x14ac:dyDescent="0.2">
      <c r="A776">
        <v>797</v>
      </c>
      <c r="B776">
        <v>21</v>
      </c>
      <c r="C776" t="s">
        <v>796</v>
      </c>
      <c r="D776" s="13" t="s">
        <v>913</v>
      </c>
      <c r="E776" s="1">
        <v>4.5491566693590002</v>
      </c>
      <c r="F776" s="1">
        <v>4.0362047543390602</v>
      </c>
      <c r="G776">
        <f>VLOOKUP(C776,'[1]phenotypes-895'!$A$2:$G$896,7,FALSE)</f>
        <v>98</v>
      </c>
      <c r="H776" s="15">
        <v>20</v>
      </c>
    </row>
    <row r="777" spans="1:8" x14ac:dyDescent="0.2">
      <c r="A777">
        <v>510</v>
      </c>
      <c r="B777">
        <v>49</v>
      </c>
      <c r="C777" t="s">
        <v>509</v>
      </c>
      <c r="D777" s="13" t="s">
        <v>912</v>
      </c>
      <c r="E777" s="1">
        <v>4.5531704751623696</v>
      </c>
      <c r="F777" s="1">
        <v>6.3950130270424497</v>
      </c>
      <c r="G777">
        <f>VLOOKUP(C777,'[1]phenotypes-895'!$A$2:$G$896,7,FALSE)</f>
        <v>98</v>
      </c>
      <c r="H777" s="15">
        <v>20</v>
      </c>
    </row>
    <row r="778" spans="1:8" x14ac:dyDescent="0.2">
      <c r="A778">
        <v>606</v>
      </c>
      <c r="B778">
        <v>21</v>
      </c>
      <c r="C778" t="s">
        <v>605</v>
      </c>
      <c r="D778" s="13" t="s">
        <v>913</v>
      </c>
      <c r="E778" s="1">
        <v>4.5607384620478904</v>
      </c>
      <c r="F778" s="1">
        <v>3.2712946219757399</v>
      </c>
      <c r="G778">
        <f>VLOOKUP(C778,'[1]phenotypes-895'!$A$2:$G$896,7,FALSE)</f>
        <v>98</v>
      </c>
      <c r="H778" s="15">
        <v>20</v>
      </c>
    </row>
    <row r="779" spans="1:8" x14ac:dyDescent="0.2">
      <c r="A779">
        <v>626</v>
      </c>
      <c r="B779">
        <v>27</v>
      </c>
      <c r="C779" t="s">
        <v>625</v>
      </c>
      <c r="D779" s="13" t="s">
        <v>913</v>
      </c>
      <c r="E779" s="1">
        <v>4.5608465193971197</v>
      </c>
      <c r="F779" s="1">
        <v>4.0647574000649298</v>
      </c>
      <c r="G779">
        <f>VLOOKUP(C779,'[1]phenotypes-895'!$A$2:$G$896,7,FALSE)</f>
        <v>70</v>
      </c>
      <c r="H779" s="15">
        <v>20</v>
      </c>
    </row>
    <row r="780" spans="1:8" x14ac:dyDescent="0.2">
      <c r="A780">
        <v>749</v>
      </c>
      <c r="B780">
        <v>30</v>
      </c>
      <c r="C780" t="s">
        <v>748</v>
      </c>
      <c r="D780" s="13" t="s">
        <v>913</v>
      </c>
      <c r="E780" s="1">
        <v>4.5829117079225403</v>
      </c>
      <c r="F780" s="1">
        <v>2.7169513602011599</v>
      </c>
      <c r="G780">
        <f>VLOOKUP(C780,'[1]phenotypes-895'!$A$2:$G$896,7,FALSE)</f>
        <v>98</v>
      </c>
      <c r="H780" s="15">
        <v>20</v>
      </c>
    </row>
    <row r="781" spans="1:8" x14ac:dyDescent="0.2">
      <c r="A781">
        <v>692</v>
      </c>
      <c r="B781">
        <v>37</v>
      </c>
      <c r="C781" t="s">
        <v>691</v>
      </c>
      <c r="D781" s="13" t="s">
        <v>913</v>
      </c>
      <c r="E781" s="1">
        <v>4.6059650274209503</v>
      </c>
      <c r="F781" s="1">
        <v>6.4448045434425598</v>
      </c>
      <c r="G781">
        <f>VLOOKUP(C781,'[1]phenotypes-895'!$A$2:$G$896,7,FALSE)</f>
        <v>98</v>
      </c>
      <c r="H781" s="15">
        <v>20</v>
      </c>
    </row>
    <row r="782" spans="1:8" x14ac:dyDescent="0.2">
      <c r="A782">
        <v>537</v>
      </c>
      <c r="B782">
        <v>26</v>
      </c>
      <c r="C782" t="s">
        <v>536</v>
      </c>
      <c r="D782" s="13" t="s">
        <v>913</v>
      </c>
      <c r="E782" s="1">
        <v>4.6176089494121602</v>
      </c>
      <c r="F782" s="1">
        <v>3.7483434304190699</v>
      </c>
      <c r="G782">
        <f>VLOOKUP(C782,'[1]phenotypes-895'!$A$2:$G$896,7,FALSE)</f>
        <v>85</v>
      </c>
      <c r="H782" s="15">
        <v>20</v>
      </c>
    </row>
    <row r="783" spans="1:8" x14ac:dyDescent="0.2">
      <c r="A783">
        <v>588</v>
      </c>
      <c r="B783">
        <v>37</v>
      </c>
      <c r="C783" t="s">
        <v>587</v>
      </c>
      <c r="D783" s="13" t="s">
        <v>913</v>
      </c>
      <c r="E783" s="1">
        <v>4.6206751161469999</v>
      </c>
      <c r="F783" s="1">
        <v>3.92708474630111</v>
      </c>
      <c r="G783">
        <f>VLOOKUP(C783,'[1]phenotypes-895'!$A$2:$G$896,7,FALSE)</f>
        <v>50</v>
      </c>
      <c r="H783" s="15">
        <v>20</v>
      </c>
    </row>
    <row r="784" spans="1:8" x14ac:dyDescent="0.2">
      <c r="A784">
        <v>886</v>
      </c>
      <c r="B784">
        <v>36</v>
      </c>
      <c r="C784" t="s">
        <v>885</v>
      </c>
      <c r="D784" s="13" t="s">
        <v>913</v>
      </c>
      <c r="E784" s="1">
        <v>4.6226552165190897</v>
      </c>
      <c r="F784" s="1">
        <v>1.8528988156100299</v>
      </c>
      <c r="G784">
        <f>VLOOKUP(C784,'[1]phenotypes-895'!$A$2:$G$896,7,FALSE)</f>
        <v>63</v>
      </c>
      <c r="H784" s="15">
        <v>20</v>
      </c>
    </row>
    <row r="785" spans="1:8" x14ac:dyDescent="0.2">
      <c r="A785">
        <v>504</v>
      </c>
      <c r="B785">
        <v>50</v>
      </c>
      <c r="C785" t="s">
        <v>503</v>
      </c>
      <c r="D785" s="13" t="s">
        <v>912</v>
      </c>
      <c r="E785" s="1">
        <v>4.6354367727122296</v>
      </c>
      <c r="F785" s="1">
        <v>4.5496471014022797</v>
      </c>
      <c r="G785">
        <f>VLOOKUP(C785,'[1]phenotypes-895'!$A$2:$G$896,7,FALSE)</f>
        <v>98</v>
      </c>
      <c r="H785" s="15">
        <v>20</v>
      </c>
    </row>
    <row r="786" spans="1:8" x14ac:dyDescent="0.2">
      <c r="A786">
        <v>380</v>
      </c>
      <c r="B786">
        <v>36</v>
      </c>
      <c r="C786" t="s">
        <v>379</v>
      </c>
      <c r="D786" s="13" t="s">
        <v>913</v>
      </c>
      <c r="E786" s="1">
        <v>4.6360127043599997</v>
      </c>
      <c r="F786" s="1">
        <v>6.0021842037984898</v>
      </c>
      <c r="G786">
        <f>VLOOKUP(C786,'[1]phenotypes-895'!$A$2:$G$896,7,FALSE)</f>
        <v>98</v>
      </c>
      <c r="H786" s="15">
        <v>20</v>
      </c>
    </row>
    <row r="787" spans="1:8" x14ac:dyDescent="0.2">
      <c r="A787">
        <v>603</v>
      </c>
      <c r="B787">
        <v>34</v>
      </c>
      <c r="C787" t="s">
        <v>602</v>
      </c>
      <c r="D787" s="13" t="s">
        <v>913</v>
      </c>
      <c r="E787" s="1">
        <v>4.6386538353012403</v>
      </c>
      <c r="F787" s="1">
        <v>6.4192772143555201</v>
      </c>
      <c r="G787">
        <f>VLOOKUP(C787,'[1]phenotypes-895'!$A$2:$G$896,7,FALSE)</f>
        <v>98</v>
      </c>
      <c r="H787" s="15">
        <v>20</v>
      </c>
    </row>
    <row r="788" spans="1:8" x14ac:dyDescent="0.2">
      <c r="A788">
        <v>360</v>
      </c>
      <c r="B788">
        <v>27</v>
      </c>
      <c r="C788" t="s">
        <v>359</v>
      </c>
      <c r="D788" s="13" t="s">
        <v>913</v>
      </c>
      <c r="E788" s="1">
        <v>4.6570891236598602</v>
      </c>
      <c r="F788" s="1">
        <v>3.5074878047638198</v>
      </c>
      <c r="G788">
        <f>VLOOKUP(C788,'[1]phenotypes-895'!$A$2:$G$896,7,FALSE)</f>
        <v>98</v>
      </c>
      <c r="H788" s="15">
        <v>20</v>
      </c>
    </row>
    <row r="789" spans="1:8" x14ac:dyDescent="0.2">
      <c r="A789">
        <v>701</v>
      </c>
      <c r="B789">
        <v>30</v>
      </c>
      <c r="C789" t="s">
        <v>700</v>
      </c>
      <c r="D789" s="13" t="s">
        <v>913</v>
      </c>
      <c r="E789" s="1">
        <v>4.6635702131035002</v>
      </c>
      <c r="F789" s="1">
        <v>3.3615890138436302</v>
      </c>
      <c r="G789">
        <f>VLOOKUP(C789,'[1]phenotypes-895'!$A$2:$G$896,7,FALSE)</f>
        <v>80</v>
      </c>
      <c r="H789" s="15">
        <v>20</v>
      </c>
    </row>
    <row r="790" spans="1:8" x14ac:dyDescent="0.2">
      <c r="A790">
        <v>799</v>
      </c>
      <c r="B790">
        <v>32</v>
      </c>
      <c r="C790" t="s">
        <v>798</v>
      </c>
      <c r="D790" s="13" t="s">
        <v>913</v>
      </c>
      <c r="E790" s="1">
        <v>4.6716735345931903</v>
      </c>
      <c r="F790" s="1">
        <v>3.90493000640395</v>
      </c>
      <c r="G790">
        <f>VLOOKUP(C790,'[1]phenotypes-895'!$A$2:$G$896,7,FALSE)</f>
        <v>98</v>
      </c>
      <c r="H790" s="15">
        <v>20</v>
      </c>
    </row>
    <row r="791" spans="1:8" x14ac:dyDescent="0.2">
      <c r="A791">
        <v>795</v>
      </c>
      <c r="B791">
        <v>28</v>
      </c>
      <c r="C791" t="s">
        <v>794</v>
      </c>
      <c r="D791" s="13" t="s">
        <v>913</v>
      </c>
      <c r="E791" s="1">
        <v>4.7144027353215101</v>
      </c>
      <c r="F791" s="1">
        <v>5.0122039476283602</v>
      </c>
      <c r="G791">
        <f>VLOOKUP(C791,'[1]phenotypes-895'!$A$2:$G$896,7,FALSE)</f>
        <v>98</v>
      </c>
      <c r="H791" s="15">
        <v>20</v>
      </c>
    </row>
    <row r="792" spans="1:8" x14ac:dyDescent="0.2">
      <c r="A792">
        <v>561</v>
      </c>
      <c r="B792">
        <v>23</v>
      </c>
      <c r="C792" t="s">
        <v>560</v>
      </c>
      <c r="D792" s="13" t="s">
        <v>913</v>
      </c>
      <c r="E792" s="1">
        <v>4.7567843078127199</v>
      </c>
      <c r="F792" s="1">
        <v>3.40047865353282</v>
      </c>
      <c r="G792">
        <f>VLOOKUP(C792,'[1]phenotypes-895'!$A$2:$G$896,7,FALSE)</f>
        <v>98</v>
      </c>
      <c r="H792" s="15">
        <v>20</v>
      </c>
    </row>
    <row r="793" spans="1:8" x14ac:dyDescent="0.2">
      <c r="A793">
        <v>569</v>
      </c>
      <c r="B793">
        <v>40</v>
      </c>
      <c r="C793" t="s">
        <v>568</v>
      </c>
      <c r="D793" s="13" t="s">
        <v>913</v>
      </c>
      <c r="E793" s="1">
        <v>4.7999807386093298</v>
      </c>
      <c r="F793" s="1">
        <v>4.1734343101936799</v>
      </c>
      <c r="G793">
        <f>VLOOKUP(C793,'[1]phenotypes-895'!$A$2:$G$896,7,FALSE)</f>
        <v>98</v>
      </c>
      <c r="H793" s="15">
        <v>20</v>
      </c>
    </row>
    <row r="794" spans="1:8" x14ac:dyDescent="0.2">
      <c r="A794">
        <v>707</v>
      </c>
      <c r="B794">
        <v>50</v>
      </c>
      <c r="C794" t="s">
        <v>706</v>
      </c>
      <c r="D794" s="13" t="s">
        <v>912</v>
      </c>
      <c r="E794" s="1">
        <v>4.80687082992646</v>
      </c>
      <c r="F794" s="1">
        <v>7.1641591301378602</v>
      </c>
      <c r="G794">
        <f>VLOOKUP(C794,'[1]phenotypes-895'!$A$2:$G$896,7,FALSE)</f>
        <v>98</v>
      </c>
      <c r="H794" s="15">
        <v>20</v>
      </c>
    </row>
    <row r="795" spans="1:8" x14ac:dyDescent="0.2">
      <c r="A795">
        <v>455</v>
      </c>
      <c r="B795">
        <v>48</v>
      </c>
      <c r="C795" t="s">
        <v>454</v>
      </c>
      <c r="D795" s="13" t="s">
        <v>912</v>
      </c>
      <c r="E795" s="1">
        <v>4.8093390981219697</v>
      </c>
      <c r="F795" s="1">
        <v>4.5648227726479504</v>
      </c>
      <c r="G795">
        <f>VLOOKUP(C795,'[1]phenotypes-895'!$A$2:$G$896,7,FALSE)</f>
        <v>81</v>
      </c>
      <c r="H795" s="15">
        <v>20</v>
      </c>
    </row>
    <row r="796" spans="1:8" x14ac:dyDescent="0.2">
      <c r="A796">
        <v>778</v>
      </c>
      <c r="B796">
        <v>39</v>
      </c>
      <c r="C796" t="s">
        <v>777</v>
      </c>
      <c r="D796" s="13" t="s">
        <v>913</v>
      </c>
      <c r="E796" s="1">
        <v>4.8440981143233</v>
      </c>
      <c r="F796" s="1">
        <v>4.5322309388345197</v>
      </c>
      <c r="G796">
        <f>VLOOKUP(C796,'[1]phenotypes-895'!$A$2:$G$896,7,FALSE)</f>
        <v>81</v>
      </c>
      <c r="H796" s="15">
        <v>20</v>
      </c>
    </row>
    <row r="797" spans="1:8" x14ac:dyDescent="0.2">
      <c r="A797">
        <v>806</v>
      </c>
      <c r="B797">
        <v>27</v>
      </c>
      <c r="C797" t="s">
        <v>805</v>
      </c>
      <c r="D797" s="13" t="s">
        <v>913</v>
      </c>
      <c r="E797" s="1">
        <v>4.8567013802882002</v>
      </c>
      <c r="F797" s="1">
        <v>2.4457335678431198</v>
      </c>
      <c r="G797">
        <f>VLOOKUP(C797,'[1]phenotypes-895'!$A$2:$G$896,7,FALSE)</f>
        <v>94</v>
      </c>
      <c r="H797" s="15">
        <v>20</v>
      </c>
    </row>
    <row r="798" spans="1:8" x14ac:dyDescent="0.2">
      <c r="A798">
        <v>868</v>
      </c>
      <c r="B798">
        <v>38</v>
      </c>
      <c r="C798" t="s">
        <v>867</v>
      </c>
      <c r="D798" s="13" t="s">
        <v>913</v>
      </c>
      <c r="E798" s="1">
        <v>4.8797354855666404</v>
      </c>
      <c r="F798" s="1">
        <v>4.49247507646953</v>
      </c>
      <c r="G798">
        <f>VLOOKUP(C798,'[1]phenotypes-895'!$A$2:$G$896,7,FALSE)</f>
        <v>98</v>
      </c>
      <c r="H798" s="15">
        <v>20</v>
      </c>
    </row>
    <row r="799" spans="1:8" x14ac:dyDescent="0.2">
      <c r="A799">
        <v>587</v>
      </c>
      <c r="B799">
        <v>44</v>
      </c>
      <c r="C799" t="s">
        <v>586</v>
      </c>
      <c r="D799" s="13" t="s">
        <v>912</v>
      </c>
      <c r="E799" s="1">
        <v>4.89965749509535</v>
      </c>
      <c r="F799" s="1">
        <v>7.4713330893419601</v>
      </c>
      <c r="G799">
        <f>VLOOKUP(C799,'[1]phenotypes-895'!$A$2:$G$896,7,FALSE)</f>
        <v>98</v>
      </c>
      <c r="H799" s="15">
        <v>20</v>
      </c>
    </row>
    <row r="800" spans="1:8" x14ac:dyDescent="0.2">
      <c r="A800">
        <v>485</v>
      </c>
      <c r="B800">
        <v>50</v>
      </c>
      <c r="C800" t="s">
        <v>484</v>
      </c>
      <c r="D800" s="13" t="s">
        <v>912</v>
      </c>
      <c r="E800" s="1">
        <v>4.9306791789124098</v>
      </c>
      <c r="F800" s="1">
        <v>4.8740806187663601</v>
      </c>
      <c r="G800">
        <f>VLOOKUP(C800,'[1]phenotypes-895'!$A$2:$G$896,7,FALSE)</f>
        <v>92</v>
      </c>
      <c r="H800" s="15">
        <v>20</v>
      </c>
    </row>
    <row r="801" spans="1:8" x14ac:dyDescent="0.2">
      <c r="A801">
        <v>314</v>
      </c>
      <c r="B801">
        <v>39</v>
      </c>
      <c r="C801" t="s">
        <v>313</v>
      </c>
      <c r="D801" s="13" t="s">
        <v>913</v>
      </c>
      <c r="E801" s="1">
        <v>4.93914967544075</v>
      </c>
      <c r="F801" s="1">
        <v>4.3537348750087004</v>
      </c>
      <c r="G801">
        <f>VLOOKUP(C801,'[1]phenotypes-895'!$A$2:$G$896,7,FALSE)</f>
        <v>98</v>
      </c>
      <c r="H801" s="15">
        <v>20</v>
      </c>
    </row>
    <row r="802" spans="1:8" x14ac:dyDescent="0.2">
      <c r="A802">
        <v>362</v>
      </c>
      <c r="B802">
        <v>36</v>
      </c>
      <c r="C802" t="s">
        <v>361</v>
      </c>
      <c r="D802" s="13" t="s">
        <v>913</v>
      </c>
      <c r="E802" s="1">
        <v>4.9528341797584003</v>
      </c>
      <c r="F802" s="1">
        <v>4.1371596676485698</v>
      </c>
      <c r="G802">
        <f>VLOOKUP(C802,'[1]phenotypes-895'!$A$2:$G$896,7,FALSE)</f>
        <v>98</v>
      </c>
      <c r="H802" s="15">
        <v>20</v>
      </c>
    </row>
    <row r="803" spans="1:8" x14ac:dyDescent="0.2">
      <c r="A803">
        <v>382</v>
      </c>
      <c r="B803">
        <v>27</v>
      </c>
      <c r="C803" t="s">
        <v>381</v>
      </c>
      <c r="D803" s="12" t="s">
        <v>913</v>
      </c>
      <c r="E803" s="1">
        <v>4.9625316865833602</v>
      </c>
      <c r="F803" s="1">
        <v>3.2184166467561299</v>
      </c>
      <c r="G803">
        <f>VLOOKUP(C803,'[1]phenotypes-895'!$A$2:$G$896,7,FALSE)</f>
        <v>61</v>
      </c>
      <c r="H803" s="15">
        <v>20</v>
      </c>
    </row>
    <row r="804" spans="1:8" x14ac:dyDescent="0.2">
      <c r="A804">
        <v>527</v>
      </c>
      <c r="B804">
        <v>26</v>
      </c>
      <c r="C804" t="s">
        <v>526</v>
      </c>
      <c r="D804" s="13" t="s">
        <v>913</v>
      </c>
      <c r="E804" s="1">
        <v>4.9736785885558197</v>
      </c>
      <c r="F804" s="1">
        <v>4.1965279835073801</v>
      </c>
      <c r="G804">
        <f>VLOOKUP(C804,'[1]phenotypes-895'!$A$2:$G$896,7,FALSE)</f>
        <v>68</v>
      </c>
      <c r="H804" s="15">
        <v>20</v>
      </c>
    </row>
    <row r="805" spans="1:8" x14ac:dyDescent="0.2">
      <c r="A805">
        <v>388</v>
      </c>
      <c r="B805">
        <v>52</v>
      </c>
      <c r="C805" t="s">
        <v>387</v>
      </c>
      <c r="D805" s="13" t="s">
        <v>912</v>
      </c>
      <c r="E805" s="1">
        <v>5.0338494475214404</v>
      </c>
      <c r="F805" s="1">
        <v>4.7959494544153598</v>
      </c>
      <c r="G805">
        <f>VLOOKUP(C805,'[1]phenotypes-895'!$A$2:$G$896,7,FALSE)</f>
        <v>98</v>
      </c>
      <c r="H805" s="15">
        <v>20</v>
      </c>
    </row>
    <row r="806" spans="1:8" x14ac:dyDescent="0.2">
      <c r="A806">
        <v>395</v>
      </c>
      <c r="B806">
        <v>44</v>
      </c>
      <c r="C806" t="s">
        <v>394</v>
      </c>
      <c r="D806" s="13" t="s">
        <v>912</v>
      </c>
      <c r="E806" s="1">
        <v>5.0353814272933297</v>
      </c>
      <c r="F806" s="1">
        <v>4.9777217686233604</v>
      </c>
      <c r="G806">
        <f>VLOOKUP(C806,'[1]phenotypes-895'!$A$2:$G$896,7,FALSE)</f>
        <v>98</v>
      </c>
      <c r="H806" s="15">
        <v>20</v>
      </c>
    </row>
    <row r="807" spans="1:8" x14ac:dyDescent="0.2">
      <c r="A807">
        <v>634</v>
      </c>
      <c r="B807">
        <v>26</v>
      </c>
      <c r="C807" t="s">
        <v>633</v>
      </c>
      <c r="D807" s="13" t="s">
        <v>913</v>
      </c>
      <c r="E807" s="1">
        <v>5.0417337602759602</v>
      </c>
      <c r="F807" s="1">
        <v>4.7246109646440697</v>
      </c>
      <c r="G807">
        <f>VLOOKUP(C807,'[1]phenotypes-895'!$A$2:$G$896,7,FALSE)</f>
        <v>76</v>
      </c>
      <c r="H807">
        <v>10</v>
      </c>
    </row>
    <row r="808" spans="1:8" x14ac:dyDescent="0.2">
      <c r="A808">
        <v>600</v>
      </c>
      <c r="B808">
        <v>36</v>
      </c>
      <c r="C808" t="s">
        <v>599</v>
      </c>
      <c r="D808" s="13" t="s">
        <v>913</v>
      </c>
      <c r="E808" s="1">
        <v>5.1137716625826304</v>
      </c>
      <c r="F808" s="1">
        <v>6.0777076736721698</v>
      </c>
      <c r="G808">
        <f>VLOOKUP(C808,'[1]phenotypes-895'!$A$2:$G$896,7,FALSE)</f>
        <v>76</v>
      </c>
      <c r="H808">
        <v>10</v>
      </c>
    </row>
    <row r="809" spans="1:8" x14ac:dyDescent="0.2">
      <c r="A809">
        <v>116</v>
      </c>
      <c r="B809">
        <v>8</v>
      </c>
      <c r="C809" t="s">
        <v>115</v>
      </c>
      <c r="D809" s="12" t="s">
        <v>913</v>
      </c>
      <c r="E809" s="1">
        <v>5.1232308990945601</v>
      </c>
      <c r="F809" s="1">
        <v>3.5350613811559799</v>
      </c>
      <c r="G809">
        <f>VLOOKUP(C809,'[1]phenotypes-895'!$A$2:$G$896,7,FALSE)</f>
        <v>98</v>
      </c>
      <c r="H809">
        <v>10</v>
      </c>
    </row>
    <row r="810" spans="1:8" x14ac:dyDescent="0.2">
      <c r="A810">
        <v>224</v>
      </c>
      <c r="B810">
        <v>31</v>
      </c>
      <c r="C810" t="s">
        <v>223</v>
      </c>
      <c r="D810" s="13" t="s">
        <v>913</v>
      </c>
      <c r="E810" s="1">
        <v>5.1519190853438603</v>
      </c>
      <c r="F810" s="1">
        <v>4.8789162491468501</v>
      </c>
      <c r="G810">
        <f>VLOOKUP(C810,'[1]phenotypes-895'!$A$2:$G$896,7,FALSE)</f>
        <v>98</v>
      </c>
      <c r="H810">
        <v>10</v>
      </c>
    </row>
    <row r="811" spans="1:8" x14ac:dyDescent="0.2">
      <c r="A811">
        <v>134</v>
      </c>
      <c r="B811">
        <v>28</v>
      </c>
      <c r="C811" t="s">
        <v>133</v>
      </c>
      <c r="D811" s="13" t="s">
        <v>913</v>
      </c>
      <c r="E811" s="1">
        <v>5.1558813289167302</v>
      </c>
      <c r="F811" s="1">
        <v>3.3368158844753699</v>
      </c>
      <c r="G811">
        <f>VLOOKUP(C811,'[1]phenotypes-895'!$A$2:$G$896,7,FALSE)</f>
        <v>98</v>
      </c>
      <c r="H811">
        <v>10</v>
      </c>
    </row>
    <row r="812" spans="1:8" x14ac:dyDescent="0.2">
      <c r="A812">
        <v>629</v>
      </c>
      <c r="B812">
        <v>27</v>
      </c>
      <c r="C812" t="s">
        <v>628</v>
      </c>
      <c r="D812" s="13" t="s">
        <v>913</v>
      </c>
      <c r="E812" s="1">
        <v>5.1599088549608103</v>
      </c>
      <c r="F812" s="1">
        <v>5.3320016061782702</v>
      </c>
      <c r="G812">
        <f>VLOOKUP(C812,'[1]phenotypes-895'!$A$2:$G$896,7,FALSE)</f>
        <v>98</v>
      </c>
      <c r="H812">
        <v>10</v>
      </c>
    </row>
    <row r="813" spans="1:8" x14ac:dyDescent="0.2">
      <c r="A813">
        <v>614</v>
      </c>
      <c r="B813">
        <v>23</v>
      </c>
      <c r="C813" t="s">
        <v>613</v>
      </c>
      <c r="D813" s="13" t="s">
        <v>913</v>
      </c>
      <c r="E813" s="1">
        <v>5.1856778599365301</v>
      </c>
      <c r="F813" s="1">
        <v>4.6792735871337801</v>
      </c>
      <c r="G813">
        <f>VLOOKUP(C813,'[1]phenotypes-895'!$A$2:$G$896,7,FALSE)</f>
        <v>98</v>
      </c>
      <c r="H813">
        <v>10</v>
      </c>
    </row>
    <row r="814" spans="1:8" x14ac:dyDescent="0.2">
      <c r="A814">
        <v>889</v>
      </c>
      <c r="B814">
        <v>24</v>
      </c>
      <c r="C814" t="s">
        <v>888</v>
      </c>
      <c r="D814" s="13" t="s">
        <v>913</v>
      </c>
      <c r="E814" s="1">
        <v>5.1940670170655103</v>
      </c>
      <c r="F814" s="1">
        <v>4.2092591831531703</v>
      </c>
      <c r="G814">
        <f>VLOOKUP(C814,'[1]phenotypes-895'!$A$2:$G$896,7,FALSE)</f>
        <v>80</v>
      </c>
      <c r="H814">
        <v>10</v>
      </c>
    </row>
    <row r="815" spans="1:8" x14ac:dyDescent="0.2">
      <c r="A815">
        <v>352</v>
      </c>
      <c r="B815">
        <v>44</v>
      </c>
      <c r="C815" t="s">
        <v>351</v>
      </c>
      <c r="D815" s="13" t="s">
        <v>912</v>
      </c>
      <c r="E815" s="1">
        <v>5.1942882385679603</v>
      </c>
      <c r="F815" s="1">
        <v>7.3294724822694999</v>
      </c>
      <c r="G815">
        <f>VLOOKUP(C815,'[1]phenotypes-895'!$A$2:$G$896,7,FALSE)</f>
        <v>98</v>
      </c>
      <c r="H815">
        <v>10</v>
      </c>
    </row>
    <row r="816" spans="1:8" x14ac:dyDescent="0.2">
      <c r="A816">
        <v>540</v>
      </c>
      <c r="B816">
        <v>26</v>
      </c>
      <c r="C816" t="s">
        <v>539</v>
      </c>
      <c r="D816" s="13" t="s">
        <v>913</v>
      </c>
      <c r="E816" s="1">
        <v>5.2068829097124896</v>
      </c>
      <c r="F816" s="1">
        <v>4.3706928684611297</v>
      </c>
      <c r="G816">
        <f>VLOOKUP(C816,'[1]phenotypes-895'!$A$2:$G$896,7,FALSE)</f>
        <v>67</v>
      </c>
      <c r="H816">
        <v>9</v>
      </c>
    </row>
    <row r="817" spans="1:8" x14ac:dyDescent="0.2">
      <c r="A817">
        <v>846</v>
      </c>
      <c r="B817">
        <v>33</v>
      </c>
      <c r="C817" t="s">
        <v>845</v>
      </c>
      <c r="D817" s="13" t="s">
        <v>913</v>
      </c>
      <c r="E817" s="1">
        <v>5.2173893451162403</v>
      </c>
      <c r="F817" s="1">
        <v>7.0549917838479699</v>
      </c>
      <c r="G817">
        <f>VLOOKUP(C817,'[1]phenotypes-895'!$A$2:$G$896,7,FALSE)</f>
        <v>98</v>
      </c>
      <c r="H817">
        <v>9</v>
      </c>
    </row>
    <row r="818" spans="1:8" x14ac:dyDescent="0.2">
      <c r="A818">
        <v>595</v>
      </c>
      <c r="B818">
        <v>25</v>
      </c>
      <c r="C818" t="s">
        <v>594</v>
      </c>
      <c r="D818" s="13" t="s">
        <v>913</v>
      </c>
      <c r="E818" s="1">
        <v>5.2341247252837899</v>
      </c>
      <c r="F818" s="1">
        <v>4.11596195426183</v>
      </c>
      <c r="G818">
        <f>VLOOKUP(C818,'[1]phenotypes-895'!$A$2:$G$896,7,FALSE)</f>
        <v>98</v>
      </c>
      <c r="H818">
        <v>9</v>
      </c>
    </row>
    <row r="819" spans="1:8" x14ac:dyDescent="0.2">
      <c r="A819">
        <v>88</v>
      </c>
      <c r="B819">
        <v>27</v>
      </c>
      <c r="C819" t="s">
        <v>87</v>
      </c>
      <c r="D819" s="13" t="s">
        <v>913</v>
      </c>
      <c r="E819" s="1">
        <v>5.25625422429788</v>
      </c>
      <c r="F819" s="1">
        <v>4.4915469946902604</v>
      </c>
      <c r="G819">
        <f>VLOOKUP(C819,'[1]phenotypes-895'!$A$2:$G$896,7,FALSE)</f>
        <v>89</v>
      </c>
      <c r="H819">
        <v>9</v>
      </c>
    </row>
    <row r="820" spans="1:8" x14ac:dyDescent="0.2">
      <c r="A820">
        <v>757</v>
      </c>
      <c r="B820">
        <v>35</v>
      </c>
      <c r="C820" t="s">
        <v>756</v>
      </c>
      <c r="D820" s="13" t="s">
        <v>913</v>
      </c>
      <c r="E820" s="1">
        <v>5.2613404368236303</v>
      </c>
      <c r="F820" s="1">
        <v>5.9459116229045001</v>
      </c>
      <c r="G820">
        <f>VLOOKUP(C820,'[1]phenotypes-895'!$A$2:$G$896,7,FALSE)</f>
        <v>98</v>
      </c>
      <c r="H820">
        <v>9</v>
      </c>
    </row>
    <row r="821" spans="1:8" x14ac:dyDescent="0.2">
      <c r="A821">
        <v>142</v>
      </c>
      <c r="B821">
        <v>8</v>
      </c>
      <c r="C821" t="s">
        <v>141</v>
      </c>
      <c r="D821" s="12" t="s">
        <v>913</v>
      </c>
      <c r="E821" s="1">
        <v>5.2674588680485499</v>
      </c>
      <c r="F821" s="1">
        <v>3.5118596114352898</v>
      </c>
      <c r="G821">
        <f>VLOOKUP(C821,'[1]phenotypes-895'!$A$2:$G$896,7,FALSE)</f>
        <v>98</v>
      </c>
      <c r="H821">
        <v>9</v>
      </c>
    </row>
    <row r="822" spans="1:8" x14ac:dyDescent="0.2">
      <c r="A822">
        <v>493</v>
      </c>
      <c r="B822">
        <v>50</v>
      </c>
      <c r="C822" t="s">
        <v>492</v>
      </c>
      <c r="D822" s="13" t="s">
        <v>912</v>
      </c>
      <c r="E822" s="1">
        <v>5.2835747556229604</v>
      </c>
      <c r="F822" s="1">
        <v>4.9316406347109201</v>
      </c>
      <c r="G822">
        <f>VLOOKUP(C822,'[1]phenotypes-895'!$A$2:$G$896,7,FALSE)</f>
        <v>98</v>
      </c>
      <c r="H822">
        <v>9</v>
      </c>
    </row>
    <row r="823" spans="1:8" x14ac:dyDescent="0.2">
      <c r="A823">
        <v>804</v>
      </c>
      <c r="B823">
        <v>53</v>
      </c>
      <c r="C823" t="s">
        <v>803</v>
      </c>
      <c r="D823" s="13" t="s">
        <v>912</v>
      </c>
      <c r="E823" s="1">
        <v>5.2974680847822198</v>
      </c>
      <c r="F823" s="1">
        <v>6.4797879104081701</v>
      </c>
      <c r="G823">
        <f>VLOOKUP(C823,'[1]phenotypes-895'!$A$2:$G$896,7,FALSE)</f>
        <v>98</v>
      </c>
      <c r="H823">
        <v>9</v>
      </c>
    </row>
    <row r="824" spans="1:8" x14ac:dyDescent="0.2">
      <c r="A824">
        <v>433</v>
      </c>
      <c r="B824">
        <v>45</v>
      </c>
      <c r="C824" t="s">
        <v>432</v>
      </c>
      <c r="D824" s="13" t="s">
        <v>912</v>
      </c>
      <c r="E824" s="1">
        <v>5.3090349417568703</v>
      </c>
      <c r="F824" s="1">
        <v>7.2980141326748003</v>
      </c>
      <c r="G824">
        <f>VLOOKUP(C824,'[1]phenotypes-895'!$A$2:$G$896,7,FALSE)</f>
        <v>98</v>
      </c>
      <c r="H824">
        <v>9</v>
      </c>
    </row>
    <row r="825" spans="1:8" x14ac:dyDescent="0.2">
      <c r="A825">
        <v>697</v>
      </c>
      <c r="B825">
        <v>39</v>
      </c>
      <c r="C825" t="s">
        <v>696</v>
      </c>
      <c r="D825" s="13" t="s">
        <v>913</v>
      </c>
      <c r="E825" s="1">
        <v>5.3274406481817804</v>
      </c>
      <c r="F825" s="1">
        <v>3.9832383286831301</v>
      </c>
      <c r="G825">
        <f>VLOOKUP(C825,'[1]phenotypes-895'!$A$2:$G$896,7,FALSE)</f>
        <v>98</v>
      </c>
      <c r="H825">
        <v>8</v>
      </c>
    </row>
    <row r="826" spans="1:8" x14ac:dyDescent="0.2">
      <c r="A826">
        <v>709</v>
      </c>
      <c r="B826">
        <v>36</v>
      </c>
      <c r="C826" t="s">
        <v>708</v>
      </c>
      <c r="D826" s="13" t="s">
        <v>913</v>
      </c>
      <c r="E826" s="1">
        <v>5.3442944599139697</v>
      </c>
      <c r="F826" s="1">
        <v>6.9034256170206296</v>
      </c>
      <c r="G826">
        <f>VLOOKUP(C826,'[1]phenotypes-895'!$A$2:$G$896,7,FALSE)</f>
        <v>98</v>
      </c>
      <c r="H826">
        <v>8</v>
      </c>
    </row>
    <row r="827" spans="1:8" x14ac:dyDescent="0.2">
      <c r="A827">
        <v>192</v>
      </c>
      <c r="B827">
        <v>8</v>
      </c>
      <c r="C827" t="s">
        <v>191</v>
      </c>
      <c r="D827" s="12" t="s">
        <v>913</v>
      </c>
      <c r="E827" s="1">
        <v>5.3654454431926899</v>
      </c>
      <c r="F827" s="1">
        <v>3.7841538999398701</v>
      </c>
      <c r="G827">
        <f>VLOOKUP(C827,'[1]phenotypes-895'!$A$2:$G$896,7,FALSE)</f>
        <v>98</v>
      </c>
      <c r="H827">
        <v>8</v>
      </c>
    </row>
    <row r="828" spans="1:8" x14ac:dyDescent="0.2">
      <c r="A828">
        <v>85</v>
      </c>
      <c r="B828">
        <v>8</v>
      </c>
      <c r="C828" t="s">
        <v>84</v>
      </c>
      <c r="D828" s="12" t="s">
        <v>913</v>
      </c>
      <c r="E828" s="1">
        <v>5.3699863539380397</v>
      </c>
      <c r="F828" s="1">
        <v>4.0545620221990903</v>
      </c>
      <c r="G828">
        <f>VLOOKUP(C828,'[1]phenotypes-895'!$A$2:$G$896,7,FALSE)</f>
        <v>98</v>
      </c>
      <c r="H828">
        <v>8</v>
      </c>
    </row>
    <row r="829" spans="1:8" x14ac:dyDescent="0.2">
      <c r="A829">
        <v>226</v>
      </c>
      <c r="B829">
        <v>25</v>
      </c>
      <c r="C829" t="s">
        <v>225</v>
      </c>
      <c r="D829" s="13" t="s">
        <v>913</v>
      </c>
      <c r="E829" s="1">
        <v>5.37518509359204</v>
      </c>
      <c r="F829" s="1">
        <v>4.2486771222740698</v>
      </c>
      <c r="G829">
        <f>VLOOKUP(C829,'[1]phenotypes-895'!$A$2:$G$896,7,FALSE)</f>
        <v>98</v>
      </c>
      <c r="H829">
        <v>8</v>
      </c>
    </row>
    <row r="830" spans="1:8" x14ac:dyDescent="0.2">
      <c r="A830">
        <v>649</v>
      </c>
      <c r="B830">
        <v>39</v>
      </c>
      <c r="C830" t="s">
        <v>648</v>
      </c>
      <c r="D830" s="13" t="s">
        <v>913</v>
      </c>
      <c r="E830" s="1">
        <v>5.4315951113172698</v>
      </c>
      <c r="F830" s="1">
        <v>4.0239232972541403</v>
      </c>
      <c r="G830">
        <f>VLOOKUP(C830,'[1]phenotypes-895'!$A$2:$G$896,7,FALSE)</f>
        <v>98</v>
      </c>
      <c r="H830">
        <v>8</v>
      </c>
    </row>
    <row r="831" spans="1:8" x14ac:dyDescent="0.2">
      <c r="A831">
        <v>320</v>
      </c>
      <c r="B831">
        <v>8</v>
      </c>
      <c r="C831" t="s">
        <v>319</v>
      </c>
      <c r="D831" s="12" t="s">
        <v>913</v>
      </c>
      <c r="E831" s="1">
        <v>5.4447044291841902</v>
      </c>
      <c r="F831" s="1">
        <v>4.0920339499113503</v>
      </c>
      <c r="G831">
        <f>VLOOKUP(C831,'[1]phenotypes-895'!$A$2:$G$896,7,FALSE)</f>
        <v>98</v>
      </c>
      <c r="H831">
        <v>8</v>
      </c>
    </row>
    <row r="832" spans="1:8" x14ac:dyDescent="0.2">
      <c r="A832">
        <v>443</v>
      </c>
      <c r="B832">
        <v>29</v>
      </c>
      <c r="C832" t="s">
        <v>442</v>
      </c>
      <c r="D832" s="13" t="s">
        <v>913</v>
      </c>
      <c r="E832" s="1">
        <v>5.4602834169780996</v>
      </c>
      <c r="F832" s="1">
        <v>3.9396022339609398</v>
      </c>
      <c r="G832">
        <f>VLOOKUP(C832,'[1]phenotypes-895'!$A$2:$G$896,7,FALSE)</f>
        <v>98</v>
      </c>
      <c r="H832">
        <v>8</v>
      </c>
    </row>
    <row r="833" spans="1:8" x14ac:dyDescent="0.2">
      <c r="A833">
        <v>747</v>
      </c>
      <c r="B833">
        <v>22</v>
      </c>
      <c r="C833" t="s">
        <v>746</v>
      </c>
      <c r="D833" s="13" t="s">
        <v>913</v>
      </c>
      <c r="E833" s="1">
        <v>5.4782983795923199</v>
      </c>
      <c r="F833" s="1">
        <v>4.1988628347237897</v>
      </c>
      <c r="G833">
        <f>VLOOKUP(C833,'[1]phenotypes-895'!$A$2:$G$896,7,FALSE)</f>
        <v>98</v>
      </c>
      <c r="H833">
        <v>8</v>
      </c>
    </row>
    <row r="834" spans="1:8" x14ac:dyDescent="0.2">
      <c r="A834">
        <v>170</v>
      </c>
      <c r="B834">
        <v>8</v>
      </c>
      <c r="C834" t="s">
        <v>169</v>
      </c>
      <c r="D834" s="12" t="s">
        <v>913</v>
      </c>
      <c r="E834" s="1">
        <v>5.5144966926882697</v>
      </c>
      <c r="F834" s="1">
        <v>3.8267863785895302</v>
      </c>
      <c r="G834">
        <f>VLOOKUP(C834,'[1]phenotypes-895'!$A$2:$G$896,7,FALSE)</f>
        <v>98</v>
      </c>
      <c r="H834">
        <v>7</v>
      </c>
    </row>
    <row r="835" spans="1:8" x14ac:dyDescent="0.2">
      <c r="A835">
        <v>564</v>
      </c>
      <c r="B835">
        <v>34</v>
      </c>
      <c r="C835" t="s">
        <v>563</v>
      </c>
      <c r="D835" s="13" t="s">
        <v>913</v>
      </c>
      <c r="E835" s="1">
        <v>5.5429880634010598</v>
      </c>
      <c r="F835" s="1">
        <v>5.1581726766441296</v>
      </c>
      <c r="G835">
        <f>VLOOKUP(C835,'[1]phenotypes-895'!$A$2:$G$896,7,FALSE)</f>
        <v>98</v>
      </c>
      <c r="H835">
        <v>7</v>
      </c>
    </row>
    <row r="836" spans="1:8" x14ac:dyDescent="0.2">
      <c r="A836">
        <v>543</v>
      </c>
      <c r="B836">
        <v>53</v>
      </c>
      <c r="C836" t="s">
        <v>542</v>
      </c>
      <c r="D836" s="13" t="s">
        <v>912</v>
      </c>
      <c r="E836" s="1">
        <v>5.5475893693265697</v>
      </c>
      <c r="F836" s="1">
        <v>7.9071991003221402</v>
      </c>
      <c r="G836">
        <f>VLOOKUP(C836,'[1]phenotypes-895'!$A$2:$G$896,7,FALSE)</f>
        <v>98</v>
      </c>
      <c r="H836">
        <v>7</v>
      </c>
    </row>
    <row r="837" spans="1:8" x14ac:dyDescent="0.2">
      <c r="A837">
        <v>345</v>
      </c>
      <c r="B837">
        <v>27</v>
      </c>
      <c r="C837" t="s">
        <v>344</v>
      </c>
      <c r="D837" s="13" t="s">
        <v>913</v>
      </c>
      <c r="E837" s="1">
        <v>5.5609832680813698</v>
      </c>
      <c r="F837" s="1">
        <v>4.5362116847238001</v>
      </c>
      <c r="G837">
        <f>VLOOKUP(C837,'[1]phenotypes-895'!$A$2:$G$896,7,FALSE)</f>
        <v>86</v>
      </c>
      <c r="H837">
        <v>7</v>
      </c>
    </row>
    <row r="838" spans="1:8" x14ac:dyDescent="0.2">
      <c r="A838">
        <v>671</v>
      </c>
      <c r="B838">
        <v>22</v>
      </c>
      <c r="C838" t="s">
        <v>670</v>
      </c>
      <c r="D838" s="13" t="s">
        <v>913</v>
      </c>
      <c r="E838" s="1">
        <v>5.5653907046646696</v>
      </c>
      <c r="F838" s="1">
        <v>5.7746902113398502</v>
      </c>
      <c r="G838">
        <f>VLOOKUP(C838,'[1]phenotypes-895'!$A$2:$G$896,7,FALSE)</f>
        <v>98</v>
      </c>
      <c r="H838">
        <v>7</v>
      </c>
    </row>
    <row r="839" spans="1:8" x14ac:dyDescent="0.2">
      <c r="A839">
        <v>506</v>
      </c>
      <c r="B839">
        <v>42</v>
      </c>
      <c r="C839" t="s">
        <v>505</v>
      </c>
      <c r="D839" s="13" t="s">
        <v>912</v>
      </c>
      <c r="E839" s="1">
        <v>5.5667560635529698</v>
      </c>
      <c r="F839" s="1">
        <v>7.5193862836718202</v>
      </c>
      <c r="G839">
        <f>VLOOKUP(C839,'[1]phenotypes-895'!$A$2:$G$896,7,FALSE)</f>
        <v>98</v>
      </c>
      <c r="H839">
        <v>7</v>
      </c>
    </row>
    <row r="840" spans="1:8" x14ac:dyDescent="0.2">
      <c r="A840">
        <v>662</v>
      </c>
      <c r="B840">
        <v>39</v>
      </c>
      <c r="C840" t="s">
        <v>661</v>
      </c>
      <c r="D840" s="13" t="s">
        <v>913</v>
      </c>
      <c r="E840" s="1">
        <v>5.6091602197204198</v>
      </c>
      <c r="F840" s="1">
        <v>4.8403535559270896</v>
      </c>
      <c r="G840">
        <f>VLOOKUP(C840,'[1]phenotypes-895'!$A$2:$G$896,7,FALSE)</f>
        <v>98</v>
      </c>
      <c r="H840">
        <v>7</v>
      </c>
    </row>
    <row r="841" spans="1:8" x14ac:dyDescent="0.2">
      <c r="A841">
        <v>789</v>
      </c>
      <c r="B841">
        <v>37</v>
      </c>
      <c r="C841" t="s">
        <v>788</v>
      </c>
      <c r="D841" s="13" t="s">
        <v>913</v>
      </c>
      <c r="E841" s="1">
        <v>5.6166950179906303</v>
      </c>
      <c r="F841" s="1">
        <v>4.5528200345288896</v>
      </c>
      <c r="G841">
        <f>VLOOKUP(C841,'[1]phenotypes-895'!$A$2:$G$896,7,FALSE)</f>
        <v>98</v>
      </c>
      <c r="H841">
        <v>7</v>
      </c>
    </row>
    <row r="842" spans="1:8" x14ac:dyDescent="0.2">
      <c r="A842">
        <v>466</v>
      </c>
      <c r="B842">
        <v>54</v>
      </c>
      <c r="C842" t="s">
        <v>465</v>
      </c>
      <c r="D842" s="13" t="s">
        <v>912</v>
      </c>
      <c r="E842" s="1">
        <v>5.6616599823875697</v>
      </c>
      <c r="F842" s="1">
        <v>5.1134331798890003</v>
      </c>
      <c r="G842">
        <f>VLOOKUP(C842,'[1]phenotypes-895'!$A$2:$G$896,7,FALSE)</f>
        <v>98</v>
      </c>
      <c r="H842">
        <v>7</v>
      </c>
    </row>
    <row r="843" spans="1:8" x14ac:dyDescent="0.2">
      <c r="A843">
        <v>733</v>
      </c>
      <c r="B843">
        <v>39</v>
      </c>
      <c r="C843" t="s">
        <v>732</v>
      </c>
      <c r="D843" s="13" t="s">
        <v>913</v>
      </c>
      <c r="E843" s="1">
        <v>5.6628072377420899</v>
      </c>
      <c r="F843" s="1">
        <v>5.7366738786606302</v>
      </c>
      <c r="G843">
        <f>VLOOKUP(C843,'[1]phenotypes-895'!$A$2:$G$896,7,FALSE)</f>
        <v>98</v>
      </c>
      <c r="H843">
        <v>6</v>
      </c>
    </row>
    <row r="844" spans="1:8" x14ac:dyDescent="0.2">
      <c r="A844">
        <v>711</v>
      </c>
      <c r="B844">
        <v>26</v>
      </c>
      <c r="C844" t="s">
        <v>710</v>
      </c>
      <c r="D844" s="13" t="s">
        <v>913</v>
      </c>
      <c r="E844" s="1">
        <v>5.66499194386558</v>
      </c>
      <c r="F844" s="1">
        <v>5.3234347678605296</v>
      </c>
      <c r="G844">
        <f>VLOOKUP(C844,'[1]phenotypes-895'!$A$2:$G$896,7,FALSE)</f>
        <v>98</v>
      </c>
      <c r="H844">
        <v>6</v>
      </c>
    </row>
    <row r="845" spans="1:8" x14ac:dyDescent="0.2">
      <c r="A845">
        <v>727</v>
      </c>
      <c r="B845">
        <v>37</v>
      </c>
      <c r="C845" t="s">
        <v>726</v>
      </c>
      <c r="D845" s="13" t="s">
        <v>913</v>
      </c>
      <c r="E845" s="1">
        <v>5.6879823032273098</v>
      </c>
      <c r="F845" s="1">
        <v>5.3770987623908004</v>
      </c>
      <c r="G845">
        <f>VLOOKUP(C845,'[1]phenotypes-895'!$A$2:$G$896,7,FALSE)</f>
        <v>92</v>
      </c>
      <c r="H845">
        <v>6</v>
      </c>
    </row>
    <row r="846" spans="1:8" x14ac:dyDescent="0.2">
      <c r="A846">
        <v>470</v>
      </c>
      <c r="B846">
        <v>49</v>
      </c>
      <c r="C846" t="s">
        <v>469</v>
      </c>
      <c r="D846" s="13" t="s">
        <v>912</v>
      </c>
      <c r="E846" s="1">
        <v>5.6916641234604999</v>
      </c>
      <c r="F846" s="1">
        <v>4.3709871590703102</v>
      </c>
      <c r="G846">
        <f>VLOOKUP(C846,'[1]phenotypes-895'!$A$2:$G$896,7,FALSE)</f>
        <v>98</v>
      </c>
      <c r="H846">
        <v>6</v>
      </c>
    </row>
    <row r="847" spans="1:8" x14ac:dyDescent="0.2">
      <c r="A847">
        <v>750</v>
      </c>
      <c r="B847">
        <v>22</v>
      </c>
      <c r="C847" t="s">
        <v>749</v>
      </c>
      <c r="D847" s="13" t="s">
        <v>913</v>
      </c>
      <c r="E847" s="1">
        <v>5.7430258110536698</v>
      </c>
      <c r="F847" s="1">
        <v>5.4311498644157599</v>
      </c>
      <c r="G847">
        <f>VLOOKUP(C847,'[1]phenotypes-895'!$A$2:$G$896,7,FALSE)</f>
        <v>98</v>
      </c>
      <c r="H847">
        <v>6</v>
      </c>
    </row>
    <row r="848" spans="1:8" x14ac:dyDescent="0.2">
      <c r="A848">
        <v>609</v>
      </c>
      <c r="B848">
        <v>37</v>
      </c>
      <c r="C848" t="s">
        <v>608</v>
      </c>
      <c r="D848" s="13" t="s">
        <v>913</v>
      </c>
      <c r="E848" s="1">
        <v>5.7464806820054104</v>
      </c>
      <c r="F848" s="1">
        <v>5.0814887064335901</v>
      </c>
      <c r="G848">
        <f>VLOOKUP(C848,'[1]phenotypes-895'!$A$2:$G$896,7,FALSE)</f>
        <v>98</v>
      </c>
      <c r="H848">
        <v>6</v>
      </c>
    </row>
    <row r="849" spans="1:8" x14ac:dyDescent="0.2">
      <c r="A849">
        <v>570</v>
      </c>
      <c r="B849">
        <v>33</v>
      </c>
      <c r="C849" t="s">
        <v>569</v>
      </c>
      <c r="D849" s="13" t="s">
        <v>913</v>
      </c>
      <c r="E849" s="1">
        <v>5.78309201182637</v>
      </c>
      <c r="F849" s="1">
        <v>5.9221783754397803</v>
      </c>
      <c r="G849">
        <f>VLOOKUP(C849,'[1]phenotypes-895'!$A$2:$G$896,7,FALSE)</f>
        <v>98</v>
      </c>
      <c r="H849">
        <v>6</v>
      </c>
    </row>
    <row r="850" spans="1:8" x14ac:dyDescent="0.2">
      <c r="A850">
        <v>414</v>
      </c>
      <c r="B850">
        <v>50</v>
      </c>
      <c r="C850" t="s">
        <v>413</v>
      </c>
      <c r="D850" s="13" t="s">
        <v>912</v>
      </c>
      <c r="E850" s="1">
        <v>5.8005614606581499</v>
      </c>
      <c r="F850" s="1">
        <v>7.5867450872722202</v>
      </c>
      <c r="G850">
        <f>VLOOKUP(C850,'[1]phenotypes-895'!$A$2:$G$896,7,FALSE)</f>
        <v>89</v>
      </c>
      <c r="H850">
        <v>6</v>
      </c>
    </row>
    <row r="851" spans="1:8" x14ac:dyDescent="0.2">
      <c r="A851">
        <v>86</v>
      </c>
      <c r="B851">
        <v>36</v>
      </c>
      <c r="C851" t="s">
        <v>85</v>
      </c>
      <c r="D851" s="13" t="s">
        <v>913</v>
      </c>
      <c r="E851" s="1">
        <v>5.8579260886536302</v>
      </c>
      <c r="F851" s="1">
        <v>6.8937681377266102</v>
      </c>
      <c r="G851">
        <f>VLOOKUP(C851,'[1]phenotypes-895'!$A$2:$G$896,7,FALSE)</f>
        <v>73</v>
      </c>
      <c r="H851">
        <v>6</v>
      </c>
    </row>
    <row r="852" spans="1:8" x14ac:dyDescent="0.2">
      <c r="A852">
        <v>480</v>
      </c>
      <c r="B852">
        <v>53</v>
      </c>
      <c r="C852" t="s">
        <v>479</v>
      </c>
      <c r="D852" s="13" t="s">
        <v>912</v>
      </c>
      <c r="E852" s="1">
        <v>5.8678976888934304</v>
      </c>
      <c r="F852" s="1">
        <v>5.9590126125409704</v>
      </c>
      <c r="G852">
        <f>VLOOKUP(C852,'[1]phenotypes-895'!$A$2:$G$896,7,FALSE)</f>
        <v>98</v>
      </c>
      <c r="H852">
        <v>5</v>
      </c>
    </row>
    <row r="853" spans="1:8" x14ac:dyDescent="0.2">
      <c r="A853">
        <v>560</v>
      </c>
      <c r="B853">
        <v>32</v>
      </c>
      <c r="C853" t="s">
        <v>559</v>
      </c>
      <c r="D853" s="13" t="s">
        <v>913</v>
      </c>
      <c r="E853" s="1">
        <v>5.87785431555481</v>
      </c>
      <c r="F853" s="1">
        <v>4.9813977901263096</v>
      </c>
      <c r="G853">
        <f>VLOOKUP(C853,'[1]phenotypes-895'!$A$2:$G$896,7,FALSE)</f>
        <v>98</v>
      </c>
      <c r="H853">
        <v>5</v>
      </c>
    </row>
    <row r="854" spans="1:8" x14ac:dyDescent="0.2">
      <c r="A854">
        <v>700</v>
      </c>
      <c r="B854">
        <v>23</v>
      </c>
      <c r="C854" t="s">
        <v>699</v>
      </c>
      <c r="D854" s="13" t="s">
        <v>913</v>
      </c>
      <c r="E854" s="1">
        <v>5.8951259140555896</v>
      </c>
      <c r="F854" s="1">
        <v>5.1619705187699401</v>
      </c>
      <c r="G854">
        <f>VLOOKUP(C854,'[1]phenotypes-895'!$A$2:$G$896,7,FALSE)</f>
        <v>98</v>
      </c>
      <c r="H854">
        <v>5</v>
      </c>
    </row>
    <row r="855" spans="1:8" x14ac:dyDescent="0.2">
      <c r="A855">
        <v>412</v>
      </c>
      <c r="B855">
        <v>53</v>
      </c>
      <c r="C855" t="s">
        <v>411</v>
      </c>
      <c r="D855" s="13" t="s">
        <v>912</v>
      </c>
      <c r="E855" s="1">
        <v>5.8998151541066797</v>
      </c>
      <c r="F855" s="1">
        <v>6.0730468547740299</v>
      </c>
      <c r="G855">
        <f>VLOOKUP(C855,'[1]phenotypes-895'!$A$2:$G$896,7,FALSE)</f>
        <v>98</v>
      </c>
      <c r="H855">
        <v>5</v>
      </c>
    </row>
    <row r="856" spans="1:8" x14ac:dyDescent="0.2">
      <c r="A856">
        <v>361</v>
      </c>
      <c r="B856">
        <v>52</v>
      </c>
      <c r="C856" t="s">
        <v>360</v>
      </c>
      <c r="D856" s="13" t="s">
        <v>912</v>
      </c>
      <c r="E856" s="1">
        <v>5.9216647728075396</v>
      </c>
      <c r="F856" s="1">
        <v>8.1527082723043396</v>
      </c>
      <c r="G856">
        <f>VLOOKUP(C856,'[1]phenotypes-895'!$A$2:$G$896,7,FALSE)</f>
        <v>94</v>
      </c>
      <c r="H856">
        <v>5</v>
      </c>
    </row>
    <row r="857" spans="1:8" x14ac:dyDescent="0.2">
      <c r="A857">
        <v>457</v>
      </c>
      <c r="B857">
        <v>45</v>
      </c>
      <c r="C857" t="s">
        <v>456</v>
      </c>
      <c r="D857" s="13" t="s">
        <v>912</v>
      </c>
      <c r="E857" s="1">
        <v>5.9382648635000397</v>
      </c>
      <c r="F857" s="1">
        <v>5.61458037917465</v>
      </c>
      <c r="G857">
        <f>VLOOKUP(C857,'[1]phenotypes-895'!$A$2:$G$896,7,FALSE)</f>
        <v>98</v>
      </c>
      <c r="H857">
        <v>5</v>
      </c>
    </row>
    <row r="858" spans="1:8" x14ac:dyDescent="0.2">
      <c r="A858">
        <v>654</v>
      </c>
      <c r="B858">
        <v>39</v>
      </c>
      <c r="C858" t="s">
        <v>653</v>
      </c>
      <c r="D858" s="13" t="s">
        <v>913</v>
      </c>
      <c r="E858" s="1">
        <v>5.9403253884537301</v>
      </c>
      <c r="F858" s="1">
        <v>5.3567910527112996</v>
      </c>
      <c r="G858">
        <f>VLOOKUP(C858,'[1]phenotypes-895'!$A$2:$G$896,7,FALSE)</f>
        <v>98</v>
      </c>
      <c r="H858">
        <v>5</v>
      </c>
    </row>
    <row r="859" spans="1:8" x14ac:dyDescent="0.2">
      <c r="A859">
        <v>514</v>
      </c>
      <c r="B859">
        <v>50</v>
      </c>
      <c r="C859" t="s">
        <v>513</v>
      </c>
      <c r="D859" s="13" t="s">
        <v>912</v>
      </c>
      <c r="E859" s="1">
        <v>5.9549293914254102</v>
      </c>
      <c r="F859" s="1">
        <v>5.5097643616288501</v>
      </c>
      <c r="G859">
        <f>VLOOKUP(C859,'[1]phenotypes-895'!$A$2:$G$896,7,FALSE)</f>
        <v>74</v>
      </c>
      <c r="H859">
        <v>5</v>
      </c>
    </row>
    <row r="860" spans="1:8" x14ac:dyDescent="0.2">
      <c r="A860">
        <v>409</v>
      </c>
      <c r="B860">
        <v>51</v>
      </c>
      <c r="C860" t="s">
        <v>408</v>
      </c>
      <c r="D860" s="13" t="s">
        <v>912</v>
      </c>
      <c r="E860" s="1">
        <v>6.0006079125526401</v>
      </c>
      <c r="F860" s="1">
        <v>6.1285661197806798</v>
      </c>
      <c r="G860">
        <f>VLOOKUP(C860,'[1]phenotypes-895'!$A$2:$G$896,7,FALSE)</f>
        <v>98</v>
      </c>
      <c r="H860">
        <v>5</v>
      </c>
    </row>
    <row r="861" spans="1:8" x14ac:dyDescent="0.2">
      <c r="A861">
        <v>681</v>
      </c>
      <c r="B861">
        <v>38</v>
      </c>
      <c r="C861" t="s">
        <v>680</v>
      </c>
      <c r="D861" s="13" t="s">
        <v>913</v>
      </c>
      <c r="E861" s="1">
        <v>6.00341497709947</v>
      </c>
      <c r="F861" s="1">
        <v>6.6786829012297302</v>
      </c>
      <c r="G861">
        <f>VLOOKUP(C861,'[1]phenotypes-895'!$A$2:$G$896,7,FALSE)</f>
        <v>98</v>
      </c>
      <c r="H861">
        <v>4</v>
      </c>
    </row>
    <row r="862" spans="1:8" x14ac:dyDescent="0.2">
      <c r="A862">
        <v>481</v>
      </c>
      <c r="B862">
        <v>34</v>
      </c>
      <c r="C862" t="s">
        <v>480</v>
      </c>
      <c r="D862" s="13" t="s">
        <v>913</v>
      </c>
      <c r="E862" s="1">
        <v>6.0064249661289004</v>
      </c>
      <c r="F862" s="1">
        <v>4.4166087078993996</v>
      </c>
      <c r="G862">
        <f>VLOOKUP(C862,'[1]phenotypes-895'!$A$2:$G$896,7,FALSE)</f>
        <v>98</v>
      </c>
      <c r="H862">
        <v>4</v>
      </c>
    </row>
    <row r="863" spans="1:8" x14ac:dyDescent="0.2">
      <c r="A863">
        <v>893</v>
      </c>
      <c r="B863">
        <v>38</v>
      </c>
      <c r="C863" t="s">
        <v>892</v>
      </c>
      <c r="D863" s="13" t="s">
        <v>913</v>
      </c>
      <c r="E863" s="1">
        <v>6.0513810840227196</v>
      </c>
      <c r="F863" s="1">
        <v>5.6561355662124599</v>
      </c>
      <c r="G863">
        <f>VLOOKUP(C863,'[1]phenotypes-895'!$A$2:$G$896,7,FALSE)</f>
        <v>98</v>
      </c>
      <c r="H863">
        <v>4</v>
      </c>
    </row>
    <row r="864" spans="1:8" x14ac:dyDescent="0.2">
      <c r="A864">
        <v>695</v>
      </c>
      <c r="B864">
        <v>23</v>
      </c>
      <c r="C864" t="s">
        <v>694</v>
      </c>
      <c r="D864" s="13" t="s">
        <v>913</v>
      </c>
      <c r="E864" s="1">
        <v>6.1285989287022504</v>
      </c>
      <c r="F864" s="1">
        <v>4.8983506570177502</v>
      </c>
      <c r="G864">
        <f>VLOOKUP(C864,'[1]phenotypes-895'!$A$2:$G$896,7,FALSE)</f>
        <v>73</v>
      </c>
      <c r="H864">
        <v>4</v>
      </c>
    </row>
    <row r="865" spans="1:8" x14ac:dyDescent="0.2">
      <c r="A865">
        <v>675</v>
      </c>
      <c r="B865">
        <v>25</v>
      </c>
      <c r="C865" t="s">
        <v>674</v>
      </c>
      <c r="D865" s="13" t="s">
        <v>913</v>
      </c>
      <c r="E865" s="1">
        <v>6.1515584339028004</v>
      </c>
      <c r="F865" s="1">
        <v>5.3899249187697</v>
      </c>
      <c r="G865">
        <f>VLOOKUP(C865,'[1]phenotypes-895'!$A$2:$G$896,7,FALSE)</f>
        <v>98</v>
      </c>
      <c r="H865">
        <v>4</v>
      </c>
    </row>
    <row r="866" spans="1:8" x14ac:dyDescent="0.2">
      <c r="A866">
        <v>391</v>
      </c>
      <c r="B866">
        <v>44</v>
      </c>
      <c r="C866" t="s">
        <v>390</v>
      </c>
      <c r="D866" s="13" t="s">
        <v>912</v>
      </c>
      <c r="E866" s="1">
        <v>6.2454642062755097</v>
      </c>
      <c r="F866" s="1">
        <v>7.2214419939567502</v>
      </c>
      <c r="G866">
        <f>VLOOKUP(C866,'[1]phenotypes-895'!$A$2:$G$896,7,FALSE)</f>
        <v>98</v>
      </c>
      <c r="H866">
        <v>4</v>
      </c>
    </row>
    <row r="867" spans="1:8" x14ac:dyDescent="0.2">
      <c r="A867">
        <v>842</v>
      </c>
      <c r="B867">
        <v>37</v>
      </c>
      <c r="C867" t="s">
        <v>841</v>
      </c>
      <c r="D867" s="13" t="s">
        <v>913</v>
      </c>
      <c r="E867" s="1">
        <v>6.39161436906749</v>
      </c>
      <c r="F867" s="1">
        <v>5.9491441355691501</v>
      </c>
      <c r="G867">
        <f>VLOOKUP(C867,'[1]phenotypes-895'!$A$2:$G$896,7,FALSE)</f>
        <v>98</v>
      </c>
      <c r="H867">
        <v>4</v>
      </c>
    </row>
    <row r="868" spans="1:8" x14ac:dyDescent="0.2">
      <c r="A868">
        <v>490</v>
      </c>
      <c r="B868">
        <v>46</v>
      </c>
      <c r="C868" t="s">
        <v>489</v>
      </c>
      <c r="D868" s="13" t="s">
        <v>912</v>
      </c>
      <c r="E868" s="1">
        <v>6.4249127477141403</v>
      </c>
      <c r="F868" s="1">
        <v>6.5365992740422696</v>
      </c>
      <c r="G868">
        <f>VLOOKUP(C868,'[1]phenotypes-895'!$A$2:$G$896,7,FALSE)</f>
        <v>98</v>
      </c>
      <c r="H868">
        <v>4</v>
      </c>
    </row>
    <row r="869" spans="1:8" x14ac:dyDescent="0.2">
      <c r="A869">
        <v>605</v>
      </c>
      <c r="B869">
        <v>40</v>
      </c>
      <c r="C869" t="s">
        <v>604</v>
      </c>
      <c r="D869" s="13" t="s">
        <v>913</v>
      </c>
      <c r="E869" s="1">
        <v>6.5236257244172302</v>
      </c>
      <c r="F869" s="1">
        <v>5.34791934192328</v>
      </c>
      <c r="G869">
        <f>VLOOKUP(C869,'[1]phenotypes-895'!$A$2:$G$896,7,FALSE)</f>
        <v>98</v>
      </c>
      <c r="H869">
        <v>4</v>
      </c>
    </row>
    <row r="870" spans="1:8" x14ac:dyDescent="0.2">
      <c r="A870">
        <v>161</v>
      </c>
      <c r="B870">
        <v>27</v>
      </c>
      <c r="C870" t="s">
        <v>160</v>
      </c>
      <c r="D870" s="13" t="s">
        <v>913</v>
      </c>
      <c r="E870" s="1">
        <v>6.5438548155164202</v>
      </c>
      <c r="F870" s="1">
        <v>5.8434013550124497</v>
      </c>
      <c r="G870">
        <f>VLOOKUP(C870,'[1]phenotypes-895'!$A$2:$G$896,7,FALSE)</f>
        <v>70</v>
      </c>
      <c r="H870">
        <v>3</v>
      </c>
    </row>
    <row r="871" spans="1:8" x14ac:dyDescent="0.2">
      <c r="A871">
        <v>774</v>
      </c>
      <c r="B871">
        <v>26</v>
      </c>
      <c r="C871" t="s">
        <v>773</v>
      </c>
      <c r="D871" s="13" t="s">
        <v>913</v>
      </c>
      <c r="E871" s="1">
        <v>6.5640084206432396</v>
      </c>
      <c r="F871" s="1">
        <v>6.1212769634794197</v>
      </c>
      <c r="G871">
        <f>VLOOKUP(C871,'[1]phenotypes-895'!$A$2:$G$896,7,FALSE)</f>
        <v>98</v>
      </c>
      <c r="H871">
        <v>3</v>
      </c>
    </row>
    <row r="872" spans="1:8" x14ac:dyDescent="0.2">
      <c r="A872">
        <v>139</v>
      </c>
      <c r="B872">
        <v>2</v>
      </c>
      <c r="C872" t="s">
        <v>138</v>
      </c>
      <c r="D872" s="12" t="s">
        <v>913</v>
      </c>
      <c r="E872" s="1">
        <v>6.5777678703804003</v>
      </c>
      <c r="F872" s="1">
        <v>7.5148511683546699</v>
      </c>
      <c r="G872">
        <f>VLOOKUP(C872,'[1]phenotypes-895'!$A$2:$G$896,7,FALSE)</f>
        <v>98</v>
      </c>
      <c r="H872">
        <v>3</v>
      </c>
    </row>
    <row r="873" spans="1:8" x14ac:dyDescent="0.2">
      <c r="A873">
        <v>659</v>
      </c>
      <c r="B873">
        <v>36</v>
      </c>
      <c r="C873" t="s">
        <v>658</v>
      </c>
      <c r="D873" s="13" t="s">
        <v>913</v>
      </c>
      <c r="E873" s="1">
        <v>6.6554803109762499</v>
      </c>
      <c r="F873" s="1">
        <v>8.2886637615912608</v>
      </c>
      <c r="G873">
        <f>VLOOKUP(C873,'[1]phenotypes-895'!$A$2:$G$896,7,FALSE)</f>
        <v>98</v>
      </c>
      <c r="H873">
        <v>3</v>
      </c>
    </row>
    <row r="874" spans="1:8" x14ac:dyDescent="0.2">
      <c r="A874">
        <v>790</v>
      </c>
      <c r="B874">
        <v>39</v>
      </c>
      <c r="C874" t="s">
        <v>789</v>
      </c>
      <c r="D874" s="13" t="s">
        <v>913</v>
      </c>
      <c r="E874" s="1">
        <v>6.7342409613653</v>
      </c>
      <c r="F874" s="1">
        <v>4.5053479107874601</v>
      </c>
      <c r="G874">
        <f>VLOOKUP(C874,'[1]phenotypes-895'!$A$2:$G$896,7,FALSE)</f>
        <v>98</v>
      </c>
      <c r="H874">
        <v>3</v>
      </c>
    </row>
    <row r="875" spans="1:8" x14ac:dyDescent="0.2">
      <c r="A875">
        <v>281</v>
      </c>
      <c r="B875">
        <v>2</v>
      </c>
      <c r="C875" t="s">
        <v>280</v>
      </c>
      <c r="D875" s="12" t="s">
        <v>913</v>
      </c>
      <c r="E875" s="1">
        <v>6.7524750325531198</v>
      </c>
      <c r="F875" s="1">
        <v>7.5573391181862704</v>
      </c>
      <c r="G875">
        <f>VLOOKUP(C875,'[1]phenotypes-895'!$A$2:$G$896,7,FALSE)</f>
        <v>98</v>
      </c>
      <c r="H875">
        <v>3</v>
      </c>
    </row>
    <row r="876" spans="1:8" x14ac:dyDescent="0.2">
      <c r="A876">
        <v>726</v>
      </c>
      <c r="B876">
        <v>26</v>
      </c>
      <c r="C876" t="s">
        <v>725</v>
      </c>
      <c r="D876" s="13" t="s">
        <v>913</v>
      </c>
      <c r="E876" s="1">
        <v>6.8307175125048403</v>
      </c>
      <c r="F876" s="1">
        <v>6.6151261254476097</v>
      </c>
      <c r="G876">
        <f>VLOOKUP(C876,'[1]phenotypes-895'!$A$2:$G$896,7,FALSE)</f>
        <v>98</v>
      </c>
      <c r="H876">
        <v>3</v>
      </c>
    </row>
    <row r="877" spans="1:8" x14ac:dyDescent="0.2">
      <c r="A877">
        <v>392</v>
      </c>
      <c r="B877">
        <v>49</v>
      </c>
      <c r="C877" t="s">
        <v>391</v>
      </c>
      <c r="D877" s="13" t="s">
        <v>912</v>
      </c>
      <c r="E877" s="1">
        <v>6.9646075431372196</v>
      </c>
      <c r="F877" s="1">
        <v>6.9992536789184401</v>
      </c>
      <c r="G877">
        <f>VLOOKUP(C877,'[1]phenotypes-895'!$A$2:$G$896,7,FALSE)</f>
        <v>98</v>
      </c>
      <c r="H877">
        <v>3</v>
      </c>
    </row>
    <row r="878" spans="1:8" x14ac:dyDescent="0.2">
      <c r="A878">
        <v>411</v>
      </c>
      <c r="B878">
        <v>50</v>
      </c>
      <c r="C878" t="s">
        <v>410</v>
      </c>
      <c r="D878" s="13" t="s">
        <v>912</v>
      </c>
      <c r="E878" s="1">
        <v>6.9758249164645401</v>
      </c>
      <c r="F878" s="1">
        <v>6.7363865646855796</v>
      </c>
      <c r="G878">
        <f>VLOOKUP(C878,'[1]phenotypes-895'!$A$2:$G$896,7,FALSE)</f>
        <v>98</v>
      </c>
      <c r="H878">
        <v>3</v>
      </c>
    </row>
    <row r="879" spans="1:8" x14ac:dyDescent="0.2">
      <c r="A879">
        <v>365</v>
      </c>
      <c r="B879">
        <v>50</v>
      </c>
      <c r="C879" t="s">
        <v>364</v>
      </c>
      <c r="D879" s="13" t="s">
        <v>912</v>
      </c>
      <c r="E879" s="1">
        <v>7.0480213906095797</v>
      </c>
      <c r="F879" s="1">
        <v>6.3365057564751002</v>
      </c>
      <c r="G879">
        <f>VLOOKUP(C879,'[1]phenotypes-895'!$A$2:$G$896,7,FALSE)</f>
        <v>98</v>
      </c>
      <c r="H879">
        <v>2</v>
      </c>
    </row>
    <row r="880" spans="1:8" x14ac:dyDescent="0.2">
      <c r="A880">
        <v>538</v>
      </c>
      <c r="B880">
        <v>25</v>
      </c>
      <c r="C880" t="s">
        <v>537</v>
      </c>
      <c r="D880" s="13" t="s">
        <v>913</v>
      </c>
      <c r="E880" s="1">
        <v>7.1643470800156503</v>
      </c>
      <c r="F880" s="1">
        <v>6.8053087210185197</v>
      </c>
      <c r="G880">
        <f>VLOOKUP(C880,'[1]phenotypes-895'!$A$2:$G$896,7,FALSE)</f>
        <v>98</v>
      </c>
      <c r="H880">
        <v>2</v>
      </c>
    </row>
    <row r="881" spans="1:8" x14ac:dyDescent="0.2">
      <c r="A881">
        <v>121</v>
      </c>
      <c r="B881">
        <v>37</v>
      </c>
      <c r="C881" t="s">
        <v>120</v>
      </c>
      <c r="D881" s="13" t="s">
        <v>913</v>
      </c>
      <c r="E881" s="1">
        <v>7.1916326099204104</v>
      </c>
      <c r="F881" s="1">
        <v>7.9369044420002801</v>
      </c>
      <c r="G881">
        <f>VLOOKUP(C881,'[1]phenotypes-895'!$A$2:$G$896,7,FALSE)</f>
        <v>98</v>
      </c>
      <c r="H881">
        <v>2</v>
      </c>
    </row>
    <row r="882" spans="1:8" x14ac:dyDescent="0.2">
      <c r="A882">
        <v>515</v>
      </c>
      <c r="B882">
        <v>54</v>
      </c>
      <c r="C882" t="s">
        <v>514</v>
      </c>
      <c r="D882" s="13" t="s">
        <v>912</v>
      </c>
      <c r="E882" s="1">
        <v>7.2277164120395598</v>
      </c>
      <c r="F882" s="1">
        <v>7.7945317770549698</v>
      </c>
      <c r="G882">
        <f>VLOOKUP(C882,'[1]phenotypes-895'!$A$2:$G$896,7,FALSE)</f>
        <v>81</v>
      </c>
      <c r="H882">
        <v>2</v>
      </c>
    </row>
    <row r="883" spans="1:8" x14ac:dyDescent="0.2">
      <c r="A883">
        <v>544</v>
      </c>
      <c r="B883">
        <v>39</v>
      </c>
      <c r="C883" t="s">
        <v>543</v>
      </c>
      <c r="D883" s="13" t="s">
        <v>913</v>
      </c>
      <c r="E883" s="1">
        <v>7.2932048808349297</v>
      </c>
      <c r="F883" s="1">
        <v>6.9389648876650396</v>
      </c>
      <c r="G883">
        <f>VLOOKUP(C883,'[1]phenotypes-895'!$A$2:$G$896,7,FALSE)</f>
        <v>98</v>
      </c>
      <c r="H883">
        <v>2</v>
      </c>
    </row>
    <row r="884" spans="1:8" x14ac:dyDescent="0.2">
      <c r="A884">
        <v>644</v>
      </c>
      <c r="B884">
        <v>26</v>
      </c>
      <c r="C884" t="s">
        <v>643</v>
      </c>
      <c r="D884" s="13" t="s">
        <v>913</v>
      </c>
      <c r="E884" s="1">
        <v>7.3365452501364503</v>
      </c>
      <c r="F884" s="1">
        <v>6.2052655922406403</v>
      </c>
      <c r="G884">
        <f>VLOOKUP(C884,'[1]phenotypes-895'!$A$2:$G$896,7,FALSE)</f>
        <v>98</v>
      </c>
      <c r="H884">
        <v>2</v>
      </c>
    </row>
    <row r="885" spans="1:8" x14ac:dyDescent="0.2">
      <c r="A885">
        <v>96</v>
      </c>
      <c r="B885">
        <v>2</v>
      </c>
      <c r="C885" t="s">
        <v>95</v>
      </c>
      <c r="D885" s="12" t="s">
        <v>913</v>
      </c>
      <c r="E885" s="1">
        <v>7.3708829776904601</v>
      </c>
      <c r="F885" s="1">
        <v>8.3220116465154401</v>
      </c>
      <c r="G885">
        <f>VLOOKUP(C885,'[1]phenotypes-895'!$A$2:$G$896,7,FALSE)</f>
        <v>98</v>
      </c>
      <c r="H885">
        <v>2</v>
      </c>
    </row>
    <row r="886" spans="1:8" x14ac:dyDescent="0.2">
      <c r="A886">
        <v>748</v>
      </c>
      <c r="B886">
        <v>33</v>
      </c>
      <c r="C886" t="s">
        <v>747</v>
      </c>
      <c r="D886" s="13" t="s">
        <v>913</v>
      </c>
      <c r="E886" s="1">
        <v>7.3808221850333799</v>
      </c>
      <c r="F886" s="1">
        <v>8.7314327750031602</v>
      </c>
      <c r="G886">
        <f>VLOOKUP(C886,'[1]phenotypes-895'!$A$2:$G$896,7,FALSE)</f>
        <v>98</v>
      </c>
      <c r="H886">
        <v>2</v>
      </c>
    </row>
    <row r="887" spans="1:8" x14ac:dyDescent="0.2">
      <c r="A887">
        <v>419</v>
      </c>
      <c r="B887">
        <v>54</v>
      </c>
      <c r="C887" t="s">
        <v>418</v>
      </c>
      <c r="D887" s="13" t="s">
        <v>912</v>
      </c>
      <c r="E887" s="1">
        <v>7.56373008637813</v>
      </c>
      <c r="F887" s="1">
        <v>7.4206804020258996</v>
      </c>
      <c r="G887">
        <f>VLOOKUP(C887,'[1]phenotypes-895'!$A$2:$G$896,7,FALSE)</f>
        <v>98</v>
      </c>
      <c r="H887">
        <v>2</v>
      </c>
    </row>
    <row r="888" spans="1:8" x14ac:dyDescent="0.2">
      <c r="A888">
        <v>305</v>
      </c>
      <c r="B888">
        <v>37</v>
      </c>
      <c r="C888" t="s">
        <v>304</v>
      </c>
      <c r="D888" s="13" t="s">
        <v>913</v>
      </c>
      <c r="E888" s="1">
        <v>7.80259817205721</v>
      </c>
      <c r="F888" s="1">
        <v>8.1731182144735204</v>
      </c>
      <c r="G888">
        <f>VLOOKUP(C888,'[1]phenotypes-895'!$A$2:$G$896,7,FALSE)</f>
        <v>98</v>
      </c>
      <c r="H888">
        <v>1</v>
      </c>
    </row>
    <row r="889" spans="1:8" x14ac:dyDescent="0.2">
      <c r="A889">
        <v>661</v>
      </c>
      <c r="B889">
        <v>37</v>
      </c>
      <c r="C889" t="s">
        <v>660</v>
      </c>
      <c r="D889" s="13" t="s">
        <v>913</v>
      </c>
      <c r="E889" s="1">
        <v>7.8419203788977603</v>
      </c>
      <c r="F889" s="1">
        <v>8.1721230235748497</v>
      </c>
      <c r="G889">
        <f>VLOOKUP(C889,'[1]phenotypes-895'!$A$2:$G$896,7,FALSE)</f>
        <v>98</v>
      </c>
      <c r="H889">
        <v>1</v>
      </c>
    </row>
    <row r="890" spans="1:8" x14ac:dyDescent="0.2">
      <c r="A890">
        <v>464</v>
      </c>
      <c r="B890">
        <v>21</v>
      </c>
      <c r="C890" t="s">
        <v>463</v>
      </c>
      <c r="D890" s="13" t="s">
        <v>913</v>
      </c>
      <c r="E890" s="1">
        <v>7.9301999207661202</v>
      </c>
      <c r="F890" s="1">
        <v>7.6541537354650897</v>
      </c>
      <c r="G890">
        <f>VLOOKUP(C890,'[1]phenotypes-895'!$A$2:$G$896,7,FALSE)</f>
        <v>98</v>
      </c>
      <c r="H890">
        <v>1</v>
      </c>
    </row>
    <row r="891" spans="1:8" x14ac:dyDescent="0.2">
      <c r="A891">
        <v>875</v>
      </c>
      <c r="B891">
        <v>35</v>
      </c>
      <c r="C891" t="s">
        <v>874</v>
      </c>
      <c r="D891" s="13" t="s">
        <v>913</v>
      </c>
      <c r="E891" s="1">
        <v>8.2662754718474307</v>
      </c>
      <c r="F891" s="1">
        <v>7.02396423158803</v>
      </c>
      <c r="G891">
        <f>VLOOKUP(C891,'[1]phenotypes-895'!$A$2:$G$896,7,FALSE)</f>
        <v>98</v>
      </c>
      <c r="H891">
        <v>1</v>
      </c>
    </row>
    <row r="892" spans="1:8" x14ac:dyDescent="0.2">
      <c r="A892">
        <v>754</v>
      </c>
      <c r="B892">
        <v>29</v>
      </c>
      <c r="C892" t="s">
        <v>753</v>
      </c>
      <c r="D892" s="13" t="s">
        <v>913</v>
      </c>
      <c r="E892" s="1">
        <v>8.3622635481224208</v>
      </c>
      <c r="F892" s="1">
        <v>7.7766094230607701</v>
      </c>
      <c r="G892">
        <f>VLOOKUP(C892,'[1]phenotypes-895'!$A$2:$G$896,7,FALSE)</f>
        <v>98</v>
      </c>
      <c r="H892">
        <v>1</v>
      </c>
    </row>
    <row r="893" spans="1:8" x14ac:dyDescent="0.2">
      <c r="A893">
        <v>592</v>
      </c>
      <c r="B893">
        <v>38</v>
      </c>
      <c r="C893" t="s">
        <v>591</v>
      </c>
      <c r="D893" s="13" t="s">
        <v>913</v>
      </c>
      <c r="E893" s="1">
        <v>8.7057691199656695</v>
      </c>
      <c r="F893" s="1">
        <v>8.8299318960929103</v>
      </c>
      <c r="G893">
        <f>VLOOKUP(C893,'[1]phenotypes-895'!$A$2:$G$896,7,FALSE)</f>
        <v>93</v>
      </c>
      <c r="H893">
        <v>1</v>
      </c>
    </row>
    <row r="894" spans="1:8" x14ac:dyDescent="0.2">
      <c r="A894">
        <v>599</v>
      </c>
      <c r="B894">
        <v>33</v>
      </c>
      <c r="C894" t="s">
        <v>598</v>
      </c>
      <c r="D894" s="13" t="s">
        <v>913</v>
      </c>
      <c r="E894" s="1">
        <v>8.8599838967896396</v>
      </c>
      <c r="F894" s="1">
        <v>8.9311385798117904</v>
      </c>
      <c r="G894">
        <f>VLOOKUP(C894,'[1]phenotypes-895'!$A$2:$G$896,7,FALSE)</f>
        <v>98</v>
      </c>
      <c r="H894">
        <v>1</v>
      </c>
    </row>
    <row r="895" spans="1:8" x14ac:dyDescent="0.2">
      <c r="A895">
        <v>856</v>
      </c>
      <c r="B895">
        <v>38</v>
      </c>
      <c r="C895" t="s">
        <v>855</v>
      </c>
      <c r="D895" s="13" t="s">
        <v>913</v>
      </c>
      <c r="E895" s="1">
        <v>8.9492103144948896</v>
      </c>
      <c r="F895" s="1">
        <v>8.9315335012721508</v>
      </c>
      <c r="G895">
        <f>VLOOKUP(C895,'[1]phenotypes-895'!$A$2:$G$896,7,FALSE)</f>
        <v>98</v>
      </c>
      <c r="H895">
        <v>1</v>
      </c>
    </row>
    <row r="896" spans="1:8" x14ac:dyDescent="0.2">
      <c r="A896">
        <v>209</v>
      </c>
      <c r="B896">
        <v>2</v>
      </c>
      <c r="C896" t="s">
        <v>208</v>
      </c>
      <c r="D896" s="12" t="s">
        <v>913</v>
      </c>
      <c r="E896" s="1">
        <v>9.8155225209163603</v>
      </c>
      <c r="F896" s="1">
        <v>10.6693736208267</v>
      </c>
      <c r="G896">
        <f>VLOOKUP(C896,'[1]phenotypes-895'!$A$2:$G$896,7,FALSE)</f>
        <v>98</v>
      </c>
      <c r="H896">
        <v>1</v>
      </c>
    </row>
  </sheetData>
  <sortState xmlns:xlrd2="http://schemas.microsoft.com/office/spreadsheetml/2017/richdata2" ref="A2:H896">
    <sortCondition ref="E2:E8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EBVs</vt:lpstr>
      <vt:lpstr>EBV_comparison</vt:lpstr>
      <vt:lpstr>GCTA_EBVs</vt:lpstr>
      <vt:lpstr>ASReml_EBVs</vt:lpstr>
      <vt:lpstr>ASReml_daysSurv</vt:lpstr>
      <vt:lpstr>ASReml_daysSurv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Mikaeylah Davidson</cp:lastModifiedBy>
  <dcterms:created xsi:type="dcterms:W3CDTF">2024-11-11T01:18:16Z</dcterms:created>
  <dcterms:modified xsi:type="dcterms:W3CDTF">2024-12-17T07:46:43Z</dcterms:modified>
</cp:coreProperties>
</file>